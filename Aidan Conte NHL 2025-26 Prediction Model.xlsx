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911" documentId="14_{BC0C37BD-5950-BD49-823D-87212FE79B51}" xr6:coauthVersionLast="47" xr6:coauthVersionMax="47" xr10:uidLastSave="{1D0AD20C-22BC-AC4D-AFD2-9243894525DF}"/>
  <bookViews>
    <workbookView xWindow="0" yWindow="680" windowWidth="29400" windowHeight="17040" activeTab="4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1" r:id="rId5"/>
    <sheet name="Sheet2" sheetId="9" r:id="rId6"/>
  </sheets>
  <definedNames>
    <definedName name="ExternalData_1" localSheetId="0" hidden="1">'NHL2025-26Results'!$A$1:$J$1313</definedName>
    <definedName name="ExternalData_3" localSheetId="4" hidden="1">'ML Prediction Model'!$A$1:$AA$60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Model'!$U$10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 calcMode="manual" calcCompleted="0"/>
  <pivotCaches>
    <pivotCache cacheId="0" r:id="rId7"/>
    <pivotCache cacheId="1" r:id="rId8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53" i="1" l="1"/>
  <c r="H358" i="1"/>
  <c r="H357" i="1"/>
  <c r="G358" i="1"/>
  <c r="G357" i="1"/>
  <c r="G356" i="1"/>
  <c r="H356" i="1" s="1"/>
  <c r="G355" i="1"/>
  <c r="H355" i="1" s="1"/>
  <c r="G354" i="1"/>
  <c r="G353" i="1"/>
  <c r="E358" i="1"/>
  <c r="E357" i="1"/>
  <c r="E356" i="1"/>
  <c r="E355" i="1"/>
  <c r="E354" i="1"/>
  <c r="H354" i="1" s="1"/>
  <c r="E353" i="1"/>
  <c r="H353" i="1" s="1"/>
  <c r="I354" i="1"/>
  <c r="I355" i="1"/>
  <c r="I356" i="1"/>
  <c r="I357" i="1"/>
  <c r="I358" i="1"/>
  <c r="E349" i="1"/>
  <c r="E348" i="1"/>
  <c r="H348" i="1" s="1"/>
  <c r="E347" i="1"/>
  <c r="E346" i="1"/>
  <c r="E345" i="1"/>
  <c r="E344" i="1"/>
  <c r="E343" i="1"/>
  <c r="E342" i="1"/>
  <c r="H342" i="1" s="1"/>
  <c r="E341" i="1"/>
  <c r="G341" i="1"/>
  <c r="H341" i="1" s="1"/>
  <c r="I341" i="1"/>
  <c r="G342" i="1"/>
  <c r="I342" i="1"/>
  <c r="G343" i="1"/>
  <c r="I343" i="1"/>
  <c r="G344" i="1"/>
  <c r="H344" i="1" s="1"/>
  <c r="I344" i="1"/>
  <c r="G345" i="1"/>
  <c r="I345" i="1"/>
  <c r="G346" i="1"/>
  <c r="H346" i="1"/>
  <c r="I346" i="1"/>
  <c r="G347" i="1"/>
  <c r="I347" i="1"/>
  <c r="G348" i="1"/>
  <c r="I348" i="1"/>
  <c r="G349" i="1"/>
  <c r="H349" i="1"/>
  <c r="I349" i="1"/>
  <c r="J349" i="1" s="1"/>
  <c r="G350" i="1"/>
  <c r="H350" i="1" s="1"/>
  <c r="I350" i="1"/>
  <c r="G351" i="1"/>
  <c r="I351" i="1"/>
  <c r="G352" i="1"/>
  <c r="I352" i="1"/>
  <c r="E350" i="1"/>
  <c r="E351" i="1"/>
  <c r="H351" i="1" s="1"/>
  <c r="E352" i="1"/>
  <c r="J353" i="1" l="1"/>
  <c r="J355" i="1"/>
  <c r="J356" i="1"/>
  <c r="J354" i="1"/>
  <c r="J357" i="1"/>
  <c r="J358" i="1"/>
  <c r="H352" i="1"/>
  <c r="H347" i="1"/>
  <c r="H343" i="1"/>
  <c r="H345" i="1"/>
  <c r="J345" i="1" s="1"/>
  <c r="J341" i="1"/>
  <c r="J342" i="1"/>
  <c r="J346" i="1"/>
  <c r="J343" i="1"/>
  <c r="J348" i="1"/>
  <c r="J344" i="1"/>
  <c r="J347" i="1"/>
  <c r="J352" i="1"/>
  <c r="J350" i="1"/>
  <c r="J351" i="1"/>
  <c r="G337" i="1" l="1"/>
  <c r="I337" i="1"/>
  <c r="G338" i="1"/>
  <c r="I338" i="1"/>
  <c r="G339" i="1"/>
  <c r="H339" i="1"/>
  <c r="I339" i="1"/>
  <c r="G340" i="1"/>
  <c r="I340" i="1"/>
  <c r="E337" i="1"/>
  <c r="E338" i="1"/>
  <c r="E339" i="1"/>
  <c r="E340" i="1"/>
  <c r="H340" i="1" s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H335" i="1" s="1"/>
  <c r="I335" i="1"/>
  <c r="G336" i="1"/>
  <c r="I336" i="1"/>
  <c r="E325" i="1"/>
  <c r="E326" i="1"/>
  <c r="E327" i="1"/>
  <c r="E328" i="1"/>
  <c r="E329" i="1"/>
  <c r="H329" i="1" s="1"/>
  <c r="E330" i="1"/>
  <c r="E331" i="1"/>
  <c r="E332" i="1"/>
  <c r="E333" i="1"/>
  <c r="H333" i="1" s="1"/>
  <c r="E334" i="1"/>
  <c r="H334" i="1" s="1"/>
  <c r="E335" i="1"/>
  <c r="E336" i="1"/>
  <c r="V3" i="4"/>
  <c r="G321" i="1"/>
  <c r="I321" i="1"/>
  <c r="G322" i="1"/>
  <c r="I322" i="1"/>
  <c r="G323" i="1"/>
  <c r="I323" i="1"/>
  <c r="G324" i="1"/>
  <c r="I324" i="1"/>
  <c r="E321" i="1"/>
  <c r="H321" i="1" s="1"/>
  <c r="E322" i="1"/>
  <c r="E323" i="1"/>
  <c r="E324" i="1"/>
  <c r="V4" i="4"/>
  <c r="I320" i="1"/>
  <c r="I319" i="1"/>
  <c r="I318" i="1"/>
  <c r="I317" i="1"/>
  <c r="I316" i="1"/>
  <c r="I315" i="1"/>
  <c r="I314" i="1"/>
  <c r="I313" i="1"/>
  <c r="G320" i="1"/>
  <c r="G319" i="1"/>
  <c r="G318" i="1"/>
  <c r="G317" i="1"/>
  <c r="G316" i="1"/>
  <c r="G315" i="1"/>
  <c r="G314" i="1"/>
  <c r="G313" i="1"/>
  <c r="G312" i="1"/>
  <c r="E320" i="1"/>
  <c r="E319" i="1"/>
  <c r="E318" i="1"/>
  <c r="E317" i="1"/>
  <c r="E316" i="1"/>
  <c r="E315" i="1"/>
  <c r="E314" i="1"/>
  <c r="H314" i="1" s="1"/>
  <c r="E313" i="1"/>
  <c r="E312" i="1"/>
  <c r="V8" i="4"/>
  <c r="E310" i="1"/>
  <c r="E309" i="1"/>
  <c r="E308" i="1"/>
  <c r="E307" i="1"/>
  <c r="G307" i="1"/>
  <c r="H307" i="1" s="1"/>
  <c r="I307" i="1"/>
  <c r="G308" i="1"/>
  <c r="I308" i="1"/>
  <c r="G309" i="1"/>
  <c r="I309" i="1"/>
  <c r="G310" i="1"/>
  <c r="I310" i="1"/>
  <c r="G311" i="1"/>
  <c r="I311" i="1"/>
  <c r="I312" i="1"/>
  <c r="E311" i="1"/>
  <c r="H315" i="1" l="1"/>
  <c r="J339" i="1"/>
  <c r="H336" i="1"/>
  <c r="H332" i="1"/>
  <c r="H331" i="1"/>
  <c r="H338" i="1"/>
  <c r="J338" i="1" s="1"/>
  <c r="H323" i="1"/>
  <c r="J323" i="1" s="1"/>
  <c r="J340" i="1"/>
  <c r="H328" i="1"/>
  <c r="H337" i="1"/>
  <c r="H310" i="1"/>
  <c r="H330" i="1"/>
  <c r="J330" i="1" s="1"/>
  <c r="J337" i="1"/>
  <c r="J310" i="1"/>
  <c r="J329" i="1"/>
  <c r="H326" i="1"/>
  <c r="J336" i="1"/>
  <c r="H327" i="1"/>
  <c r="J327" i="1" s="1"/>
  <c r="J328" i="1"/>
  <c r="J331" i="1"/>
  <c r="J334" i="1"/>
  <c r="J326" i="1"/>
  <c r="H322" i="1"/>
  <c r="J322" i="1" s="1"/>
  <c r="J333" i="1"/>
  <c r="H317" i="1"/>
  <c r="J317" i="1" s="1"/>
  <c r="H325" i="1"/>
  <c r="J325" i="1" s="1"/>
  <c r="J335" i="1"/>
  <c r="H324" i="1"/>
  <c r="J324" i="1" s="1"/>
  <c r="J332" i="1"/>
  <c r="V5" i="4"/>
  <c r="V6" i="4" s="1"/>
  <c r="H311" i="1"/>
  <c r="J311" i="1" s="1"/>
  <c r="J321" i="1"/>
  <c r="H318" i="1"/>
  <c r="J318" i="1" s="1"/>
  <c r="H319" i="1"/>
  <c r="J319" i="1" s="1"/>
  <c r="H312" i="1"/>
  <c r="J312" i="1" s="1"/>
  <c r="H313" i="1"/>
  <c r="J313" i="1" s="1"/>
  <c r="H316" i="1"/>
  <c r="J316" i="1" s="1"/>
  <c r="H320" i="1"/>
  <c r="J320" i="1" s="1"/>
  <c r="J314" i="1"/>
  <c r="J315" i="1"/>
  <c r="H308" i="1"/>
  <c r="J308" i="1" s="1"/>
  <c r="H309" i="1"/>
  <c r="J309" i="1" s="1"/>
  <c r="J307" i="1"/>
  <c r="P3" i="5" l="1"/>
  <c r="P2" i="5"/>
  <c r="O3" i="5"/>
  <c r="O2" i="5"/>
  <c r="G303" i="4"/>
  <c r="I303" i="4"/>
  <c r="I306" i="1"/>
  <c r="I305" i="1"/>
  <c r="I304" i="1"/>
  <c r="I303" i="1"/>
  <c r="I302" i="1"/>
  <c r="G306" i="1"/>
  <c r="G305" i="1"/>
  <c r="G304" i="1"/>
  <c r="G303" i="1"/>
  <c r="H303" i="1" s="1"/>
  <c r="G302" i="1"/>
  <c r="E303" i="1"/>
  <c r="E302" i="1"/>
  <c r="E304" i="1"/>
  <c r="E305" i="1"/>
  <c r="E306" i="1"/>
  <c r="H306" i="1" l="1"/>
  <c r="J306" i="1" s="1"/>
  <c r="H302" i="1"/>
  <c r="J302" i="1" s="1"/>
  <c r="H305" i="1"/>
  <c r="J305" i="1" s="1"/>
  <c r="H304" i="1"/>
  <c r="J304" i="1" s="1"/>
  <c r="J303" i="1"/>
  <c r="G291" i="1" l="1"/>
  <c r="G289" i="1"/>
  <c r="E301" i="1"/>
  <c r="E300" i="1"/>
  <c r="E299" i="1"/>
  <c r="E298" i="1"/>
  <c r="E297" i="1"/>
  <c r="E296" i="1"/>
  <c r="E295" i="1"/>
  <c r="E294" i="1"/>
  <c r="E293" i="1"/>
  <c r="E292" i="1"/>
  <c r="E291" i="1"/>
  <c r="H291" i="1" s="1"/>
  <c r="E290" i="1"/>
  <c r="E289" i="1"/>
  <c r="H289" i="1" s="1"/>
  <c r="I289" i="1"/>
  <c r="G290" i="1"/>
  <c r="I290" i="1"/>
  <c r="I291" i="1"/>
  <c r="G292" i="1"/>
  <c r="I292" i="1"/>
  <c r="G293" i="1"/>
  <c r="I293" i="1"/>
  <c r="G294" i="1"/>
  <c r="H294" i="1" s="1"/>
  <c r="I294" i="1"/>
  <c r="G295" i="1"/>
  <c r="I295" i="1"/>
  <c r="G296" i="1"/>
  <c r="I296" i="1"/>
  <c r="G297" i="1"/>
  <c r="I297" i="1"/>
  <c r="G298" i="1"/>
  <c r="I298" i="1"/>
  <c r="G299" i="1"/>
  <c r="I299" i="1"/>
  <c r="G300" i="1"/>
  <c r="H300" i="1" s="1"/>
  <c r="I300" i="1"/>
  <c r="G301" i="1"/>
  <c r="I301" i="1"/>
  <c r="J4" i="5"/>
  <c r="L3" i="5"/>
  <c r="O4" i="5"/>
  <c r="I288" i="1"/>
  <c r="I287" i="1"/>
  <c r="I286" i="1"/>
  <c r="I285" i="1"/>
  <c r="G288" i="1"/>
  <c r="G287" i="1"/>
  <c r="G286" i="1"/>
  <c r="G285" i="1"/>
  <c r="G284" i="1"/>
  <c r="E288" i="1"/>
  <c r="E287" i="1"/>
  <c r="E286" i="1"/>
  <c r="E285" i="1"/>
  <c r="H292" i="1" l="1"/>
  <c r="H285" i="1"/>
  <c r="H286" i="1"/>
  <c r="J286" i="1" s="1"/>
  <c r="H299" i="1"/>
  <c r="H297" i="1"/>
  <c r="J297" i="1" s="1"/>
  <c r="H296" i="1"/>
  <c r="H293" i="1"/>
  <c r="J293" i="1" s="1"/>
  <c r="H301" i="1"/>
  <c r="J301" i="1" s="1"/>
  <c r="H298" i="1"/>
  <c r="H290" i="1"/>
  <c r="J290" i="1" s="1"/>
  <c r="H295" i="1"/>
  <c r="J295" i="1" s="1"/>
  <c r="J289" i="1"/>
  <c r="J292" i="1"/>
  <c r="J299" i="1"/>
  <c r="J296" i="1"/>
  <c r="J294" i="1"/>
  <c r="J298" i="1"/>
  <c r="J291" i="1"/>
  <c r="J300" i="1"/>
  <c r="H287" i="1"/>
  <c r="J287" i="1" s="1"/>
  <c r="H288" i="1"/>
  <c r="J288" i="1" s="1"/>
  <c r="J285" i="1"/>
  <c r="E278" i="1" l="1"/>
  <c r="E276" i="1"/>
  <c r="E275" i="1"/>
  <c r="G275" i="1"/>
  <c r="I275" i="1"/>
  <c r="G276" i="1"/>
  <c r="I276" i="1"/>
  <c r="G277" i="1"/>
  <c r="I277" i="1"/>
  <c r="G278" i="1"/>
  <c r="H278" i="1" s="1"/>
  <c r="I278" i="1"/>
  <c r="G279" i="1"/>
  <c r="I279" i="1"/>
  <c r="G280" i="1"/>
  <c r="I280" i="1"/>
  <c r="G281" i="1"/>
  <c r="I281" i="1"/>
  <c r="G282" i="1"/>
  <c r="I282" i="1"/>
  <c r="G283" i="1"/>
  <c r="I283" i="1"/>
  <c r="I284" i="1"/>
  <c r="E284" i="1"/>
  <c r="H284" i="1" s="1"/>
  <c r="E277" i="1"/>
  <c r="H277" i="1" s="1"/>
  <c r="E279" i="1"/>
  <c r="E280" i="1"/>
  <c r="E281" i="1"/>
  <c r="E282" i="1"/>
  <c r="E283" i="1"/>
  <c r="I274" i="1"/>
  <c r="I273" i="1"/>
  <c r="I272" i="1"/>
  <c r="I271" i="1"/>
  <c r="G274" i="1"/>
  <c r="G273" i="1"/>
  <c r="G272" i="1"/>
  <c r="G271" i="1"/>
  <c r="E273" i="1"/>
  <c r="E272" i="1"/>
  <c r="E271" i="1"/>
  <c r="E274" i="1"/>
  <c r="H281" i="1" l="1"/>
  <c r="H275" i="1"/>
  <c r="H279" i="1"/>
  <c r="J279" i="1" s="1"/>
  <c r="H282" i="1"/>
  <c r="J282" i="1" s="1"/>
  <c r="H271" i="1"/>
  <c r="J271" i="1" s="1"/>
  <c r="H272" i="1"/>
  <c r="J272" i="1" s="1"/>
  <c r="H273" i="1"/>
  <c r="J273" i="1" s="1"/>
  <c r="H274" i="1"/>
  <c r="J274" i="1" s="1"/>
  <c r="H283" i="1"/>
  <c r="J283" i="1" s="1"/>
  <c r="H280" i="1"/>
  <c r="J280" i="1" s="1"/>
  <c r="H276" i="1"/>
  <c r="J277" i="1"/>
  <c r="J281" i="1"/>
  <c r="J284" i="1"/>
  <c r="J276" i="1"/>
  <c r="J275" i="1"/>
  <c r="J278" i="1"/>
  <c r="E269" i="1" l="1"/>
  <c r="E268" i="1"/>
  <c r="E267" i="1"/>
  <c r="E266" i="1"/>
  <c r="E265" i="1"/>
  <c r="E264" i="1"/>
  <c r="E263" i="1"/>
  <c r="E262" i="1"/>
  <c r="H262" i="1" s="1"/>
  <c r="E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E270" i="1"/>
  <c r="I259" i="1"/>
  <c r="I261" i="1"/>
  <c r="I260" i="1"/>
  <c r="I258" i="1"/>
  <c r="G261" i="1"/>
  <c r="H261" i="1" s="1"/>
  <c r="G260" i="1"/>
  <c r="G259" i="1"/>
  <c r="G258" i="1"/>
  <c r="E260" i="1"/>
  <c r="E259" i="1"/>
  <c r="E258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7" i="1"/>
  <c r="I256" i="1"/>
  <c r="I255" i="1"/>
  <c r="I254" i="1"/>
  <c r="I253" i="1"/>
  <c r="I252" i="1"/>
  <c r="I251" i="1"/>
  <c r="I250" i="1"/>
  <c r="I249" i="1"/>
  <c r="I248" i="1"/>
  <c r="G257" i="1"/>
  <c r="G256" i="1"/>
  <c r="G255" i="1"/>
  <c r="G254" i="1"/>
  <c r="G253" i="1"/>
  <c r="G252" i="1"/>
  <c r="G251" i="1"/>
  <c r="G250" i="1"/>
  <c r="E256" i="1"/>
  <c r="E255" i="1"/>
  <c r="E254" i="1"/>
  <c r="E253" i="1"/>
  <c r="E252" i="1"/>
  <c r="E251" i="1"/>
  <c r="E250" i="1"/>
  <c r="E257" i="1"/>
  <c r="G248" i="1"/>
  <c r="G247" i="1"/>
  <c r="G245" i="1"/>
  <c r="G244" i="1"/>
  <c r="G243" i="1"/>
  <c r="G242" i="1"/>
  <c r="G241" i="1"/>
  <c r="G240" i="1"/>
  <c r="G239" i="1"/>
  <c r="G238" i="1"/>
  <c r="G237" i="1"/>
  <c r="I237" i="1"/>
  <c r="I238" i="1"/>
  <c r="I239" i="1"/>
  <c r="I240" i="1"/>
  <c r="I241" i="1"/>
  <c r="I242" i="1"/>
  <c r="I243" i="1"/>
  <c r="I244" i="1"/>
  <c r="I245" i="1"/>
  <c r="G246" i="1"/>
  <c r="I246" i="1"/>
  <c r="I247" i="1"/>
  <c r="G249" i="1"/>
  <c r="E242" i="1"/>
  <c r="E241" i="1"/>
  <c r="E240" i="1"/>
  <c r="E239" i="1"/>
  <c r="E238" i="1"/>
  <c r="E237" i="1"/>
  <c r="E243" i="1"/>
  <c r="E244" i="1"/>
  <c r="E245" i="1"/>
  <c r="E246" i="1"/>
  <c r="E247" i="1"/>
  <c r="E248" i="1"/>
  <c r="E249" i="1"/>
  <c r="H270" i="1" l="1"/>
  <c r="H239" i="1"/>
  <c r="H253" i="1"/>
  <c r="H265" i="1"/>
  <c r="J265" i="1" s="1"/>
  <c r="H258" i="1"/>
  <c r="J258" i="1" s="1"/>
  <c r="H263" i="1"/>
  <c r="H268" i="1"/>
  <c r="J268" i="1" s="1"/>
  <c r="H266" i="1"/>
  <c r="J266" i="1" s="1"/>
  <c r="H255" i="1"/>
  <c r="J255" i="1" s="1"/>
  <c r="H264" i="1"/>
  <c r="J264" i="1" s="1"/>
  <c r="H267" i="1"/>
  <c r="J267" i="1" s="1"/>
  <c r="H257" i="1"/>
  <c r="J257" i="1" s="1"/>
  <c r="H237" i="1"/>
  <c r="J237" i="1" s="1"/>
  <c r="H241" i="1"/>
  <c r="J241" i="1" s="1"/>
  <c r="H251" i="1"/>
  <c r="J251" i="1" s="1"/>
  <c r="H243" i="1"/>
  <c r="J243" i="1" s="1"/>
  <c r="H259" i="1"/>
  <c r="J259" i="1" s="1"/>
  <c r="H254" i="1"/>
  <c r="J254" i="1" s="1"/>
  <c r="H260" i="1"/>
  <c r="J260" i="1" s="1"/>
  <c r="H269" i="1"/>
  <c r="J269" i="1" s="1"/>
  <c r="H256" i="1"/>
  <c r="J256" i="1" s="1"/>
  <c r="J263" i="1"/>
  <c r="J262" i="1"/>
  <c r="J270" i="1"/>
  <c r="H252" i="1"/>
  <c r="J252" i="1" s="1"/>
  <c r="H245" i="1"/>
  <c r="J245" i="1" s="1"/>
  <c r="H242" i="1"/>
  <c r="J242" i="1" s="1"/>
  <c r="H238" i="1"/>
  <c r="J238" i="1" s="1"/>
  <c r="H249" i="1"/>
  <c r="J249" i="1" s="1"/>
  <c r="H248" i="1"/>
  <c r="J248" i="1" s="1"/>
  <c r="H240" i="1"/>
  <c r="J240" i="1" s="1"/>
  <c r="J261" i="1"/>
  <c r="H244" i="1"/>
  <c r="J244" i="1" s="1"/>
  <c r="H250" i="1"/>
  <c r="J250" i="1" s="1"/>
  <c r="H246" i="1"/>
  <c r="J246" i="1" s="1"/>
  <c r="H247" i="1"/>
  <c r="J247" i="1" s="1"/>
  <c r="J253" i="1"/>
  <c r="J239" i="1"/>
  <c r="I236" i="1" l="1"/>
  <c r="I235" i="1"/>
  <c r="I234" i="1"/>
  <c r="I233" i="1"/>
  <c r="I232" i="1"/>
  <c r="E236" i="1"/>
  <c r="E235" i="1"/>
  <c r="E234" i="1"/>
  <c r="E233" i="1"/>
  <c r="E232" i="1"/>
  <c r="G236" i="1"/>
  <c r="G235" i="1"/>
  <c r="G234" i="1"/>
  <c r="G233" i="1"/>
  <c r="H233" i="1" s="1"/>
  <c r="I225" i="1"/>
  <c r="I224" i="1"/>
  <c r="I223" i="1"/>
  <c r="G232" i="1"/>
  <c r="H232" i="1" s="1"/>
  <c r="G231" i="1"/>
  <c r="G230" i="1"/>
  <c r="G229" i="1"/>
  <c r="G228" i="1"/>
  <c r="G227" i="1"/>
  <c r="G226" i="1"/>
  <c r="G225" i="1"/>
  <c r="G224" i="1"/>
  <c r="G223" i="1"/>
  <c r="E231" i="1"/>
  <c r="E230" i="1"/>
  <c r="E229" i="1"/>
  <c r="E228" i="1"/>
  <c r="E227" i="1"/>
  <c r="E226" i="1"/>
  <c r="E225" i="1"/>
  <c r="E224" i="1"/>
  <c r="I226" i="1"/>
  <c r="I227" i="1"/>
  <c r="I228" i="1"/>
  <c r="I229" i="1"/>
  <c r="I230" i="1"/>
  <c r="I231" i="1"/>
  <c r="G20" i="5"/>
  <c r="G219" i="1"/>
  <c r="I219" i="1"/>
  <c r="G220" i="1"/>
  <c r="I220" i="1"/>
  <c r="G221" i="1"/>
  <c r="I221" i="1"/>
  <c r="G222" i="1"/>
  <c r="I222" i="1"/>
  <c r="E219" i="1"/>
  <c r="E220" i="1"/>
  <c r="E221" i="1"/>
  <c r="E222" i="1"/>
  <c r="E223" i="1"/>
  <c r="H223" i="1" s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E217" i="1"/>
  <c r="E218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G200" i="1"/>
  <c r="I200" i="1"/>
  <c r="G201" i="1"/>
  <c r="I201" i="1"/>
  <c r="G202" i="1"/>
  <c r="I202" i="1"/>
  <c r="G203" i="1"/>
  <c r="I203" i="1"/>
  <c r="G204" i="1"/>
  <c r="I204" i="1"/>
  <c r="E200" i="1"/>
  <c r="E201" i="1"/>
  <c r="E202" i="1"/>
  <c r="E203" i="1"/>
  <c r="E204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G199" i="1"/>
  <c r="I199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G183" i="1"/>
  <c r="I183" i="1"/>
  <c r="E173" i="1"/>
  <c r="E174" i="1"/>
  <c r="E175" i="1"/>
  <c r="E176" i="1"/>
  <c r="E177" i="1"/>
  <c r="E178" i="1"/>
  <c r="E179" i="1"/>
  <c r="E180" i="1"/>
  <c r="E181" i="1"/>
  <c r="E182" i="1"/>
  <c r="E183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G172" i="1"/>
  <c r="I172" i="1"/>
  <c r="E156" i="1"/>
  <c r="E157" i="1"/>
  <c r="E158" i="1"/>
  <c r="E159" i="1"/>
  <c r="E160" i="1"/>
  <c r="E161" i="1"/>
  <c r="E162" i="1"/>
  <c r="E163" i="1"/>
  <c r="E164" i="1"/>
  <c r="E165" i="1"/>
  <c r="E166" i="1"/>
  <c r="H166" i="1" s="1"/>
  <c r="E167" i="1"/>
  <c r="E168" i="1"/>
  <c r="E169" i="1"/>
  <c r="E170" i="1"/>
  <c r="E171" i="1"/>
  <c r="E172" i="1"/>
  <c r="G154" i="1"/>
  <c r="I154" i="1"/>
  <c r="G155" i="1"/>
  <c r="I155" i="1"/>
  <c r="E154" i="1"/>
  <c r="E15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G153" i="1"/>
  <c r="I153" i="1"/>
  <c r="E146" i="1"/>
  <c r="E147" i="1"/>
  <c r="E148" i="1"/>
  <c r="E149" i="1"/>
  <c r="E150" i="1"/>
  <c r="E151" i="1"/>
  <c r="E152" i="1"/>
  <c r="E153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G145" i="1"/>
  <c r="I145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I129" i="1"/>
  <c r="I130" i="1"/>
  <c r="I131" i="1"/>
  <c r="G131" i="1"/>
  <c r="G129" i="1"/>
  <c r="G130" i="1"/>
  <c r="E129" i="1"/>
  <c r="E130" i="1"/>
  <c r="E131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G128" i="1"/>
  <c r="I128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G114" i="1"/>
  <c r="I114" i="1"/>
  <c r="G115" i="1"/>
  <c r="I115" i="1"/>
  <c r="G116" i="1"/>
  <c r="I116" i="1"/>
  <c r="E114" i="1"/>
  <c r="E115" i="1"/>
  <c r="E116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G113" i="1"/>
  <c r="I113" i="1"/>
  <c r="E104" i="1"/>
  <c r="E105" i="1"/>
  <c r="E106" i="1"/>
  <c r="E107" i="1"/>
  <c r="E108" i="1"/>
  <c r="E109" i="1"/>
  <c r="E110" i="1"/>
  <c r="E111" i="1"/>
  <c r="E112" i="1"/>
  <c r="E113" i="1"/>
  <c r="G99" i="1"/>
  <c r="I99" i="1"/>
  <c r="G100" i="1"/>
  <c r="I100" i="1"/>
  <c r="G101" i="1"/>
  <c r="I101" i="1"/>
  <c r="G102" i="1"/>
  <c r="I102" i="1"/>
  <c r="G103" i="1"/>
  <c r="I103" i="1"/>
  <c r="E99" i="1"/>
  <c r="E100" i="1"/>
  <c r="E101" i="1"/>
  <c r="E102" i="1"/>
  <c r="E103" i="1"/>
  <c r="G95" i="1"/>
  <c r="I95" i="1"/>
  <c r="G96" i="1"/>
  <c r="I96" i="1"/>
  <c r="G97" i="1"/>
  <c r="I97" i="1"/>
  <c r="G98" i="1"/>
  <c r="I98" i="1"/>
  <c r="E95" i="1"/>
  <c r="E96" i="1"/>
  <c r="E97" i="1"/>
  <c r="E98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I90" i="1"/>
  <c r="G91" i="1"/>
  <c r="H91" i="1" s="1"/>
  <c r="I91" i="1"/>
  <c r="G92" i="1"/>
  <c r="I92" i="1"/>
  <c r="G93" i="1"/>
  <c r="I93" i="1"/>
  <c r="G94" i="1"/>
  <c r="I94" i="1"/>
  <c r="E88" i="1"/>
  <c r="E89" i="1"/>
  <c r="E90" i="1"/>
  <c r="E91" i="1"/>
  <c r="E92" i="1"/>
  <c r="E93" i="1"/>
  <c r="E94" i="1"/>
  <c r="E82" i="1"/>
  <c r="E83" i="1"/>
  <c r="E84" i="1"/>
  <c r="E85" i="1"/>
  <c r="E86" i="1"/>
  <c r="E87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G66" i="1"/>
  <c r="G67" i="1"/>
  <c r="G68" i="1"/>
  <c r="G69" i="1"/>
  <c r="G70" i="1"/>
  <c r="G71" i="1"/>
  <c r="G72" i="1"/>
  <c r="G73" i="1"/>
  <c r="G74" i="1"/>
  <c r="G75" i="1"/>
  <c r="G76" i="1"/>
  <c r="H76" i="1" s="1"/>
  <c r="G77" i="1"/>
  <c r="G78" i="1"/>
  <c r="G79" i="1"/>
  <c r="G80" i="1"/>
  <c r="G81" i="1"/>
  <c r="E81" i="1"/>
  <c r="E80" i="1"/>
  <c r="E79" i="1"/>
  <c r="E78" i="1"/>
  <c r="E66" i="1"/>
  <c r="E67" i="1"/>
  <c r="E68" i="1"/>
  <c r="E69" i="1"/>
  <c r="E70" i="1"/>
  <c r="E71" i="1"/>
  <c r="E72" i="1"/>
  <c r="E73" i="1"/>
  <c r="E74" i="1"/>
  <c r="E75" i="1"/>
  <c r="E76" i="1"/>
  <c r="E77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F4" i="5" s="1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3" i="1"/>
  <c r="I64" i="1"/>
  <c r="I65" i="1"/>
  <c r="G63" i="1"/>
  <c r="G64" i="1"/>
  <c r="G65" i="1"/>
  <c r="E63" i="1"/>
  <c r="E64" i="1"/>
  <c r="E65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5" i="1"/>
  <c r="I56" i="1"/>
  <c r="I57" i="1"/>
  <c r="I58" i="1"/>
  <c r="I59" i="1"/>
  <c r="I60" i="1"/>
  <c r="I61" i="1"/>
  <c r="I62" i="1"/>
  <c r="G55" i="1"/>
  <c r="G56" i="1"/>
  <c r="G57" i="1"/>
  <c r="G58" i="1"/>
  <c r="G59" i="1"/>
  <c r="G60" i="1"/>
  <c r="G61" i="1"/>
  <c r="G62" i="1"/>
  <c r="E55" i="1"/>
  <c r="E56" i="1"/>
  <c r="E57" i="1"/>
  <c r="E58" i="1"/>
  <c r="E59" i="1"/>
  <c r="E60" i="1"/>
  <c r="E61" i="1"/>
  <c r="E62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7" i="1"/>
  <c r="I45" i="1"/>
  <c r="I46" i="1"/>
  <c r="I47" i="1"/>
  <c r="I48" i="1"/>
  <c r="I49" i="1"/>
  <c r="I50" i="1"/>
  <c r="I51" i="1"/>
  <c r="I52" i="1"/>
  <c r="I53" i="1"/>
  <c r="I54" i="1"/>
  <c r="H130" i="1"/>
  <c r="H124" i="1"/>
  <c r="H123" i="1"/>
  <c r="H116" i="1"/>
  <c r="H115" i="1"/>
  <c r="H111" i="1"/>
  <c r="H101" i="1"/>
  <c r="H97" i="1"/>
  <c r="H68" i="1"/>
  <c r="H94" i="1"/>
  <c r="H83" i="1"/>
  <c r="B1" i="4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7" i="1"/>
  <c r="H85" i="1" l="1"/>
  <c r="H92" i="1"/>
  <c r="H127" i="1"/>
  <c r="H119" i="1"/>
  <c r="J332" i="4"/>
  <c r="H89" i="1"/>
  <c r="H82" i="1"/>
  <c r="H109" i="1"/>
  <c r="H87" i="1"/>
  <c r="H121" i="1"/>
  <c r="H78" i="1"/>
  <c r="H102" i="1"/>
  <c r="J102" i="1" s="1"/>
  <c r="H110" i="1"/>
  <c r="H118" i="1"/>
  <c r="H125" i="1"/>
  <c r="H117" i="1"/>
  <c r="H105" i="1"/>
  <c r="H75" i="1"/>
  <c r="N32" i="5"/>
  <c r="M32" i="5"/>
  <c r="M16" i="5"/>
  <c r="N24" i="5"/>
  <c r="N16" i="5"/>
  <c r="N8" i="5"/>
  <c r="H67" i="1"/>
  <c r="H79" i="1"/>
  <c r="H71" i="1"/>
  <c r="H90" i="1"/>
  <c r="J90" i="1" s="1"/>
  <c r="H88" i="1"/>
  <c r="H84" i="1"/>
  <c r="H95" i="1"/>
  <c r="H113" i="1"/>
  <c r="J113" i="1" s="1"/>
  <c r="H126" i="1"/>
  <c r="H131" i="1"/>
  <c r="J131" i="1" s="1"/>
  <c r="M23" i="5"/>
  <c r="H180" i="1"/>
  <c r="J180" i="1" s="1"/>
  <c r="M13" i="5"/>
  <c r="H96" i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B2" i="5"/>
  <c r="M8" i="5"/>
  <c r="H122" i="1"/>
  <c r="H107" i="1"/>
  <c r="J107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J884" i="4"/>
  <c r="J892" i="4"/>
  <c r="J900" i="4"/>
  <c r="K900" i="4" s="1"/>
  <c r="M900" i="4" s="1"/>
  <c r="J908" i="4"/>
  <c r="J916" i="4"/>
  <c r="J924" i="4"/>
  <c r="J932" i="4"/>
  <c r="J940" i="4"/>
  <c r="L940" i="4" s="1"/>
  <c r="J948" i="4"/>
  <c r="J956" i="4"/>
  <c r="K956" i="4" s="1"/>
  <c r="M956" i="4" s="1"/>
  <c r="J964" i="4"/>
  <c r="J972" i="4"/>
  <c r="K972" i="4" s="1"/>
  <c r="M972" i="4" s="1"/>
  <c r="J980" i="4"/>
  <c r="J988" i="4"/>
  <c r="J996" i="4"/>
  <c r="K996" i="4" s="1"/>
  <c r="M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9" i="4"/>
  <c r="J837" i="4"/>
  <c r="K837" i="4" s="1"/>
  <c r="M837" i="4" s="1"/>
  <c r="J845" i="4"/>
  <c r="J853" i="4"/>
  <c r="K853" i="4" s="1"/>
  <c r="M853" i="4" s="1"/>
  <c r="J861" i="4"/>
  <c r="J869" i="4"/>
  <c r="J877" i="4"/>
  <c r="J885" i="4"/>
  <c r="J893" i="4"/>
  <c r="K893" i="4" s="1"/>
  <c r="M893" i="4" s="1"/>
  <c r="J901" i="4"/>
  <c r="J909" i="4"/>
  <c r="K909" i="4" s="1"/>
  <c r="M909" i="4" s="1"/>
  <c r="J917" i="4"/>
  <c r="K917" i="4" s="1"/>
  <c r="M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30" i="4"/>
  <c r="J838" i="4"/>
  <c r="J846" i="4"/>
  <c r="J854" i="4"/>
  <c r="J862" i="4"/>
  <c r="J870" i="4"/>
  <c r="J878" i="4"/>
  <c r="K878" i="4" s="1"/>
  <c r="M878" i="4" s="1"/>
  <c r="J886" i="4"/>
  <c r="J894" i="4"/>
  <c r="K894" i="4" s="1"/>
  <c r="M894" i="4" s="1"/>
  <c r="J902" i="4"/>
  <c r="J910" i="4"/>
  <c r="J918" i="4"/>
  <c r="J926" i="4"/>
  <c r="J934" i="4"/>
  <c r="J942" i="4"/>
  <c r="K942" i="4" s="1"/>
  <c r="M942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7" i="4"/>
  <c r="J835" i="4"/>
  <c r="J843" i="4"/>
  <c r="J851" i="4"/>
  <c r="J859" i="4"/>
  <c r="J867" i="4"/>
  <c r="J875" i="4"/>
  <c r="J883" i="4"/>
  <c r="K883" i="4" s="1"/>
  <c r="M883" i="4" s="1"/>
  <c r="J891" i="4"/>
  <c r="J899" i="4"/>
  <c r="J907" i="4"/>
  <c r="J915" i="4"/>
  <c r="K915" i="4" s="1"/>
  <c r="M915" i="4" s="1"/>
  <c r="J923" i="4"/>
  <c r="K923" i="4" s="1"/>
  <c r="M923" i="4" s="1"/>
  <c r="J931" i="4"/>
  <c r="J939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1" i="4"/>
  <c r="K831" i="4" s="1"/>
  <c r="M831" i="4" s="1"/>
  <c r="J847" i="4"/>
  <c r="J863" i="4"/>
  <c r="K863" i="4" s="1"/>
  <c r="M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J998" i="4"/>
  <c r="J1006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2" i="4"/>
  <c r="J848" i="4"/>
  <c r="J864" i="4"/>
  <c r="K864" i="4" s="1"/>
  <c r="M864" i="4" s="1"/>
  <c r="J880" i="4"/>
  <c r="J896" i="4"/>
  <c r="K896" i="4" s="1"/>
  <c r="M896" i="4" s="1"/>
  <c r="J912" i="4"/>
  <c r="J928" i="4"/>
  <c r="J944" i="4"/>
  <c r="J953" i="4"/>
  <c r="J962" i="4"/>
  <c r="K962" i="4" s="1"/>
  <c r="M962" i="4" s="1"/>
  <c r="J971" i="4"/>
  <c r="J981" i="4"/>
  <c r="J990" i="4"/>
  <c r="J999" i="4"/>
  <c r="J1007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26" i="4"/>
  <c r="J842" i="4"/>
  <c r="J858" i="4"/>
  <c r="J874" i="4"/>
  <c r="K874" i="4" s="1"/>
  <c r="M874" i="4" s="1"/>
  <c r="J890" i="4"/>
  <c r="J906" i="4"/>
  <c r="J922" i="4"/>
  <c r="J938" i="4"/>
  <c r="K938" i="4" s="1"/>
  <c r="M938" i="4" s="1"/>
  <c r="J951" i="4"/>
  <c r="K951" i="4" s="1"/>
  <c r="M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50" i="4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9" i="4"/>
  <c r="J950" i="4"/>
  <c r="K950" i="4" s="1"/>
  <c r="M950" i="4" s="1"/>
  <c r="J986" i="4"/>
  <c r="K986" i="4" s="1"/>
  <c r="M986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6" i="4"/>
  <c r="J974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J947" i="4"/>
  <c r="J966" i="4"/>
  <c r="J984" i="4"/>
  <c r="J1002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7" i="4"/>
  <c r="J921" i="4"/>
  <c r="K921" i="4" s="1"/>
  <c r="M921" i="4" s="1"/>
  <c r="J968" i="4"/>
  <c r="J1004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4" i="4"/>
  <c r="K834" i="4" s="1"/>
  <c r="M834" i="4" s="1"/>
  <c r="J955" i="4"/>
  <c r="K955" i="4" s="1"/>
  <c r="M955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1" i="4"/>
  <c r="K871" i="4" s="1"/>
  <c r="M871" i="4" s="1"/>
  <c r="J957" i="4"/>
  <c r="J993" i="4"/>
  <c r="K993" i="4" s="1"/>
  <c r="M993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2" i="4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8" i="4"/>
  <c r="J992" i="4"/>
  <c r="K992" i="4" s="1"/>
  <c r="M992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9" i="4"/>
  <c r="J935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1" i="4"/>
  <c r="J873" i="4"/>
  <c r="J905" i="4"/>
  <c r="J937" i="4"/>
  <c r="J959" i="4"/>
  <c r="J977" i="4"/>
  <c r="J995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30" i="4"/>
  <c r="J1057" i="4"/>
  <c r="J1121" i="4"/>
  <c r="J1201" i="4"/>
  <c r="J1281" i="4"/>
  <c r="J71" i="4"/>
  <c r="J521" i="4"/>
  <c r="J711" i="4"/>
  <c r="K711" i="4" s="1"/>
  <c r="M711" i="4" s="1"/>
  <c r="J807" i="4"/>
  <c r="J903" i="4"/>
  <c r="J975" i="4"/>
  <c r="K975" i="4" s="1"/>
  <c r="M975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1" i="1"/>
  <c r="J41" i="1" s="1"/>
  <c r="H33" i="1"/>
  <c r="J33" i="1" s="1"/>
  <c r="F28" i="5"/>
  <c r="F12" i="5"/>
  <c r="H98" i="1"/>
  <c r="J98" i="1" s="1"/>
  <c r="H112" i="1"/>
  <c r="J112" i="1" s="1"/>
  <c r="F31" i="5"/>
  <c r="H80" i="1"/>
  <c r="J80" i="1" s="1"/>
  <c r="H72" i="1"/>
  <c r="J72" i="1" s="1"/>
  <c r="H86" i="1"/>
  <c r="J86" i="1" s="1"/>
  <c r="H106" i="1"/>
  <c r="J106" i="1" s="1"/>
  <c r="H128" i="1"/>
  <c r="J128" i="1" s="1"/>
  <c r="H120" i="1"/>
  <c r="J120" i="1" s="1"/>
  <c r="H153" i="1"/>
  <c r="J153" i="1" s="1"/>
  <c r="M22" i="5"/>
  <c r="M20" i="5"/>
  <c r="F7" i="5"/>
  <c r="M4" i="5"/>
  <c r="H176" i="1"/>
  <c r="J176" i="1" s="1"/>
  <c r="H193" i="1"/>
  <c r="J193" i="1" s="1"/>
  <c r="H204" i="1"/>
  <c r="J204" i="1" s="1"/>
  <c r="M17" i="5"/>
  <c r="L341" i="4" s="1"/>
  <c r="H150" i="1"/>
  <c r="H198" i="1"/>
  <c r="H194" i="1"/>
  <c r="J194" i="1" s="1"/>
  <c r="H190" i="1"/>
  <c r="J190" i="1" s="1"/>
  <c r="H186" i="1"/>
  <c r="J186" i="1" s="1"/>
  <c r="H50" i="1"/>
  <c r="J50" i="1" s="1"/>
  <c r="H26" i="1"/>
  <c r="J26" i="1" s="1"/>
  <c r="H18" i="1"/>
  <c r="J18" i="1" s="1"/>
  <c r="M18" i="5"/>
  <c r="H36" i="1"/>
  <c r="J36" i="1" s="1"/>
  <c r="B17" i="5"/>
  <c r="F30" i="5"/>
  <c r="F22" i="5"/>
  <c r="F14" i="5"/>
  <c r="N4" i="5"/>
  <c r="N20" i="5"/>
  <c r="H17" i="1"/>
  <c r="J17" i="1" s="1"/>
  <c r="B29" i="5"/>
  <c r="B21" i="5"/>
  <c r="F13" i="5"/>
  <c r="M27" i="5"/>
  <c r="B20" i="5"/>
  <c r="H45" i="1"/>
  <c r="J45" i="1" s="1"/>
  <c r="F10" i="5"/>
  <c r="M24" i="5"/>
  <c r="M15" i="5"/>
  <c r="M7" i="5"/>
  <c r="F9" i="5"/>
  <c r="B7" i="5"/>
  <c r="N13" i="5"/>
  <c r="H141" i="1"/>
  <c r="J141" i="1" s="1"/>
  <c r="H133" i="1"/>
  <c r="J133" i="1" s="1"/>
  <c r="H151" i="1"/>
  <c r="J151" i="1" s="1"/>
  <c r="M19" i="5"/>
  <c r="M11" i="5"/>
  <c r="M3" i="5"/>
  <c r="N27" i="5"/>
  <c r="N19" i="5"/>
  <c r="N11" i="5"/>
  <c r="F5" i="5"/>
  <c r="B27" i="5"/>
  <c r="F19" i="5"/>
  <c r="F11" i="5"/>
  <c r="H60" i="1"/>
  <c r="J60" i="1" s="1"/>
  <c r="F33" i="5"/>
  <c r="F25" i="5"/>
  <c r="H64" i="1"/>
  <c r="J64" i="1" s="1"/>
  <c r="F16" i="5"/>
  <c r="B9" i="5"/>
  <c r="H57" i="1"/>
  <c r="J57" i="1" s="1"/>
  <c r="H70" i="1"/>
  <c r="J70" i="1" s="1"/>
  <c r="H74" i="1"/>
  <c r="J74" i="1" s="1"/>
  <c r="H66" i="1"/>
  <c r="J66" i="1" s="1"/>
  <c r="H93" i="1"/>
  <c r="H100" i="1"/>
  <c r="J100" i="1" s="1"/>
  <c r="H104" i="1"/>
  <c r="J104" i="1" s="1"/>
  <c r="F18" i="5"/>
  <c r="H143" i="1"/>
  <c r="J143" i="1" s="1"/>
  <c r="H103" i="1"/>
  <c r="J103" i="1" s="1"/>
  <c r="B32" i="5"/>
  <c r="N21" i="5"/>
  <c r="H205" i="1"/>
  <c r="J205" i="1" s="1"/>
  <c r="H216" i="1"/>
  <c r="J216" i="1" s="1"/>
  <c r="H208" i="1"/>
  <c r="J208" i="1" s="1"/>
  <c r="H222" i="1"/>
  <c r="J222" i="1" s="1"/>
  <c r="H11" i="1"/>
  <c r="J11" i="1" s="1"/>
  <c r="H58" i="1"/>
  <c r="J58" i="1" s="1"/>
  <c r="B24" i="5"/>
  <c r="H10" i="1"/>
  <c r="J10" i="1" s="1"/>
  <c r="H9" i="1"/>
  <c r="J9" i="1" s="1"/>
  <c r="H137" i="1"/>
  <c r="J137" i="1" s="1"/>
  <c r="H99" i="1"/>
  <c r="J99" i="1" s="1"/>
  <c r="H108" i="1"/>
  <c r="J108" i="1" s="1"/>
  <c r="H129" i="1"/>
  <c r="J129" i="1" s="1"/>
  <c r="H77" i="1"/>
  <c r="J77" i="1" s="1"/>
  <c r="H69" i="1"/>
  <c r="J69" i="1" s="1"/>
  <c r="H81" i="1"/>
  <c r="J81" i="1" s="1"/>
  <c r="H73" i="1"/>
  <c r="J73" i="1" s="1"/>
  <c r="H114" i="1"/>
  <c r="J114" i="1" s="1"/>
  <c r="H44" i="1"/>
  <c r="J44" i="1" s="1"/>
  <c r="H20" i="1"/>
  <c r="J20" i="1" s="1"/>
  <c r="F6" i="5"/>
  <c r="B14" i="5"/>
  <c r="M30" i="5"/>
  <c r="M5" i="5"/>
  <c r="N29" i="5"/>
  <c r="N5" i="5"/>
  <c r="H173" i="1"/>
  <c r="J173" i="1" s="1"/>
  <c r="H227" i="1"/>
  <c r="J227" i="1" s="1"/>
  <c r="H51" i="1"/>
  <c r="J51" i="1" s="1"/>
  <c r="H35" i="1"/>
  <c r="J35" i="1" s="1"/>
  <c r="H19" i="1"/>
  <c r="J19" i="1" s="1"/>
  <c r="H42" i="1"/>
  <c r="J42" i="1" s="1"/>
  <c r="H34" i="1"/>
  <c r="J34" i="1" s="1"/>
  <c r="B31" i="5"/>
  <c r="B23" i="5"/>
  <c r="B15" i="5"/>
  <c r="H142" i="1"/>
  <c r="J142" i="1" s="1"/>
  <c r="H134" i="1"/>
  <c r="J134" i="1" s="1"/>
  <c r="H152" i="1"/>
  <c r="J152" i="1" s="1"/>
  <c r="H148" i="1"/>
  <c r="J148" i="1" s="1"/>
  <c r="H49" i="1"/>
  <c r="J49" i="1" s="1"/>
  <c r="H25" i="1"/>
  <c r="J25" i="1" s="1"/>
  <c r="H56" i="1"/>
  <c r="J56" i="1" s="1"/>
  <c r="H139" i="1"/>
  <c r="J139" i="1" s="1"/>
  <c r="H149" i="1"/>
  <c r="H158" i="1"/>
  <c r="J158" i="1" s="1"/>
  <c r="H229" i="1"/>
  <c r="J229" i="1" s="1"/>
  <c r="H234" i="1"/>
  <c r="J234" i="1" s="1"/>
  <c r="B26" i="5"/>
  <c r="H140" i="1"/>
  <c r="J140" i="1" s="1"/>
  <c r="H220" i="1"/>
  <c r="J220" i="1" s="1"/>
  <c r="H43" i="1"/>
  <c r="J43" i="1" s="1"/>
  <c r="B11" i="5"/>
  <c r="N10" i="5"/>
  <c r="H165" i="1"/>
  <c r="J165" i="1" s="1"/>
  <c r="H157" i="1"/>
  <c r="J157" i="1" s="1"/>
  <c r="B13" i="5"/>
  <c r="F15" i="5"/>
  <c r="H135" i="1"/>
  <c r="J135" i="1" s="1"/>
  <c r="H162" i="1"/>
  <c r="J162" i="1" s="1"/>
  <c r="H172" i="1"/>
  <c r="H168" i="1"/>
  <c r="J168" i="1" s="1"/>
  <c r="H210" i="1"/>
  <c r="J210" i="1" s="1"/>
  <c r="H226" i="1"/>
  <c r="J226" i="1" s="1"/>
  <c r="N2" i="5"/>
  <c r="M26" i="5"/>
  <c r="N26" i="5"/>
  <c r="F2" i="5"/>
  <c r="F27" i="5"/>
  <c r="B19" i="5"/>
  <c r="F17" i="5"/>
  <c r="B33" i="5"/>
  <c r="B25" i="5"/>
  <c r="M25" i="5"/>
  <c r="H228" i="1"/>
  <c r="J228" i="1" s="1"/>
  <c r="H23" i="1"/>
  <c r="J23" i="1" s="1"/>
  <c r="H62" i="1"/>
  <c r="J62" i="1" s="1"/>
  <c r="H65" i="1"/>
  <c r="J65" i="1" s="1"/>
  <c r="M10" i="5"/>
  <c r="M2" i="5"/>
  <c r="N18" i="5"/>
  <c r="B12" i="5"/>
  <c r="H38" i="1"/>
  <c r="J38" i="1" s="1"/>
  <c r="H30" i="1"/>
  <c r="J30" i="1" s="1"/>
  <c r="H14" i="1"/>
  <c r="J14" i="1" s="1"/>
  <c r="H61" i="1"/>
  <c r="J61" i="1" s="1"/>
  <c r="H37" i="1"/>
  <c r="J37" i="1" s="1"/>
  <c r="H29" i="1"/>
  <c r="J29" i="1" s="1"/>
  <c r="H63" i="1"/>
  <c r="J63" i="1" s="1"/>
  <c r="F3" i="5"/>
  <c r="F26" i="5"/>
  <c r="B18" i="5"/>
  <c r="B10" i="5"/>
  <c r="H147" i="1"/>
  <c r="J147" i="1" s="1"/>
  <c r="H201" i="1"/>
  <c r="J201" i="1" s="1"/>
  <c r="H212" i="1"/>
  <c r="J212" i="1" s="1"/>
  <c r="H52" i="1"/>
  <c r="J52" i="1" s="1"/>
  <c r="H28" i="1"/>
  <c r="J28" i="1" s="1"/>
  <c r="F23" i="5"/>
  <c r="H230" i="1"/>
  <c r="J230" i="1" s="1"/>
  <c r="H144" i="1"/>
  <c r="J144" i="1" s="1"/>
  <c r="H136" i="1"/>
  <c r="J136" i="1" s="1"/>
  <c r="H132" i="1"/>
  <c r="J132" i="1" s="1"/>
  <c r="H146" i="1"/>
  <c r="J146" i="1" s="1"/>
  <c r="H174" i="1"/>
  <c r="J174" i="1" s="1"/>
  <c r="B30" i="5"/>
  <c r="B28" i="5"/>
  <c r="H200" i="1"/>
  <c r="J200" i="1" s="1"/>
  <c r="H27" i="1"/>
  <c r="J27" i="1" s="1"/>
  <c r="H191" i="1"/>
  <c r="J191" i="1" s="1"/>
  <c r="H225" i="1"/>
  <c r="J225" i="1" s="1"/>
  <c r="H169" i="1"/>
  <c r="J169" i="1" s="1"/>
  <c r="H183" i="1"/>
  <c r="J183" i="1" s="1"/>
  <c r="H175" i="1"/>
  <c r="J175" i="1" s="1"/>
  <c r="H197" i="1"/>
  <c r="J197" i="1" s="1"/>
  <c r="H189" i="1"/>
  <c r="J189" i="1" s="1"/>
  <c r="H203" i="1"/>
  <c r="J203" i="1" s="1"/>
  <c r="H215" i="1"/>
  <c r="J215" i="1" s="1"/>
  <c r="H217" i="1"/>
  <c r="J217" i="1" s="1"/>
  <c r="F21" i="5"/>
  <c r="M9" i="5"/>
  <c r="N33" i="5"/>
  <c r="N25" i="5"/>
  <c r="N17" i="5"/>
  <c r="N9" i="5"/>
  <c r="F29" i="5"/>
  <c r="B5" i="5"/>
  <c r="F20" i="5"/>
  <c r="N6" i="5"/>
  <c r="B4" i="5"/>
  <c r="B3" i="5"/>
  <c r="J232" i="1"/>
  <c r="H39" i="1"/>
  <c r="J39" i="1" s="1"/>
  <c r="H48" i="1"/>
  <c r="J48" i="1" s="1"/>
  <c r="H55" i="1"/>
  <c r="J55" i="1" s="1"/>
  <c r="H7" i="1"/>
  <c r="J7" i="1" s="1"/>
  <c r="H47" i="1"/>
  <c r="J47" i="1" s="1"/>
  <c r="H31" i="1"/>
  <c r="J31" i="1" s="1"/>
  <c r="H15" i="1"/>
  <c r="J15" i="1" s="1"/>
  <c r="B22" i="5"/>
  <c r="B6" i="5"/>
  <c r="F8" i="5"/>
  <c r="B8" i="5"/>
  <c r="H12" i="1"/>
  <c r="J12" i="1" s="1"/>
  <c r="B16" i="5"/>
  <c r="H21" i="1"/>
  <c r="J21" i="1" s="1"/>
  <c r="H13" i="1"/>
  <c r="J13" i="1" s="1"/>
  <c r="F24" i="5"/>
  <c r="F32" i="5"/>
  <c r="H22" i="1"/>
  <c r="J22" i="1" s="1"/>
  <c r="N14" i="5"/>
  <c r="J118" i="1"/>
  <c r="H155" i="1"/>
  <c r="J155" i="1" s="1"/>
  <c r="H170" i="1"/>
  <c r="J170" i="1" s="1"/>
  <c r="H196" i="1"/>
  <c r="J196" i="1" s="1"/>
  <c r="H192" i="1"/>
  <c r="J192" i="1" s="1"/>
  <c r="H188" i="1"/>
  <c r="J188" i="1" s="1"/>
  <c r="H184" i="1"/>
  <c r="J184" i="1" s="1"/>
  <c r="M6" i="5"/>
  <c r="N22" i="5"/>
  <c r="J79" i="1"/>
  <c r="J71" i="1"/>
  <c r="J110" i="1"/>
  <c r="H154" i="1"/>
  <c r="J154" i="1" s="1"/>
  <c r="H164" i="1"/>
  <c r="J164" i="1" s="1"/>
  <c r="H160" i="1"/>
  <c r="J160" i="1" s="1"/>
  <c r="H156" i="1"/>
  <c r="J156" i="1" s="1"/>
  <c r="H182" i="1"/>
  <c r="J182" i="1" s="1"/>
  <c r="H178" i="1"/>
  <c r="J178" i="1" s="1"/>
  <c r="H199" i="1"/>
  <c r="J199" i="1" s="1"/>
  <c r="H211" i="1"/>
  <c r="J211" i="1" s="1"/>
  <c r="H207" i="1"/>
  <c r="J207" i="1" s="1"/>
  <c r="H221" i="1"/>
  <c r="J83" i="1"/>
  <c r="J116" i="1"/>
  <c r="J117" i="1"/>
  <c r="H161" i="1"/>
  <c r="J161" i="1" s="1"/>
  <c r="H218" i="1"/>
  <c r="J218" i="1" s="1"/>
  <c r="M31" i="5"/>
  <c r="N3" i="5"/>
  <c r="M28" i="5"/>
  <c r="M12" i="5"/>
  <c r="N28" i="5"/>
  <c r="N12" i="5"/>
  <c r="J101" i="1"/>
  <c r="H171" i="1"/>
  <c r="J171" i="1" s="1"/>
  <c r="H159" i="1"/>
  <c r="J159" i="1" s="1"/>
  <c r="H181" i="1"/>
  <c r="J181" i="1" s="1"/>
  <c r="H219" i="1"/>
  <c r="J219" i="1" s="1"/>
  <c r="J76" i="1"/>
  <c r="J68" i="1"/>
  <c r="J94" i="1"/>
  <c r="J82" i="1"/>
  <c r="J97" i="1"/>
  <c r="J115" i="1"/>
  <c r="J124" i="1"/>
  <c r="M29" i="5"/>
  <c r="J75" i="1"/>
  <c r="J67" i="1"/>
  <c r="H145" i="1"/>
  <c r="J145" i="1" s="1"/>
  <c r="H195" i="1"/>
  <c r="J195" i="1" s="1"/>
  <c r="H187" i="1"/>
  <c r="J187" i="1" s="1"/>
  <c r="H206" i="1"/>
  <c r="J206" i="1" s="1"/>
  <c r="H209" i="1"/>
  <c r="J209" i="1" s="1"/>
  <c r="M14" i="5"/>
  <c r="N31" i="5"/>
  <c r="N23" i="5"/>
  <c r="M33" i="5"/>
  <c r="J127" i="1"/>
  <c r="H202" i="1"/>
  <c r="J202" i="1" s="1"/>
  <c r="H213" i="1"/>
  <c r="J213" i="1" s="1"/>
  <c r="M21" i="5"/>
  <c r="N30" i="5"/>
  <c r="N15" i="5"/>
  <c r="N7" i="5"/>
  <c r="H179" i="1"/>
  <c r="J179" i="1" s="1"/>
  <c r="H224" i="1"/>
  <c r="J224" i="1" s="1"/>
  <c r="H235" i="1"/>
  <c r="J235" i="1" s="1"/>
  <c r="H231" i="1"/>
  <c r="J231" i="1" s="1"/>
  <c r="H236" i="1"/>
  <c r="J236" i="1" s="1"/>
  <c r="J223" i="1"/>
  <c r="J85" i="1"/>
  <c r="J123" i="1"/>
  <c r="J84" i="1"/>
  <c r="J125" i="1"/>
  <c r="J126" i="1"/>
  <c r="J109" i="1"/>
  <c r="J166" i="1"/>
  <c r="J87" i="1"/>
  <c r="J119" i="1"/>
  <c r="J96" i="1"/>
  <c r="J89" i="1"/>
  <c r="J111" i="1"/>
  <c r="J95" i="1"/>
  <c r="J78" i="1"/>
  <c r="J92" i="1"/>
  <c r="J91" i="1"/>
  <c r="J88" i="1"/>
  <c r="J121" i="1"/>
  <c r="J122" i="1"/>
  <c r="J130" i="1"/>
  <c r="J105" i="1"/>
  <c r="J93" i="1"/>
  <c r="J150" i="1"/>
  <c r="J149" i="1"/>
  <c r="J198" i="1"/>
  <c r="J221" i="1"/>
  <c r="J233" i="1"/>
  <c r="H40" i="1"/>
  <c r="J40" i="1" s="1"/>
  <c r="H32" i="1"/>
  <c r="J32" i="1" s="1"/>
  <c r="H24" i="1"/>
  <c r="J24" i="1" s="1"/>
  <c r="H16" i="1"/>
  <c r="J16" i="1" s="1"/>
  <c r="H8" i="1"/>
  <c r="J8" i="1" s="1"/>
  <c r="H59" i="1"/>
  <c r="J59" i="1" s="1"/>
  <c r="H54" i="1"/>
  <c r="J54" i="1" s="1"/>
  <c r="H46" i="1"/>
  <c r="J46" i="1" s="1"/>
  <c r="H53" i="1"/>
  <c r="J53" i="1" s="1"/>
  <c r="H138" i="1"/>
  <c r="J138" i="1" s="1"/>
  <c r="J172" i="1"/>
  <c r="H167" i="1"/>
  <c r="J167" i="1" s="1"/>
  <c r="H163" i="1"/>
  <c r="J163" i="1" s="1"/>
  <c r="H177" i="1"/>
  <c r="J177" i="1" s="1"/>
  <c r="H185" i="1"/>
  <c r="J185" i="1" s="1"/>
  <c r="H214" i="1"/>
  <c r="J214" i="1" s="1"/>
  <c r="J3" i="1" l="1"/>
  <c r="L374" i="4"/>
  <c r="L1201" i="4"/>
  <c r="L226" i="4"/>
  <c r="L489" i="4"/>
  <c r="L1300" i="4"/>
  <c r="L1233" i="4"/>
  <c r="L1131" i="4"/>
  <c r="L850" i="4"/>
  <c r="L1119" i="4"/>
  <c r="L183" i="4"/>
  <c r="L1260" i="4"/>
  <c r="L1099" i="4"/>
  <c r="L300" i="4"/>
  <c r="L109" i="4"/>
  <c r="L1066" i="4"/>
  <c r="L786" i="4"/>
  <c r="L592" i="4"/>
  <c r="L1008" i="4"/>
  <c r="L1295" i="4"/>
  <c r="L1167" i="4"/>
  <c r="L1103" i="4"/>
  <c r="L1039" i="4"/>
  <c r="L1006" i="4"/>
  <c r="L669" i="4"/>
  <c r="L257" i="4"/>
  <c r="L995" i="4"/>
  <c r="L872" i="4"/>
  <c r="L712" i="4"/>
  <c r="L858" i="4"/>
  <c r="L1064" i="4"/>
  <c r="L1057" i="4"/>
  <c r="L147" i="4"/>
  <c r="L83" i="4"/>
  <c r="L210" i="4"/>
  <c r="L82" i="4"/>
  <c r="L168" i="4"/>
  <c r="L898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4" i="4"/>
  <c r="L770" i="4"/>
  <c r="L1257" i="4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427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N871" i="4" s="1"/>
  <c r="L1200" i="4"/>
  <c r="N1200" i="4" s="1"/>
  <c r="K9" i="4"/>
  <c r="M9" i="4" s="1"/>
  <c r="L1136" i="4"/>
  <c r="N1136" i="4" s="1"/>
  <c r="L1222" i="4"/>
  <c r="N1222" i="4" s="1"/>
  <c r="K599" i="4"/>
  <c r="M599" i="4" s="1"/>
  <c r="N599" i="4" s="1"/>
  <c r="K908" i="4"/>
  <c r="M908" i="4" s="1"/>
  <c r="N908" i="4" s="1"/>
  <c r="K111" i="4"/>
  <c r="M111" i="4" s="1"/>
  <c r="K119" i="4"/>
  <c r="M119" i="4" s="1"/>
  <c r="L336" i="4"/>
  <c r="N336" i="4" s="1"/>
  <c r="K381" i="4"/>
  <c r="M381" i="4" s="1"/>
  <c r="K767" i="4"/>
  <c r="M767" i="4" s="1"/>
  <c r="N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K1111" i="4"/>
  <c r="M1111" i="4" s="1"/>
  <c r="L1177" i="4"/>
  <c r="N1177" i="4" s="1"/>
  <c r="K786" i="4"/>
  <c r="M786" i="4" s="1"/>
  <c r="N786" i="4" s="1"/>
  <c r="K841" i="4"/>
  <c r="M841" i="4" s="1"/>
  <c r="N841" i="4" s="1"/>
  <c r="K1162" i="4"/>
  <c r="M1162" i="4" s="1"/>
  <c r="K824" i="4"/>
  <c r="M824" i="4" s="1"/>
  <c r="N824" i="4" s="1"/>
  <c r="K415" i="4"/>
  <c r="M415" i="4" s="1"/>
  <c r="N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N734" i="4" s="1"/>
  <c r="K792" i="4"/>
  <c r="M792" i="4" s="1"/>
  <c r="N792" i="4" s="1"/>
  <c r="K895" i="4"/>
  <c r="M895" i="4" s="1"/>
  <c r="K505" i="4"/>
  <c r="M505" i="4" s="1"/>
  <c r="N505" i="4" s="1"/>
  <c r="L1036" i="4"/>
  <c r="N1036" i="4" s="1"/>
  <c r="K516" i="4"/>
  <c r="M516" i="4" s="1"/>
  <c r="K252" i="4"/>
  <c r="M252" i="4" s="1"/>
  <c r="L178" i="4"/>
  <c r="N178" i="4" s="1"/>
  <c r="K457" i="4"/>
  <c r="M457" i="4" s="1"/>
  <c r="N457" i="4" s="1"/>
  <c r="L819" i="4"/>
  <c r="N819" i="4" s="1"/>
  <c r="K885" i="4"/>
  <c r="M885" i="4" s="1"/>
  <c r="N885" i="4" s="1"/>
  <c r="K1257" i="4"/>
  <c r="M1257" i="4" s="1"/>
  <c r="N1257" i="4" s="1"/>
  <c r="K604" i="4"/>
  <c r="M604" i="4" s="1"/>
  <c r="N604" i="4" s="1"/>
  <c r="L274" i="4"/>
  <c r="N274" i="4" s="1"/>
  <c r="K983" i="4"/>
  <c r="M983" i="4" s="1"/>
  <c r="N983" i="4" s="1"/>
  <c r="K329" i="4"/>
  <c r="M329" i="4" s="1"/>
  <c r="K529" i="4"/>
  <c r="M529" i="4" s="1"/>
  <c r="K60" i="4"/>
  <c r="M60" i="4" s="1"/>
  <c r="N60" i="4" s="1"/>
  <c r="K1085" i="4"/>
  <c r="M1085" i="4" s="1"/>
  <c r="N1085" i="4" s="1"/>
  <c r="L172" i="4"/>
  <c r="N172" i="4" s="1"/>
  <c r="K686" i="4"/>
  <c r="M686" i="4" s="1"/>
  <c r="L972" i="4"/>
  <c r="N972" i="4" s="1"/>
  <c r="K778" i="4"/>
  <c r="M778" i="4" s="1"/>
  <c r="N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8" i="4"/>
  <c r="M948" i="4" s="1"/>
  <c r="N948" i="4" s="1"/>
  <c r="K1298" i="4"/>
  <c r="M1298" i="4" s="1"/>
  <c r="N1298" i="4" s="1"/>
  <c r="K389" i="4"/>
  <c r="M389" i="4" s="1"/>
  <c r="K511" i="4"/>
  <c r="M511" i="4" s="1"/>
  <c r="N511" i="4" s="1"/>
  <c r="K572" i="4"/>
  <c r="M572" i="4" s="1"/>
  <c r="N572" i="4" s="1"/>
  <c r="L87" i="4"/>
  <c r="N87" i="4" s="1"/>
  <c r="L1209" i="4"/>
  <c r="N1209" i="4" s="1"/>
  <c r="K58" i="4"/>
  <c r="M58" i="4" s="1"/>
  <c r="K1008" i="4"/>
  <c r="M1008" i="4" s="1"/>
  <c r="N1008" i="4" s="1"/>
  <c r="L989" i="4"/>
  <c r="N989" i="4" s="1"/>
  <c r="K673" i="4"/>
  <c r="M673" i="4" s="1"/>
  <c r="N673" i="4" s="1"/>
  <c r="L703" i="4"/>
  <c r="N703" i="4" s="1"/>
  <c r="K936" i="4"/>
  <c r="M936" i="4" s="1"/>
  <c r="L38" i="4"/>
  <c r="N38" i="4" s="1"/>
  <c r="L1305" i="4"/>
  <c r="N1305" i="4" s="1"/>
  <c r="K167" i="4"/>
  <c r="M167" i="4" s="1"/>
  <c r="K1095" i="4"/>
  <c r="M1095" i="4" s="1"/>
  <c r="N1095" i="4" s="1"/>
  <c r="L975" i="4"/>
  <c r="N975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9" i="4"/>
  <c r="M849" i="4" s="1"/>
  <c r="N849" i="4" s="1"/>
  <c r="L1044" i="4"/>
  <c r="N1044" i="4" s="1"/>
  <c r="L441" i="4"/>
  <c r="N441" i="4" s="1"/>
  <c r="L1282" i="4"/>
  <c r="N1282" i="4" s="1"/>
  <c r="K913" i="4"/>
  <c r="M913" i="4" s="1"/>
  <c r="N913" i="4" s="1"/>
  <c r="K103" i="4"/>
  <c r="M103" i="4" s="1"/>
  <c r="K601" i="4"/>
  <c r="M601" i="4" s="1"/>
  <c r="N601" i="4" s="1"/>
  <c r="K829" i="4"/>
  <c r="M829" i="4" s="1"/>
  <c r="N829" i="4" s="1"/>
  <c r="K1242" i="4"/>
  <c r="M1242" i="4" s="1"/>
  <c r="N1242" i="4" s="1"/>
  <c r="L1079" i="4"/>
  <c r="N1079" i="4" s="1"/>
  <c r="L917" i="4"/>
  <c r="N917" i="4" s="1"/>
  <c r="L1114" i="4"/>
  <c r="N1114" i="4" s="1"/>
  <c r="K586" i="4"/>
  <c r="M586" i="4" s="1"/>
  <c r="N586" i="4" s="1"/>
  <c r="L545" i="4"/>
  <c r="N545" i="4" s="1"/>
  <c r="K150" i="4"/>
  <c r="M150" i="4" s="1"/>
  <c r="N150" i="4" s="1"/>
  <c r="L831" i="4"/>
  <c r="N831" i="4" s="1"/>
  <c r="K214" i="4"/>
  <c r="M214" i="4" s="1"/>
  <c r="L81" i="4"/>
  <c r="N81" i="4" s="1"/>
  <c r="K461" i="4"/>
  <c r="M461" i="4" s="1"/>
  <c r="N461" i="4" s="1"/>
  <c r="K335" i="4"/>
  <c r="M335" i="4" s="1"/>
  <c r="K959" i="4"/>
  <c r="M959" i="4" s="1"/>
  <c r="N959" i="4" s="1"/>
  <c r="K255" i="4"/>
  <c r="M255" i="4" s="1"/>
  <c r="L1241" i="4"/>
  <c r="N1241" i="4" s="1"/>
  <c r="K1089" i="4"/>
  <c r="M1089" i="4" s="1"/>
  <c r="N1089" i="4" s="1"/>
  <c r="K867" i="4"/>
  <c r="M867" i="4" s="1"/>
  <c r="N867" i="4" s="1"/>
  <c r="L1310" i="4"/>
  <c r="N1310" i="4" s="1"/>
  <c r="K124" i="4"/>
  <c r="M124" i="4" s="1"/>
  <c r="K397" i="4"/>
  <c r="M397" i="4" s="1"/>
  <c r="K1220" i="4"/>
  <c r="M1220" i="4" s="1"/>
  <c r="N1220" i="4" s="1"/>
  <c r="K1214" i="4"/>
  <c r="M1214" i="4" s="1"/>
  <c r="N1214" i="4" s="1"/>
  <c r="K191" i="4"/>
  <c r="M191" i="4" s="1"/>
  <c r="K357" i="4"/>
  <c r="M357" i="4" s="1"/>
  <c r="N357" i="4" s="1"/>
  <c r="K1068" i="4"/>
  <c r="M1068" i="4" s="1"/>
  <c r="N1068" i="4" s="1"/>
  <c r="L1308" i="4"/>
  <c r="N1308" i="4" s="1"/>
  <c r="K446" i="4"/>
  <c r="M446" i="4" s="1"/>
  <c r="N446" i="4" s="1"/>
  <c r="K198" i="4"/>
  <c r="M198" i="4" s="1"/>
  <c r="K485" i="4"/>
  <c r="M485" i="4" s="1"/>
  <c r="N485" i="4" s="1"/>
  <c r="L1156" i="4"/>
  <c r="N1156" i="4" s="1"/>
  <c r="L173" i="4"/>
  <c r="N173" i="4" s="1"/>
  <c r="K1066" i="4"/>
  <c r="M1066" i="4" s="1"/>
  <c r="N1066" i="4" s="1"/>
  <c r="K265" i="4"/>
  <c r="M265" i="4" s="1"/>
  <c r="K854" i="4"/>
  <c r="M854" i="4" s="1"/>
  <c r="N854" i="4" s="1"/>
  <c r="L1249" i="4"/>
  <c r="N1249" i="4" s="1"/>
  <c r="K273" i="4"/>
  <c r="M273" i="4" s="1"/>
  <c r="N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N478" i="4" s="1"/>
  <c r="K190" i="4"/>
  <c r="M190" i="4" s="1"/>
  <c r="K345" i="4"/>
  <c r="M345" i="4" s="1"/>
  <c r="N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2" i="4"/>
  <c r="M902" i="4" s="1"/>
  <c r="N902" i="4" s="1"/>
  <c r="K562" i="4"/>
  <c r="M562" i="4" s="1"/>
  <c r="N562" i="4" s="1"/>
  <c r="K594" i="4"/>
  <c r="M594" i="4" s="1"/>
  <c r="N594" i="4" s="1"/>
  <c r="K806" i="4"/>
  <c r="M806" i="4" s="1"/>
  <c r="N806" i="4" s="1"/>
  <c r="L321" i="4"/>
  <c r="N321" i="4" s="1"/>
  <c r="L874" i="4"/>
  <c r="N874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N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N992" i="4" s="1"/>
  <c r="K374" i="4"/>
  <c r="M374" i="4" s="1"/>
  <c r="N374" i="4" s="1"/>
  <c r="K1060" i="4"/>
  <c r="M1060" i="4" s="1"/>
  <c r="N1060" i="4" s="1"/>
  <c r="L648" i="4"/>
  <c r="N648" i="4" s="1"/>
  <c r="L266" i="4"/>
  <c r="N266" i="4" s="1"/>
  <c r="K724" i="4"/>
  <c r="M724" i="4" s="1"/>
  <c r="N724" i="4" s="1"/>
  <c r="K553" i="4"/>
  <c r="M553" i="4" s="1"/>
  <c r="N553" i="4" s="1"/>
  <c r="L1276" i="4"/>
  <c r="N1276" i="4" s="1"/>
  <c r="L369" i="4"/>
  <c r="N369" i="4" s="1"/>
  <c r="L783" i="4"/>
  <c r="N783" i="4" s="1"/>
  <c r="K122" i="4"/>
  <c r="M122" i="4" s="1"/>
  <c r="L951" i="4"/>
  <c r="N951" i="4" s="1"/>
  <c r="K1304" i="4"/>
  <c r="M1304" i="4" s="1"/>
  <c r="N1304" i="4" s="1"/>
  <c r="K1260" i="4"/>
  <c r="M1260" i="4" s="1"/>
  <c r="N1260" i="4" s="1"/>
  <c r="L993" i="4"/>
  <c r="N993" i="4" s="1"/>
  <c r="K1018" i="4"/>
  <c r="M1018" i="4" s="1"/>
  <c r="N1018" i="4" s="1"/>
  <c r="K225" i="4"/>
  <c r="M225" i="4" s="1"/>
  <c r="K82" i="4"/>
  <c r="M82" i="4" s="1"/>
  <c r="N82" i="4" s="1"/>
  <c r="K458" i="4"/>
  <c r="M458" i="4" s="1"/>
  <c r="N458" i="4" s="1"/>
  <c r="L909" i="4"/>
  <c r="N909" i="4" s="1"/>
  <c r="K691" i="4"/>
  <c r="M691" i="4" s="1"/>
  <c r="N691" i="4" s="1"/>
  <c r="K633" i="4"/>
  <c r="M633" i="4" s="1"/>
  <c r="L444" i="4"/>
  <c r="N444" i="4" s="1"/>
  <c r="K535" i="4"/>
  <c r="M535" i="4" s="1"/>
  <c r="L788" i="4"/>
  <c r="N788" i="4" s="1"/>
  <c r="K598" i="4"/>
  <c r="M598" i="4" s="1"/>
  <c r="N598" i="4" s="1"/>
  <c r="L833" i="4"/>
  <c r="N833" i="4" s="1"/>
  <c r="K578" i="4"/>
  <c r="M578" i="4" s="1"/>
  <c r="N578" i="4" s="1"/>
  <c r="L325" i="4"/>
  <c r="N325" i="4" s="1"/>
  <c r="K503" i="4"/>
  <c r="M503" i="4" s="1"/>
  <c r="N503" i="4" s="1"/>
  <c r="K1093" i="4"/>
  <c r="M1093" i="4" s="1"/>
  <c r="N1093" i="4" s="1"/>
  <c r="K587" i="4"/>
  <c r="M587" i="4" s="1"/>
  <c r="N587" i="4" s="1"/>
  <c r="L490" i="4"/>
  <c r="N490" i="4" s="1"/>
  <c r="L853" i="4"/>
  <c r="N853" i="4" s="1"/>
  <c r="K171" i="4"/>
  <c r="M171" i="4" s="1"/>
  <c r="K530" i="4"/>
  <c r="M530" i="4" s="1"/>
  <c r="N530" i="4" s="1"/>
  <c r="K147" i="4"/>
  <c r="M147" i="4" s="1"/>
  <c r="L146" i="4"/>
  <c r="N146" i="4" s="1"/>
  <c r="K826" i="4"/>
  <c r="M826" i="4" s="1"/>
  <c r="N826" i="4" s="1"/>
  <c r="L51" i="4"/>
  <c r="N51" i="4" s="1"/>
  <c r="K362" i="4"/>
  <c r="M362" i="4" s="1"/>
  <c r="N362" i="4" s="1"/>
  <c r="K1092" i="4"/>
  <c r="M1092" i="4" s="1"/>
  <c r="N1092" i="4" s="1"/>
  <c r="K79" i="4"/>
  <c r="M79" i="4" s="1"/>
  <c r="K413" i="4"/>
  <c r="M413" i="4" s="1"/>
  <c r="N413" i="4" s="1"/>
  <c r="K1074" i="4"/>
  <c r="M1074" i="4" s="1"/>
  <c r="N1074" i="4" s="1"/>
  <c r="K794" i="4"/>
  <c r="M794" i="4" s="1"/>
  <c r="N794" i="4" s="1"/>
  <c r="L1244" i="4"/>
  <c r="N1244" i="4" s="1"/>
  <c r="K388" i="4"/>
  <c r="M388" i="4" s="1"/>
  <c r="N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N593" i="4" s="1"/>
  <c r="K737" i="4"/>
  <c r="M737" i="4" s="1"/>
  <c r="N737" i="4" s="1"/>
  <c r="K1234" i="4"/>
  <c r="M1234" i="4" s="1"/>
  <c r="N1234" i="4" s="1"/>
  <c r="K559" i="4"/>
  <c r="M559" i="4" s="1"/>
  <c r="N559" i="4" s="1"/>
  <c r="K1101" i="4"/>
  <c r="M1101" i="4" s="1"/>
  <c r="K521" i="4"/>
  <c r="M521" i="4" s="1"/>
  <c r="N521" i="4" s="1"/>
  <c r="L942" i="4"/>
  <c r="N942" i="4" s="1"/>
  <c r="K183" i="4"/>
  <c r="M183" i="4" s="1"/>
  <c r="N183" i="4" s="1"/>
  <c r="L220" i="4"/>
  <c r="N220" i="4" s="1"/>
  <c r="L271" i="4"/>
  <c r="N271" i="4" s="1"/>
  <c r="K257" i="4"/>
  <c r="M257" i="4" s="1"/>
  <c r="N257" i="4" s="1"/>
  <c r="K701" i="4"/>
  <c r="M701" i="4" s="1"/>
  <c r="N701" i="4" s="1"/>
  <c r="K946" i="4"/>
  <c r="M946" i="4" s="1"/>
  <c r="N946" i="4" s="1"/>
  <c r="L641" i="4"/>
  <c r="N641" i="4" s="1"/>
  <c r="K1090" i="4"/>
  <c r="M1090" i="4" s="1"/>
  <c r="N1090" i="4" s="1"/>
  <c r="K482" i="4"/>
  <c r="M482" i="4" s="1"/>
  <c r="N482" i="4" s="1"/>
  <c r="K1259" i="4"/>
  <c r="M1259" i="4" s="1"/>
  <c r="N1259" i="4" s="1"/>
  <c r="K1119" i="4"/>
  <c r="M1119" i="4" s="1"/>
  <c r="N1119" i="4" s="1"/>
  <c r="K1131" i="4"/>
  <c r="M1131" i="4" s="1"/>
  <c r="N1131" i="4" s="1"/>
  <c r="K1166" i="4"/>
  <c r="M1166" i="4" s="1"/>
  <c r="N1166" i="4" s="1"/>
  <c r="L1088" i="4"/>
  <c r="N1088" i="4" s="1"/>
  <c r="K1128" i="4"/>
  <c r="M1128" i="4" s="1"/>
  <c r="N1128" i="4" s="1"/>
  <c r="K394" i="4"/>
  <c r="M394" i="4" s="1"/>
  <c r="N394" i="4" s="1"/>
  <c r="L54" i="4"/>
  <c r="N54" i="4" s="1"/>
  <c r="K1154" i="4"/>
  <c r="M1154" i="4" s="1"/>
  <c r="N1154" i="4" s="1"/>
  <c r="K165" i="4"/>
  <c r="M165" i="4" s="1"/>
  <c r="N165" i="4" s="1"/>
  <c r="L3" i="4"/>
  <c r="N3" i="4" s="1"/>
  <c r="K1247" i="4"/>
  <c r="M1247" i="4" s="1"/>
  <c r="N1247" i="4" s="1"/>
  <c r="K618" i="4"/>
  <c r="M618" i="4" s="1"/>
  <c r="N618" i="4" s="1"/>
  <c r="K1086" i="4"/>
  <c r="M1086" i="4" s="1"/>
  <c r="N1086" i="4" s="1"/>
  <c r="K1057" i="4"/>
  <c r="M1057" i="4" s="1"/>
  <c r="N1057" i="4" s="1"/>
  <c r="L424" i="4"/>
  <c r="N424" i="4" s="1"/>
  <c r="K1232" i="4"/>
  <c r="M1232" i="4" s="1"/>
  <c r="N1232" i="4" s="1"/>
  <c r="K341" i="4"/>
  <c r="M341" i="4" s="1"/>
  <c r="N341" i="4" s="1"/>
  <c r="K860" i="4"/>
  <c r="M860" i="4" s="1"/>
  <c r="N860" i="4" s="1"/>
  <c r="K649" i="4"/>
  <c r="M649" i="4" s="1"/>
  <c r="N649" i="4" s="1"/>
  <c r="K719" i="4"/>
  <c r="M719" i="4" s="1"/>
  <c r="N719" i="4" s="1"/>
  <c r="K714" i="4"/>
  <c r="M714" i="4" s="1"/>
  <c r="N714" i="4" s="1"/>
  <c r="K705" i="4"/>
  <c r="M705" i="4" s="1"/>
  <c r="N705" i="4" s="1"/>
  <c r="L613" i="4"/>
  <c r="N613" i="4" s="1"/>
  <c r="L1195" i="4"/>
  <c r="N1195" i="4" s="1"/>
  <c r="L1042" i="4"/>
  <c r="N1042" i="4" s="1"/>
  <c r="L986" i="4"/>
  <c r="N986" i="4" s="1"/>
  <c r="K626" i="4"/>
  <c r="M626" i="4" s="1"/>
  <c r="N626" i="4" s="1"/>
  <c r="K203" i="4"/>
  <c r="M203" i="4" s="1"/>
  <c r="L1198" i="4"/>
  <c r="N1198" i="4" s="1"/>
  <c r="L894" i="4"/>
  <c r="N894" i="4" s="1"/>
  <c r="L1037" i="4"/>
  <c r="N1037" i="4" s="1"/>
  <c r="K1050" i="4"/>
  <c r="M1050" i="4" s="1"/>
  <c r="N1050" i="4" s="1"/>
  <c r="K800" i="4"/>
  <c r="M800" i="4" s="1"/>
  <c r="N800" i="4" s="1"/>
  <c r="K168" i="4"/>
  <c r="M168" i="4" s="1"/>
  <c r="N168" i="4" s="1"/>
  <c r="K755" i="4"/>
  <c r="M755" i="4" s="1"/>
  <c r="N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N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N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N351" i="4" s="1"/>
  <c r="L938" i="4"/>
  <c r="N938" i="4" s="1"/>
  <c r="L450" i="4"/>
  <c r="N450" i="4" s="1"/>
  <c r="L921" i="4"/>
  <c r="N921" i="4" s="1"/>
  <c r="L1306" i="4"/>
  <c r="N1306" i="4" s="1"/>
  <c r="K462" i="4"/>
  <c r="M462" i="4" s="1"/>
  <c r="N462" i="4" s="1"/>
  <c r="K589" i="4"/>
  <c r="M589" i="4" s="1"/>
  <c r="N589" i="4" s="1"/>
  <c r="K1000" i="4"/>
  <c r="M1000" i="4" s="1"/>
  <c r="N1000" i="4" s="1"/>
  <c r="K827" i="4"/>
  <c r="M827" i="4" s="1"/>
  <c r="N827" i="4" s="1"/>
  <c r="K300" i="4"/>
  <c r="M300" i="4" s="1"/>
  <c r="N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N644" i="4" s="1"/>
  <c r="K872" i="4"/>
  <c r="M872" i="4" s="1"/>
  <c r="N872" i="4" s="1"/>
  <c r="K350" i="4"/>
  <c r="M350" i="4" s="1"/>
  <c r="L1051" i="4"/>
  <c r="N1051" i="4" s="1"/>
  <c r="L56" i="4"/>
  <c r="N56" i="4" s="1"/>
  <c r="K494" i="4"/>
  <c r="M494" i="4" s="1"/>
  <c r="N494" i="4" s="1"/>
  <c r="L323" i="4"/>
  <c r="N323" i="4" s="1"/>
  <c r="K916" i="4"/>
  <c r="M916" i="4" s="1"/>
  <c r="N916" i="4" s="1"/>
  <c r="K709" i="4"/>
  <c r="M709" i="4" s="1"/>
  <c r="L622" i="4"/>
  <c r="N622" i="4" s="1"/>
  <c r="K810" i="4"/>
  <c r="M810" i="4" s="1"/>
  <c r="N810" i="4" s="1"/>
  <c r="K1064" i="4"/>
  <c r="M1064" i="4" s="1"/>
  <c r="N1064" i="4" s="1"/>
  <c r="K106" i="4"/>
  <c r="M106" i="4" s="1"/>
  <c r="N106" i="4" s="1"/>
  <c r="L739" i="4"/>
  <c r="N739" i="4" s="1"/>
  <c r="K398" i="4"/>
  <c r="M398" i="4" s="1"/>
  <c r="N398" i="4" s="1"/>
  <c r="K277" i="4"/>
  <c r="M277" i="4" s="1"/>
  <c r="K77" i="4"/>
  <c r="M77" i="4" s="1"/>
  <c r="K228" i="4"/>
  <c r="M228" i="4" s="1"/>
  <c r="K678" i="4"/>
  <c r="M678" i="4" s="1"/>
  <c r="N678" i="4" s="1"/>
  <c r="K293" i="4"/>
  <c r="M293" i="4" s="1"/>
  <c r="N293" i="4" s="1"/>
  <c r="K866" i="4"/>
  <c r="M866" i="4" s="1"/>
  <c r="N866" i="4" s="1"/>
  <c r="L893" i="4"/>
  <c r="N893" i="4" s="1"/>
  <c r="K654" i="4"/>
  <c r="M654" i="4" s="1"/>
  <c r="N654" i="4" s="1"/>
  <c r="K745" i="4"/>
  <c r="M745" i="4" s="1"/>
  <c r="N745" i="4" s="1"/>
  <c r="L236" i="4"/>
  <c r="K379" i="4"/>
  <c r="M379" i="4" s="1"/>
  <c r="N379" i="4" s="1"/>
  <c r="K949" i="4"/>
  <c r="M949" i="4" s="1"/>
  <c r="N949" i="4" s="1"/>
  <c r="K353" i="4"/>
  <c r="M353" i="4" s="1"/>
  <c r="N353" i="4" s="1"/>
  <c r="L923" i="4"/>
  <c r="N923" i="4" s="1"/>
  <c r="L1161" i="4"/>
  <c r="N1161" i="4" s="1"/>
  <c r="K865" i="4"/>
  <c r="M865" i="4" s="1"/>
  <c r="N865" i="4" s="1"/>
  <c r="L555" i="4"/>
  <c r="N555" i="4" s="1"/>
  <c r="L638" i="4"/>
  <c r="N638" i="4" s="1"/>
  <c r="L1163" i="4"/>
  <c r="N1163" i="4" s="1"/>
  <c r="K45" i="4"/>
  <c r="M45" i="4" s="1"/>
  <c r="K489" i="4"/>
  <c r="M489" i="4" s="1"/>
  <c r="N489" i="4" s="1"/>
  <c r="K817" i="4"/>
  <c r="M817" i="4" s="1"/>
  <c r="N817" i="4" s="1"/>
  <c r="L653" i="4"/>
  <c r="N653" i="4" s="1"/>
  <c r="K188" i="4"/>
  <c r="M188" i="4" s="1"/>
  <c r="L436" i="4"/>
  <c r="N436" i="4" s="1"/>
  <c r="K298" i="4"/>
  <c r="M298" i="4" s="1"/>
  <c r="N298" i="4" s="1"/>
  <c r="K1269" i="4"/>
  <c r="M1269" i="4" s="1"/>
  <c r="N1269" i="4" s="1"/>
  <c r="K1022" i="4"/>
  <c r="M1022" i="4" s="1"/>
  <c r="N1022" i="4" s="1"/>
  <c r="K534" i="4"/>
  <c r="M534" i="4" s="1"/>
  <c r="N534" i="4" s="1"/>
  <c r="K437" i="4"/>
  <c r="M437" i="4" s="1"/>
  <c r="N437" i="4" s="1"/>
  <c r="K17" i="4"/>
  <c r="M17" i="4" s="1"/>
  <c r="N17" i="4" s="1"/>
  <c r="K33" i="4"/>
  <c r="M33" i="4" s="1"/>
  <c r="L570" i="4"/>
  <c r="N570" i="4" s="1"/>
  <c r="K1182" i="4"/>
  <c r="M1182" i="4" s="1"/>
  <c r="K1149" i="4"/>
  <c r="M1149" i="4" s="1"/>
  <c r="N1149" i="4" s="1"/>
  <c r="K898" i="4"/>
  <c r="M898" i="4" s="1"/>
  <c r="N898" i="4" s="1"/>
  <c r="K1225" i="4"/>
  <c r="M1225" i="4" s="1"/>
  <c r="N1225" i="4" s="1"/>
  <c r="K543" i="4"/>
  <c r="M543" i="4" s="1"/>
  <c r="N543" i="4" s="1"/>
  <c r="K668" i="4"/>
  <c r="M668" i="4" s="1"/>
  <c r="N668" i="4" s="1"/>
  <c r="K1300" i="4"/>
  <c r="M1300" i="4" s="1"/>
  <c r="N1300" i="4" s="1"/>
  <c r="K221" i="4"/>
  <c r="M221" i="4" s="1"/>
  <c r="L1045" i="4"/>
  <c r="N1045" i="4" s="1"/>
  <c r="K498" i="4"/>
  <c r="M498" i="4" s="1"/>
  <c r="N498" i="4" s="1"/>
  <c r="K858" i="4"/>
  <c r="M858" i="4" s="1"/>
  <c r="N858" i="4" s="1"/>
  <c r="L359" i="4"/>
  <c r="N359" i="4" s="1"/>
  <c r="K881" i="4"/>
  <c r="M881" i="4" s="1"/>
  <c r="N881" i="4" s="1"/>
  <c r="K1237" i="4"/>
  <c r="M1237" i="4" s="1"/>
  <c r="N1237" i="4" s="1"/>
  <c r="K877" i="4"/>
  <c r="M877" i="4" s="1"/>
  <c r="N877" i="4" s="1"/>
  <c r="L422" i="4"/>
  <c r="N422" i="4" s="1"/>
  <c r="K939" i="4"/>
  <c r="M939" i="4" s="1"/>
  <c r="N939" i="4" s="1"/>
  <c r="K1123" i="4"/>
  <c r="M1123" i="4" s="1"/>
  <c r="N1123" i="4" s="1"/>
  <c r="L317" i="4"/>
  <c r="N317" i="4" s="1"/>
  <c r="K716" i="4"/>
  <c r="M716" i="4" s="1"/>
  <c r="N716" i="4" s="1"/>
  <c r="K636" i="4"/>
  <c r="M636" i="4" s="1"/>
  <c r="N636" i="4" s="1"/>
  <c r="L706" i="4"/>
  <c r="N706" i="4" s="1"/>
  <c r="K246" i="4"/>
  <c r="M246" i="4" s="1"/>
  <c r="N246" i="4" s="1"/>
  <c r="L465" i="4"/>
  <c r="N465" i="4" s="1"/>
  <c r="K679" i="4"/>
  <c r="M679" i="4" s="1"/>
  <c r="N679" i="4" s="1"/>
  <c r="K134" i="4"/>
  <c r="M134" i="4" s="1"/>
  <c r="K364" i="4"/>
  <c r="M364" i="4" s="1"/>
  <c r="N364" i="4" s="1"/>
  <c r="L1299" i="4"/>
  <c r="N1299" i="4" s="1"/>
  <c r="K281" i="4"/>
  <c r="M281" i="4" s="1"/>
  <c r="K40" i="4"/>
  <c r="M40" i="4" s="1"/>
  <c r="N40" i="4" s="1"/>
  <c r="L469" i="4"/>
  <c r="N469" i="4" s="1"/>
  <c r="K47" i="4"/>
  <c r="M47" i="4" s="1"/>
  <c r="N47" i="4" s="1"/>
  <c r="K702" i="4"/>
  <c r="M702" i="4" s="1"/>
  <c r="N702" i="4" s="1"/>
  <c r="K186" i="4"/>
  <c r="M186" i="4" s="1"/>
  <c r="L240" i="4"/>
  <c r="L683" i="4"/>
  <c r="N683" i="4" s="1"/>
  <c r="K952" i="4"/>
  <c r="M952" i="4" s="1"/>
  <c r="N952" i="4" s="1"/>
  <c r="K254" i="4"/>
  <c r="M254" i="4" s="1"/>
  <c r="N254" i="4" s="1"/>
  <c r="K114" i="4"/>
  <c r="M114" i="4" s="1"/>
  <c r="K575" i="4"/>
  <c r="M575" i="4" s="1"/>
  <c r="N575" i="4" s="1"/>
  <c r="L661" i="4"/>
  <c r="N661" i="4" s="1"/>
  <c r="K334" i="4"/>
  <c r="M334" i="4" s="1"/>
  <c r="N334" i="4" s="1"/>
  <c r="L996" i="4"/>
  <c r="N996" i="4" s="1"/>
  <c r="L402" i="4"/>
  <c r="N402" i="4" s="1"/>
  <c r="L1132" i="4"/>
  <c r="N1132" i="4" s="1"/>
  <c r="L878" i="4"/>
  <c r="N878" i="4" s="1"/>
  <c r="L525" i="4"/>
  <c r="N525" i="4" s="1"/>
  <c r="K1103" i="4"/>
  <c r="M1103" i="4" s="1"/>
  <c r="N1103" i="4" s="1"/>
  <c r="L658" i="4"/>
  <c r="N658" i="4" s="1"/>
  <c r="K396" i="4"/>
  <c r="M396" i="4" s="1"/>
  <c r="N396" i="4" s="1"/>
  <c r="K420" i="4"/>
  <c r="M420" i="4" s="1"/>
  <c r="N420" i="4" s="1"/>
  <c r="L366" i="4"/>
  <c r="N366" i="4" s="1"/>
  <c r="K439" i="4"/>
  <c r="M439" i="4" s="1"/>
  <c r="N439" i="4" s="1"/>
  <c r="K445" i="4"/>
  <c r="M445" i="4" s="1"/>
  <c r="L883" i="4"/>
  <c r="N883" i="4" s="1"/>
  <c r="K947" i="4"/>
  <c r="M947" i="4" s="1"/>
  <c r="N947" i="4" s="1"/>
  <c r="L834" i="4"/>
  <c r="N834" i="4" s="1"/>
  <c r="K83" i="4"/>
  <c r="M83" i="4" s="1"/>
  <c r="N83" i="4" s="1"/>
  <c r="K812" i="4"/>
  <c r="M812" i="4" s="1"/>
  <c r="N812" i="4" s="1"/>
  <c r="L915" i="4"/>
  <c r="N915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N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N811" i="4" s="1"/>
  <c r="K531" i="4"/>
  <c r="M531" i="4" s="1"/>
  <c r="N531" i="4" s="1"/>
  <c r="L358" i="4"/>
  <c r="N358" i="4" s="1"/>
  <c r="L1112" i="4"/>
  <c r="N1112" i="4" s="1"/>
  <c r="K889" i="4"/>
  <c r="M889" i="4" s="1"/>
  <c r="N889" i="4" s="1"/>
  <c r="K356" i="4"/>
  <c r="M356" i="4" s="1"/>
  <c r="N356" i="4" s="1"/>
  <c r="K242" i="4"/>
  <c r="M242" i="4" s="1"/>
  <c r="K838" i="4"/>
  <c r="M838" i="4" s="1"/>
  <c r="N838" i="4" s="1"/>
  <c r="K729" i="4"/>
  <c r="M729" i="4" s="1"/>
  <c r="N729" i="4" s="1"/>
  <c r="K8" i="4"/>
  <c r="M8" i="4" s="1"/>
  <c r="N8" i="4" s="1"/>
  <c r="L1181" i="4"/>
  <c r="N1181" i="4" s="1"/>
  <c r="L950" i="4"/>
  <c r="N950" i="4" s="1"/>
  <c r="K115" i="4"/>
  <c r="M115" i="4" s="1"/>
  <c r="L623" i="4"/>
  <c r="N623" i="4" s="1"/>
  <c r="K1035" i="4"/>
  <c r="M1035" i="4" s="1"/>
  <c r="N1035" i="4" s="1"/>
  <c r="K137" i="4"/>
  <c r="M137" i="4" s="1"/>
  <c r="N137" i="4" s="1"/>
  <c r="K430" i="4"/>
  <c r="M430" i="4" s="1"/>
  <c r="N430" i="4" s="1"/>
  <c r="K657" i="4"/>
  <c r="M657" i="4" s="1"/>
  <c r="N657" i="4" s="1"/>
  <c r="L1170" i="4"/>
  <c r="N1170" i="4" s="1"/>
  <c r="K844" i="4"/>
  <c r="M844" i="4" s="1"/>
  <c r="N844" i="4" s="1"/>
  <c r="L1285" i="4"/>
  <c r="N1285" i="4" s="1"/>
  <c r="K926" i="4"/>
  <c r="M926" i="4" s="1"/>
  <c r="N926" i="4" s="1"/>
  <c r="K1184" i="4"/>
  <c r="M1184" i="4" s="1"/>
  <c r="N1184" i="4" s="1"/>
  <c r="L1047" i="4"/>
  <c r="N1047" i="4" s="1"/>
  <c r="K409" i="4"/>
  <c r="M409" i="4" s="1"/>
  <c r="L900" i="4"/>
  <c r="N900" i="4" s="1"/>
  <c r="L590" i="4"/>
  <c r="N590" i="4" s="1"/>
  <c r="L876" i="4"/>
  <c r="N876" i="4" s="1"/>
  <c r="K631" i="4"/>
  <c r="M631" i="4" s="1"/>
  <c r="N631" i="4" s="1"/>
  <c r="K34" i="4"/>
  <c r="M34" i="4" s="1"/>
  <c r="N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N625" i="4" s="1"/>
  <c r="K355" i="4"/>
  <c r="M355" i="4" s="1"/>
  <c r="N355" i="4" s="1"/>
  <c r="K1188" i="4"/>
  <c r="M1188" i="4" s="1"/>
  <c r="N1188" i="4" s="1"/>
  <c r="K69" i="4"/>
  <c r="M69" i="4" s="1"/>
  <c r="K934" i="4"/>
  <c r="M934" i="4" s="1"/>
  <c r="N934" i="4" s="1"/>
  <c r="L1065" i="4"/>
  <c r="N1065" i="4" s="1"/>
  <c r="K690" i="4"/>
  <c r="M690" i="4" s="1"/>
  <c r="N690" i="4" s="1"/>
  <c r="K873" i="4"/>
  <c r="M873" i="4" s="1"/>
  <c r="N873" i="4" s="1"/>
  <c r="L723" i="4"/>
  <c r="N723" i="4" s="1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N512" i="4" s="1"/>
  <c r="L393" i="4"/>
  <c r="N393" i="4" s="1"/>
  <c r="K565" i="4"/>
  <c r="M565" i="4" s="1"/>
  <c r="N565" i="4" s="1"/>
  <c r="K285" i="4"/>
  <c r="M285" i="4" s="1"/>
  <c r="L676" i="4"/>
  <c r="N676" i="4" s="1"/>
  <c r="K1006" i="4"/>
  <c r="M1006" i="4" s="1"/>
  <c r="N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L448" i="4"/>
  <c r="N448" i="4" s="1"/>
  <c r="K790" i="4"/>
  <c r="M790" i="4" s="1"/>
  <c r="N790" i="4" s="1"/>
  <c r="K850" i="4"/>
  <c r="M850" i="4" s="1"/>
  <c r="N850" i="4" s="1"/>
  <c r="L962" i="4"/>
  <c r="N962" i="4" s="1"/>
  <c r="K1196" i="4"/>
  <c r="M1196" i="4" s="1"/>
  <c r="N1196" i="4" s="1"/>
  <c r="K382" i="4"/>
  <c r="M382" i="4" s="1"/>
  <c r="N382" i="4" s="1"/>
  <c r="L787" i="4"/>
  <c r="N787" i="4" s="1"/>
  <c r="K406" i="4"/>
  <c r="M406" i="4" s="1"/>
  <c r="N406" i="4" s="1"/>
  <c r="K569" i="4"/>
  <c r="M569" i="4" s="1"/>
  <c r="N569" i="4" s="1"/>
  <c r="K1289" i="4"/>
  <c r="M1289" i="4" s="1"/>
  <c r="N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N44" i="4" s="1"/>
  <c r="L1081" i="4"/>
  <c r="N1081" i="4" s="1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N504" i="4" s="1"/>
  <c r="K390" i="4"/>
  <c r="M390" i="4" s="1"/>
  <c r="N390" i="4" s="1"/>
  <c r="L5" i="4"/>
  <c r="N5" i="4" s="1"/>
  <c r="L227" i="4"/>
  <c r="N227" i="4" s="1"/>
  <c r="K652" i="4"/>
  <c r="M652" i="4" s="1"/>
  <c r="N652" i="4" s="1"/>
  <c r="K23" i="4"/>
  <c r="M23" i="4" s="1"/>
  <c r="L1147" i="4"/>
  <c r="N1147" i="4" s="1"/>
  <c r="K368" i="4"/>
  <c r="M368" i="4" s="1"/>
  <c r="N368" i="4" s="1"/>
  <c r="L315" i="4"/>
  <c r="N315" i="4" s="1"/>
  <c r="K232" i="4"/>
  <c r="M232" i="4" s="1"/>
  <c r="K1039" i="4"/>
  <c r="M1039" i="4" s="1"/>
  <c r="N1039" i="4" s="1"/>
  <c r="L956" i="4"/>
  <c r="N956" i="4" s="1"/>
  <c r="K592" i="4"/>
  <c r="M592" i="4" s="1"/>
  <c r="N592" i="4" s="1"/>
  <c r="K798" i="4"/>
  <c r="M798" i="4" s="1"/>
  <c r="N798" i="4" s="1"/>
  <c r="K287" i="4"/>
  <c r="M287" i="4" s="1"/>
  <c r="N287" i="4" s="1"/>
  <c r="L4" i="4"/>
  <c r="N4" i="4" s="1"/>
  <c r="K507" i="4"/>
  <c r="M507" i="4" s="1"/>
  <c r="N507" i="4" s="1"/>
  <c r="K57" i="4"/>
  <c r="M57" i="4" s="1"/>
  <c r="N57" i="4" s="1"/>
  <c r="L206" i="4"/>
  <c r="N206" i="4" s="1"/>
  <c r="K314" i="4"/>
  <c r="M314" i="4" s="1"/>
  <c r="N314" i="4" s="1"/>
  <c r="L1292" i="4"/>
  <c r="N1292" i="4" s="1"/>
  <c r="K1254" i="4"/>
  <c r="M1254" i="4" s="1"/>
  <c r="N1254" i="4" s="1"/>
  <c r="K615" i="4"/>
  <c r="M615" i="4" s="1"/>
  <c r="N615" i="4" s="1"/>
  <c r="K216" i="4"/>
  <c r="M216" i="4" s="1"/>
  <c r="K510" i="4"/>
  <c r="M510" i="4" s="1"/>
  <c r="N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N919" i="4" s="1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N496" i="4" s="1"/>
  <c r="L495" i="4"/>
  <c r="N495" i="4" s="1"/>
  <c r="L837" i="4"/>
  <c r="N837" i="4" s="1"/>
  <c r="L247" i="4"/>
  <c r="N247" i="4" s="1"/>
  <c r="K288" i="4"/>
  <c r="M288" i="4" s="1"/>
  <c r="L816" i="4"/>
  <c r="N816" i="4" s="1"/>
  <c r="K109" i="4"/>
  <c r="M109" i="4" s="1"/>
  <c r="N109" i="4" s="1"/>
  <c r="K539" i="4"/>
  <c r="M539" i="4" s="1"/>
  <c r="N539" i="4" s="1"/>
  <c r="L267" i="4"/>
  <c r="N267" i="4" s="1"/>
  <c r="K715" i="4"/>
  <c r="M715" i="4" s="1"/>
  <c r="N715" i="4" s="1"/>
  <c r="L275" i="4"/>
  <c r="N275" i="4" s="1"/>
  <c r="K453" i="4"/>
  <c r="M453" i="4" s="1"/>
  <c r="N453" i="4" s="1"/>
  <c r="K360" i="4"/>
  <c r="M360" i="4" s="1"/>
  <c r="N360" i="4" s="1"/>
  <c r="K128" i="4"/>
  <c r="M128" i="4" s="1"/>
  <c r="N128" i="4" s="1"/>
  <c r="L161" i="4"/>
  <c r="N161" i="4" s="1"/>
  <c r="L517" i="4"/>
  <c r="N517" i="4" s="1"/>
  <c r="K759" i="4"/>
  <c r="M759" i="4" s="1"/>
  <c r="N759" i="4" s="1"/>
  <c r="K576" i="4"/>
  <c r="M576" i="4" s="1"/>
  <c r="N576" i="4" s="1"/>
  <c r="L533" i="4"/>
  <c r="N533" i="4" s="1"/>
  <c r="K944" i="4"/>
  <c r="M944" i="4" s="1"/>
  <c r="N944" i="4" s="1"/>
  <c r="K830" i="4"/>
  <c r="M830" i="4" s="1"/>
  <c r="N830" i="4" s="1"/>
  <c r="K179" i="4"/>
  <c r="M179" i="4" s="1"/>
  <c r="L299" i="4"/>
  <c r="N299" i="4" s="1"/>
  <c r="K779" i="4"/>
  <c r="M779" i="4" s="1"/>
  <c r="K722" i="4"/>
  <c r="M722" i="4" s="1"/>
  <c r="N722" i="4" s="1"/>
  <c r="L1165" i="4"/>
  <c r="N1165" i="4" s="1"/>
  <c r="K1073" i="4"/>
  <c r="M1073" i="4" s="1"/>
  <c r="L432" i="4"/>
  <c r="N432" i="4" s="1"/>
  <c r="K104" i="4"/>
  <c r="M104" i="4" s="1"/>
  <c r="N104" i="4" s="1"/>
  <c r="K721" i="4"/>
  <c r="M721" i="4" s="1"/>
  <c r="N721" i="4" s="1"/>
  <c r="K80" i="4"/>
  <c r="M80" i="4" s="1"/>
  <c r="K200" i="4"/>
  <c r="M200" i="4" s="1"/>
  <c r="N200" i="4" s="1"/>
  <c r="K297" i="4"/>
  <c r="M297" i="4" s="1"/>
  <c r="K467" i="4"/>
  <c r="M467" i="4" s="1"/>
  <c r="N467" i="4" s="1"/>
  <c r="L129" i="4"/>
  <c r="N129" i="4" s="1"/>
  <c r="L1284" i="4"/>
  <c r="K1284" i="4"/>
  <c r="M1284" i="4" s="1"/>
  <c r="L836" i="4"/>
  <c r="K836" i="4"/>
  <c r="M836" i="4" s="1"/>
  <c r="L868" i="4"/>
  <c r="K868" i="4"/>
  <c r="M868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N483" i="4" s="1"/>
  <c r="L846" i="4"/>
  <c r="K846" i="4"/>
  <c r="M846" i="4" s="1"/>
  <c r="L560" i="4"/>
  <c r="K560" i="4"/>
  <c r="M560" i="4" s="1"/>
  <c r="K1258" i="4"/>
  <c r="M1258" i="4" s="1"/>
  <c r="N1258" i="4" s="1"/>
  <c r="L112" i="4"/>
  <c r="N112" i="4" s="1"/>
  <c r="K39" i="4"/>
  <c r="M39" i="4" s="1"/>
  <c r="K32" i="4"/>
  <c r="M32" i="4" s="1"/>
  <c r="K427" i="4"/>
  <c r="M427" i="4" s="1"/>
  <c r="N427" i="4" s="1"/>
  <c r="K741" i="4"/>
  <c r="M741" i="4" s="1"/>
  <c r="N741" i="4" s="1"/>
  <c r="L373" i="4"/>
  <c r="N373" i="4" s="1"/>
  <c r="L155" i="4"/>
  <c r="N155" i="4" s="1"/>
  <c r="K1197" i="4"/>
  <c r="M1197" i="4" s="1"/>
  <c r="N1197" i="4" s="1"/>
  <c r="K848" i="4"/>
  <c r="M848" i="4" s="1"/>
  <c r="N848" i="4" s="1"/>
  <c r="L1236" i="4"/>
  <c r="N1236" i="4" s="1"/>
  <c r="L863" i="4"/>
  <c r="N863" i="4" s="1"/>
  <c r="L528" i="4"/>
  <c r="N528" i="4" s="1"/>
  <c r="L955" i="4"/>
  <c r="N955" i="4" s="1"/>
  <c r="L635" i="4"/>
  <c r="N635" i="4" s="1"/>
  <c r="K75" i="4"/>
  <c r="M75" i="4" s="1"/>
  <c r="N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6" i="4"/>
  <c r="K886" i="4"/>
  <c r="M886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70" i="4"/>
  <c r="K970" i="4"/>
  <c r="M970" i="4" s="1"/>
  <c r="L920" i="4"/>
  <c r="K920" i="4"/>
  <c r="M920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N352" i="4" s="1"/>
  <c r="K699" i="4"/>
  <c r="M699" i="4" s="1"/>
  <c r="N699" i="4" s="1"/>
  <c r="K443" i="4"/>
  <c r="M443" i="4" s="1"/>
  <c r="N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N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N371" i="4" s="1"/>
  <c r="K808" i="4"/>
  <c r="M808" i="4" s="1"/>
  <c r="N808" i="4" s="1"/>
  <c r="K568" i="4"/>
  <c r="M568" i="4" s="1"/>
  <c r="N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N226" i="4" s="1"/>
  <c r="K659" i="4"/>
  <c r="M659" i="4" s="1"/>
  <c r="N659" i="4" s="1"/>
  <c r="K547" i="4"/>
  <c r="M547" i="4" s="1"/>
  <c r="N547" i="4" s="1"/>
  <c r="K163" i="4"/>
  <c r="M163" i="4" s="1"/>
  <c r="N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N318" i="4" s="1"/>
  <c r="K1129" i="4"/>
  <c r="M1129" i="4" s="1"/>
  <c r="N1129" i="4" s="1"/>
  <c r="L864" i="4"/>
  <c r="N864" i="4" s="1"/>
  <c r="K656" i="4"/>
  <c r="M656" i="4" s="1"/>
  <c r="N656" i="4" s="1"/>
  <c r="L751" i="4"/>
  <c r="N751" i="4" s="1"/>
  <c r="K720" i="4"/>
  <c r="M720" i="4" s="1"/>
  <c r="N720" i="4" s="1"/>
  <c r="L67" i="4"/>
  <c r="N67" i="4" s="1"/>
  <c r="K963" i="4"/>
  <c r="M963" i="4" s="1"/>
  <c r="N963" i="4" s="1"/>
  <c r="L707" i="4"/>
  <c r="N707" i="4" s="1"/>
  <c r="L259" i="4"/>
  <c r="N259" i="4" s="1"/>
  <c r="L493" i="4"/>
  <c r="N493" i="4" s="1"/>
  <c r="L405" i="4"/>
  <c r="N405" i="4" s="1"/>
  <c r="L979" i="4"/>
  <c r="K979" i="4"/>
  <c r="M979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N1301" i="4" s="1"/>
  <c r="L1301" i="4"/>
  <c r="K918" i="4"/>
  <c r="M918" i="4" s="1"/>
  <c r="L918" i="4"/>
  <c r="L773" i="4"/>
  <c r="K773" i="4"/>
  <c r="M773" i="4" s="1"/>
  <c r="L1176" i="4"/>
  <c r="K1176" i="4"/>
  <c r="M1176" i="4" s="1"/>
  <c r="L967" i="4"/>
  <c r="K967" i="4"/>
  <c r="M967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1" i="4"/>
  <c r="K961" i="4"/>
  <c r="M961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9" i="4"/>
  <c r="K839" i="4"/>
  <c r="M839" i="4" s="1"/>
  <c r="L566" i="4"/>
  <c r="K566" i="4"/>
  <c r="M566" i="4" s="1"/>
  <c r="L990" i="4"/>
  <c r="K990" i="4"/>
  <c r="M990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2" i="4"/>
  <c r="K862" i="4"/>
  <c r="M862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1" i="4"/>
  <c r="K901" i="4"/>
  <c r="M901" i="4" s="1"/>
  <c r="L842" i="4"/>
  <c r="K842" i="4"/>
  <c r="M842" i="4" s="1"/>
  <c r="L170" i="4"/>
  <c r="K170" i="4"/>
  <c r="M170" i="4" s="1"/>
  <c r="L1204" i="4"/>
  <c r="K1204" i="4"/>
  <c r="M1204" i="4" s="1"/>
  <c r="K855" i="4"/>
  <c r="M855" i="4" s="1"/>
  <c r="L855" i="4"/>
  <c r="K684" i="4"/>
  <c r="M684" i="4" s="1"/>
  <c r="L684" i="4"/>
  <c r="L1281" i="4"/>
  <c r="K1281" i="4"/>
  <c r="M1281" i="4" s="1"/>
  <c r="L262" i="4"/>
  <c r="K262" i="4"/>
  <c r="M262" i="4" s="1"/>
  <c r="L852" i="4"/>
  <c r="K852" i="4"/>
  <c r="M852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6" i="4"/>
  <c r="K966" i="4"/>
  <c r="M966" i="4" s="1"/>
  <c r="L73" i="4"/>
  <c r="K73" i="4"/>
  <c r="M73" i="4" s="1"/>
  <c r="L412" i="4"/>
  <c r="K412" i="4"/>
  <c r="M412" i="4" s="1"/>
  <c r="L477" i="4"/>
  <c r="K477" i="4"/>
  <c r="M477" i="4" s="1"/>
  <c r="L199" i="4"/>
  <c r="K199" i="4"/>
  <c r="M199" i="4" s="1"/>
  <c r="L327" i="4"/>
  <c r="K327" i="4"/>
  <c r="M327" i="4" s="1"/>
  <c r="L899" i="4"/>
  <c r="K899" i="4"/>
  <c r="M899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7" i="4"/>
  <c r="K857" i="4"/>
  <c r="M857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9" i="4"/>
  <c r="M929" i="4" s="1"/>
  <c r="L929" i="4"/>
  <c r="K980" i="4"/>
  <c r="M980" i="4" s="1"/>
  <c r="L980" i="4"/>
  <c r="L423" i="4"/>
  <c r="K423" i="4"/>
  <c r="M423" i="4" s="1"/>
  <c r="L971" i="4"/>
  <c r="K971" i="4"/>
  <c r="M971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4" i="4"/>
  <c r="K974" i="4"/>
  <c r="M974" i="4" s="1"/>
  <c r="L209" i="4"/>
  <c r="K209" i="4"/>
  <c r="M209" i="4" s="1"/>
  <c r="L643" i="4"/>
  <c r="K643" i="4"/>
  <c r="M643" i="4" s="1"/>
  <c r="L957" i="4"/>
  <c r="K957" i="4"/>
  <c r="M957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8" i="4"/>
  <c r="K828" i="4"/>
  <c r="M828" i="4" s="1"/>
  <c r="L253" i="4"/>
  <c r="K253" i="4"/>
  <c r="M253" i="4" s="1"/>
  <c r="K91" i="4"/>
  <c r="M91" i="4" s="1"/>
  <c r="N91" i="4" s="1"/>
  <c r="L891" i="4"/>
  <c r="K891" i="4"/>
  <c r="M891" i="4" s="1"/>
  <c r="N891" i="4" s="1"/>
  <c r="L72" i="4"/>
  <c r="K72" i="4"/>
  <c r="M72" i="4" s="1"/>
  <c r="L1005" i="4"/>
  <c r="K1005" i="4"/>
  <c r="M1005" i="4" s="1"/>
  <c r="N1005" i="4" s="1"/>
  <c r="K497" i="4"/>
  <c r="M497" i="4" s="1"/>
  <c r="L497" i="4"/>
  <c r="K14" i="4"/>
  <c r="M14" i="4" s="1"/>
  <c r="L14" i="4"/>
  <c r="L859" i="4"/>
  <c r="K859" i="4"/>
  <c r="M859" i="4" s="1"/>
  <c r="K851" i="4"/>
  <c r="M851" i="4" s="1"/>
  <c r="L851" i="4"/>
  <c r="L1158" i="4"/>
  <c r="K1158" i="4"/>
  <c r="M1158" i="4" s="1"/>
  <c r="N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N442" i="4" s="1"/>
  <c r="L887" i="4"/>
  <c r="K887" i="4"/>
  <c r="M887" i="4" s="1"/>
  <c r="L941" i="4"/>
  <c r="K941" i="4"/>
  <c r="M941" i="4" s="1"/>
  <c r="N941" i="4" s="1"/>
  <c r="L1219" i="4"/>
  <c r="K1219" i="4"/>
  <c r="M1219" i="4" s="1"/>
  <c r="N1219" i="4" s="1"/>
  <c r="L158" i="4"/>
  <c r="K158" i="4"/>
  <c r="M158" i="4" s="1"/>
  <c r="L1296" i="4"/>
  <c r="K1296" i="4"/>
  <c r="M1296" i="4" s="1"/>
  <c r="L1261" i="4"/>
  <c r="K1261" i="4"/>
  <c r="M1261" i="4" s="1"/>
  <c r="N1261" i="4" s="1"/>
  <c r="L518" i="4"/>
  <c r="K518" i="4"/>
  <c r="M518" i="4" s="1"/>
  <c r="N518" i="4" s="1"/>
  <c r="L303" i="4"/>
  <c r="K303" i="4"/>
  <c r="M303" i="4" s="1"/>
  <c r="L84" i="4"/>
  <c r="K84" i="4"/>
  <c r="M84" i="4" s="1"/>
  <c r="L764" i="4"/>
  <c r="K764" i="4"/>
  <c r="M764" i="4" s="1"/>
  <c r="N764" i="4" s="1"/>
  <c r="L596" i="4"/>
  <c r="K596" i="4"/>
  <c r="M596" i="4" s="1"/>
  <c r="N596" i="4" s="1"/>
  <c r="L1155" i="4"/>
  <c r="K1155" i="4"/>
  <c r="M1155" i="4" s="1"/>
  <c r="N1155" i="4" s="1"/>
  <c r="K718" i="4"/>
  <c r="M718" i="4" s="1"/>
  <c r="L718" i="4"/>
  <c r="L519" i="4"/>
  <c r="K519" i="4"/>
  <c r="M519" i="4" s="1"/>
  <c r="N519" i="4" s="1"/>
  <c r="L1140" i="4"/>
  <c r="K1140" i="4"/>
  <c r="M1140" i="4" s="1"/>
  <c r="N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N712" i="4" s="1"/>
  <c r="K210" i="4"/>
  <c r="M210" i="4" s="1"/>
  <c r="N210" i="4" s="1"/>
  <c r="K224" i="4"/>
  <c r="M224" i="4" s="1"/>
  <c r="L896" i="4"/>
  <c r="N896" i="4" s="1"/>
  <c r="K664" i="4"/>
  <c r="M664" i="4" s="1"/>
  <c r="N664" i="4" s="1"/>
  <c r="K760" i="4"/>
  <c r="M760" i="4" s="1"/>
  <c r="N760" i="4" s="1"/>
  <c r="K243" i="4"/>
  <c r="M243" i="4" s="1"/>
  <c r="K627" i="4"/>
  <c r="M627" i="4" s="1"/>
  <c r="N627" i="4" s="1"/>
  <c r="K419" i="4"/>
  <c r="M419" i="4" s="1"/>
  <c r="N419" i="4" s="1"/>
  <c r="L835" i="4"/>
  <c r="K835" i="4"/>
  <c r="M835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N795" i="4" s="1"/>
  <c r="L795" i="4"/>
  <c r="L911" i="4"/>
  <c r="K911" i="4"/>
  <c r="M911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N513" i="4" s="1"/>
  <c r="K1243" i="4"/>
  <c r="M1243" i="4" s="1"/>
  <c r="N1243" i="4" s="1"/>
  <c r="K1031" i="4"/>
  <c r="M1031" i="4" s="1"/>
  <c r="N1031" i="4" s="1"/>
  <c r="K85" i="4"/>
  <c r="M85" i="4" s="1"/>
  <c r="N85" i="4" s="1"/>
  <c r="K472" i="4"/>
  <c r="M472" i="4" s="1"/>
  <c r="N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2" i="4"/>
  <c r="K1002" i="4"/>
  <c r="M1002" i="4" s="1"/>
  <c r="N1002" i="4" s="1"/>
  <c r="L695" i="4"/>
  <c r="K695" i="4"/>
  <c r="M695" i="4" s="1"/>
  <c r="N695" i="4" s="1"/>
  <c r="K1311" i="4"/>
  <c r="M1311" i="4" s="1"/>
  <c r="L1311" i="4"/>
  <c r="L932" i="4"/>
  <c r="K932" i="4"/>
  <c r="M932" i="4" s="1"/>
  <c r="L258" i="4"/>
  <c r="K258" i="4"/>
  <c r="M258" i="4" s="1"/>
  <c r="L1071" i="4"/>
  <c r="K1071" i="4"/>
  <c r="M1071" i="4" s="1"/>
  <c r="N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N1202" i="4" s="1"/>
  <c r="L1224" i="4"/>
  <c r="K1224" i="4"/>
  <c r="M1224" i="4" s="1"/>
  <c r="N1224" i="4" s="1"/>
  <c r="L367" i="4"/>
  <c r="K367" i="4"/>
  <c r="M367" i="4" s="1"/>
  <c r="L418" i="4"/>
  <c r="K418" i="4"/>
  <c r="M418" i="4" s="1"/>
  <c r="N418" i="4" s="1"/>
  <c r="L884" i="4"/>
  <c r="K884" i="4"/>
  <c r="M884" i="4" s="1"/>
  <c r="N884" i="4" s="1"/>
  <c r="L130" i="4"/>
  <c r="K130" i="4"/>
  <c r="M130" i="4" s="1"/>
  <c r="L1253" i="4"/>
  <c r="K1253" i="4"/>
  <c r="M1253" i="4" s="1"/>
  <c r="L1207" i="4"/>
  <c r="K1207" i="4"/>
  <c r="M1207" i="4" s="1"/>
  <c r="N1207" i="4" s="1"/>
  <c r="L524" i="4"/>
  <c r="K524" i="4"/>
  <c r="M524" i="4" s="1"/>
  <c r="N524" i="4" s="1"/>
  <c r="L1004" i="4"/>
  <c r="K1004" i="4"/>
  <c r="M1004" i="4" s="1"/>
  <c r="N1004" i="4" s="1"/>
  <c r="L451" i="4"/>
  <c r="K451" i="4"/>
  <c r="M451" i="4" s="1"/>
  <c r="L181" i="4"/>
  <c r="K181" i="4"/>
  <c r="M181" i="4" s="1"/>
  <c r="L460" i="4"/>
  <c r="K460" i="4"/>
  <c r="M460" i="4" s="1"/>
  <c r="N460" i="4" s="1"/>
  <c r="L1034" i="4"/>
  <c r="K1034" i="4"/>
  <c r="M1034" i="4" s="1"/>
  <c r="N1034" i="4" s="1"/>
  <c r="L869" i="4"/>
  <c r="K869" i="4"/>
  <c r="M869" i="4" s="1"/>
  <c r="L1007" i="4"/>
  <c r="K1007" i="4"/>
  <c r="M1007" i="4" s="1"/>
  <c r="N1007" i="4" s="1"/>
  <c r="L610" i="4"/>
  <c r="K610" i="4"/>
  <c r="M610" i="4" s="1"/>
  <c r="N610" i="4" s="1"/>
  <c r="L1273" i="4"/>
  <c r="K1273" i="4"/>
  <c r="M1273" i="4" s="1"/>
  <c r="N1273" i="4" s="1"/>
  <c r="L438" i="4"/>
  <c r="K438" i="4"/>
  <c r="M438" i="4" s="1"/>
  <c r="K564" i="4"/>
  <c r="M564" i="4" s="1"/>
  <c r="N564" i="4" s="1"/>
  <c r="L584" i="4"/>
  <c r="N584" i="4" s="1"/>
  <c r="K19" i="4"/>
  <c r="M19" i="4" s="1"/>
  <c r="N19" i="4" s="1"/>
  <c r="K647" i="4"/>
  <c r="M647" i="4" s="1"/>
  <c r="N647" i="4" s="1"/>
  <c r="K435" i="4"/>
  <c r="M435" i="4" s="1"/>
  <c r="N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4" i="4"/>
  <c r="K954" i="4"/>
  <c r="M954" i="4" s="1"/>
  <c r="L591" i="4"/>
  <c r="K591" i="4"/>
  <c r="M591" i="4" s="1"/>
  <c r="K1265" i="4"/>
  <c r="M1265" i="4" s="1"/>
  <c r="N1265" i="4" s="1"/>
  <c r="L1265" i="4"/>
  <c r="L890" i="4"/>
  <c r="K890" i="4"/>
  <c r="M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5" i="4"/>
  <c r="K935" i="4"/>
  <c r="M935" i="4" s="1"/>
  <c r="K821" i="4"/>
  <c r="M821" i="4" s="1"/>
  <c r="L821" i="4"/>
  <c r="K879" i="4"/>
  <c r="M879" i="4" s="1"/>
  <c r="N879" i="4" s="1"/>
  <c r="L879" i="4"/>
  <c r="L1271" i="4"/>
  <c r="K1271" i="4"/>
  <c r="M1271" i="4" s="1"/>
  <c r="L1239" i="4"/>
  <c r="K1239" i="4"/>
  <c r="M1239" i="4" s="1"/>
  <c r="L882" i="4"/>
  <c r="K882" i="4"/>
  <c r="M882" i="4" s="1"/>
  <c r="L845" i="4"/>
  <c r="K845" i="4"/>
  <c r="M845" i="4" s="1"/>
  <c r="L401" i="4"/>
  <c r="K401" i="4"/>
  <c r="M401" i="4" s="1"/>
  <c r="L538" i="4"/>
  <c r="K538" i="4"/>
  <c r="M538" i="4" s="1"/>
  <c r="L933" i="4"/>
  <c r="K933" i="4"/>
  <c r="M933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N768" i="4" s="1"/>
  <c r="K304" i="4"/>
  <c r="M304" i="4" s="1"/>
  <c r="N304" i="4" s="1"/>
  <c r="L688" i="4"/>
  <c r="N688" i="4" s="1"/>
  <c r="L544" i="4"/>
  <c r="N544" i="4" s="1"/>
  <c r="L880" i="4"/>
  <c r="K880" i="4"/>
  <c r="M880" i="4" s="1"/>
  <c r="L784" i="4"/>
  <c r="K784" i="4"/>
  <c r="M784" i="4" s="1"/>
  <c r="L640" i="4"/>
  <c r="K640" i="4"/>
  <c r="M640" i="4" s="1"/>
  <c r="K552" i="4"/>
  <c r="M552" i="4" s="1"/>
  <c r="N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5" i="4"/>
  <c r="K925" i="4"/>
  <c r="M925" i="4" s="1"/>
  <c r="K127" i="4"/>
  <c r="M127" i="4" s="1"/>
  <c r="L127" i="4"/>
  <c r="K1144" i="4"/>
  <c r="M1144" i="4" s="1"/>
  <c r="N1144" i="4" s="1"/>
  <c r="L1144" i="4"/>
  <c r="L326" i="4"/>
  <c r="K326" i="4"/>
  <c r="M326" i="4" s="1"/>
  <c r="K733" i="4"/>
  <c r="M733" i="4" s="1"/>
  <c r="N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2" i="4"/>
  <c r="K892" i="4"/>
  <c r="M892" i="4" s="1"/>
  <c r="L769" i="4"/>
  <c r="K769" i="4"/>
  <c r="M769" i="4" s="1"/>
  <c r="L1117" i="4"/>
  <c r="K1117" i="4"/>
  <c r="M1117" i="4" s="1"/>
  <c r="K875" i="4"/>
  <c r="M875" i="4" s="1"/>
  <c r="N875" i="4" s="1"/>
  <c r="L875" i="4"/>
  <c r="L922" i="4"/>
  <c r="K922" i="4"/>
  <c r="M922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8" i="4"/>
  <c r="K968" i="4"/>
  <c r="M968" i="4" s="1"/>
  <c r="L463" i="4"/>
  <c r="K463" i="4"/>
  <c r="M463" i="4" s="1"/>
  <c r="L26" i="4"/>
  <c r="K26" i="4"/>
  <c r="M26" i="4" s="1"/>
  <c r="L960" i="4"/>
  <c r="K960" i="4"/>
  <c r="M960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5" i="4"/>
  <c r="K905" i="4"/>
  <c r="M905" i="4" s="1"/>
  <c r="L772" i="4"/>
  <c r="K772" i="4"/>
  <c r="M772" i="4" s="1"/>
  <c r="K417" i="4"/>
  <c r="M417" i="4" s="1"/>
  <c r="N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N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1" i="4"/>
  <c r="M1001" i="4" s="1"/>
  <c r="L1001" i="4"/>
  <c r="L999" i="4"/>
  <c r="K999" i="4"/>
  <c r="M999" i="4" s="1"/>
  <c r="L1019" i="4"/>
  <c r="K1019" i="4"/>
  <c r="M1019" i="4" s="1"/>
  <c r="L953" i="4"/>
  <c r="K953" i="4"/>
  <c r="M953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3" i="4"/>
  <c r="K903" i="4"/>
  <c r="M903" i="4" s="1"/>
  <c r="L843" i="4"/>
  <c r="K843" i="4"/>
  <c r="M843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6" i="4"/>
  <c r="K856" i="4"/>
  <c r="M856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7" i="4"/>
  <c r="K977" i="4"/>
  <c r="M977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7" i="4"/>
  <c r="K907" i="4"/>
  <c r="M907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4" i="4"/>
  <c r="K994" i="4"/>
  <c r="M994" i="4" s="1"/>
  <c r="L969" i="4"/>
  <c r="K969" i="4"/>
  <c r="M969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N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8" i="4"/>
  <c r="K978" i="4"/>
  <c r="M978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4" i="4"/>
  <c r="K924" i="4"/>
  <c r="M924" i="4" s="1"/>
  <c r="L55" i="4"/>
  <c r="K55" i="4"/>
  <c r="M55" i="4" s="1"/>
  <c r="L1110" i="4"/>
  <c r="K1110" i="4"/>
  <c r="M1110" i="4" s="1"/>
  <c r="K754" i="4"/>
  <c r="M754" i="4" s="1"/>
  <c r="N754" i="4" s="1"/>
  <c r="L754" i="4"/>
  <c r="L20" i="4"/>
  <c r="K20" i="4"/>
  <c r="M20" i="4" s="1"/>
  <c r="L1268" i="4"/>
  <c r="K1268" i="4"/>
  <c r="M1268" i="4" s="1"/>
  <c r="K153" i="4"/>
  <c r="M153" i="4" s="1"/>
  <c r="L153" i="4"/>
  <c r="L840" i="4"/>
  <c r="K840" i="4"/>
  <c r="M840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7" i="4"/>
  <c r="K847" i="4"/>
  <c r="M847" i="4" s="1"/>
  <c r="L571" i="4"/>
  <c r="K571" i="4"/>
  <c r="M571" i="4" s="1"/>
  <c r="L937" i="4"/>
  <c r="K937" i="4"/>
  <c r="M937" i="4" s="1"/>
  <c r="L113" i="4"/>
  <c r="K113" i="4"/>
  <c r="M113" i="4" s="1"/>
  <c r="L108" i="4"/>
  <c r="K108" i="4"/>
  <c r="M108" i="4" s="1"/>
  <c r="L1146" i="4"/>
  <c r="K1146" i="4"/>
  <c r="M1146" i="4" s="1"/>
  <c r="L910" i="4"/>
  <c r="K910" i="4"/>
  <c r="M910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4" i="4"/>
  <c r="M984" i="4" s="1"/>
  <c r="N984" i="4" s="1"/>
  <c r="L984" i="4"/>
  <c r="L36" i="4"/>
  <c r="K36" i="4"/>
  <c r="M36" i="4" s="1"/>
  <c r="K459" i="4"/>
  <c r="M459" i="4" s="1"/>
  <c r="N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6" i="4"/>
  <c r="K906" i="4"/>
  <c r="M906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7" i="4"/>
  <c r="K987" i="4"/>
  <c r="M987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N248" i="4" s="1"/>
  <c r="K192" i="4"/>
  <c r="M192" i="4" s="1"/>
  <c r="N192" i="4" s="1"/>
  <c r="L312" i="4"/>
  <c r="N312" i="4" s="1"/>
  <c r="K536" i="4"/>
  <c r="M536" i="4" s="1"/>
  <c r="N536" i="4" s="1"/>
  <c r="K912" i="4"/>
  <c r="M912" i="4" s="1"/>
  <c r="N912" i="4" s="1"/>
  <c r="K632" i="4"/>
  <c r="M632" i="4" s="1"/>
  <c r="N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N736" i="4" s="1"/>
  <c r="L672" i="4"/>
  <c r="K672" i="4"/>
  <c r="M672" i="4" s="1"/>
  <c r="N672" i="4" s="1"/>
  <c r="K440" i="4"/>
  <c r="M440" i="4" s="1"/>
  <c r="L440" i="4"/>
  <c r="L160" i="4"/>
  <c r="K160" i="4"/>
  <c r="M160" i="4" s="1"/>
  <c r="L509" i="4"/>
  <c r="K509" i="4"/>
  <c r="M509" i="4" s="1"/>
  <c r="N509" i="4" s="1"/>
  <c r="L410" i="4"/>
  <c r="K410" i="4"/>
  <c r="M410" i="4" s="1"/>
  <c r="N410" i="4" s="1"/>
  <c r="L742" i="4"/>
  <c r="K742" i="4"/>
  <c r="M742" i="4" s="1"/>
  <c r="N742" i="4" s="1"/>
  <c r="L927" i="4"/>
  <c r="K927" i="4"/>
  <c r="M927" i="4" s="1"/>
  <c r="N927" i="4" s="1"/>
  <c r="L1126" i="4"/>
  <c r="K1126" i="4"/>
  <c r="M1126" i="4" s="1"/>
  <c r="N1126" i="4" s="1"/>
  <c r="K945" i="4"/>
  <c r="M945" i="4" s="1"/>
  <c r="L945" i="4"/>
  <c r="L78" i="4"/>
  <c r="K78" i="4"/>
  <c r="M78" i="4" s="1"/>
  <c r="L634" i="4"/>
  <c r="K634" i="4"/>
  <c r="M634" i="4" s="1"/>
  <c r="N634" i="4" s="1"/>
  <c r="L998" i="4"/>
  <c r="K998" i="4"/>
  <c r="M998" i="4" s="1"/>
  <c r="N998" i="4" s="1"/>
  <c r="K484" i="4"/>
  <c r="M484" i="4" s="1"/>
  <c r="L484" i="4"/>
  <c r="L294" i="4"/>
  <c r="K294" i="4"/>
  <c r="M294" i="4" s="1"/>
  <c r="L619" i="4"/>
  <c r="K619" i="4"/>
  <c r="M619" i="4" s="1"/>
  <c r="N619" i="4" s="1"/>
  <c r="L215" i="4"/>
  <c r="K215" i="4"/>
  <c r="M215" i="4" s="1"/>
  <c r="L385" i="4"/>
  <c r="K385" i="4"/>
  <c r="M385" i="4" s="1"/>
  <c r="N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N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N527" i="4" s="1"/>
  <c r="L527" i="4"/>
  <c r="L620" i="4"/>
  <c r="K620" i="4"/>
  <c r="M620" i="4" s="1"/>
  <c r="K1046" i="4"/>
  <c r="M1046" i="4" s="1"/>
  <c r="N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N400" i="4" s="1"/>
  <c r="K928" i="4"/>
  <c r="M928" i="4" s="1"/>
  <c r="N928" i="4" s="1"/>
  <c r="K464" i="4"/>
  <c r="M464" i="4" s="1"/>
  <c r="N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1" i="4"/>
  <c r="M981" i="4" s="1"/>
  <c r="N981" i="4" s="1"/>
  <c r="L981" i="4"/>
  <c r="L473" i="4"/>
  <c r="K473" i="4"/>
  <c r="M473" i="4" s="1"/>
  <c r="K758" i="4"/>
  <c r="M758" i="4" s="1"/>
  <c r="N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7" i="4"/>
  <c r="K997" i="4"/>
  <c r="M997" i="4" s="1"/>
  <c r="K985" i="4"/>
  <c r="M985" i="4" s="1"/>
  <c r="N985" i="4" s="1"/>
  <c r="L985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2" i="4"/>
  <c r="K982" i="4"/>
  <c r="M982" i="4" s="1"/>
  <c r="L474" i="4"/>
  <c r="K474" i="4"/>
  <c r="M474" i="4" s="1"/>
  <c r="L726" i="4"/>
  <c r="K726" i="4"/>
  <c r="M726" i="4" s="1"/>
  <c r="K597" i="4"/>
  <c r="M597" i="4" s="1"/>
  <c r="N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N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M354" i="4" s="1"/>
  <c r="N354" i="4" s="1"/>
  <c r="L354" i="4"/>
  <c r="L750" i="4"/>
  <c r="K750" i="4"/>
  <c r="M750" i="4" s="1"/>
  <c r="L930" i="4"/>
  <c r="K930" i="4"/>
  <c r="M930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N408" i="4" s="1"/>
  <c r="L888" i="4"/>
  <c r="K888" i="4"/>
  <c r="M888" i="4" s="1"/>
  <c r="L488" i="4"/>
  <c r="K488" i="4"/>
  <c r="M488" i="4" s="1"/>
  <c r="L416" i="4"/>
  <c r="K416" i="4"/>
  <c r="M416" i="4" s="1"/>
  <c r="L208" i="4"/>
  <c r="K208" i="4"/>
  <c r="M208" i="4" s="1"/>
  <c r="L973" i="4"/>
  <c r="K973" i="4"/>
  <c r="M973" i="4" s="1"/>
  <c r="L76" i="4"/>
  <c r="K76" i="4"/>
  <c r="M76" i="4" s="1"/>
  <c r="L1230" i="4"/>
  <c r="K1230" i="4"/>
  <c r="M1230" i="4" s="1"/>
  <c r="L958" i="4"/>
  <c r="K958" i="4"/>
  <c r="M958" i="4" s="1"/>
  <c r="K1297" i="4"/>
  <c r="M1297" i="4" s="1"/>
  <c r="N1297" i="4" s="1"/>
  <c r="L1297" i="4"/>
  <c r="L988" i="4"/>
  <c r="K988" i="4"/>
  <c r="M988" i="4" s="1"/>
  <c r="L1087" i="4"/>
  <c r="K1087" i="4"/>
  <c r="M1087" i="4" s="1"/>
  <c r="L302" i="4"/>
  <c r="K302" i="4"/>
  <c r="M302" i="4" s="1"/>
  <c r="L189" i="4"/>
  <c r="K189" i="4"/>
  <c r="M189" i="4" s="1"/>
  <c r="L870" i="4"/>
  <c r="K870" i="4"/>
  <c r="M870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N616" i="4" s="1"/>
  <c r="L616" i="4"/>
  <c r="L520" i="4"/>
  <c r="K520" i="4"/>
  <c r="M520" i="4" s="1"/>
  <c r="L713" i="4"/>
  <c r="K713" i="4"/>
  <c r="M713" i="4" s="1"/>
  <c r="K1120" i="4"/>
  <c r="M1120" i="4" s="1"/>
  <c r="N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4" i="4"/>
  <c r="M964" i="4" s="1"/>
  <c r="N964" i="4" s="1"/>
  <c r="L964" i="4"/>
  <c r="L100" i="4"/>
  <c r="K100" i="4"/>
  <c r="M100" i="4" s="1"/>
  <c r="L931" i="4"/>
  <c r="K931" i="4"/>
  <c r="M931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350" i="4" l="1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372" i="4"/>
  <c r="N445" i="4"/>
  <c r="N633" i="4"/>
  <c r="N895" i="4"/>
  <c r="N77" i="4"/>
  <c r="N329" i="4"/>
  <c r="N780" i="4"/>
  <c r="N766" i="4"/>
  <c r="N361" i="4"/>
  <c r="N526" i="4"/>
  <c r="N1001" i="4"/>
  <c r="N821" i="4"/>
  <c r="N980" i="4"/>
  <c r="N684" i="4"/>
  <c r="N375" i="4"/>
  <c r="N805" i="4"/>
  <c r="N548" i="4"/>
  <c r="N1284" i="4"/>
  <c r="N936" i="4"/>
  <c r="N629" i="4"/>
  <c r="N411" i="4"/>
  <c r="N481" i="4"/>
  <c r="N580" i="4"/>
  <c r="N1017" i="4"/>
  <c r="N522" i="4"/>
  <c r="N836" i="4"/>
  <c r="N381" i="4"/>
  <c r="N846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70" i="4"/>
  <c r="N988" i="4"/>
  <c r="N488" i="4"/>
  <c r="N1053" i="4"/>
  <c r="N726" i="4"/>
  <c r="N774" i="4"/>
  <c r="N607" i="4"/>
  <c r="N674" i="4"/>
  <c r="N1274" i="4"/>
  <c r="N954" i="4"/>
  <c r="N1275" i="4"/>
  <c r="N692" i="4"/>
  <c r="N501" i="4"/>
  <c r="N1109" i="4"/>
  <c r="N1279" i="4"/>
  <c r="N828" i="4"/>
  <c r="N1104" i="4"/>
  <c r="N1216" i="4"/>
  <c r="N523" i="4"/>
  <c r="N966" i="4"/>
  <c r="N1014" i="4"/>
  <c r="N852" i="4"/>
  <c r="N901" i="4"/>
  <c r="N1134" i="4"/>
  <c r="N839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20" i="4"/>
  <c r="N563" i="4"/>
  <c r="N1210" i="4"/>
  <c r="N868" i="4"/>
  <c r="N1190" i="4"/>
  <c r="N537" i="4"/>
  <c r="N813" i="4"/>
  <c r="N906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7" i="4"/>
  <c r="N392" i="4"/>
  <c r="N1024" i="4"/>
  <c r="N617" i="4"/>
  <c r="N789" i="4"/>
  <c r="N772" i="4"/>
  <c r="N630" i="4"/>
  <c r="N602" i="4"/>
  <c r="N704" i="4"/>
  <c r="N968" i="4"/>
  <c r="N1098" i="4"/>
  <c r="N1117" i="4"/>
  <c r="N1027" i="4"/>
  <c r="N326" i="4"/>
  <c r="N421" i="4"/>
  <c r="N1267" i="4"/>
  <c r="N370" i="4"/>
  <c r="N738" i="4"/>
  <c r="N640" i="4"/>
  <c r="N933" i="4"/>
  <c r="N882" i="4"/>
  <c r="N591" i="4"/>
  <c r="N1023" i="4"/>
  <c r="N1159" i="4"/>
  <c r="N484" i="4"/>
  <c r="N945" i="4"/>
  <c r="N680" i="4"/>
  <c r="N365" i="4"/>
  <c r="N1288" i="4"/>
  <c r="N1152" i="4"/>
  <c r="N1168" i="4"/>
  <c r="N747" i="4"/>
  <c r="N973" i="4"/>
  <c r="N888" i="4"/>
  <c r="N930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10" i="4"/>
  <c r="N937" i="4"/>
  <c r="N1043" i="4"/>
  <c r="N376" i="4"/>
  <c r="N1268" i="4"/>
  <c r="N791" i="4"/>
  <c r="N611" i="4"/>
  <c r="N803" i="4"/>
  <c r="N749" i="4"/>
  <c r="N1171" i="4"/>
  <c r="N1010" i="4"/>
  <c r="N556" i="4"/>
  <c r="N752" i="4"/>
  <c r="N801" i="4"/>
  <c r="N433" i="4"/>
  <c r="N969" i="4"/>
  <c r="N1072" i="4"/>
  <c r="N907" i="4"/>
  <c r="N541" i="4"/>
  <c r="N756" i="4"/>
  <c r="N624" i="4"/>
  <c r="N843" i="4"/>
  <c r="N639" i="4"/>
  <c r="N953" i="4"/>
  <c r="N407" i="4"/>
  <c r="N1312" i="4"/>
  <c r="N581" i="4"/>
  <c r="N1118" i="4"/>
  <c r="N958" i="4"/>
  <c r="N750" i="4"/>
  <c r="N796" i="4"/>
  <c r="N646" i="4"/>
  <c r="N982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4" i="4"/>
  <c r="N1135" i="4"/>
  <c r="N1052" i="4"/>
  <c r="N1251" i="4"/>
  <c r="N698" i="4"/>
  <c r="N377" i="4"/>
  <c r="N1138" i="4"/>
  <c r="N994" i="4"/>
  <c r="N1139" i="4"/>
  <c r="N1278" i="4"/>
  <c r="N820" i="4"/>
  <c r="N931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7" i="4"/>
  <c r="N1309" i="4"/>
  <c r="N1221" i="4"/>
  <c r="N1256" i="4"/>
  <c r="N440" i="4"/>
  <c r="N386" i="4"/>
  <c r="N987" i="4"/>
  <c r="N818" i="4"/>
  <c r="N447" i="4"/>
  <c r="N765" i="4"/>
  <c r="N847" i="4"/>
  <c r="N840" i="4"/>
  <c r="N588" i="4"/>
  <c r="N1266" i="4"/>
  <c r="N978" i="4"/>
  <c r="N918" i="4"/>
  <c r="N574" i="4"/>
  <c r="N1283" i="4"/>
  <c r="N727" i="4"/>
  <c r="N456" i="4"/>
  <c r="N1174" i="4"/>
  <c r="N487" i="4"/>
  <c r="N681" i="4"/>
  <c r="N429" i="4"/>
  <c r="N320" i="4"/>
  <c r="N856" i="4"/>
  <c r="N771" i="4"/>
  <c r="N1223" i="4"/>
  <c r="N395" i="4"/>
  <c r="N999" i="4"/>
  <c r="N1157" i="4"/>
  <c r="N508" i="4"/>
  <c r="N567" i="4"/>
  <c r="N463" i="4"/>
  <c r="N697" i="4"/>
  <c r="N1141" i="4"/>
  <c r="N925" i="4"/>
  <c r="N425" i="4"/>
  <c r="N1067" i="4"/>
  <c r="N1294" i="4"/>
  <c r="N1127" i="4"/>
  <c r="N793" i="4"/>
  <c r="N845" i="4"/>
  <c r="N1311" i="4"/>
  <c r="N1097" i="4"/>
  <c r="N606" i="4"/>
  <c r="N687" i="4"/>
  <c r="N1080" i="4"/>
  <c r="N717" i="4"/>
  <c r="N677" i="4"/>
  <c r="N957" i="4"/>
  <c r="N725" i="4"/>
  <c r="N1048" i="4"/>
  <c r="N423" i="4"/>
  <c r="N515" i="4"/>
  <c r="N502" i="4"/>
  <c r="N899" i="4"/>
  <c r="N412" i="4"/>
  <c r="N1205" i="4"/>
  <c r="N1186" i="4"/>
  <c r="N1281" i="4"/>
  <c r="N671" i="4"/>
  <c r="N990" i="4"/>
  <c r="N807" i="4"/>
  <c r="N1172" i="4"/>
  <c r="N1143" i="4"/>
  <c r="N540" i="4"/>
  <c r="N670" i="4"/>
  <c r="N573" i="4"/>
  <c r="N1291" i="4"/>
  <c r="N1178" i="4"/>
  <c r="N967" i="4"/>
  <c r="N777" i="4"/>
  <c r="N403" i="4"/>
  <c r="N1016" i="4"/>
  <c r="N551" i="4"/>
  <c r="N970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5" i="4"/>
  <c r="N497" i="4"/>
  <c r="N1130" i="4"/>
  <c r="N643" i="4"/>
  <c r="N554" i="4"/>
  <c r="N492" i="4"/>
  <c r="N1032" i="4"/>
  <c r="N327" i="4"/>
  <c r="N775" i="4"/>
  <c r="N612" i="4"/>
  <c r="N842" i="4"/>
  <c r="N1070" i="4"/>
  <c r="N566" i="4"/>
  <c r="N665" i="4"/>
  <c r="N1302" i="4"/>
  <c r="N710" i="4"/>
  <c r="N689" i="4"/>
  <c r="N822" i="4"/>
  <c r="N319" i="4"/>
  <c r="N1176" i="4"/>
  <c r="N1062" i="4"/>
  <c r="N663" i="4"/>
  <c r="N979" i="4"/>
  <c r="N1059" i="4"/>
  <c r="N1137" i="4"/>
  <c r="N322" i="4"/>
  <c r="N886" i="4"/>
  <c r="N486" i="4"/>
  <c r="N782" i="4"/>
  <c r="N449" i="4"/>
  <c r="N529" i="4"/>
  <c r="N1013" i="4"/>
  <c r="N905" i="4"/>
  <c r="N1307" i="4"/>
  <c r="N960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5" i="4"/>
  <c r="N468" i="4"/>
  <c r="N851" i="4"/>
  <c r="N1111" i="4"/>
  <c r="N694" i="4"/>
  <c r="N438" i="4"/>
  <c r="N869" i="4"/>
  <c r="N451" i="4"/>
  <c r="N1253" i="4"/>
  <c r="N367" i="4"/>
  <c r="N1021" i="4"/>
  <c r="N932" i="4"/>
  <c r="N582" i="4"/>
  <c r="N1296" i="4"/>
  <c r="N887" i="4"/>
  <c r="N428" i="4"/>
  <c r="N859" i="4"/>
  <c r="N929" i="4"/>
  <c r="N855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5" i="4"/>
  <c r="N431" i="4"/>
  <c r="N823" i="4"/>
  <c r="N479" i="4"/>
  <c r="N696" i="4"/>
  <c r="N903" i="4"/>
  <c r="N1252" i="4"/>
  <c r="N1019" i="4"/>
  <c r="N682" i="4"/>
  <c r="N550" i="4"/>
  <c r="N316" i="4"/>
  <c r="N1122" i="4"/>
  <c r="N1227" i="4"/>
  <c r="N922" i="4"/>
  <c r="N892" i="4"/>
  <c r="N662" i="4"/>
  <c r="N380" i="4"/>
  <c r="N1194" i="4"/>
  <c r="N1015" i="4"/>
  <c r="N1124" i="4"/>
  <c r="N880" i="4"/>
  <c r="N753" i="4"/>
  <c r="N346" i="4"/>
  <c r="N401" i="4"/>
  <c r="N1271" i="4"/>
  <c r="N1193" i="4"/>
  <c r="N890" i="4"/>
  <c r="N785" i="4"/>
  <c r="N609" i="4"/>
  <c r="N911" i="4"/>
  <c r="N1108" i="4"/>
  <c r="N595" i="4"/>
  <c r="N685" i="4"/>
  <c r="N757" i="4"/>
  <c r="N974" i="4"/>
  <c r="N971" i="4"/>
  <c r="N332" i="4"/>
  <c r="N857" i="4"/>
  <c r="N477" i="4"/>
  <c r="N399" i="4"/>
  <c r="N1206" i="4"/>
  <c r="N1204" i="4"/>
  <c r="N862" i="4"/>
  <c r="N799" i="4"/>
  <c r="N1199" i="4"/>
  <c r="N1011" i="4"/>
  <c r="N532" i="4"/>
  <c r="N1203" i="4"/>
  <c r="N455" i="4"/>
  <c r="N961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3" i="4" l="1"/>
  <c r="T4" i="4"/>
  <c r="T8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3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<sst xmlns="http://schemas.openxmlformats.org/spreadsheetml/2006/main" count="13124" uniqueCount="421">
  <si>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</si>
  <si>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</si>
  <si>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</si>
  <si>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</si>
  <si>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</si>
  <si>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</si>
  <si>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</si>
  <si>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</si>
  <si>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</si>
  <si>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</si>
  <si>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</si>
  <si>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</si>
  <si>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</si>
  <si>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</si>
  <si>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</si>
  <si>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</si>
  <si>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</si>
  <si>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</si>
  <si>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</si>
  <si>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</si>
  <si>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</si>
  <si>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</si>
  <si>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</si>
  <si>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</si>
  <si>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</si>
  <si>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</si>
  <si>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</si>
  <si>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</si>
  <si>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</si>
  <si>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</si>
  <si>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</si>
  <si>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</si>
  <si>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</si>
  <si>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</si>
  <si>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</si>
  <si>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</si>
  <si>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</si>
  <si>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</si>
  <si>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</si>
  <si>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</si>
  <si>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</si>
  <si>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</si>
  <si>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</si>
  <si>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</si>
  <si>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</si>
  <si>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</si>
  <si>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</si>
  <si>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</si>
  <si>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</si>
  <si>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</si>
  <si>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</si>
  <si>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</si>
  <si>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</si>
  <si>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</si>
  <si>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</si>
  <si>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</si>
  <si>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</si>
  <si>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</si>
  <si>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</si>
  <si>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</si>
  <si>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</si>
  <si>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</si>
  <si>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</si>
  <si>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</si>
  <si>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</si>
  <si>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</si>
  <si>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</si>
  <si>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</si>
  <si>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</si>
  <si>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</si>
  <si>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</si>
  <si>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</si>
  <si>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</si>
  <si>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</si>
  <si>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</si>
  <si>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</si>
  <si>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</si>
  <si>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</si>
  <si>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</si>
  <si>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</si>
  <si>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</si>
  <si>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</si>
  <si>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</si>
  <si>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</si>
  <si>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</si>
  <si>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</si>
  <si>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</si>
  <si>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</si>
  <si>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</si>
  <si>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</si>
  <si>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</si>
  <si>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</si>
  <si>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</si>
  <si>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</si>
  <si>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</si>
  <si>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</si>
  <si>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</si>
  <si>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</si>
  <si>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</si>
  <si>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</si>
  <si>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</si>
  <si>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</si>
  <si>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</si>
  <si>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</si>
  <si>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</si>
  <si>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</si>
  <si>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</si>
  <si>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</si>
  <si>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</si>
  <si>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</si>
  <si>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</si>
  <si>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</si>
  <si>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</si>
  <si>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</si>
  <si>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</si>
  <si>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</si>
  <si>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</si>
  <si>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</si>
  <si>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</si>
  <si>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</si>
  <si>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</si>
  <si>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</si>
  <si>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</si>
  <si>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</si>
  <si>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</si>
  <si>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</si>
  <si>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</si>
  <si>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</si>
  <si>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</si>
  <si>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</si>
  <si>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</si>
  <si>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</si>
  <si>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</si>
  <si>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</si>
  <si>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</si>
  <si>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</si>
  <si>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</si>
  <si>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</si>
  <si>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</si>
  <si>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</si>
  <si>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</si>
  <si>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</si>
  <si>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</si>
  <si>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</si>
  <si>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</si>
  <si>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</si>
  <si>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</si>
  <si>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</si>
  <si>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</si>
  <si>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</si>
  <si>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</si>
  <si>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</si>
  <si>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</si>
  <si>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</si>
  <si>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</si>
  <si>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</si>
  <si>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</si>
  <si>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</si>
  <si>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</si>
  <si>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</si>
  <si>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</si>
  <si>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</si>
  <si>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</si>
  <si>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</si>
  <si>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</si>
  <si>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</si>
  <si>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</si>
  <si>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</si>
  <si>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</si>
  <si>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</si>
  <si>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</si>
  <si>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</si>
  <si>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</si>
  <si>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</si>
  <si>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</si>
  <si>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</si>
  <si>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</si>
  <si>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</si>
  <si>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</si>
  <si>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</si>
  <si>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</si>
  <si>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</si>
  <si>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</si>
  <si>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</si>
  <si>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</si>
  <si>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</si>
  <si>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</si>
  <si>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</si>
  <si>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</si>
  <si>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</si>
  <si>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</si>
  <si>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</si>
  <si>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</si>
  <si>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</si>
  <si>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</si>
  <si>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</si>
  <si>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</si>
  <si>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</si>
  <si>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</si>
  <si>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</si>
  <si>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</si>
  <si>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</si>
  <si>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</si>
  <si>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</si>
  <si>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</si>
  <si>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</si>
  <si>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</si>
  <si>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</si>
  <si>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</si>
  <si>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</si>
  <si>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</si>
  <si>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</si>
  <si>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</si>
  <si>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</si>
  <si>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</si>
  <si>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</si>
  <si>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</si>
  <si>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</si>
  <si>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</si>
  <si>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</si>
  <si>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</si>
  <si>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</si>
  <si>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</si>
  <si>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</si>
  <si>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</si>
  <si>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</si>
  <si>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</si>
  <si>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</si>
  <si>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</si>
  <si>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</si>
  <si>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</si>
  <si>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</si>
  <si>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</si>
  <si>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</si>
  <si>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</si>
  <si>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</si>
  <si>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</si>
  <si>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</si>
  <si>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</si>
  <si>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</si>
  <si>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</si>
  <si>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</si>
  <si>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</si>
  <si>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</si>
  <si>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</si>
  <si>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</si>
  <si>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</si>
  <si>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</si>
  <si>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</si>
  <si>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</si>
  <si>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</si>
  <si>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</si>
  <si>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</si>
  <si>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</si>
  <si>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</si>
  <si>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</si>
  <si>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</si>
  <si>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</si>
  <si>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</si>
  <si>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</si>
  <si>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</si>
  <si>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</si>
  <si>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</si>
  <si>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</si>
  <si>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excel_confidence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</si>
  <si>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</si>
  <si>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</si>
  <si>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</si>
  <si>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</si>
  <si>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</si>
  <si>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</si>
  <si>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</si>
  <si>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</si>
  <si>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matchup</t>
  </si>
  <si>
    <t>ml_winner</t>
  </si>
  <si>
    <t>ml_away_score</t>
  </si>
  <si>
    <t>ml_home_score</t>
  </si>
  <si>
    <t>ml_ot</t>
  </si>
  <si>
    <t>ml_ot_prob</t>
  </si>
  <si>
    <t>ml_result</t>
  </si>
  <si>
    <t>excel_winner</t>
  </si>
  <si>
    <t>excel_away_score</t>
  </si>
  <si>
    <t>excel_home_score</t>
  </si>
  <si>
    <t>excel_ot</t>
  </si>
  <si>
    <t>excel_homeice</t>
  </si>
  <si>
    <t>actual_ot</t>
  </si>
  <si>
    <t>game_status</t>
  </si>
  <si>
    <t>recorded_at</t>
  </si>
  <si>
    <t>updated_at</t>
  </si>
  <si>
    <t>10:00:00 PM</t>
  </si>
  <si>
    <t>Utah Mammoth @ Anaheim Ducks</t>
  </si>
  <si>
    <t>✓ Won by Anaheim Ducks</t>
  </si>
  <si>
    <t>COMPLETED</t>
  </si>
  <si>
    <t>7:00:00 PM</t>
  </si>
  <si>
    <t>Carolina Hurricanes @ Boston Bruins</t>
  </si>
  <si>
    <t>Edmonton Oilers @ Buffalo Sabres</t>
  </si>
  <si>
    <t>✓ Won by Buffalo Sabres</t>
  </si>
  <si>
    <t>7:30:00 PM</t>
  </si>
  <si>
    <t>Montreal Canadiens @ Columbus Blue Jackets</t>
  </si>
  <si>
    <t>Vancouver Canucks @ Florida Panthers</t>
  </si>
  <si>
    <t>Los Angeles Kings @ Washington Capitals</t>
  </si>
  <si>
    <t>8:30:00 PM</t>
  </si>
  <si>
    <t>Calgary Flames @ Chicago Blackhawks</t>
  </si>
  <si>
    <t>✓ Won by Chicago Blackhawks</t>
  </si>
  <si>
    <t>8:00:00 PM</t>
  </si>
  <si>
    <t>New York Islanders @ Dallas Stars</t>
  </si>
  <si>
    <t>Seattle Kraken @ Detroit Red Wings</t>
  </si>
  <si>
    <t>✓ Won by Detroit Red Wings</t>
  </si>
  <si>
    <t>Utah Mammoth @ San Jose Sharks</t>
  </si>
  <si>
    <t>✓ Won by San Jose Sharks</t>
  </si>
  <si>
    <t>New Jersey Devils @ Tampa Bay Lightning</t>
  </si>
  <si>
    <t>St. Louis Blues @ Toronto Maple Leafs</t>
  </si>
  <si>
    <t>✓ Won by Toronto Maple Leafs</t>
  </si>
  <si>
    <t>New York Rangers @ Vegas Golden Knights</t>
  </si>
  <si>
    <t>Columbus Blue Jackets @ Winnipeg Jets</t>
  </si>
  <si>
    <t>✓ Won by Winnipeg Jets</t>
  </si>
  <si>
    <t>Boston Bruins @ Anaheim Ducks</t>
  </si>
  <si>
    <t>Calgary Flames @ Buffalo Sabres</t>
  </si>
  <si>
    <t>9:30:00 PM</t>
  </si>
  <si>
    <t>Carolina Hurricanes @ Minnesota Wild</t>
  </si>
  <si>
    <t>Edmonton Oilers @ Washington Capitals</t>
  </si>
  <si>
    <t>✓ Won by Washington Capitals</t>
  </si>
  <si>
    <t>22:00:00</t>
  </si>
  <si>
    <t>Ottawa Senators @ Anaheim Ducks</t>
  </si>
  <si>
    <t>20:00:00</t>
  </si>
  <si>
    <t>Seattle Kraken @ Chicago Blackhawks</t>
  </si>
  <si>
    <t>21:00:00</t>
  </si>
  <si>
    <t>New York Rangers @ Colorado Avalanche</t>
  </si>
  <si>
    <t>19:00:00</t>
  </si>
  <si>
    <t>New York Islanders @ Detroit Red Wings</t>
  </si>
  <si>
    <t>New Jersey Devils @ Florida Panthers</t>
  </si>
  <si>
    <t>Washington Capitals @ Montreal Canadiens</t>
  </si>
  <si>
    <t>St. Louis Blues @ Philadelphia Flyers</t>
  </si>
  <si>
    <t>Los Angeles Kings @ San Jose Sharks</t>
  </si>
  <si>
    <t>19:30:00</t>
  </si>
  <si>
    <t>Edmonton Oilers @ Tampa Bay Lightning</t>
  </si>
  <si>
    <t>Columbus Blue Jackets @ Toronto Maple Leafs</t>
  </si>
  <si>
    <t>Vegas Golden Knights @ Utah Mammoth</t>
  </si>
  <si>
    <t>Dallas Stars @ Vancouver Canucks</t>
  </si>
  <si>
    <t>Chicago Blackhawks @ Buffalo Sabres</t>
  </si>
  <si>
    <t>22:30:00</t>
  </si>
  <si>
    <t>Boston Bruins @ Los Angeles Kings</t>
  </si>
  <si>
    <t>Minnesota Wild @ Pittsburgh Penguins</t>
  </si>
  <si>
    <t>✓ Won by Minnesota Wild</t>
  </si>
  <si>
    <t>Carolina Hurricanes @ Winnipeg Jets</t>
  </si>
  <si>
    <t>Vegas Golden Knights @ Anaheim Ducks</t>
  </si>
  <si>
    <t>Dallas Stars @ Calgary Flames</t>
  </si>
  <si>
    <t>13:00:00</t>
  </si>
  <si>
    <t>Columbus Blue Jackets @ Detroit Red Wings</t>
  </si>
  <si>
    <t>Edmonton Oilers @ Florida Panthers</t>
  </si>
  <si>
    <t>Toronto Maple Leafs @ Montreal Canadiens</t>
  </si>
  <si>
    <t>Colorado Avalanche @ Nashville Predators</t>
  </si>
  <si>
    <t>15:30:00</t>
  </si>
  <si>
    <t>St. Louis Blues @ New York Islanders</t>
  </si>
  <si>
    <t>New Jersey Devils @ Philadelphia Flyers</t>
  </si>
  <si>
    <t>Seattle Kraken @ Pittsburgh Penguins</t>
  </si>
  <si>
    <t>Ottawa Senators @ San Jose Sharks</t>
  </si>
  <si>
    <t>New York Rangers @ Utah Mammoth</t>
  </si>
  <si>
    <t>Tampa Bay Lightning @ Washington Capitals</t>
  </si>
  <si>
    <t>2025-11-23 11:29:50</t>
  </si>
  <si>
    <t>✓ Won by Montreal Canadiens</t>
  </si>
  <si>
    <t>✓ Won by Colorado Avalanche</t>
  </si>
  <si>
    <t>✓ Won by Utah Mammoth</t>
  </si>
  <si>
    <t>Carolina Hurricanes @ Buffalo Sabres</t>
  </si>
  <si>
    <t>Colorado Avalanche @ Chicago Blackhawks</t>
  </si>
  <si>
    <t>17:00:00</t>
  </si>
  <si>
    <t>Seattle Kraken @ New York Islanders</t>
  </si>
  <si>
    <t>Boston Bruins @ San Jose Sharks</t>
  </si>
  <si>
    <t>Calgary Flames @ Vancouver Canucks</t>
  </si>
  <si>
    <t>16:00:00</t>
  </si>
  <si>
    <t>Minnesota Wild @ Winnipeg Jets</t>
  </si>
  <si>
    <t>2025-11-24 11:01:13</t>
  </si>
  <si>
    <t>✓ Won by Calgary Flames</t>
  </si>
  <si>
    <t>Ottawa Senators @ Los Angeles Kings</t>
  </si>
  <si>
    <t>Detroit Red Wings @ New Jersey Devils</t>
  </si>
  <si>
    <t>Florida Panthers @ Nashville Predators</t>
  </si>
  <si>
    <t>St. Louis Blues @ New York Rangers</t>
  </si>
  <si>
    <t>Philadelphia Flyers @ Tampa Bay Lightning</t>
  </si>
  <si>
    <t>Columbus Blue Jackets @ Washington Capitals</t>
  </si>
  <si>
    <t>False</t>
  </si>
  <si>
    <t>2025-11-24 11:23:07</t>
  </si>
  <si>
    <t>✗ Lost (predicted Boston Bruins, actual Carolina Hurricanes)</t>
  </si>
  <si>
    <t>✗ Lost (predicted Montreal Canadiens, actual Columbus Blue Jackets)</t>
  </si>
  <si>
    <t>✗ Lost (predicted Vancouver Canucks, actual Florida Panthers)</t>
  </si>
  <si>
    <t>✗ Lost (predicted Los Angeles Kings, actual Washington Capitals)</t>
  </si>
  <si>
    <t>✗ Lost (predicted Dallas Stars, actual New York Islanders)</t>
  </si>
  <si>
    <t>✗ Lost (predicted New Jersey Devils, actual Tampa Bay Lightning)</t>
  </si>
  <si>
    <t>✗ Lost (predicted New York Rangers, actual Vegas Golden Knights)</t>
  </si>
  <si>
    <t>✗ Lost (predicted Buffalo Sabres, actual Calgary Flames)</t>
  </si>
  <si>
    <t>✗ Lost (predicted Carolina Hurricanes, actual Minnesota Wild)</t>
  </si>
  <si>
    <t>✗ Lost (predicted Anaheim Ducks, actual Ottawa Senators)</t>
  </si>
  <si>
    <t>✗ Lost (predicted Chicago Blackhawks, actual Seattle Kraken)</t>
  </si>
  <si>
    <t>✗ Lost (predicted Detroit Red Wings, actual New York Islanders)</t>
  </si>
  <si>
    <t>✓ Won by Florida Panthers</t>
  </si>
  <si>
    <t>✗ Lost (predicted Montreal Canadiens, actual Washington Capitals)</t>
  </si>
  <si>
    <t>✓ Won by Philadelphia Flyers</t>
  </si>
  <si>
    <t>✗ Lost (predicted Los Angeles Kings, actual San Jose Sharks)</t>
  </si>
  <si>
    <t>✓ Won by Tampa Bay Lightning</t>
  </si>
  <si>
    <t>✗ Lost (predicted Toronto Maple Leafs, actual Columbus Blue Jackets)</t>
  </si>
  <si>
    <t>✗ Lost (predicted Utah Mammoth, actual Vegas Golden Knights)</t>
  </si>
  <si>
    <t>✓ Won by Dallas Stars</t>
  </si>
  <si>
    <t>✗ Lost (predicted Chicago Blackhawks, actual Buffalo Sabres)</t>
  </si>
  <si>
    <t>✗ Lost (predicted Los Angeles Kings, actual Boston Bruins)</t>
  </si>
  <si>
    <t>✗ Lost (predicted Winnipeg Jets, actual Carolina Hurricanes)</t>
  </si>
  <si>
    <t>✗ Lost (predicted Dallas Stars, actual Calgary Flames)</t>
  </si>
  <si>
    <t>✗ Lost (predicted Florida Panthers, actual Edmonton Oilers)</t>
  </si>
  <si>
    <t>✗ Lost (predicted New York Islanders, actual St. Louis Blues)</t>
  </si>
  <si>
    <t>✗ Lost (predicted New Jersey Devils, actual Philadelphia Flyers)</t>
  </si>
  <si>
    <t>✗ Lost (predicted Pittsburgh Penguins, actual Seattle Kraken)</t>
  </si>
  <si>
    <t>✗ Lost (predicted San Jose Sharks, actual Ottawa Senators)</t>
  </si>
  <si>
    <t>✗ Lost (predicted Washington Capitals, actual Tampa Bay Lightning)</t>
  </si>
  <si>
    <t>✗ Lost (predicted Carolina Hurricanes, actual Buffalo Sabres)</t>
  </si>
  <si>
    <t>✗ Lost (predicted Seattle Kraken, actual New York Islanders)</t>
  </si>
  <si>
    <t>✗ Lost (predicted Winnipeg Jets, actual Minnesota Wild)</t>
  </si>
  <si>
    <t>✗ Lost (predicted Ottawa Senators, actual nan)</t>
  </si>
  <si>
    <t>✗ Lost (predicted New Jersey Devils, actual nan)</t>
  </si>
  <si>
    <t>✗ Lost (predicted Florida Panthers, actual nan)</t>
  </si>
  <si>
    <t>✗ Lost (predicted New York Rangers, actual nan)</t>
  </si>
  <si>
    <t>✗ Lost (predicted Tampa Bay Lightning, actual nan)</t>
  </si>
  <si>
    <t>✗ Lost (predicted Utah Mammoth, actual nan)</t>
  </si>
  <si>
    <t>✗ Lost (predicted Washington Capitals, actual nan)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</si>
</sst>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1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  <xf numFmtId="0" fontId="0" fillId="0" borderId="0" xfId="1" applyNumberFormat="1" applyFont="1"/>
  </cellXfs>
  <cellStyles count="2">
    <cellStyle name="Normal" xfId="0" builtinId="0"/>
    <cellStyle name="Percent" xfId="1" builtinId="5"/>
  </cellStyles>
  <dxfs count="8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70.392827083335" createdVersion="8" refreshedVersion="8" minRefreshableVersion="3" recordCount="32" xr:uid="{08FE906C-B966-1C47-96E4-36DEA2271602}">
  <cacheSource type="worksheet">
    <worksheetSource name="Table1"/>
  </cacheSource>
  <cacheFields count="14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13" maxValue="16"/>
    </cacheField>
    <cacheField name="W" numFmtId="0">
      <sharedItems containsSemiMixedTypes="0" containsString="0" containsNumber="1" containsInteger="1" minValue="4" maxValue="10"/>
    </cacheField>
    <cacheField name="L" numFmtId="0">
      <sharedItems containsSemiMixedTypes="0" containsString="0" containsNumber="1" containsInteger="1" minValue="1" maxValue="10"/>
    </cacheField>
    <cacheField name="OTL" numFmtId="0">
      <sharedItems containsSemiMixedTypes="0" containsString="0" containsNumber="1" containsInteger="1" minValue="0" maxValue="5"/>
    </cacheField>
    <cacheField name="PTS" numFmtId="0">
      <sharedItems containsSemiMixedTypes="0" containsString="0" containsNumber="1" containsInteger="1" minValue="10" maxValue="21"/>
    </cacheField>
    <cacheField name="HomeWins" numFmtId="0">
      <sharedItems containsSemiMixedTypes="0" containsString="0" containsNumber="1" containsInteger="1" minValue="0" maxValue="7"/>
    </cacheField>
    <cacheField name="HomeLoss" numFmtId="0">
      <sharedItems containsSemiMixedTypes="0" containsString="0" containsNumber="1" containsInteger="1" minValue="0" maxValue="5"/>
    </cacheField>
    <cacheField name="HomeOTL" numFmtId="0">
      <sharedItems containsSemiMixedTypes="0" containsString="0" containsNumber="1" containsInteger="1" minValue="0" maxValue="3"/>
    </cacheField>
    <cacheField name="AwayWins" numFmtId="0">
      <sharedItems containsSemiMixedTypes="0" containsString="0" containsNumber="1" containsInteger="1" minValue="0" maxValue="7"/>
    </cacheField>
    <cacheField name="AwayLoss" numFmtId="0">
      <sharedItems containsSemiMixedTypes="0" containsString="0" containsNumber="1" containsInteger="1" minValue="1" maxValue="6"/>
    </cacheField>
    <cacheField name="AwayOTL" numFmtId="0">
      <sharedItems containsSemiMixedTypes="0" containsString="0" containsNumber="1" containsInteger="1" minValue="0" maxValue="3"/>
    </cacheField>
    <cacheField name="HomeWin%" numFmtId="9">
      <sharedItems containsSemiMixedTypes="0" containsString="0" containsNumber="1" minValue="0" maxValue="1"/>
    </cacheField>
    <cacheField name="AwayWin%" numFmtId="9">
      <sharedItems containsSemiMixedTypes="0" containsString="0" containsNumber="1" minValue="0" maxValue="0.7777777777777777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78.574677430559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1.6211574240381006" maxValue="1.547501359148976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13"/>
    <n v="9"/>
    <n v="3"/>
    <n v="1"/>
    <n v="19"/>
    <n v="4"/>
    <n v="1"/>
    <n v="0"/>
    <n v="5"/>
    <n v="2"/>
    <n v="1"/>
    <n v="0.8"/>
    <n v="0.625"/>
  </r>
  <r>
    <x v="1"/>
    <n v="16"/>
    <n v="9"/>
    <n v="7"/>
    <n v="0"/>
    <n v="18"/>
    <n v="7"/>
    <n v="3"/>
    <n v="0"/>
    <n v="2"/>
    <n v="4"/>
    <n v="0"/>
    <n v="0.7"/>
    <n v="0.33333333333333331"/>
  </r>
  <r>
    <x v="2"/>
    <n v="14"/>
    <n v="5"/>
    <n v="5"/>
    <n v="4"/>
    <n v="14"/>
    <n v="5"/>
    <n v="3"/>
    <n v="2"/>
    <n v="0"/>
    <n v="2"/>
    <n v="2"/>
    <n v="0.5"/>
    <n v="0"/>
  </r>
  <r>
    <x v="3"/>
    <n v="16"/>
    <n v="4"/>
    <n v="10"/>
    <n v="2"/>
    <n v="10"/>
    <n v="2"/>
    <n v="4"/>
    <n v="1"/>
    <n v="2"/>
    <n v="6"/>
    <n v="1"/>
    <n v="0.2857142857142857"/>
    <n v="0.22222222222222221"/>
  </r>
  <r>
    <x v="4"/>
    <n v="13"/>
    <n v="9"/>
    <n v="4"/>
    <n v="0"/>
    <n v="18"/>
    <n v="4"/>
    <n v="1"/>
    <n v="0"/>
    <n v="5"/>
    <n v="3"/>
    <n v="0"/>
    <n v="0.8"/>
    <n v="0.625"/>
  </r>
  <r>
    <x v="5"/>
    <n v="15"/>
    <n v="7"/>
    <n v="5"/>
    <n v="3"/>
    <n v="17"/>
    <n v="3"/>
    <n v="2"/>
    <n v="1"/>
    <n v="4"/>
    <n v="3"/>
    <n v="2"/>
    <n v="0.5"/>
    <n v="0.44444444444444442"/>
  </r>
  <r>
    <x v="6"/>
    <n v="14"/>
    <n v="8"/>
    <n v="1"/>
    <n v="5"/>
    <n v="21"/>
    <n v="4"/>
    <n v="0"/>
    <n v="2"/>
    <n v="4"/>
    <n v="1"/>
    <n v="3"/>
    <n v="0.66666666666666663"/>
    <n v="0.5"/>
  </r>
  <r>
    <x v="7"/>
    <n v="13"/>
    <n v="7"/>
    <n v="6"/>
    <n v="0"/>
    <n v="14"/>
    <n v="3"/>
    <n v="3"/>
    <n v="0"/>
    <n v="4"/>
    <n v="3"/>
    <n v="0"/>
    <n v="0.5"/>
    <n v="0.5714285714285714"/>
  </r>
  <r>
    <x v="8"/>
    <n v="14"/>
    <n v="7"/>
    <n v="4"/>
    <n v="3"/>
    <n v="17"/>
    <n v="4"/>
    <n v="3"/>
    <n v="1"/>
    <n v="3"/>
    <n v="1"/>
    <n v="2"/>
    <n v="0.5"/>
    <n v="0.5"/>
  </r>
  <r>
    <x v="9"/>
    <n v="15"/>
    <n v="9"/>
    <n v="6"/>
    <n v="0"/>
    <n v="18"/>
    <n v="5"/>
    <n v="2"/>
    <n v="0"/>
    <n v="4"/>
    <n v="4"/>
    <n v="0"/>
    <n v="0.7142857142857143"/>
    <n v="0.5"/>
  </r>
  <r>
    <x v="10"/>
    <n v="15"/>
    <n v="6"/>
    <n v="5"/>
    <n v="4"/>
    <n v="16"/>
    <n v="4"/>
    <n v="0"/>
    <n v="2"/>
    <n v="2"/>
    <n v="5"/>
    <n v="2"/>
    <n v="0.66666666666666663"/>
    <n v="0.22222222222222221"/>
  </r>
  <r>
    <x v="11"/>
    <n v="14"/>
    <n v="7"/>
    <n v="6"/>
    <n v="1"/>
    <n v="15"/>
    <n v="5"/>
    <n v="1"/>
    <n v="1"/>
    <n v="2"/>
    <n v="5"/>
    <n v="0"/>
    <n v="0.7142857142857143"/>
    <n v="0.2857142857142857"/>
  </r>
  <r>
    <x v="12"/>
    <n v="15"/>
    <n v="6"/>
    <n v="5"/>
    <n v="4"/>
    <n v="16"/>
    <n v="1"/>
    <n v="4"/>
    <n v="2"/>
    <n v="5"/>
    <n v="1"/>
    <n v="2"/>
    <n v="0.14285714285714285"/>
    <n v="0.625"/>
  </r>
  <r>
    <x v="13"/>
    <n v="16"/>
    <n v="6"/>
    <n v="7"/>
    <n v="3"/>
    <n v="15"/>
    <n v="3"/>
    <n v="3"/>
    <n v="2"/>
    <n v="3"/>
    <n v="4"/>
    <n v="1"/>
    <n v="0.375"/>
    <n v="0.375"/>
  </r>
  <r>
    <x v="14"/>
    <n v="14"/>
    <n v="9"/>
    <n v="3"/>
    <n v="2"/>
    <n v="20"/>
    <n v="4"/>
    <n v="1"/>
    <n v="1"/>
    <n v="5"/>
    <n v="2"/>
    <n v="1"/>
    <n v="0.66666666666666663"/>
    <n v="0.625"/>
  </r>
  <r>
    <x v="15"/>
    <n v="16"/>
    <n v="5"/>
    <n v="7"/>
    <n v="4"/>
    <n v="14"/>
    <n v="4"/>
    <n v="4"/>
    <n v="2"/>
    <n v="1"/>
    <n v="3"/>
    <n v="2"/>
    <n v="0.4"/>
    <n v="0.16666666666666666"/>
  </r>
  <r>
    <x v="16"/>
    <n v="14"/>
    <n v="10"/>
    <n v="4"/>
    <n v="0"/>
    <n v="20"/>
    <n v="6"/>
    <n v="0"/>
    <n v="0"/>
    <n v="4"/>
    <n v="4"/>
    <n v="0"/>
    <n v="1"/>
    <n v="0.5"/>
  </r>
  <r>
    <x v="17"/>
    <n v="14"/>
    <n v="6"/>
    <n v="6"/>
    <n v="2"/>
    <n v="14"/>
    <n v="4"/>
    <n v="3"/>
    <n v="1"/>
    <n v="2"/>
    <n v="3"/>
    <n v="1"/>
    <n v="0.5"/>
    <n v="0.33333333333333331"/>
  </r>
  <r>
    <x v="18"/>
    <n v="15"/>
    <n v="7"/>
    <n v="6"/>
    <n v="2"/>
    <n v="16"/>
    <n v="0"/>
    <n v="5"/>
    <n v="1"/>
    <n v="7"/>
    <n v="1"/>
    <n v="1"/>
    <n v="0"/>
    <n v="0.77777777777777779"/>
  </r>
  <r>
    <x v="19"/>
    <n v="14"/>
    <n v="6"/>
    <n v="5"/>
    <n v="3"/>
    <n v="15"/>
    <n v="4"/>
    <n v="2"/>
    <n v="1"/>
    <n v="2"/>
    <n v="3"/>
    <n v="2"/>
    <n v="0.5714285714285714"/>
    <n v="0.2857142857142857"/>
  </r>
  <r>
    <x v="20"/>
    <n v="14"/>
    <n v="8"/>
    <n v="5"/>
    <n v="1"/>
    <n v="17"/>
    <n v="6"/>
    <n v="3"/>
    <n v="0"/>
    <n v="2"/>
    <n v="2"/>
    <n v="1"/>
    <n v="0.66666666666666663"/>
    <n v="0.4"/>
  </r>
  <r>
    <x v="21"/>
    <n v="15"/>
    <n v="9"/>
    <n v="4"/>
    <n v="2"/>
    <n v="20"/>
    <n v="4"/>
    <n v="1"/>
    <n v="1"/>
    <n v="5"/>
    <n v="3"/>
    <n v="1"/>
    <n v="0.66666666666666663"/>
    <n v="0.55555555555555558"/>
  </r>
  <r>
    <x v="22"/>
    <n v="15"/>
    <n v="6"/>
    <n v="6"/>
    <n v="3"/>
    <n v="15"/>
    <n v="3"/>
    <n v="3"/>
    <n v="3"/>
    <n v="3"/>
    <n v="3"/>
    <n v="0"/>
    <n v="0.33333333333333331"/>
    <n v="0.5"/>
  </r>
  <r>
    <x v="23"/>
    <n v="13"/>
    <n v="6"/>
    <n v="3"/>
    <n v="4"/>
    <n v="16"/>
    <n v="4"/>
    <n v="1"/>
    <n v="2"/>
    <n v="2"/>
    <n v="2"/>
    <n v="2"/>
    <n v="0.5714285714285714"/>
    <n v="0.33333333333333331"/>
  </r>
  <r>
    <x v="24"/>
    <n v="15"/>
    <n v="5"/>
    <n v="8"/>
    <n v="2"/>
    <n v="12"/>
    <n v="2"/>
    <n v="4"/>
    <n v="2"/>
    <n v="3"/>
    <n v="4"/>
    <n v="0"/>
    <n v="0.25"/>
    <n v="0.42857142857142855"/>
  </r>
  <r>
    <x v="25"/>
    <n v="14"/>
    <n v="7"/>
    <n v="5"/>
    <n v="2"/>
    <n v="16"/>
    <n v="3"/>
    <n v="3"/>
    <n v="0"/>
    <n v="4"/>
    <n v="2"/>
    <n v="2"/>
    <n v="0.5"/>
    <n v="0.5"/>
  </r>
  <r>
    <x v="26"/>
    <n v="14"/>
    <n v="8"/>
    <n v="5"/>
    <n v="1"/>
    <n v="17"/>
    <n v="7"/>
    <n v="2"/>
    <n v="1"/>
    <n v="1"/>
    <n v="3"/>
    <n v="0"/>
    <n v="0.7"/>
    <n v="0.25"/>
  </r>
  <r>
    <x v="27"/>
    <n v="14"/>
    <n v="9"/>
    <n v="5"/>
    <n v="0"/>
    <n v="18"/>
    <n v="4"/>
    <n v="1"/>
    <n v="0"/>
    <n v="5"/>
    <n v="4"/>
    <n v="0"/>
    <n v="0.8"/>
    <n v="0.55555555555555558"/>
  </r>
  <r>
    <x v="28"/>
    <n v="15"/>
    <n v="7"/>
    <n v="8"/>
    <n v="0"/>
    <n v="14"/>
    <n v="2"/>
    <n v="4"/>
    <n v="0"/>
    <n v="5"/>
    <n v="4"/>
    <n v="0"/>
    <n v="0.33333333333333331"/>
    <n v="0.55555555555555558"/>
  </r>
  <r>
    <x v="29"/>
    <n v="13"/>
    <n v="7"/>
    <n v="3"/>
    <n v="3"/>
    <n v="17"/>
    <n v="4"/>
    <n v="2"/>
    <n v="1"/>
    <n v="3"/>
    <n v="1"/>
    <n v="2"/>
    <n v="0.5714285714285714"/>
    <n v="0.5"/>
  </r>
  <r>
    <x v="30"/>
    <n v="14"/>
    <n v="7"/>
    <n v="6"/>
    <n v="1"/>
    <n v="15"/>
    <n v="4"/>
    <n v="4"/>
    <n v="0"/>
    <n v="3"/>
    <n v="2"/>
    <n v="1"/>
    <n v="0.5"/>
    <n v="0.5"/>
  </r>
  <r>
    <x v="31"/>
    <n v="14"/>
    <n v="9"/>
    <n v="5"/>
    <n v="0"/>
    <n v="18"/>
    <n v="5"/>
    <n v="3"/>
    <n v="0"/>
    <n v="4"/>
    <n v="2"/>
    <n v="0"/>
    <n v="0.625"/>
    <n v="0.6666666666666666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51775546328552802"/>
  </r>
  <r>
    <x v="1"/>
    <n v="4.029141914856392E-2"/>
  </r>
  <r>
    <x v="2"/>
    <n v="-0.8683412362501769"/>
  </r>
  <r>
    <x v="3"/>
    <n v="-1.3903684122795328"/>
  </r>
  <r>
    <x v="4"/>
    <n v="0.67193921242367816"/>
  </r>
  <r>
    <x v="5"/>
    <n v="0.30570968833820172"/>
  </r>
  <r>
    <x v="6"/>
    <n v="1.5475013591489768"/>
  </r>
  <r>
    <x v="7"/>
    <n v="-0.40822279081308277"/>
  </r>
  <r>
    <x v="8"/>
    <n v="0.19809534061227302"/>
  </r>
  <r>
    <x v="9"/>
    <n v="-0.513643833119658"/>
  </r>
  <r>
    <x v="10"/>
    <n v="-0.61980804137564283"/>
  </r>
  <r>
    <x v="11"/>
    <n v="-0.28105923893144158"/>
  </r>
  <r>
    <x v="12"/>
    <n v="-7.5459708298993802E-2"/>
  </r>
  <r>
    <x v="13"/>
    <n v="-0.53650300840565446"/>
  </r>
  <r>
    <x v="14"/>
    <n v="-0.52437726201848234"/>
  </r>
  <r>
    <x v="15"/>
    <n v="-1.3516250707060606"/>
  </r>
  <r>
    <x v="16"/>
    <n v="0.559441163373953"/>
  </r>
  <r>
    <x v="17"/>
    <n v="-6.4729560818359025E-2"/>
  </r>
  <r>
    <x v="18"/>
    <n v="-0.30719665303039001"/>
  </r>
  <r>
    <x v="19"/>
    <n v="-0.40651947573390851"/>
  </r>
  <r>
    <x v="20"/>
    <n v="-0.51358590497437617"/>
  </r>
  <r>
    <x v="21"/>
    <n v="0.26289091192875702"/>
  </r>
  <r>
    <x v="22"/>
    <n v="-0.39418177254008485"/>
  </r>
  <r>
    <x v="23"/>
    <n v="-0.361361309178443"/>
  </r>
  <r>
    <x v="24"/>
    <n v="-1.6211574240381006"/>
  </r>
  <r>
    <x v="25"/>
    <n v="-0.11309445867623392"/>
  </r>
  <r>
    <x v="26"/>
    <n v="-0.635565543477981"/>
  </r>
  <r>
    <x v="27"/>
    <n v="-0.12212311954851815"/>
  </r>
  <r>
    <x v="28"/>
    <n v="-0.6902088310934803"/>
  </r>
  <r>
    <x v="29"/>
    <n v="-6.3745791019188943E-4"/>
  </r>
  <r>
    <x v="30"/>
    <n v="-6.1308839486784707E-2"/>
  </r>
  <r>
    <x v="31"/>
    <n v="0.10510525836976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4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E74AA801-A9EA-E94D-9F3C-64027CACC214}" autoFormatId="16" applyNumberFormats="0" applyBorderFormats="0" applyFontFormats="0" applyPatternFormats="0" applyAlignmentFormats="0" applyWidthHeightFormats="0">
  <queryTableRefresh nextId="28">
    <queryTableFields count="27">
      <queryTableField id="1" name="game_date" tableColumnId="1"/>
      <queryTableField id="2" name="game_time" tableColumnId="2"/>
      <queryTableField id="3" name="away_team" tableColumnId="3"/>
      <queryTableField id="4" name="home_team" tableColumnId="4"/>
      <queryTableField id="5" name="matchup" tableColumnId="5"/>
      <queryTableField id="6" name="ml_winner" tableColumnId="6"/>
      <queryTableField id="7" name="ml_away_score" tableColumnId="7"/>
      <queryTableField id="8" name="ml_home_score" tableColumnId="8"/>
      <queryTableField id="9" name="ml_confidence" tableColumnId="9"/>
      <queryTableField id="10" name="ml_ot" tableColumnId="10"/>
      <queryTableField id="11" name="ml_ot_prob" tableColumnId="11"/>
      <queryTableField id="12" name="ml_correct" tableColumnId="12"/>
      <queryTableField id="13" name="ml_result" tableColumnId="13"/>
      <queryTableField id="14" name="excel_winner" tableColumnId="14"/>
      <queryTableField id="15" name="excel_away_score" tableColumnId="15"/>
      <queryTableField id="16" name="excel_home_score" tableColumnId="16"/>
      <queryTableField id="17" name="excel_confidence" tableColumnId="17"/>
      <queryTableField id="18" name="excel_ot" tableColumnId="18"/>
      <queryTableField id="19" name="excel_homeice" tableColumnId="19"/>
      <queryTableField id="20" name="excel_correct" tableColumnId="20"/>
      <queryTableField id="21" name="actual_winner" tableColumnId="21"/>
      <queryTableField id="22" name="actual_away_score" tableColumnId="22"/>
      <queryTableField id="23" name="actual_home_score" tableColumnId="23"/>
      <queryTableField id="24" name="actual_ot" tableColumnId="24"/>
      <queryTableField id="25" name="game_status" tableColumnId="25"/>
      <queryTableField id="26" name="recorded_at" tableColumnId="26"/>
      <queryTableField id="27" name="updated_at" tableColumnId="2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79"/>
    <tableColumn id="3" xr3:uid="{2C87C5E2-BA51-8A42-89C8-535F9675CB8F}" uniqueName="3" name="Visitor" queryTableFieldId="3" dataDxfId="78"/>
    <tableColumn id="4" xr3:uid="{CE6ABB56-546F-BB46-9A09-2A1A92669C31}" uniqueName="4" name="G" queryTableFieldId="4" dataDxfId="77"/>
    <tableColumn id="5" xr3:uid="{C1234731-C200-EA4C-B756-2CA67776A39C}" uniqueName="5" name="Home" queryTableFieldId="5" dataDxfId="76"/>
    <tableColumn id="6" xr3:uid="{339325E9-BBA1-9A48-8657-C4AC5A969A45}" uniqueName="6" name="G_1" queryTableFieldId="6" dataDxfId="75"/>
    <tableColumn id="11" xr3:uid="{D5C53254-CDEF-7A46-97BA-0F3F94C9C0F8}" uniqueName="11" name="Column1" queryTableFieldId="11" dataDxfId="74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73"/>
    <tableColumn id="10" xr3:uid="{D8B4237A-01AB-6648-9F38-4F24C83C2F02}" uniqueName="10" name="Losing_G" queryTableFieldId="10" dataDxfId="7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6:J1318" totalsRowShown="0" headerRowDxfId="71" headerRowBorderDxfId="70" tableBorderDxfId="69">
  <autoFilter ref="D6:J1318" xr:uid="{082AB263-30A0-9143-A4CB-E8E85CF645DA}"/>
  <tableColumns count="7">
    <tableColumn id="1" xr3:uid="{A2DA1977-C625-F248-8922-D45BEAE345E6}" name="Visitor" dataDxfId="68"/>
    <tableColumn id="2" xr3:uid="{7F142366-1AE0-5D45-A506-465FBF578C3A}" name="G" dataDxfId="67"/>
    <tableColumn id="3" xr3:uid="{F73B07A5-94FF-C843-900F-F37684899EAA}" name="Home" dataDxfId="66"/>
    <tableColumn id="4" xr3:uid="{7D6FADB5-28D9-9449-ADC0-599788BF0B16}" name="G_1" dataDxfId="65"/>
    <tableColumn id="5" xr3:uid="{98CF2B62-3F88-D44B-AF59-BE4BB5C0604E}" name="HomeMargin" dataDxfId="64">
      <calculatedColumnFormula>Table3[[#This Row],[G_1]]-Table3[[#This Row],[G]]</calculatedColumnFormula>
    </tableColumn>
    <tableColumn id="6" xr3:uid="{FD0EC919-55F2-CA43-8B92-CA3E6283FCFD}" name="HomeForecast" dataDxfId="63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62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61" dataDxfId="60">
  <autoFilter ref="D1:R1313" xr:uid="{B940C27F-1AFD-1A45-A69A-42FED3D3591C}"/>
  <tableColumns count="15">
    <tableColumn id="1" xr3:uid="{27200A7D-FC6F-7D47-A38B-8116F873A9D8}" name="Date" dataDxfId="59"/>
    <tableColumn id="2" xr3:uid="{E6247AA5-111B-9544-9F6D-FFC524512888}" name="Time" dataDxfId="58"/>
    <tableColumn id="3" xr3:uid="{EDCD8AB3-2C72-284E-B537-7168C3C8687B}" name="Home" dataDxfId="57"/>
    <tableColumn id="4" xr3:uid="{EC6C1412-AAC2-6646-BF48-0D4526947D52}" name="Home Differential" dataDxfId="56">
      <calculatedColumnFormula>VLOOKUP(Table4[[#This Row],[Home]],'NHL Model'!$A$6:$B$38,2,FALSE)</calculatedColumnFormula>
    </tableColumn>
    <tableColumn id="5" xr3:uid="{67F5F1C4-5CC9-B648-BE7C-7E4EF3A85290}" name="Visitor" dataDxfId="55"/>
    <tableColumn id="6" xr3:uid="{84F489BE-33B4-0E4D-959D-E87A85C1D38D}" name="Away Differential" dataDxfId="54">
      <calculatedColumnFormula>VLOOKUP(Table4[[#This Row],[Visitor]],'NHL Model'!$A$6:$B$38,2,FALSE)</calculatedColumnFormula>
    </tableColumn>
    <tableColumn id="7" xr3:uid="{A6F9ABE3-1844-E54D-9016-325B538D2969}" name="HomeIce Differential" dataDxfId="53">
      <calculatedColumnFormula>($B$1+Table4[[#This Row],[Home Differential]])-Table4[[#This Row],[Away Differential]]</calculatedColumnFormula>
    </tableColumn>
    <tableColumn id="8" xr3:uid="{8FFD520F-0CF9-9D4A-93B6-B45373384612}" name="Predicted Winner" dataDxfId="52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51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50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49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48"/>
    <tableColumn id="13" xr3:uid="{F50D85A3-D772-F247-BFBE-86E765FD0BF6}" name="Locked Correct" dataDxfId="47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6">
  <autoFilter ref="A1:R33" xr:uid="{1B34B514-E1CC-0949-A7DD-8D37387465DD}"/>
  <tableColumns count="18">
    <tableColumn id="1" xr3:uid="{C9F77F0F-7B0D-CC44-9D34-395D1E3FA55B}" name="Team" dataDxfId="45"/>
    <tableColumn id="2" xr3:uid="{4080CFDD-7980-DD4D-A4DE-25DB03E50B7C}" name="GP" dataDxfId="44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43">
      <calculatedColumnFormula>COUNTIFS('NHL2025-26Results'!$H:$H,A2,'NHL2025-26Results'!$F:$F,"")</calculatedColumnFormula>
    </tableColumn>
    <tableColumn id="5" xr3:uid="{5EA2DCC3-F71A-5A40-B3F3-8F2F8CB0A7CE}" name="OTL" dataDxfId="42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41">
      <calculatedColumnFormula>(Table1[[#This Row],[W]]*2)+Table1[[#This Row],[OTL]]</calculatedColumnFormula>
    </tableColumn>
    <tableColumn id="7" xr3:uid="{40EA95E8-9958-E040-A5BE-EC17EEDC1CBD}" name="HomeWins" dataDxfId="40">
      <calculatedColumnFormula>COUNTIFS('NHL2025-26Results'!$D:$D,A2,'NHL2025-26Results'!$G:$G,A2)</calculatedColumnFormula>
    </tableColumn>
    <tableColumn id="9" xr3:uid="{F3FA5C24-502A-6446-A4B9-25DB670D2CB7}" name="HomeLoss" dataDxfId="39">
      <calculatedColumnFormula>COUNTIFS('NHL2025-26Results'!$D:$D,A2,'NHL2025-26Results'!$H:$H,A2,'NHL2025-26Results'!$F:$F,"")</calculatedColumnFormula>
    </tableColumn>
    <tableColumn id="8" xr3:uid="{999F1273-113E-7F4B-990E-AC7B23C4A496}" name="HomeOTL" dataDxfId="38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7">
      <calculatedColumnFormula>COUNTIFS('NHL2025-26Results'!$B:$B,A2,'NHL2025-26Results'!$G:$G,A2)</calculatedColumnFormula>
    </tableColumn>
    <tableColumn id="10" xr3:uid="{1A63BDD0-5CF0-0C48-B684-3675FC716427}" name="AwayLoss" dataDxfId="36">
      <calculatedColumnFormula>COUNTIFS('NHL2025-26Results'!$B:$B,A2,'NHL2025-26Results'!$H:$H,A2,'NHL2025-26Results'!$F:$F,"")</calculatedColumnFormula>
    </tableColumn>
    <tableColumn id="12" xr3:uid="{59628040-0BA7-5042-BB5A-1E9D40ABC469}" name="AwayOTL" dataDxfId="35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34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33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32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31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2332789-251B-774B-AB2B-8BB4F3AFC4B8}" name="nhl_predictions_daily_migrated" displayName="nhl_predictions_daily_migrated" ref="A1:AA60" tableType="queryTable" totalsRowShown="0">
  <autoFilter ref="A1:AA60" xr:uid="{F2332789-251B-774B-AB2B-8BB4F3AFC4B8}"/>
  <tableColumns count="27">
    <tableColumn id="1" xr3:uid="{A82D8364-7061-A147-9648-1020427F222D}" uniqueName="1" name="game_date" queryTableFieldId="1" dataDxfId="25"/>
    <tableColumn id="2" xr3:uid="{2F0B0F85-AE68-C84D-ABF4-9C9BD4BCDE1A}" uniqueName="2" name="game_time" queryTableFieldId="2" dataDxfId="24"/>
    <tableColumn id="3" xr3:uid="{E190D701-E48A-4849-B026-83F6843A3F7C}" uniqueName="3" name="away_team" queryTableFieldId="3" dataDxfId="23"/>
    <tableColumn id="4" xr3:uid="{D8A87A5E-45E9-434D-B896-A1AC29AE2193}" uniqueName="4" name="home_team" queryTableFieldId="4" dataDxfId="22"/>
    <tableColumn id="5" xr3:uid="{F866A432-CB2E-1344-BB8E-B02DE09CEE39}" uniqueName="5" name="matchup" queryTableFieldId="5" dataDxfId="21"/>
    <tableColumn id="6" xr3:uid="{321205EB-FCDC-FF42-A5BC-028328229DA9}" uniqueName="6" name="ml_winner" queryTableFieldId="6" dataDxfId="20"/>
    <tableColumn id="7" xr3:uid="{1146F8DC-3374-2845-B506-3428513D1030}" uniqueName="7" name="ml_away_score" queryTableFieldId="7" dataDxfId="19"/>
    <tableColumn id="8" xr3:uid="{04F6AA09-904F-E441-9223-5D3EABA2C9DE}" uniqueName="8" name="ml_home_score" queryTableFieldId="8" dataDxfId="18"/>
    <tableColumn id="9" xr3:uid="{A52E9546-F206-504B-B50C-DE483A5979F1}" uniqueName="9" name="ml_confidence" queryTableFieldId="9" dataDxfId="17" dataCellStyle="Percent"/>
    <tableColumn id="10" xr3:uid="{B0863A61-8896-F94A-9BD1-877DA74E944C}" uniqueName="10" name="ml_ot" queryTableFieldId="10" dataDxfId="16"/>
    <tableColumn id="11" xr3:uid="{0CEF2C0B-AEAC-D24C-B808-9E65DA36D85B}" uniqueName="11" name="ml_ot_prob" queryTableFieldId="11" dataDxfId="15"/>
    <tableColumn id="12" xr3:uid="{953F4783-1A2A-2049-B662-B96EC4C98B47}" uniqueName="12" name="ml_correct" queryTableFieldId="12" dataDxfId="14"/>
    <tableColumn id="13" xr3:uid="{01F9271B-BF28-974D-9DD2-7B2DE98B6F67}" uniqueName="13" name="ml_result" queryTableFieldId="13" dataDxfId="13"/>
    <tableColumn id="14" xr3:uid="{53D10B71-CBA8-8D4A-96BA-CDF21FB393EA}" uniqueName="14" name="excel_winner" queryTableFieldId="14" dataDxfId="12"/>
    <tableColumn id="15" xr3:uid="{BFE057F3-C344-6344-BBC6-D1E83F6B5653}" uniqueName="15" name="excel_away_score" queryTableFieldId="15" dataDxfId="11"/>
    <tableColumn id="16" xr3:uid="{95A37C51-0AFC-4B48-BDBD-9F547D067C1A}" uniqueName="16" name="excel_home_score" queryTableFieldId="16" dataDxfId="10"/>
    <tableColumn id="17" xr3:uid="{21361EAA-D669-0647-AB36-316C9A355B06}" uniqueName="17" name="excel_confidence" queryTableFieldId="17"/>
    <tableColumn id="18" xr3:uid="{C0D4B874-D9A3-F047-9F50-E1FD6B0B1717}" uniqueName="18" name="excel_ot" queryTableFieldId="18" dataDxfId="9"/>
    <tableColumn id="19" xr3:uid="{B5C6CD51-366A-5E4F-9D9D-FCD85DB91334}" uniqueName="19" name="excel_homeice" queryTableFieldId="19" dataDxfId="8"/>
    <tableColumn id="20" xr3:uid="{8A0C0F6C-7907-0B40-9DDC-02333190C939}" uniqueName="20" name="excel_correct" queryTableFieldId="20" dataDxfId="7"/>
    <tableColumn id="21" xr3:uid="{4F720508-4E4B-1843-AE1F-4E2016CC6849}" uniqueName="21" name="actual_winner" queryTableFieldId="21" dataDxfId="6"/>
    <tableColumn id="22" xr3:uid="{DF1197C5-5856-EF4D-BC04-6C080F1AD21B}" uniqueName="22" name="actual_away_score" queryTableFieldId="22" dataDxfId="5"/>
    <tableColumn id="23" xr3:uid="{521AC888-C59A-E842-8AF4-8F313E19B6CE}" uniqueName="23" name="actual_home_score" queryTableFieldId="23" dataDxfId="4"/>
    <tableColumn id="24" xr3:uid="{BBF8FDF8-3558-D043-9E29-97FCC0E90C92}" uniqueName="24" name="actual_ot" queryTableFieldId="24" dataDxfId="3"/>
    <tableColumn id="25" xr3:uid="{B3C51976-5727-A24B-9842-AC69798A596C}" uniqueName="25" name="game_status" queryTableFieldId="25" dataDxfId="2"/>
    <tableColumn id="26" xr3:uid="{C7B8AFAB-46A9-D04C-A7AF-56BEE52383BA}" uniqueName="26" name="recorded_at" queryTableFieldId="26" dataDxfId="1"/>
    <tableColumn id="27" xr3:uid="{0C0062D0-5688-D346-83F6-DF5908F6B02E}" uniqueName="27" name="updated_at" queryTableFieldId="2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336" workbookViewId="0">
      <selection activeCell="G354" sqref="G354:H1313"/>
    </sheetView>
  </sheetViews>
  <sheetFormatPr baseColWidth="10" defaultColWidth="10.83203125" defaultRowHeight="16" x14ac:dyDescent="0.2"/>
  <cols>
    <col min="1" max="1" width="10.5" bestFit="1" customWidth="1"/>
    <col min="2" max="2" width="19.83203125" bestFit="1" customWidth="1"/>
    <col min="3" max="3" width="5" bestFit="1" customWidth="1"/>
    <col min="4" max="4" width="19.83203125" bestFit="1" customWidth="1"/>
    <col min="5" max="5" width="6.83203125" bestFit="1" customWidth="1"/>
    <col min="6" max="6" width="11.1640625" bestFit="1" customWidth="1"/>
    <col min="7" max="8" width="19.83203125" bestFit="1" customWidth="1"/>
    <col min="9" max="9" width="12.5" bestFit="1" customWidth="1"/>
    <col min="10" max="10" width="11.332031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D354" t="s">
        <v>13</v>
      </c>
      <c r="F354" t="s">
        <v>60</v>
      </c>
    </row>
    <row r="355" spans="1:10" x14ac:dyDescent="0.2">
      <c r="A355" s="1" t="s">
        <v>223</v>
      </c>
      <c r="B355" t="s">
        <v>26</v>
      </c>
      <c r="D355" t="s">
        <v>24</v>
      </c>
      <c r="F355" t="s">
        <v>60</v>
      </c>
    </row>
    <row r="356" spans="1:10" x14ac:dyDescent="0.2">
      <c r="A356" s="1" t="s">
        <v>223</v>
      </c>
      <c r="B356" t="s">
        <v>11</v>
      </c>
      <c r="D356" t="s">
        <v>29</v>
      </c>
      <c r="F356" t="s">
        <v>60</v>
      </c>
    </row>
    <row r="357" spans="1:10" x14ac:dyDescent="0.2">
      <c r="A357" s="1" t="s">
        <v>223</v>
      </c>
      <c r="B357" t="s">
        <v>35</v>
      </c>
      <c r="D357" t="s">
        <v>15</v>
      </c>
      <c r="F357" t="s">
        <v>60</v>
      </c>
    </row>
    <row r="358" spans="1:10" x14ac:dyDescent="0.2">
      <c r="A358" s="1" t="s">
        <v>223</v>
      </c>
      <c r="B358" t="s">
        <v>27</v>
      </c>
      <c r="D358" t="s">
        <v>37</v>
      </c>
      <c r="F358" t="s">
        <v>60</v>
      </c>
    </row>
    <row r="359" spans="1:10" x14ac:dyDescent="0.2">
      <c r="A359" s="1" t="s">
        <v>223</v>
      </c>
      <c r="B359" t="s">
        <v>20</v>
      </c>
      <c r="D359" t="s">
        <v>55</v>
      </c>
      <c r="F359" t="s">
        <v>60</v>
      </c>
    </row>
    <row r="360" spans="1:10" x14ac:dyDescent="0.2">
      <c r="A360" s="1" t="s">
        <v>223</v>
      </c>
      <c r="B360" t="s">
        <v>28</v>
      </c>
      <c r="D360" t="s">
        <v>22</v>
      </c>
      <c r="F360" t="s">
        <v>60</v>
      </c>
    </row>
    <row r="361" spans="1:10" x14ac:dyDescent="0.2">
      <c r="A361" s="1" t="s">
        <v>224</v>
      </c>
      <c r="B361" t="s">
        <v>39</v>
      </c>
      <c r="D361" t="s">
        <v>17</v>
      </c>
      <c r="F361" t="s">
        <v>60</v>
      </c>
    </row>
    <row r="362" spans="1:10" x14ac:dyDescent="0.2">
      <c r="A362" s="1" t="s">
        <v>225</v>
      </c>
      <c r="B362" t="s">
        <v>38</v>
      </c>
      <c r="D362" t="s">
        <v>31</v>
      </c>
      <c r="F362" t="s">
        <v>60</v>
      </c>
    </row>
    <row r="363" spans="1:10" x14ac:dyDescent="0.2">
      <c r="A363" s="1" t="s">
        <v>225</v>
      </c>
      <c r="B363" t="s">
        <v>15</v>
      </c>
      <c r="D363" t="s">
        <v>25</v>
      </c>
      <c r="F363" t="s">
        <v>60</v>
      </c>
    </row>
    <row r="364" spans="1:10" x14ac:dyDescent="0.2">
      <c r="A364" s="1" t="s">
        <v>225</v>
      </c>
      <c r="B364" t="s">
        <v>19</v>
      </c>
      <c r="D364" t="s">
        <v>28</v>
      </c>
      <c r="F364" t="s">
        <v>60</v>
      </c>
    </row>
    <row r="365" spans="1:10" x14ac:dyDescent="0.2">
      <c r="A365" s="1" t="s">
        <v>225</v>
      </c>
      <c r="B365" t="s">
        <v>34</v>
      </c>
      <c r="D365" t="s">
        <v>10</v>
      </c>
      <c r="F365" t="s">
        <v>60</v>
      </c>
    </row>
    <row r="366" spans="1:10" x14ac:dyDescent="0.2">
      <c r="A366" s="1" t="s">
        <v>225</v>
      </c>
      <c r="B366" t="s">
        <v>33</v>
      </c>
      <c r="D366" t="s">
        <v>12</v>
      </c>
      <c r="F366" t="s">
        <v>60</v>
      </c>
    </row>
    <row r="367" spans="1:10" x14ac:dyDescent="0.2">
      <c r="A367" s="1" t="s">
        <v>225</v>
      </c>
      <c r="B367" t="s">
        <v>29</v>
      </c>
      <c r="D367" t="s">
        <v>26</v>
      </c>
      <c r="F367" t="s">
        <v>60</v>
      </c>
    </row>
    <row r="368" spans="1:10" x14ac:dyDescent="0.2">
      <c r="A368" s="1" t="s">
        <v>225</v>
      </c>
      <c r="B368" t="s">
        <v>27</v>
      </c>
      <c r="D368" t="s">
        <v>11</v>
      </c>
      <c r="F368" t="s">
        <v>60</v>
      </c>
    </row>
    <row r="369" spans="1:6" x14ac:dyDescent="0.2">
      <c r="A369" s="1" t="s">
        <v>225</v>
      </c>
      <c r="B369" t="s">
        <v>35</v>
      </c>
      <c r="D369" t="s">
        <v>24</v>
      </c>
      <c r="F369" t="s">
        <v>60</v>
      </c>
    </row>
    <row r="370" spans="1:6" x14ac:dyDescent="0.2">
      <c r="A370" s="1" t="s">
        <v>225</v>
      </c>
      <c r="B370" t="s">
        <v>21</v>
      </c>
      <c r="D370" t="s">
        <v>30</v>
      </c>
      <c r="F370" t="s">
        <v>60</v>
      </c>
    </row>
    <row r="371" spans="1:6" x14ac:dyDescent="0.2">
      <c r="A371" s="1" t="s">
        <v>225</v>
      </c>
      <c r="B371" t="s">
        <v>23</v>
      </c>
      <c r="D371" t="s">
        <v>14</v>
      </c>
      <c r="F371" t="s">
        <v>60</v>
      </c>
    </row>
    <row r="372" spans="1:6" x14ac:dyDescent="0.2">
      <c r="A372" s="1" t="s">
        <v>225</v>
      </c>
      <c r="B372" t="s">
        <v>39</v>
      </c>
      <c r="D372" t="s">
        <v>32</v>
      </c>
      <c r="F372" t="s">
        <v>60</v>
      </c>
    </row>
    <row r="373" spans="1:6" x14ac:dyDescent="0.2">
      <c r="A373" s="1" t="s">
        <v>225</v>
      </c>
      <c r="B373" t="s">
        <v>16</v>
      </c>
      <c r="D373" t="s">
        <v>37</v>
      </c>
      <c r="F373" t="s">
        <v>60</v>
      </c>
    </row>
    <row r="374" spans="1:6" x14ac:dyDescent="0.2">
      <c r="A374" s="1" t="s">
        <v>225</v>
      </c>
      <c r="B374" t="s">
        <v>18</v>
      </c>
      <c r="D374" t="s">
        <v>55</v>
      </c>
      <c r="F374" t="s">
        <v>60</v>
      </c>
    </row>
    <row r="375" spans="1:6" x14ac:dyDescent="0.2">
      <c r="A375" s="1" t="s">
        <v>225</v>
      </c>
      <c r="B375" t="s">
        <v>36</v>
      </c>
      <c r="D375" t="s">
        <v>20</v>
      </c>
      <c r="F375" t="s">
        <v>60</v>
      </c>
    </row>
    <row r="376" spans="1:6" x14ac:dyDescent="0.2">
      <c r="A376" s="1" t="s">
        <v>225</v>
      </c>
      <c r="B376" t="s">
        <v>40</v>
      </c>
      <c r="D376" t="s">
        <v>22</v>
      </c>
      <c r="F376" t="s">
        <v>60</v>
      </c>
    </row>
    <row r="377" spans="1:6" x14ac:dyDescent="0.2">
      <c r="A377" s="1" t="s">
        <v>226</v>
      </c>
      <c r="B377" t="s">
        <v>13</v>
      </c>
      <c r="D377" t="s">
        <v>31</v>
      </c>
      <c r="F377" t="s">
        <v>60</v>
      </c>
    </row>
    <row r="378" spans="1:6" x14ac:dyDescent="0.2">
      <c r="A378" s="1" t="s">
        <v>226</v>
      </c>
      <c r="B378" t="s">
        <v>15</v>
      </c>
      <c r="D378" t="s">
        <v>21</v>
      </c>
      <c r="F378" t="s">
        <v>60</v>
      </c>
    </row>
    <row r="379" spans="1:6" x14ac:dyDescent="0.2">
      <c r="A379" s="1" t="s">
        <v>226</v>
      </c>
      <c r="B379" t="s">
        <v>24</v>
      </c>
      <c r="D379" t="s">
        <v>23</v>
      </c>
      <c r="F379" t="s">
        <v>60</v>
      </c>
    </row>
    <row r="380" spans="1:6" x14ac:dyDescent="0.2">
      <c r="A380" s="1" t="s">
        <v>226</v>
      </c>
      <c r="B380" t="s">
        <v>40</v>
      </c>
      <c r="D380" t="s">
        <v>25</v>
      </c>
      <c r="F380" t="s">
        <v>60</v>
      </c>
    </row>
    <row r="381" spans="1:6" x14ac:dyDescent="0.2">
      <c r="A381" s="1" t="s">
        <v>226</v>
      </c>
      <c r="B381" t="s">
        <v>14</v>
      </c>
      <c r="D381" t="s">
        <v>28</v>
      </c>
      <c r="F381" t="s">
        <v>60</v>
      </c>
    </row>
    <row r="382" spans="1:6" x14ac:dyDescent="0.2">
      <c r="A382" s="1" t="s">
        <v>226</v>
      </c>
      <c r="B382" t="s">
        <v>29</v>
      </c>
      <c r="D382" t="s">
        <v>10</v>
      </c>
      <c r="F382" t="s">
        <v>60</v>
      </c>
    </row>
    <row r="383" spans="1:6" x14ac:dyDescent="0.2">
      <c r="A383" s="1" t="s">
        <v>226</v>
      </c>
      <c r="B383" t="s">
        <v>55</v>
      </c>
      <c r="D383" t="s">
        <v>39</v>
      </c>
      <c r="F383" t="s">
        <v>60</v>
      </c>
    </row>
    <row r="384" spans="1:6" x14ac:dyDescent="0.2">
      <c r="A384" s="1" t="s">
        <v>226</v>
      </c>
      <c r="B384" t="s">
        <v>37</v>
      </c>
      <c r="D384" t="s">
        <v>26</v>
      </c>
      <c r="F384" t="s">
        <v>60</v>
      </c>
    </row>
    <row r="385" spans="1:6" x14ac:dyDescent="0.2">
      <c r="A385" s="1" t="s">
        <v>226</v>
      </c>
      <c r="B385" t="s">
        <v>16</v>
      </c>
      <c r="D385" t="s">
        <v>11</v>
      </c>
      <c r="F385" t="s">
        <v>60</v>
      </c>
    </row>
    <row r="386" spans="1:6" x14ac:dyDescent="0.2">
      <c r="A386" s="1" t="s">
        <v>226</v>
      </c>
      <c r="B386" t="s">
        <v>12</v>
      </c>
      <c r="D386" t="s">
        <v>34</v>
      </c>
      <c r="F386" t="s">
        <v>60</v>
      </c>
    </row>
    <row r="387" spans="1:6" x14ac:dyDescent="0.2">
      <c r="A387" s="1" t="s">
        <v>226</v>
      </c>
      <c r="B387" t="s">
        <v>27</v>
      </c>
      <c r="D387" t="s">
        <v>30</v>
      </c>
      <c r="F387" t="s">
        <v>60</v>
      </c>
    </row>
    <row r="388" spans="1:6" x14ac:dyDescent="0.2">
      <c r="A388" s="1" t="s">
        <v>226</v>
      </c>
      <c r="B388" t="s">
        <v>38</v>
      </c>
      <c r="D388" t="s">
        <v>33</v>
      </c>
      <c r="F388" t="s">
        <v>60</v>
      </c>
    </row>
    <row r="389" spans="1:6" x14ac:dyDescent="0.2">
      <c r="A389" s="1" t="s">
        <v>226</v>
      </c>
      <c r="B389" t="s">
        <v>36</v>
      </c>
      <c r="D389" t="s">
        <v>35</v>
      </c>
      <c r="F389" t="s">
        <v>60</v>
      </c>
    </row>
    <row r="390" spans="1:6" x14ac:dyDescent="0.2">
      <c r="A390" s="1" t="s">
        <v>226</v>
      </c>
      <c r="B390" t="s">
        <v>18</v>
      </c>
      <c r="D390" t="s">
        <v>20</v>
      </c>
      <c r="F390" t="s">
        <v>60</v>
      </c>
    </row>
    <row r="391" spans="1:6" x14ac:dyDescent="0.2">
      <c r="A391" s="1" t="s">
        <v>226</v>
      </c>
      <c r="B391" t="s">
        <v>19</v>
      </c>
      <c r="D391" t="s">
        <v>22</v>
      </c>
      <c r="F391" t="s">
        <v>60</v>
      </c>
    </row>
    <row r="392" spans="1:6" x14ac:dyDescent="0.2">
      <c r="A392" s="1" t="s">
        <v>227</v>
      </c>
      <c r="B392" t="s">
        <v>26</v>
      </c>
      <c r="D392" t="s">
        <v>21</v>
      </c>
      <c r="F392" t="s">
        <v>60</v>
      </c>
    </row>
    <row r="393" spans="1:6" x14ac:dyDescent="0.2">
      <c r="A393" s="1" t="s">
        <v>227</v>
      </c>
      <c r="B393" t="s">
        <v>18</v>
      </c>
      <c r="D393" t="s">
        <v>12</v>
      </c>
      <c r="F393" t="s">
        <v>60</v>
      </c>
    </row>
    <row r="394" spans="1:6" x14ac:dyDescent="0.2">
      <c r="A394" s="1" t="s">
        <v>227</v>
      </c>
      <c r="B394" t="s">
        <v>38</v>
      </c>
      <c r="D394" t="s">
        <v>13</v>
      </c>
      <c r="F394" t="s">
        <v>60</v>
      </c>
    </row>
    <row r="395" spans="1:6" x14ac:dyDescent="0.2">
      <c r="A395" s="1" t="s">
        <v>227</v>
      </c>
      <c r="B395" t="s">
        <v>23</v>
      </c>
      <c r="D395" t="s">
        <v>34</v>
      </c>
      <c r="F395" t="s">
        <v>60</v>
      </c>
    </row>
    <row r="396" spans="1:6" x14ac:dyDescent="0.2">
      <c r="A396" s="1" t="s">
        <v>227</v>
      </c>
      <c r="B396" t="s">
        <v>27</v>
      </c>
      <c r="D396" t="s">
        <v>24</v>
      </c>
      <c r="F396" t="s">
        <v>60</v>
      </c>
    </row>
    <row r="397" spans="1:6" x14ac:dyDescent="0.2">
      <c r="A397" s="1" t="s">
        <v>227</v>
      </c>
      <c r="B397" t="s">
        <v>40</v>
      </c>
      <c r="D397" t="s">
        <v>29</v>
      </c>
      <c r="F397" t="s">
        <v>60</v>
      </c>
    </row>
    <row r="398" spans="1:6" x14ac:dyDescent="0.2">
      <c r="A398" s="1" t="s">
        <v>227</v>
      </c>
      <c r="B398" t="s">
        <v>37</v>
      </c>
      <c r="D398" t="s">
        <v>15</v>
      </c>
      <c r="F398" t="s">
        <v>60</v>
      </c>
    </row>
    <row r="399" spans="1:6" x14ac:dyDescent="0.2">
      <c r="A399" s="1" t="s">
        <v>227</v>
      </c>
      <c r="B399" t="s">
        <v>19</v>
      </c>
      <c r="D399" t="s">
        <v>14</v>
      </c>
      <c r="F399" t="s">
        <v>60</v>
      </c>
    </row>
    <row r="400" spans="1:6" x14ac:dyDescent="0.2">
      <c r="A400" s="1" t="s">
        <v>227</v>
      </c>
      <c r="B400" t="s">
        <v>17</v>
      </c>
      <c r="D400" t="s">
        <v>32</v>
      </c>
      <c r="F400" t="s">
        <v>60</v>
      </c>
    </row>
    <row r="401" spans="1:6" x14ac:dyDescent="0.2">
      <c r="A401" s="1" t="s">
        <v>227</v>
      </c>
      <c r="B401" t="s">
        <v>55</v>
      </c>
      <c r="D401" t="s">
        <v>35</v>
      </c>
      <c r="F401" t="s">
        <v>60</v>
      </c>
    </row>
    <row r="402" spans="1:6" x14ac:dyDescent="0.2">
      <c r="A402" s="1" t="s">
        <v>227</v>
      </c>
      <c r="B402" t="s">
        <v>33</v>
      </c>
      <c r="D402" t="s">
        <v>20</v>
      </c>
      <c r="F402" t="s">
        <v>60</v>
      </c>
    </row>
    <row r="403" spans="1:6" x14ac:dyDescent="0.2">
      <c r="A403" s="1" t="s">
        <v>228</v>
      </c>
      <c r="B403" t="s">
        <v>16</v>
      </c>
      <c r="D403" t="s">
        <v>25</v>
      </c>
      <c r="F403" t="s">
        <v>60</v>
      </c>
    </row>
    <row r="404" spans="1:6" x14ac:dyDescent="0.2">
      <c r="A404" s="1" t="s">
        <v>228</v>
      </c>
      <c r="B404" t="s">
        <v>31</v>
      </c>
      <c r="D404" t="s">
        <v>10</v>
      </c>
      <c r="F404" t="s">
        <v>60</v>
      </c>
    </row>
    <row r="405" spans="1:6" x14ac:dyDescent="0.2">
      <c r="A405" s="1" t="s">
        <v>228</v>
      </c>
      <c r="B405" t="s">
        <v>36</v>
      </c>
      <c r="D405" t="s">
        <v>39</v>
      </c>
      <c r="F405" t="s">
        <v>60</v>
      </c>
    </row>
    <row r="406" spans="1:6" x14ac:dyDescent="0.2">
      <c r="A406" s="1" t="s">
        <v>228</v>
      </c>
      <c r="B406" t="s">
        <v>22</v>
      </c>
      <c r="D406" t="s">
        <v>30</v>
      </c>
      <c r="F406" t="s">
        <v>60</v>
      </c>
    </row>
    <row r="407" spans="1:6" x14ac:dyDescent="0.2">
      <c r="A407" s="1" t="s">
        <v>229</v>
      </c>
      <c r="B407" t="s">
        <v>40</v>
      </c>
      <c r="D407" t="s">
        <v>23</v>
      </c>
      <c r="F407" t="s">
        <v>60</v>
      </c>
    </row>
    <row r="408" spans="1:6" x14ac:dyDescent="0.2">
      <c r="A408" s="1" t="s">
        <v>229</v>
      </c>
      <c r="B408" t="s">
        <v>28</v>
      </c>
      <c r="D408" t="s">
        <v>24</v>
      </c>
      <c r="F408" t="s">
        <v>60</v>
      </c>
    </row>
    <row r="409" spans="1:6" x14ac:dyDescent="0.2">
      <c r="A409" s="1" t="s">
        <v>229</v>
      </c>
      <c r="B409" t="s">
        <v>14</v>
      </c>
      <c r="D409" t="s">
        <v>27</v>
      </c>
      <c r="F409" t="s">
        <v>60</v>
      </c>
    </row>
    <row r="410" spans="1:6" x14ac:dyDescent="0.2">
      <c r="A410" s="1" t="s">
        <v>229</v>
      </c>
      <c r="B410" t="s">
        <v>55</v>
      </c>
      <c r="D410" t="s">
        <v>33</v>
      </c>
      <c r="F410" t="s">
        <v>60</v>
      </c>
    </row>
    <row r="411" spans="1:6" x14ac:dyDescent="0.2">
      <c r="A411" s="1" t="s">
        <v>229</v>
      </c>
      <c r="B411" t="s">
        <v>31</v>
      </c>
      <c r="D411" t="s">
        <v>35</v>
      </c>
      <c r="F411" t="s">
        <v>60</v>
      </c>
    </row>
    <row r="412" spans="1:6" x14ac:dyDescent="0.2">
      <c r="A412" s="1" t="s">
        <v>230</v>
      </c>
      <c r="B412" t="s">
        <v>38</v>
      </c>
      <c r="D412" t="s">
        <v>12</v>
      </c>
      <c r="F412" t="s">
        <v>60</v>
      </c>
    </row>
    <row r="413" spans="1:6" x14ac:dyDescent="0.2">
      <c r="A413" s="1" t="s">
        <v>230</v>
      </c>
      <c r="B413" t="s">
        <v>21</v>
      </c>
      <c r="D413" t="s">
        <v>26</v>
      </c>
      <c r="F413" t="s">
        <v>60</v>
      </c>
    </row>
    <row r="414" spans="1:6" x14ac:dyDescent="0.2">
      <c r="A414" s="1" t="s">
        <v>230</v>
      </c>
      <c r="B414" t="s">
        <v>34</v>
      </c>
      <c r="D414" t="s">
        <v>17</v>
      </c>
      <c r="F414" t="s">
        <v>60</v>
      </c>
    </row>
    <row r="415" spans="1:6" x14ac:dyDescent="0.2">
      <c r="A415" s="1" t="s">
        <v>230</v>
      </c>
      <c r="B415" t="s">
        <v>19</v>
      </c>
      <c r="D415" t="s">
        <v>11</v>
      </c>
      <c r="F415" t="s">
        <v>60</v>
      </c>
    </row>
    <row r="416" spans="1:6" x14ac:dyDescent="0.2">
      <c r="A416" s="1" t="s">
        <v>230</v>
      </c>
      <c r="B416" t="s">
        <v>22</v>
      </c>
      <c r="D416" t="s">
        <v>13</v>
      </c>
      <c r="F416" t="s">
        <v>60</v>
      </c>
    </row>
    <row r="417" spans="1:6" x14ac:dyDescent="0.2">
      <c r="A417" s="1" t="s">
        <v>230</v>
      </c>
      <c r="B417" t="s">
        <v>36</v>
      </c>
      <c r="D417" t="s">
        <v>18</v>
      </c>
      <c r="F417" t="s">
        <v>60</v>
      </c>
    </row>
    <row r="418" spans="1:6" x14ac:dyDescent="0.2">
      <c r="A418" s="1" t="s">
        <v>230</v>
      </c>
      <c r="B418" t="s">
        <v>16</v>
      </c>
      <c r="D418" t="s">
        <v>29</v>
      </c>
      <c r="F418" t="s">
        <v>60</v>
      </c>
    </row>
    <row r="419" spans="1:6" x14ac:dyDescent="0.2">
      <c r="A419" s="1" t="s">
        <v>230</v>
      </c>
      <c r="B419" t="s">
        <v>37</v>
      </c>
      <c r="D419" t="s">
        <v>30</v>
      </c>
      <c r="F419" t="s">
        <v>60</v>
      </c>
    </row>
    <row r="420" spans="1:6" x14ac:dyDescent="0.2">
      <c r="A420" s="1" t="s">
        <v>230</v>
      </c>
      <c r="B420" t="s">
        <v>39</v>
      </c>
      <c r="D420" t="s">
        <v>15</v>
      </c>
      <c r="F420" t="s">
        <v>60</v>
      </c>
    </row>
    <row r="421" spans="1:6" x14ac:dyDescent="0.2">
      <c r="A421" s="1" t="s">
        <v>230</v>
      </c>
      <c r="B421" t="s">
        <v>10</v>
      </c>
      <c r="D421" t="s">
        <v>20</v>
      </c>
      <c r="F421" t="s">
        <v>60</v>
      </c>
    </row>
    <row r="422" spans="1:6" x14ac:dyDescent="0.2">
      <c r="A422" s="1" t="s">
        <v>231</v>
      </c>
      <c r="B422" t="s">
        <v>55</v>
      </c>
      <c r="D422" t="s">
        <v>31</v>
      </c>
      <c r="F422" t="s">
        <v>60</v>
      </c>
    </row>
    <row r="423" spans="1:6" x14ac:dyDescent="0.2">
      <c r="A423" s="1" t="s">
        <v>231</v>
      </c>
      <c r="B423" t="s">
        <v>40</v>
      </c>
      <c r="D423" t="s">
        <v>18</v>
      </c>
      <c r="F423" t="s">
        <v>60</v>
      </c>
    </row>
    <row r="424" spans="1:6" x14ac:dyDescent="0.2">
      <c r="A424" s="1" t="s">
        <v>231</v>
      </c>
      <c r="B424" t="s">
        <v>39</v>
      </c>
      <c r="D424" t="s">
        <v>24</v>
      </c>
      <c r="F424" t="s">
        <v>60</v>
      </c>
    </row>
    <row r="425" spans="1:6" x14ac:dyDescent="0.2">
      <c r="A425" s="1" t="s">
        <v>231</v>
      </c>
      <c r="B425" t="s">
        <v>23</v>
      </c>
      <c r="D425" t="s">
        <v>27</v>
      </c>
      <c r="F425" t="s">
        <v>60</v>
      </c>
    </row>
    <row r="426" spans="1:6" x14ac:dyDescent="0.2">
      <c r="A426" s="1" t="s">
        <v>231</v>
      </c>
      <c r="B426" t="s">
        <v>22</v>
      </c>
      <c r="D426" t="s">
        <v>33</v>
      </c>
      <c r="F426" t="s">
        <v>60</v>
      </c>
    </row>
    <row r="427" spans="1:6" x14ac:dyDescent="0.2">
      <c r="A427" s="1" t="s">
        <v>232</v>
      </c>
      <c r="B427" t="s">
        <v>35</v>
      </c>
      <c r="D427" t="s">
        <v>21</v>
      </c>
      <c r="F427" t="s">
        <v>60</v>
      </c>
    </row>
    <row r="428" spans="1:6" x14ac:dyDescent="0.2">
      <c r="A428" s="1" t="s">
        <v>232</v>
      </c>
      <c r="B428" t="s">
        <v>19</v>
      </c>
      <c r="D428" t="s">
        <v>25</v>
      </c>
      <c r="F428" t="s">
        <v>60</v>
      </c>
    </row>
    <row r="429" spans="1:6" x14ac:dyDescent="0.2">
      <c r="A429" s="1" t="s">
        <v>232</v>
      </c>
      <c r="B429" t="s">
        <v>26</v>
      </c>
      <c r="D429" t="s">
        <v>28</v>
      </c>
      <c r="F429" t="s">
        <v>60</v>
      </c>
    </row>
    <row r="430" spans="1:6" x14ac:dyDescent="0.2">
      <c r="A430" s="1" t="s">
        <v>232</v>
      </c>
      <c r="B430" t="s">
        <v>34</v>
      </c>
      <c r="D430" t="s">
        <v>16</v>
      </c>
      <c r="F430" t="s">
        <v>60</v>
      </c>
    </row>
    <row r="431" spans="1:6" x14ac:dyDescent="0.2">
      <c r="A431" s="1" t="s">
        <v>232</v>
      </c>
      <c r="B431" t="s">
        <v>32</v>
      </c>
      <c r="D431" t="s">
        <v>17</v>
      </c>
      <c r="F431" t="s">
        <v>60</v>
      </c>
    </row>
    <row r="432" spans="1:6" x14ac:dyDescent="0.2">
      <c r="A432" s="1" t="s">
        <v>232</v>
      </c>
      <c r="B432" t="s">
        <v>29</v>
      </c>
      <c r="D432" t="s">
        <v>11</v>
      </c>
      <c r="F432" t="s">
        <v>60</v>
      </c>
    </row>
    <row r="433" spans="1:6" x14ac:dyDescent="0.2">
      <c r="A433" s="1" t="s">
        <v>232</v>
      </c>
      <c r="B433" t="s">
        <v>10</v>
      </c>
      <c r="D433" t="s">
        <v>13</v>
      </c>
      <c r="F433" t="s">
        <v>60</v>
      </c>
    </row>
    <row r="434" spans="1:6" x14ac:dyDescent="0.2">
      <c r="A434" s="1" t="s">
        <v>232</v>
      </c>
      <c r="B434" t="s">
        <v>12</v>
      </c>
      <c r="D434" t="s">
        <v>30</v>
      </c>
      <c r="F434" t="s">
        <v>60</v>
      </c>
    </row>
    <row r="435" spans="1:6" x14ac:dyDescent="0.2">
      <c r="A435" s="1" t="s">
        <v>232</v>
      </c>
      <c r="B435" t="s">
        <v>15</v>
      </c>
      <c r="D435" t="s">
        <v>36</v>
      </c>
      <c r="F435" t="s">
        <v>60</v>
      </c>
    </row>
    <row r="436" spans="1:6" x14ac:dyDescent="0.2">
      <c r="A436" s="1" t="s">
        <v>232</v>
      </c>
      <c r="B436" t="s">
        <v>14</v>
      </c>
      <c r="D436" t="s">
        <v>37</v>
      </c>
      <c r="F436" t="s">
        <v>60</v>
      </c>
    </row>
    <row r="437" spans="1:6" x14ac:dyDescent="0.2">
      <c r="A437" s="1" t="s">
        <v>233</v>
      </c>
      <c r="B437" t="s">
        <v>22</v>
      </c>
      <c r="D437" t="s">
        <v>31</v>
      </c>
      <c r="F437" t="s">
        <v>60</v>
      </c>
    </row>
    <row r="438" spans="1:6" x14ac:dyDescent="0.2">
      <c r="A438" s="1" t="s">
        <v>233</v>
      </c>
      <c r="B438" t="s">
        <v>33</v>
      </c>
      <c r="D438" t="s">
        <v>39</v>
      </c>
      <c r="F438" t="s">
        <v>60</v>
      </c>
    </row>
    <row r="439" spans="1:6" x14ac:dyDescent="0.2">
      <c r="A439" s="1" t="s">
        <v>233</v>
      </c>
      <c r="B439" t="s">
        <v>20</v>
      </c>
      <c r="D439" t="s">
        <v>24</v>
      </c>
      <c r="F439" t="s">
        <v>60</v>
      </c>
    </row>
    <row r="440" spans="1:6" x14ac:dyDescent="0.2">
      <c r="A440" s="1" t="s">
        <v>233</v>
      </c>
      <c r="B440" t="s">
        <v>55</v>
      </c>
      <c r="D440" t="s">
        <v>38</v>
      </c>
      <c r="F440" t="s">
        <v>60</v>
      </c>
    </row>
    <row r="441" spans="1:6" x14ac:dyDescent="0.2">
      <c r="A441" s="1" t="s">
        <v>233</v>
      </c>
      <c r="B441" t="s">
        <v>23</v>
      </c>
      <c r="D441" t="s">
        <v>40</v>
      </c>
      <c r="F441" t="s">
        <v>60</v>
      </c>
    </row>
    <row r="442" spans="1:6" x14ac:dyDescent="0.2">
      <c r="A442" s="1" t="s">
        <v>234</v>
      </c>
      <c r="B442" t="s">
        <v>24</v>
      </c>
      <c r="D442" t="s">
        <v>21</v>
      </c>
      <c r="F442" t="s">
        <v>60</v>
      </c>
    </row>
    <row r="443" spans="1:6" x14ac:dyDescent="0.2">
      <c r="A443" s="1" t="s">
        <v>234</v>
      </c>
      <c r="B443" t="s">
        <v>29</v>
      </c>
      <c r="D443" t="s">
        <v>25</v>
      </c>
      <c r="F443" t="s">
        <v>60</v>
      </c>
    </row>
    <row r="444" spans="1:6" x14ac:dyDescent="0.2">
      <c r="A444" s="1" t="s">
        <v>234</v>
      </c>
      <c r="B444" t="s">
        <v>55</v>
      </c>
      <c r="D444" t="s">
        <v>16</v>
      </c>
      <c r="F444" t="s">
        <v>60</v>
      </c>
    </row>
    <row r="445" spans="1:6" x14ac:dyDescent="0.2">
      <c r="A445" s="1" t="s">
        <v>234</v>
      </c>
      <c r="B445" t="s">
        <v>40</v>
      </c>
      <c r="D445" t="s">
        <v>17</v>
      </c>
      <c r="F445" t="s">
        <v>60</v>
      </c>
    </row>
    <row r="446" spans="1:6" x14ac:dyDescent="0.2">
      <c r="A446" s="1" t="s">
        <v>234</v>
      </c>
      <c r="B446" t="s">
        <v>28</v>
      </c>
      <c r="D446" t="s">
        <v>11</v>
      </c>
      <c r="F446" t="s">
        <v>60</v>
      </c>
    </row>
    <row r="447" spans="1:6" x14ac:dyDescent="0.2">
      <c r="A447" s="1" t="s">
        <v>234</v>
      </c>
      <c r="B447" t="s">
        <v>10</v>
      </c>
      <c r="D447" t="s">
        <v>13</v>
      </c>
      <c r="F447" t="s">
        <v>60</v>
      </c>
    </row>
    <row r="448" spans="1:6" x14ac:dyDescent="0.2">
      <c r="A448" s="1" t="s">
        <v>234</v>
      </c>
      <c r="B448" t="s">
        <v>12</v>
      </c>
      <c r="D448" t="s">
        <v>15</v>
      </c>
      <c r="F448" t="s">
        <v>60</v>
      </c>
    </row>
    <row r="449" spans="1:6" x14ac:dyDescent="0.2">
      <c r="A449" s="1" t="s">
        <v>234</v>
      </c>
      <c r="B449" t="s">
        <v>35</v>
      </c>
      <c r="D449" t="s">
        <v>36</v>
      </c>
      <c r="F449" t="s">
        <v>60</v>
      </c>
    </row>
    <row r="450" spans="1:6" x14ac:dyDescent="0.2">
      <c r="A450" s="1" t="s">
        <v>234</v>
      </c>
      <c r="B450" t="s">
        <v>26</v>
      </c>
      <c r="D450" t="s">
        <v>32</v>
      </c>
      <c r="F450" t="s">
        <v>60</v>
      </c>
    </row>
    <row r="451" spans="1:6" x14ac:dyDescent="0.2">
      <c r="A451" s="1" t="s">
        <v>234</v>
      </c>
      <c r="B451" t="s">
        <v>30</v>
      </c>
      <c r="D451" t="s">
        <v>37</v>
      </c>
      <c r="F451" t="s">
        <v>60</v>
      </c>
    </row>
    <row r="452" spans="1:6" x14ac:dyDescent="0.2">
      <c r="A452" s="1" t="s">
        <v>234</v>
      </c>
      <c r="B452" t="s">
        <v>18</v>
      </c>
      <c r="D452" t="s">
        <v>19</v>
      </c>
      <c r="F452" t="s">
        <v>60</v>
      </c>
    </row>
    <row r="453" spans="1:6" x14ac:dyDescent="0.2">
      <c r="A453" s="1" t="s">
        <v>234</v>
      </c>
      <c r="B453" t="s">
        <v>34</v>
      </c>
      <c r="D453" t="s">
        <v>38</v>
      </c>
      <c r="F453" t="s">
        <v>60</v>
      </c>
    </row>
    <row r="454" spans="1:6" x14ac:dyDescent="0.2">
      <c r="A454" s="1" t="s">
        <v>235</v>
      </c>
      <c r="B454" t="s">
        <v>10</v>
      </c>
      <c r="D454" t="s">
        <v>31</v>
      </c>
      <c r="F454" t="s">
        <v>60</v>
      </c>
    </row>
    <row r="455" spans="1:6" x14ac:dyDescent="0.2">
      <c r="A455" s="1" t="s">
        <v>235</v>
      </c>
      <c r="B455" t="s">
        <v>33</v>
      </c>
      <c r="D455" t="s">
        <v>25</v>
      </c>
      <c r="F455" t="s">
        <v>60</v>
      </c>
    </row>
    <row r="456" spans="1:6" x14ac:dyDescent="0.2">
      <c r="A456" s="1" t="s">
        <v>235</v>
      </c>
      <c r="B456" t="s">
        <v>14</v>
      </c>
      <c r="D456" t="s">
        <v>39</v>
      </c>
      <c r="F456" t="s">
        <v>60</v>
      </c>
    </row>
    <row r="457" spans="1:6" x14ac:dyDescent="0.2">
      <c r="A457" s="1" t="s">
        <v>235</v>
      </c>
      <c r="B457" t="s">
        <v>30</v>
      </c>
      <c r="D457" t="s">
        <v>11</v>
      </c>
      <c r="F457" t="s">
        <v>60</v>
      </c>
    </row>
    <row r="458" spans="1:6" x14ac:dyDescent="0.2">
      <c r="A458" s="1" t="s">
        <v>235</v>
      </c>
      <c r="B458" t="s">
        <v>35</v>
      </c>
      <c r="D458" t="s">
        <v>18</v>
      </c>
      <c r="F458" t="s">
        <v>60</v>
      </c>
    </row>
    <row r="459" spans="1:6" x14ac:dyDescent="0.2">
      <c r="A459" s="1" t="s">
        <v>235</v>
      </c>
      <c r="B459" t="s">
        <v>20</v>
      </c>
      <c r="D459" t="s">
        <v>15</v>
      </c>
      <c r="F459" t="s">
        <v>60</v>
      </c>
    </row>
    <row r="460" spans="1:6" x14ac:dyDescent="0.2">
      <c r="A460" s="1" t="s">
        <v>235</v>
      </c>
      <c r="B460" t="s">
        <v>12</v>
      </c>
      <c r="D460" t="s">
        <v>27</v>
      </c>
      <c r="F460" t="s">
        <v>60</v>
      </c>
    </row>
    <row r="461" spans="1:6" x14ac:dyDescent="0.2">
      <c r="A461" s="1" t="s">
        <v>235</v>
      </c>
      <c r="B461" t="s">
        <v>28</v>
      </c>
      <c r="D461" t="s">
        <v>22</v>
      </c>
      <c r="F461" t="s">
        <v>60</v>
      </c>
    </row>
    <row r="462" spans="1:6" x14ac:dyDescent="0.2">
      <c r="A462" s="1" t="s">
        <v>236</v>
      </c>
      <c r="B462" t="s">
        <v>23</v>
      </c>
      <c r="D462" t="s">
        <v>16</v>
      </c>
      <c r="F462" t="s">
        <v>60</v>
      </c>
    </row>
    <row r="463" spans="1:6" x14ac:dyDescent="0.2">
      <c r="A463" s="1" t="s">
        <v>236</v>
      </c>
      <c r="B463" t="s">
        <v>34</v>
      </c>
      <c r="D463" t="s">
        <v>32</v>
      </c>
      <c r="F463" t="s">
        <v>60</v>
      </c>
    </row>
    <row r="464" spans="1:6" x14ac:dyDescent="0.2">
      <c r="A464" s="1" t="s">
        <v>236</v>
      </c>
      <c r="B464" t="s">
        <v>37</v>
      </c>
      <c r="D464" t="s">
        <v>19</v>
      </c>
      <c r="F464" t="s">
        <v>60</v>
      </c>
    </row>
    <row r="465" spans="1:6" x14ac:dyDescent="0.2">
      <c r="A465" s="1" t="s">
        <v>236</v>
      </c>
      <c r="B465" t="s">
        <v>13</v>
      </c>
      <c r="D465" t="s">
        <v>55</v>
      </c>
      <c r="F465" t="s">
        <v>60</v>
      </c>
    </row>
    <row r="466" spans="1:6" x14ac:dyDescent="0.2">
      <c r="A466" s="1" t="s">
        <v>236</v>
      </c>
      <c r="B466" t="s">
        <v>26</v>
      </c>
      <c r="D466" t="s">
        <v>38</v>
      </c>
      <c r="F466" t="s">
        <v>60</v>
      </c>
    </row>
    <row r="467" spans="1:6" x14ac:dyDescent="0.2">
      <c r="A467" s="1" t="s">
        <v>237</v>
      </c>
      <c r="B467" t="s">
        <v>28</v>
      </c>
      <c r="D467" t="s">
        <v>25</v>
      </c>
      <c r="F467" t="s">
        <v>60</v>
      </c>
    </row>
    <row r="468" spans="1:6" x14ac:dyDescent="0.2">
      <c r="A468" s="1" t="s">
        <v>237</v>
      </c>
      <c r="B468" t="s">
        <v>23</v>
      </c>
      <c r="D468" t="s">
        <v>17</v>
      </c>
      <c r="F468" t="s">
        <v>60</v>
      </c>
    </row>
    <row r="469" spans="1:6" x14ac:dyDescent="0.2">
      <c r="A469" s="1" t="s">
        <v>237</v>
      </c>
      <c r="B469" t="s">
        <v>37</v>
      </c>
      <c r="D469" t="s">
        <v>18</v>
      </c>
      <c r="F469" t="s">
        <v>60</v>
      </c>
    </row>
    <row r="470" spans="1:6" x14ac:dyDescent="0.2">
      <c r="A470" s="1" t="s">
        <v>237</v>
      </c>
      <c r="B470" t="s">
        <v>12</v>
      </c>
      <c r="D470" t="s">
        <v>29</v>
      </c>
      <c r="F470" t="s">
        <v>60</v>
      </c>
    </row>
    <row r="471" spans="1:6" x14ac:dyDescent="0.2">
      <c r="A471" s="1" t="s">
        <v>237</v>
      </c>
      <c r="B471" t="s">
        <v>20</v>
      </c>
      <c r="D471" t="s">
        <v>30</v>
      </c>
      <c r="F471" t="s">
        <v>60</v>
      </c>
    </row>
    <row r="472" spans="1:6" x14ac:dyDescent="0.2">
      <c r="A472" s="1" t="s">
        <v>237</v>
      </c>
      <c r="B472" t="s">
        <v>24</v>
      </c>
      <c r="D472" t="s">
        <v>36</v>
      </c>
      <c r="F472" t="s">
        <v>60</v>
      </c>
    </row>
    <row r="473" spans="1:6" x14ac:dyDescent="0.2">
      <c r="A473" s="1" t="s">
        <v>237</v>
      </c>
      <c r="B473" t="s">
        <v>33</v>
      </c>
      <c r="D473" t="s">
        <v>27</v>
      </c>
      <c r="F473" t="s">
        <v>60</v>
      </c>
    </row>
    <row r="474" spans="1:6" x14ac:dyDescent="0.2">
      <c r="A474" s="1" t="s">
        <v>237</v>
      </c>
      <c r="B474" t="s">
        <v>31</v>
      </c>
      <c r="D474" t="s">
        <v>14</v>
      </c>
      <c r="F474" t="s">
        <v>60</v>
      </c>
    </row>
    <row r="475" spans="1:6" x14ac:dyDescent="0.2">
      <c r="A475" s="1" t="s">
        <v>237</v>
      </c>
      <c r="B475" t="s">
        <v>21</v>
      </c>
      <c r="D475" t="s">
        <v>35</v>
      </c>
      <c r="F475" t="s">
        <v>60</v>
      </c>
    </row>
    <row r="476" spans="1:6" x14ac:dyDescent="0.2">
      <c r="A476" s="1" t="s">
        <v>237</v>
      </c>
      <c r="B476" t="s">
        <v>39</v>
      </c>
      <c r="D476" t="s">
        <v>40</v>
      </c>
      <c r="F476" t="s">
        <v>60</v>
      </c>
    </row>
    <row r="477" spans="1:6" x14ac:dyDescent="0.2">
      <c r="A477" s="1" t="s">
        <v>238</v>
      </c>
      <c r="B477" t="s">
        <v>26</v>
      </c>
      <c r="D477" t="s">
        <v>16</v>
      </c>
      <c r="F477" t="s">
        <v>60</v>
      </c>
    </row>
    <row r="478" spans="1:6" x14ac:dyDescent="0.2">
      <c r="A478" s="1" t="s">
        <v>238</v>
      </c>
      <c r="B478" t="s">
        <v>15</v>
      </c>
      <c r="D478" t="s">
        <v>10</v>
      </c>
      <c r="F478" t="s">
        <v>60</v>
      </c>
    </row>
    <row r="479" spans="1:6" x14ac:dyDescent="0.2">
      <c r="A479" s="1" t="s">
        <v>238</v>
      </c>
      <c r="B479" t="s">
        <v>13</v>
      </c>
      <c r="D479" t="s">
        <v>32</v>
      </c>
      <c r="F479" t="s">
        <v>60</v>
      </c>
    </row>
    <row r="480" spans="1:6" x14ac:dyDescent="0.2">
      <c r="A480" s="1" t="s">
        <v>238</v>
      </c>
      <c r="B480" t="s">
        <v>11</v>
      </c>
      <c r="D480" t="s">
        <v>55</v>
      </c>
      <c r="F480" t="s">
        <v>60</v>
      </c>
    </row>
    <row r="481" spans="1:6" x14ac:dyDescent="0.2">
      <c r="A481" s="1" t="s">
        <v>239</v>
      </c>
      <c r="B481" t="s">
        <v>36</v>
      </c>
      <c r="D481" t="s">
        <v>28</v>
      </c>
      <c r="F481" t="s">
        <v>60</v>
      </c>
    </row>
    <row r="482" spans="1:6" x14ac:dyDescent="0.2">
      <c r="A482" s="1" t="s">
        <v>239</v>
      </c>
      <c r="B482" t="s">
        <v>11</v>
      </c>
      <c r="D482" t="s">
        <v>12</v>
      </c>
      <c r="F482" t="s">
        <v>60</v>
      </c>
    </row>
    <row r="483" spans="1:6" x14ac:dyDescent="0.2">
      <c r="A483" s="1" t="s">
        <v>239</v>
      </c>
      <c r="B483" t="s">
        <v>26</v>
      </c>
      <c r="D483" t="s">
        <v>17</v>
      </c>
      <c r="F483" t="s">
        <v>60</v>
      </c>
    </row>
    <row r="484" spans="1:6" x14ac:dyDescent="0.2">
      <c r="A484" s="1" t="s">
        <v>239</v>
      </c>
      <c r="B484" t="s">
        <v>39</v>
      </c>
      <c r="D484" t="s">
        <v>34</v>
      </c>
      <c r="F484" t="s">
        <v>60</v>
      </c>
    </row>
    <row r="485" spans="1:6" x14ac:dyDescent="0.2">
      <c r="A485" s="1" t="s">
        <v>239</v>
      </c>
      <c r="B485" t="s">
        <v>37</v>
      </c>
      <c r="D485" t="s">
        <v>24</v>
      </c>
      <c r="F485" t="s">
        <v>60</v>
      </c>
    </row>
    <row r="486" spans="1:6" x14ac:dyDescent="0.2">
      <c r="A486" s="1" t="s">
        <v>239</v>
      </c>
      <c r="B486" t="s">
        <v>35</v>
      </c>
      <c r="D486" t="s">
        <v>29</v>
      </c>
      <c r="F486" t="s">
        <v>60</v>
      </c>
    </row>
    <row r="487" spans="1:6" x14ac:dyDescent="0.2">
      <c r="A487" s="1" t="s">
        <v>239</v>
      </c>
      <c r="B487" t="s">
        <v>31</v>
      </c>
      <c r="D487" t="s">
        <v>30</v>
      </c>
      <c r="F487" t="s">
        <v>60</v>
      </c>
    </row>
    <row r="488" spans="1:6" x14ac:dyDescent="0.2">
      <c r="A488" s="1" t="s">
        <v>239</v>
      </c>
      <c r="B488" t="s">
        <v>20</v>
      </c>
      <c r="D488" t="s">
        <v>27</v>
      </c>
      <c r="F488" t="s">
        <v>60</v>
      </c>
    </row>
    <row r="489" spans="1:6" x14ac:dyDescent="0.2">
      <c r="A489" s="1" t="s">
        <v>239</v>
      </c>
      <c r="B489" t="s">
        <v>18</v>
      </c>
      <c r="D489" t="s">
        <v>14</v>
      </c>
      <c r="F489" t="s">
        <v>60</v>
      </c>
    </row>
    <row r="490" spans="1:6" x14ac:dyDescent="0.2">
      <c r="A490" s="1" t="s">
        <v>239</v>
      </c>
      <c r="B490" t="s">
        <v>33</v>
      </c>
      <c r="D490" t="s">
        <v>19</v>
      </c>
      <c r="F490" t="s">
        <v>60</v>
      </c>
    </row>
    <row r="491" spans="1:6" x14ac:dyDescent="0.2">
      <c r="A491" s="1" t="s">
        <v>239</v>
      </c>
      <c r="B491" t="s">
        <v>23</v>
      </c>
      <c r="D491" t="s">
        <v>38</v>
      </c>
      <c r="F491" t="s">
        <v>60</v>
      </c>
    </row>
    <row r="492" spans="1:6" x14ac:dyDescent="0.2">
      <c r="A492" s="1" t="s">
        <v>239</v>
      </c>
      <c r="B492" t="s">
        <v>21</v>
      </c>
      <c r="D492" t="s">
        <v>40</v>
      </c>
      <c r="F492" t="s">
        <v>60</v>
      </c>
    </row>
    <row r="493" spans="1:6" x14ac:dyDescent="0.2">
      <c r="A493" s="1" t="s">
        <v>239</v>
      </c>
      <c r="B493" t="s">
        <v>25</v>
      </c>
      <c r="D493" t="s">
        <v>22</v>
      </c>
      <c r="F493" t="s">
        <v>60</v>
      </c>
    </row>
    <row r="494" spans="1:6" x14ac:dyDescent="0.2">
      <c r="A494" s="1" t="s">
        <v>240</v>
      </c>
      <c r="B494" t="s">
        <v>10</v>
      </c>
      <c r="D494" t="s">
        <v>35</v>
      </c>
      <c r="F494" t="s">
        <v>60</v>
      </c>
    </row>
    <row r="495" spans="1:6" x14ac:dyDescent="0.2">
      <c r="A495" s="1" t="s">
        <v>240</v>
      </c>
      <c r="B495" t="s">
        <v>32</v>
      </c>
      <c r="D495" t="s">
        <v>55</v>
      </c>
      <c r="F495" t="s">
        <v>60</v>
      </c>
    </row>
    <row r="496" spans="1:6" x14ac:dyDescent="0.2">
      <c r="A496" s="1" t="s">
        <v>63</v>
      </c>
      <c r="B496" t="s">
        <v>20</v>
      </c>
      <c r="D496" t="s">
        <v>28</v>
      </c>
      <c r="F496" t="s">
        <v>60</v>
      </c>
    </row>
    <row r="497" spans="1:6" x14ac:dyDescent="0.2">
      <c r="A497" s="1" t="s">
        <v>63</v>
      </c>
      <c r="B497" t="s">
        <v>26</v>
      </c>
      <c r="D497" t="s">
        <v>10</v>
      </c>
      <c r="F497" t="s">
        <v>60</v>
      </c>
    </row>
    <row r="498" spans="1:6" x14ac:dyDescent="0.2">
      <c r="A498" s="1" t="s">
        <v>63</v>
      </c>
      <c r="B498" t="s">
        <v>29</v>
      </c>
      <c r="D498" t="s">
        <v>12</v>
      </c>
      <c r="F498" t="s">
        <v>60</v>
      </c>
    </row>
    <row r="499" spans="1:6" x14ac:dyDescent="0.2">
      <c r="A499" s="1" t="s">
        <v>63</v>
      </c>
      <c r="B499" t="s">
        <v>11</v>
      </c>
      <c r="D499" t="s">
        <v>39</v>
      </c>
      <c r="F499" t="s">
        <v>60</v>
      </c>
    </row>
    <row r="500" spans="1:6" x14ac:dyDescent="0.2">
      <c r="A500" s="1" t="s">
        <v>63</v>
      </c>
      <c r="B500" t="s">
        <v>16</v>
      </c>
      <c r="D500" t="s">
        <v>13</v>
      </c>
      <c r="F500" t="s">
        <v>60</v>
      </c>
    </row>
    <row r="501" spans="1:6" x14ac:dyDescent="0.2">
      <c r="A501" s="1" t="s">
        <v>63</v>
      </c>
      <c r="B501" t="s">
        <v>36</v>
      </c>
      <c r="D501" t="s">
        <v>34</v>
      </c>
      <c r="F501" t="s">
        <v>60</v>
      </c>
    </row>
    <row r="502" spans="1:6" x14ac:dyDescent="0.2">
      <c r="A502" t="s">
        <v>63</v>
      </c>
      <c r="B502" t="s">
        <v>31</v>
      </c>
      <c r="D502" t="s">
        <v>24</v>
      </c>
      <c r="F502" t="s">
        <v>60</v>
      </c>
    </row>
    <row r="503" spans="1:6" x14ac:dyDescent="0.2">
      <c r="A503" t="s">
        <v>63</v>
      </c>
      <c r="B503" t="s">
        <v>37</v>
      </c>
      <c r="D503" t="s">
        <v>30</v>
      </c>
      <c r="F503" t="s">
        <v>60</v>
      </c>
    </row>
    <row r="504" spans="1:6" x14ac:dyDescent="0.2">
      <c r="A504" t="s">
        <v>63</v>
      </c>
      <c r="B504" t="s">
        <v>18</v>
      </c>
      <c r="D504" t="s">
        <v>15</v>
      </c>
      <c r="F504" t="s">
        <v>60</v>
      </c>
    </row>
    <row r="505" spans="1:6" x14ac:dyDescent="0.2">
      <c r="A505" t="s">
        <v>63</v>
      </c>
      <c r="B505" t="s">
        <v>25</v>
      </c>
      <c r="D505" t="s">
        <v>27</v>
      </c>
      <c r="F505" t="s">
        <v>60</v>
      </c>
    </row>
    <row r="506" spans="1:6" x14ac:dyDescent="0.2">
      <c r="A506" t="s">
        <v>63</v>
      </c>
      <c r="B506" t="s">
        <v>33</v>
      </c>
      <c r="D506" t="s">
        <v>14</v>
      </c>
      <c r="F506" t="s">
        <v>60</v>
      </c>
    </row>
    <row r="507" spans="1:6" x14ac:dyDescent="0.2">
      <c r="A507" t="s">
        <v>63</v>
      </c>
      <c r="B507" t="s">
        <v>17</v>
      </c>
      <c r="D507" t="s">
        <v>19</v>
      </c>
      <c r="F507" t="s">
        <v>60</v>
      </c>
    </row>
    <row r="508" spans="1:6" x14ac:dyDescent="0.2">
      <c r="A508" t="s">
        <v>63</v>
      </c>
      <c r="B508" t="s">
        <v>22</v>
      </c>
      <c r="D508" t="s">
        <v>40</v>
      </c>
      <c r="F508" t="s">
        <v>60</v>
      </c>
    </row>
    <row r="509" spans="1:6" x14ac:dyDescent="0.2">
      <c r="A509" t="s">
        <v>64</v>
      </c>
      <c r="B509" t="s">
        <v>27</v>
      </c>
      <c r="D509" t="s">
        <v>25</v>
      </c>
      <c r="F509" t="s">
        <v>60</v>
      </c>
    </row>
    <row r="510" spans="1:6" x14ac:dyDescent="0.2">
      <c r="A510" t="s">
        <v>64</v>
      </c>
      <c r="B510" t="s">
        <v>21</v>
      </c>
      <c r="D510" t="s">
        <v>34</v>
      </c>
      <c r="F510" t="s">
        <v>60</v>
      </c>
    </row>
    <row r="511" spans="1:6" x14ac:dyDescent="0.2">
      <c r="A511" t="s">
        <v>64</v>
      </c>
      <c r="B511" t="s">
        <v>17</v>
      </c>
      <c r="D511" t="s">
        <v>18</v>
      </c>
      <c r="F511" t="s">
        <v>60</v>
      </c>
    </row>
    <row r="512" spans="1:6" x14ac:dyDescent="0.2">
      <c r="A512" t="s">
        <v>64</v>
      </c>
      <c r="B512" t="s">
        <v>38</v>
      </c>
      <c r="D512" t="s">
        <v>24</v>
      </c>
      <c r="F512" t="s">
        <v>60</v>
      </c>
    </row>
    <row r="513" spans="1:6" x14ac:dyDescent="0.2">
      <c r="A513" t="s">
        <v>64</v>
      </c>
      <c r="B513" t="s">
        <v>55</v>
      </c>
      <c r="D513" t="s">
        <v>14</v>
      </c>
      <c r="F513" t="s">
        <v>60</v>
      </c>
    </row>
    <row r="514" spans="1:6" x14ac:dyDescent="0.2">
      <c r="A514" t="s">
        <v>64</v>
      </c>
      <c r="B514" t="s">
        <v>23</v>
      </c>
      <c r="D514" t="s">
        <v>32</v>
      </c>
      <c r="F514" t="s">
        <v>60</v>
      </c>
    </row>
    <row r="515" spans="1:6" x14ac:dyDescent="0.2">
      <c r="A515" t="s">
        <v>65</v>
      </c>
      <c r="B515" t="s">
        <v>13</v>
      </c>
      <c r="D515" t="s">
        <v>39</v>
      </c>
      <c r="F515" t="s">
        <v>60</v>
      </c>
    </row>
    <row r="516" spans="1:6" x14ac:dyDescent="0.2">
      <c r="A516" t="s">
        <v>65</v>
      </c>
      <c r="B516" t="s">
        <v>31</v>
      </c>
      <c r="D516" t="s">
        <v>15</v>
      </c>
      <c r="F516" t="s">
        <v>60</v>
      </c>
    </row>
    <row r="517" spans="1:6" x14ac:dyDescent="0.2">
      <c r="A517" t="s">
        <v>65</v>
      </c>
      <c r="B517" t="s">
        <v>29</v>
      </c>
      <c r="D517" t="s">
        <v>35</v>
      </c>
      <c r="F517" t="s">
        <v>60</v>
      </c>
    </row>
    <row r="518" spans="1:6" x14ac:dyDescent="0.2">
      <c r="A518" t="s">
        <v>65</v>
      </c>
      <c r="B518" t="s">
        <v>11</v>
      </c>
      <c r="D518" t="s">
        <v>37</v>
      </c>
      <c r="F518" t="s">
        <v>60</v>
      </c>
    </row>
    <row r="519" spans="1:6" x14ac:dyDescent="0.2">
      <c r="A519" t="s">
        <v>65</v>
      </c>
      <c r="B519" t="s">
        <v>36</v>
      </c>
      <c r="D519" t="s">
        <v>40</v>
      </c>
      <c r="F519" t="s">
        <v>60</v>
      </c>
    </row>
    <row r="520" spans="1:6" x14ac:dyDescent="0.2">
      <c r="A520" t="s">
        <v>66</v>
      </c>
      <c r="B520" t="s">
        <v>55</v>
      </c>
      <c r="D520" t="s">
        <v>21</v>
      </c>
      <c r="F520" t="s">
        <v>60</v>
      </c>
    </row>
    <row r="521" spans="1:6" x14ac:dyDescent="0.2">
      <c r="A521" t="s">
        <v>66</v>
      </c>
      <c r="B521" t="s">
        <v>31</v>
      </c>
      <c r="D521" t="s">
        <v>28</v>
      </c>
      <c r="F521" t="s">
        <v>60</v>
      </c>
    </row>
    <row r="522" spans="1:6" x14ac:dyDescent="0.2">
      <c r="A522" t="s">
        <v>66</v>
      </c>
      <c r="B522" t="s">
        <v>30</v>
      </c>
      <c r="D522" t="s">
        <v>26</v>
      </c>
      <c r="F522" t="s">
        <v>60</v>
      </c>
    </row>
    <row r="523" spans="1:6" x14ac:dyDescent="0.2">
      <c r="A523" t="s">
        <v>66</v>
      </c>
      <c r="B523" t="s">
        <v>22</v>
      </c>
      <c r="D523" t="s">
        <v>34</v>
      </c>
      <c r="F523" t="s">
        <v>60</v>
      </c>
    </row>
    <row r="524" spans="1:6" x14ac:dyDescent="0.2">
      <c r="A524" t="s">
        <v>66</v>
      </c>
      <c r="B524" t="s">
        <v>27</v>
      </c>
      <c r="D524" t="s">
        <v>18</v>
      </c>
      <c r="F524" t="s">
        <v>60</v>
      </c>
    </row>
    <row r="525" spans="1:6" x14ac:dyDescent="0.2">
      <c r="A525" t="s">
        <v>66</v>
      </c>
      <c r="B525" t="s">
        <v>38</v>
      </c>
      <c r="D525" t="s">
        <v>15</v>
      </c>
      <c r="F525" t="s">
        <v>60</v>
      </c>
    </row>
    <row r="526" spans="1:6" x14ac:dyDescent="0.2">
      <c r="A526" t="s">
        <v>66</v>
      </c>
      <c r="B526" t="s">
        <v>17</v>
      </c>
      <c r="D526" t="s">
        <v>14</v>
      </c>
      <c r="F526" t="s">
        <v>60</v>
      </c>
    </row>
    <row r="527" spans="1:6" x14ac:dyDescent="0.2">
      <c r="A527" t="s">
        <v>66</v>
      </c>
      <c r="B527" t="s">
        <v>12</v>
      </c>
      <c r="D527" t="s">
        <v>32</v>
      </c>
      <c r="F527" t="s">
        <v>60</v>
      </c>
    </row>
    <row r="528" spans="1:6" x14ac:dyDescent="0.2">
      <c r="A528" t="s">
        <v>66</v>
      </c>
      <c r="B528" t="s">
        <v>16</v>
      </c>
      <c r="D528" t="s">
        <v>33</v>
      </c>
      <c r="F528" t="s">
        <v>60</v>
      </c>
    </row>
    <row r="529" spans="1:6" x14ac:dyDescent="0.2">
      <c r="A529" t="s">
        <v>66</v>
      </c>
      <c r="B529" t="s">
        <v>10</v>
      </c>
      <c r="D529" t="s">
        <v>19</v>
      </c>
      <c r="F529" t="s">
        <v>60</v>
      </c>
    </row>
    <row r="530" spans="1:6" x14ac:dyDescent="0.2">
      <c r="A530" t="s">
        <v>67</v>
      </c>
      <c r="B530" t="s">
        <v>55</v>
      </c>
      <c r="D530" t="s">
        <v>26</v>
      </c>
      <c r="F530" t="s">
        <v>60</v>
      </c>
    </row>
    <row r="531" spans="1:6" x14ac:dyDescent="0.2">
      <c r="A531" t="s">
        <v>67</v>
      </c>
      <c r="B531" t="s">
        <v>13</v>
      </c>
      <c r="D531" t="s">
        <v>11</v>
      </c>
      <c r="F531" t="s">
        <v>60</v>
      </c>
    </row>
    <row r="532" spans="1:6" x14ac:dyDescent="0.2">
      <c r="A532" t="s">
        <v>67</v>
      </c>
      <c r="B532" t="s">
        <v>25</v>
      </c>
      <c r="D532" t="s">
        <v>29</v>
      </c>
      <c r="F532" t="s">
        <v>60</v>
      </c>
    </row>
    <row r="533" spans="1:6" x14ac:dyDescent="0.2">
      <c r="A533" t="s">
        <v>67</v>
      </c>
      <c r="B533" t="s">
        <v>40</v>
      </c>
      <c r="D533" t="s">
        <v>35</v>
      </c>
      <c r="F533" t="s">
        <v>60</v>
      </c>
    </row>
    <row r="534" spans="1:6" x14ac:dyDescent="0.2">
      <c r="A534" t="s">
        <v>67</v>
      </c>
      <c r="B534" t="s">
        <v>24</v>
      </c>
      <c r="D534" t="s">
        <v>20</v>
      </c>
      <c r="F534" t="s">
        <v>60</v>
      </c>
    </row>
    <row r="535" spans="1:6" x14ac:dyDescent="0.2">
      <c r="A535" t="s">
        <v>68</v>
      </c>
      <c r="B535" t="s">
        <v>17</v>
      </c>
      <c r="D535" t="s">
        <v>21</v>
      </c>
      <c r="F535" t="s">
        <v>60</v>
      </c>
    </row>
    <row r="536" spans="1:6" x14ac:dyDescent="0.2">
      <c r="A536" t="s">
        <v>68</v>
      </c>
      <c r="B536" t="s">
        <v>27</v>
      </c>
      <c r="D536" t="s">
        <v>23</v>
      </c>
      <c r="F536" t="s">
        <v>60</v>
      </c>
    </row>
    <row r="537" spans="1:6" x14ac:dyDescent="0.2">
      <c r="A537" t="s">
        <v>68</v>
      </c>
      <c r="B537" t="s">
        <v>34</v>
      </c>
      <c r="D537" t="s">
        <v>28</v>
      </c>
      <c r="F537" t="s">
        <v>60</v>
      </c>
    </row>
    <row r="538" spans="1:6" x14ac:dyDescent="0.2">
      <c r="A538" t="s">
        <v>68</v>
      </c>
      <c r="B538" t="s">
        <v>32</v>
      </c>
      <c r="D538" t="s">
        <v>16</v>
      </c>
      <c r="F538" t="s">
        <v>60</v>
      </c>
    </row>
    <row r="539" spans="1:6" x14ac:dyDescent="0.2">
      <c r="A539" t="s">
        <v>68</v>
      </c>
      <c r="B539" t="s">
        <v>10</v>
      </c>
      <c r="D539" t="s">
        <v>18</v>
      </c>
      <c r="F539" t="s">
        <v>60</v>
      </c>
    </row>
    <row r="540" spans="1:6" x14ac:dyDescent="0.2">
      <c r="A540" t="s">
        <v>68</v>
      </c>
      <c r="B540" t="s">
        <v>14</v>
      </c>
      <c r="D540" t="s">
        <v>36</v>
      </c>
      <c r="F540" t="s">
        <v>60</v>
      </c>
    </row>
    <row r="541" spans="1:6" x14ac:dyDescent="0.2">
      <c r="A541" t="s">
        <v>68</v>
      </c>
      <c r="B541" t="s">
        <v>39</v>
      </c>
      <c r="D541" t="s">
        <v>33</v>
      </c>
      <c r="F541" t="s">
        <v>60</v>
      </c>
    </row>
    <row r="542" spans="1:6" x14ac:dyDescent="0.2">
      <c r="A542" t="s">
        <v>68</v>
      </c>
      <c r="B542" t="s">
        <v>15</v>
      </c>
      <c r="D542" t="s">
        <v>35</v>
      </c>
      <c r="F542" t="s">
        <v>60</v>
      </c>
    </row>
    <row r="543" spans="1:6" x14ac:dyDescent="0.2">
      <c r="A543" t="s">
        <v>68</v>
      </c>
      <c r="B543" t="s">
        <v>13</v>
      </c>
      <c r="D543" t="s">
        <v>37</v>
      </c>
      <c r="F543" t="s">
        <v>60</v>
      </c>
    </row>
    <row r="544" spans="1:6" x14ac:dyDescent="0.2">
      <c r="A544" t="s">
        <v>68</v>
      </c>
      <c r="B544" t="s">
        <v>19</v>
      </c>
      <c r="D544" t="s">
        <v>22</v>
      </c>
      <c r="F544" t="s">
        <v>60</v>
      </c>
    </row>
    <row r="545" spans="1:6" x14ac:dyDescent="0.2">
      <c r="A545" t="s">
        <v>69</v>
      </c>
      <c r="B545" t="s">
        <v>39</v>
      </c>
      <c r="D545" t="s">
        <v>31</v>
      </c>
      <c r="F545" t="s">
        <v>60</v>
      </c>
    </row>
    <row r="546" spans="1:6" x14ac:dyDescent="0.2">
      <c r="A546" t="s">
        <v>69</v>
      </c>
      <c r="B546" t="s">
        <v>40</v>
      </c>
      <c r="D546" t="s">
        <v>12</v>
      </c>
      <c r="F546" t="s">
        <v>60</v>
      </c>
    </row>
    <row r="547" spans="1:6" x14ac:dyDescent="0.2">
      <c r="A547" t="s">
        <v>69</v>
      </c>
      <c r="B547" t="s">
        <v>25</v>
      </c>
      <c r="D547" t="s">
        <v>11</v>
      </c>
      <c r="F547" t="s">
        <v>60</v>
      </c>
    </row>
    <row r="548" spans="1:6" x14ac:dyDescent="0.2">
      <c r="A548" t="s">
        <v>69</v>
      </c>
      <c r="B548" t="s">
        <v>38</v>
      </c>
      <c r="D548" t="s">
        <v>30</v>
      </c>
      <c r="F548" t="s">
        <v>60</v>
      </c>
    </row>
    <row r="549" spans="1:6" x14ac:dyDescent="0.2">
      <c r="A549" t="s">
        <v>69</v>
      </c>
      <c r="B549" t="s">
        <v>24</v>
      </c>
      <c r="D549" t="s">
        <v>55</v>
      </c>
      <c r="F549" t="s">
        <v>60</v>
      </c>
    </row>
    <row r="550" spans="1:6" x14ac:dyDescent="0.2">
      <c r="A550" t="s">
        <v>70</v>
      </c>
      <c r="B550" t="s">
        <v>28</v>
      </c>
      <c r="D550" t="s">
        <v>31</v>
      </c>
      <c r="F550" t="s">
        <v>60</v>
      </c>
    </row>
    <row r="551" spans="1:6" x14ac:dyDescent="0.2">
      <c r="A551" t="s">
        <v>70</v>
      </c>
      <c r="B551" t="s">
        <v>38</v>
      </c>
      <c r="D551" t="s">
        <v>21</v>
      </c>
      <c r="F551" t="s">
        <v>60</v>
      </c>
    </row>
    <row r="552" spans="1:6" x14ac:dyDescent="0.2">
      <c r="A552" t="s">
        <v>70</v>
      </c>
      <c r="B552" t="s">
        <v>30</v>
      </c>
      <c r="D552" t="s">
        <v>23</v>
      </c>
      <c r="F552" t="s">
        <v>60</v>
      </c>
    </row>
    <row r="553" spans="1:6" x14ac:dyDescent="0.2">
      <c r="A553" t="s">
        <v>70</v>
      </c>
      <c r="B553" t="s">
        <v>20</v>
      </c>
      <c r="D553" t="s">
        <v>16</v>
      </c>
      <c r="F553" t="s">
        <v>60</v>
      </c>
    </row>
    <row r="554" spans="1:6" x14ac:dyDescent="0.2">
      <c r="A554" t="s">
        <v>70</v>
      </c>
      <c r="B554" t="s">
        <v>35</v>
      </c>
      <c r="D554" t="s">
        <v>11</v>
      </c>
      <c r="F554" t="s">
        <v>60</v>
      </c>
    </row>
    <row r="555" spans="1:6" x14ac:dyDescent="0.2">
      <c r="A555" t="s">
        <v>70</v>
      </c>
      <c r="B555" t="s">
        <v>17</v>
      </c>
      <c r="D555" t="s">
        <v>34</v>
      </c>
      <c r="F555" t="s">
        <v>60</v>
      </c>
    </row>
    <row r="556" spans="1:6" x14ac:dyDescent="0.2">
      <c r="A556" t="s">
        <v>70</v>
      </c>
      <c r="B556" t="s">
        <v>14</v>
      </c>
      <c r="D556" t="s">
        <v>18</v>
      </c>
      <c r="F556" t="s">
        <v>60</v>
      </c>
    </row>
    <row r="557" spans="1:6" x14ac:dyDescent="0.2">
      <c r="A557" t="s">
        <v>70</v>
      </c>
      <c r="B557" t="s">
        <v>19</v>
      </c>
      <c r="D557" t="s">
        <v>29</v>
      </c>
      <c r="F557" t="s">
        <v>60</v>
      </c>
    </row>
    <row r="558" spans="1:6" x14ac:dyDescent="0.2">
      <c r="A558" t="s">
        <v>70</v>
      </c>
      <c r="B558" t="s">
        <v>27</v>
      </c>
      <c r="D558" t="s">
        <v>15</v>
      </c>
      <c r="F558" t="s">
        <v>60</v>
      </c>
    </row>
    <row r="559" spans="1:6" x14ac:dyDescent="0.2">
      <c r="A559" t="s">
        <v>70</v>
      </c>
      <c r="B559" t="s">
        <v>10</v>
      </c>
      <c r="D559" t="s">
        <v>36</v>
      </c>
      <c r="F559" t="s">
        <v>60</v>
      </c>
    </row>
    <row r="560" spans="1:6" x14ac:dyDescent="0.2">
      <c r="A560" t="s">
        <v>70</v>
      </c>
      <c r="B560" t="s">
        <v>32</v>
      </c>
      <c r="D560" t="s">
        <v>33</v>
      </c>
      <c r="F560" t="s">
        <v>60</v>
      </c>
    </row>
    <row r="561" spans="1:6" x14ac:dyDescent="0.2">
      <c r="A561" t="s">
        <v>70</v>
      </c>
      <c r="B561" t="s">
        <v>25</v>
      </c>
      <c r="D561" t="s">
        <v>37</v>
      </c>
      <c r="F561" t="s">
        <v>60</v>
      </c>
    </row>
    <row r="562" spans="1:6" x14ac:dyDescent="0.2">
      <c r="A562" t="s">
        <v>70</v>
      </c>
      <c r="B562" t="s">
        <v>26</v>
      </c>
      <c r="D562" t="s">
        <v>22</v>
      </c>
      <c r="F562" t="s">
        <v>60</v>
      </c>
    </row>
    <row r="563" spans="1:6" x14ac:dyDescent="0.2">
      <c r="A563" t="s">
        <v>71</v>
      </c>
      <c r="B563" t="s">
        <v>36</v>
      </c>
      <c r="D563" t="s">
        <v>21</v>
      </c>
      <c r="F563" t="s">
        <v>60</v>
      </c>
    </row>
    <row r="564" spans="1:6" x14ac:dyDescent="0.2">
      <c r="A564" t="s">
        <v>71</v>
      </c>
      <c r="B564" t="s">
        <v>19</v>
      </c>
      <c r="D564" t="s">
        <v>39</v>
      </c>
      <c r="F564" t="s">
        <v>60</v>
      </c>
    </row>
    <row r="565" spans="1:6" x14ac:dyDescent="0.2">
      <c r="A565" t="s">
        <v>71</v>
      </c>
      <c r="B565" t="s">
        <v>22</v>
      </c>
      <c r="D565" t="s">
        <v>26</v>
      </c>
      <c r="F565" t="s">
        <v>60</v>
      </c>
    </row>
    <row r="566" spans="1:6" x14ac:dyDescent="0.2">
      <c r="A566" t="s">
        <v>71</v>
      </c>
      <c r="B566" t="s">
        <v>20</v>
      </c>
      <c r="D566" t="s">
        <v>17</v>
      </c>
      <c r="F566" t="s">
        <v>60</v>
      </c>
    </row>
    <row r="567" spans="1:6" x14ac:dyDescent="0.2">
      <c r="A567" t="s">
        <v>71</v>
      </c>
      <c r="B567" t="s">
        <v>12</v>
      </c>
      <c r="D567" t="s">
        <v>34</v>
      </c>
      <c r="F567" t="s">
        <v>60</v>
      </c>
    </row>
    <row r="568" spans="1:6" x14ac:dyDescent="0.2">
      <c r="A568" t="s">
        <v>71</v>
      </c>
      <c r="B568" t="s">
        <v>23</v>
      </c>
      <c r="D568" t="s">
        <v>24</v>
      </c>
      <c r="F568" t="s">
        <v>60</v>
      </c>
    </row>
    <row r="569" spans="1:6" x14ac:dyDescent="0.2">
      <c r="A569" t="s">
        <v>71</v>
      </c>
      <c r="B569" t="s">
        <v>15</v>
      </c>
      <c r="D569" t="s">
        <v>29</v>
      </c>
      <c r="F569" t="s">
        <v>60</v>
      </c>
    </row>
    <row r="570" spans="1:6" x14ac:dyDescent="0.2">
      <c r="A570" t="s">
        <v>71</v>
      </c>
      <c r="B570" t="s">
        <v>18</v>
      </c>
      <c r="D570" t="s">
        <v>14</v>
      </c>
      <c r="F570" t="s">
        <v>60</v>
      </c>
    </row>
    <row r="571" spans="1:6" x14ac:dyDescent="0.2">
      <c r="A571" t="s">
        <v>71</v>
      </c>
      <c r="B571" t="s">
        <v>40</v>
      </c>
      <c r="D571" t="s">
        <v>55</v>
      </c>
      <c r="F571" t="s">
        <v>60</v>
      </c>
    </row>
    <row r="572" spans="1:6" x14ac:dyDescent="0.2">
      <c r="A572" t="s">
        <v>72</v>
      </c>
      <c r="B572" t="s">
        <v>32</v>
      </c>
      <c r="D572" t="s">
        <v>31</v>
      </c>
      <c r="F572" t="s">
        <v>60</v>
      </c>
    </row>
    <row r="573" spans="1:6" x14ac:dyDescent="0.2">
      <c r="A573" t="s">
        <v>72</v>
      </c>
      <c r="B573" t="s">
        <v>28</v>
      </c>
      <c r="D573" t="s">
        <v>13</v>
      </c>
      <c r="F573" t="s">
        <v>60</v>
      </c>
    </row>
    <row r="574" spans="1:6" x14ac:dyDescent="0.2">
      <c r="A574" t="s">
        <v>72</v>
      </c>
      <c r="B574" t="s">
        <v>38</v>
      </c>
      <c r="D574" t="s">
        <v>27</v>
      </c>
      <c r="F574" t="s">
        <v>60</v>
      </c>
    </row>
    <row r="575" spans="1:6" x14ac:dyDescent="0.2">
      <c r="A575" t="s">
        <v>72</v>
      </c>
      <c r="B575" t="s">
        <v>35</v>
      </c>
      <c r="D575" t="s">
        <v>37</v>
      </c>
      <c r="F575" t="s">
        <v>60</v>
      </c>
    </row>
    <row r="576" spans="1:6" x14ac:dyDescent="0.2">
      <c r="A576" t="s">
        <v>73</v>
      </c>
      <c r="B576" t="s">
        <v>18</v>
      </c>
      <c r="D576" t="s">
        <v>21</v>
      </c>
      <c r="F576" t="s">
        <v>60</v>
      </c>
    </row>
    <row r="577" spans="1:6" x14ac:dyDescent="0.2">
      <c r="A577" t="s">
        <v>73</v>
      </c>
      <c r="B577" t="s">
        <v>11</v>
      </c>
      <c r="D577" t="s">
        <v>25</v>
      </c>
      <c r="F577" t="s">
        <v>60</v>
      </c>
    </row>
    <row r="578" spans="1:6" x14ac:dyDescent="0.2">
      <c r="A578" t="s">
        <v>73</v>
      </c>
      <c r="B578" t="s">
        <v>27</v>
      </c>
      <c r="D578" t="s">
        <v>10</v>
      </c>
      <c r="F578" t="s">
        <v>60</v>
      </c>
    </row>
    <row r="579" spans="1:6" x14ac:dyDescent="0.2">
      <c r="A579" t="s">
        <v>73</v>
      </c>
      <c r="B579" t="s">
        <v>55</v>
      </c>
      <c r="D579" t="s">
        <v>12</v>
      </c>
      <c r="F579" t="s">
        <v>60</v>
      </c>
    </row>
    <row r="580" spans="1:6" x14ac:dyDescent="0.2">
      <c r="A580" t="s">
        <v>73</v>
      </c>
      <c r="B580" t="s">
        <v>39</v>
      </c>
      <c r="D580" t="s">
        <v>26</v>
      </c>
      <c r="F580" t="s">
        <v>60</v>
      </c>
    </row>
    <row r="581" spans="1:6" x14ac:dyDescent="0.2">
      <c r="A581" t="s">
        <v>73</v>
      </c>
      <c r="B581" t="s">
        <v>16</v>
      </c>
      <c r="D581" t="s">
        <v>17</v>
      </c>
      <c r="F581" t="s">
        <v>60</v>
      </c>
    </row>
    <row r="582" spans="1:6" x14ac:dyDescent="0.2">
      <c r="A582" t="s">
        <v>73</v>
      </c>
      <c r="B582" t="s">
        <v>32</v>
      </c>
      <c r="D582" t="s">
        <v>13</v>
      </c>
      <c r="F582" t="s">
        <v>60</v>
      </c>
    </row>
    <row r="583" spans="1:6" x14ac:dyDescent="0.2">
      <c r="A583" t="s">
        <v>73</v>
      </c>
      <c r="B583" t="s">
        <v>29</v>
      </c>
      <c r="D583" t="s">
        <v>34</v>
      </c>
      <c r="F583" t="s">
        <v>60</v>
      </c>
    </row>
    <row r="584" spans="1:6" x14ac:dyDescent="0.2">
      <c r="A584" t="s">
        <v>73</v>
      </c>
      <c r="B584" t="s">
        <v>24</v>
      </c>
      <c r="D584" t="s">
        <v>30</v>
      </c>
      <c r="F584" t="s">
        <v>60</v>
      </c>
    </row>
    <row r="585" spans="1:6" x14ac:dyDescent="0.2">
      <c r="A585" t="s">
        <v>73</v>
      </c>
      <c r="B585" t="s">
        <v>23</v>
      </c>
      <c r="D585" t="s">
        <v>36</v>
      </c>
      <c r="F585" t="s">
        <v>60</v>
      </c>
    </row>
    <row r="586" spans="1:6" x14ac:dyDescent="0.2">
      <c r="A586" t="s">
        <v>73</v>
      </c>
      <c r="B586" t="s">
        <v>14</v>
      </c>
      <c r="D586" t="s">
        <v>19</v>
      </c>
      <c r="F586" t="s">
        <v>60</v>
      </c>
    </row>
    <row r="587" spans="1:6" x14ac:dyDescent="0.2">
      <c r="A587" t="s">
        <v>73</v>
      </c>
      <c r="B587" t="s">
        <v>33</v>
      </c>
      <c r="D587" t="s">
        <v>20</v>
      </c>
      <c r="F587" t="s">
        <v>60</v>
      </c>
    </row>
    <row r="588" spans="1:6" x14ac:dyDescent="0.2">
      <c r="A588" t="s">
        <v>73</v>
      </c>
      <c r="B588" t="s">
        <v>15</v>
      </c>
      <c r="D588" t="s">
        <v>22</v>
      </c>
      <c r="F588" t="s">
        <v>60</v>
      </c>
    </row>
    <row r="589" spans="1:6" x14ac:dyDescent="0.2">
      <c r="A589" t="s">
        <v>74</v>
      </c>
      <c r="B589" t="s">
        <v>21</v>
      </c>
      <c r="D589" t="s">
        <v>23</v>
      </c>
      <c r="F589" t="s">
        <v>60</v>
      </c>
    </row>
    <row r="590" spans="1:6" x14ac:dyDescent="0.2">
      <c r="A590" t="s">
        <v>74</v>
      </c>
      <c r="B590" t="s">
        <v>26</v>
      </c>
      <c r="D590" t="s">
        <v>25</v>
      </c>
      <c r="F590" t="s">
        <v>60</v>
      </c>
    </row>
    <row r="591" spans="1:6" x14ac:dyDescent="0.2">
      <c r="A591" t="s">
        <v>74</v>
      </c>
      <c r="B591" t="s">
        <v>17</v>
      </c>
      <c r="D591" t="s">
        <v>16</v>
      </c>
      <c r="F591" t="s">
        <v>60</v>
      </c>
    </row>
    <row r="592" spans="1:6" x14ac:dyDescent="0.2">
      <c r="A592" t="s">
        <v>74</v>
      </c>
      <c r="B592" t="s">
        <v>10</v>
      </c>
      <c r="D592" t="s">
        <v>39</v>
      </c>
      <c r="F592" t="s">
        <v>60</v>
      </c>
    </row>
    <row r="593" spans="1:6" x14ac:dyDescent="0.2">
      <c r="A593" t="s">
        <v>74</v>
      </c>
      <c r="B593" t="s">
        <v>37</v>
      </c>
      <c r="D593" t="s">
        <v>11</v>
      </c>
      <c r="F593" t="s">
        <v>60</v>
      </c>
    </row>
    <row r="594" spans="1:6" x14ac:dyDescent="0.2">
      <c r="A594" t="s">
        <v>74</v>
      </c>
      <c r="B594" t="s">
        <v>31</v>
      </c>
      <c r="D594" t="s">
        <v>13</v>
      </c>
      <c r="F594" t="s">
        <v>60</v>
      </c>
    </row>
    <row r="595" spans="1:6" x14ac:dyDescent="0.2">
      <c r="A595" t="s">
        <v>74</v>
      </c>
      <c r="B595" t="s">
        <v>22</v>
      </c>
      <c r="D595" t="s">
        <v>24</v>
      </c>
      <c r="F595" t="s">
        <v>60</v>
      </c>
    </row>
    <row r="596" spans="1:6" x14ac:dyDescent="0.2">
      <c r="A596" t="s">
        <v>74</v>
      </c>
      <c r="B596" t="s">
        <v>15</v>
      </c>
      <c r="D596" t="s">
        <v>30</v>
      </c>
      <c r="F596" t="s">
        <v>60</v>
      </c>
    </row>
    <row r="597" spans="1:6" x14ac:dyDescent="0.2">
      <c r="A597" t="s">
        <v>74</v>
      </c>
      <c r="B597" t="s">
        <v>29</v>
      </c>
      <c r="D597" t="s">
        <v>35</v>
      </c>
      <c r="F597" t="s">
        <v>60</v>
      </c>
    </row>
    <row r="598" spans="1:6" x14ac:dyDescent="0.2">
      <c r="A598" t="s">
        <v>74</v>
      </c>
      <c r="B598" t="s">
        <v>36</v>
      </c>
      <c r="D598" t="s">
        <v>19</v>
      </c>
      <c r="F598" t="s">
        <v>60</v>
      </c>
    </row>
    <row r="599" spans="1:6" x14ac:dyDescent="0.2">
      <c r="A599" t="s">
        <v>74</v>
      </c>
      <c r="B599" t="s">
        <v>33</v>
      </c>
      <c r="D599" t="s">
        <v>38</v>
      </c>
      <c r="F599" t="s">
        <v>60</v>
      </c>
    </row>
    <row r="600" spans="1:6" x14ac:dyDescent="0.2">
      <c r="A600" t="s">
        <v>74</v>
      </c>
      <c r="B600" t="s">
        <v>12</v>
      </c>
      <c r="D600" t="s">
        <v>20</v>
      </c>
      <c r="F600" t="s">
        <v>60</v>
      </c>
    </row>
    <row r="601" spans="1:6" x14ac:dyDescent="0.2">
      <c r="A601" t="s">
        <v>74</v>
      </c>
      <c r="B601" t="s">
        <v>34</v>
      </c>
      <c r="D601" t="s">
        <v>40</v>
      </c>
      <c r="F601" t="s">
        <v>60</v>
      </c>
    </row>
    <row r="602" spans="1:6" x14ac:dyDescent="0.2">
      <c r="A602" t="s">
        <v>75</v>
      </c>
      <c r="B602" t="s">
        <v>30</v>
      </c>
      <c r="D602" t="s">
        <v>28</v>
      </c>
      <c r="F602" t="s">
        <v>60</v>
      </c>
    </row>
    <row r="603" spans="1:6" x14ac:dyDescent="0.2">
      <c r="A603" t="s">
        <v>75</v>
      </c>
      <c r="B603" t="s">
        <v>14</v>
      </c>
      <c r="D603" t="s">
        <v>10</v>
      </c>
      <c r="F603" t="s">
        <v>60</v>
      </c>
    </row>
    <row r="604" spans="1:6" x14ac:dyDescent="0.2">
      <c r="A604" t="s">
        <v>75</v>
      </c>
      <c r="B604" t="s">
        <v>19</v>
      </c>
      <c r="D604" t="s">
        <v>26</v>
      </c>
      <c r="F604" t="s">
        <v>60</v>
      </c>
    </row>
    <row r="605" spans="1:6" x14ac:dyDescent="0.2">
      <c r="A605" t="s">
        <v>75</v>
      </c>
      <c r="B605" t="s">
        <v>27</v>
      </c>
      <c r="D605" t="s">
        <v>32</v>
      </c>
      <c r="F605" t="s">
        <v>60</v>
      </c>
    </row>
    <row r="606" spans="1:6" x14ac:dyDescent="0.2">
      <c r="A606" t="s">
        <v>75</v>
      </c>
      <c r="B606" t="s">
        <v>18</v>
      </c>
      <c r="D606" t="s">
        <v>37</v>
      </c>
      <c r="F606" t="s">
        <v>60</v>
      </c>
    </row>
    <row r="607" spans="1:6" x14ac:dyDescent="0.2">
      <c r="A607" t="s">
        <v>76</v>
      </c>
      <c r="B607" t="s">
        <v>33</v>
      </c>
      <c r="D607" t="s">
        <v>31</v>
      </c>
      <c r="F607" t="s">
        <v>60</v>
      </c>
    </row>
    <row r="608" spans="1:6" x14ac:dyDescent="0.2">
      <c r="A608" t="s">
        <v>76</v>
      </c>
      <c r="B608" t="s">
        <v>15</v>
      </c>
      <c r="D608" t="s">
        <v>25</v>
      </c>
      <c r="F608" t="s">
        <v>60</v>
      </c>
    </row>
    <row r="609" spans="1:6" x14ac:dyDescent="0.2">
      <c r="A609" t="s">
        <v>76</v>
      </c>
      <c r="B609" t="s">
        <v>21</v>
      </c>
      <c r="D609" t="s">
        <v>16</v>
      </c>
      <c r="F609" t="s">
        <v>60</v>
      </c>
    </row>
    <row r="610" spans="1:6" x14ac:dyDescent="0.2">
      <c r="A610" t="s">
        <v>76</v>
      </c>
      <c r="B610" t="s">
        <v>13</v>
      </c>
      <c r="D610" t="s">
        <v>12</v>
      </c>
      <c r="F610" t="s">
        <v>60</v>
      </c>
    </row>
    <row r="611" spans="1:6" x14ac:dyDescent="0.2">
      <c r="A611" t="s">
        <v>76</v>
      </c>
      <c r="B611" t="s">
        <v>22</v>
      </c>
      <c r="D611" t="s">
        <v>11</v>
      </c>
      <c r="F611" t="s">
        <v>60</v>
      </c>
    </row>
    <row r="612" spans="1:6" x14ac:dyDescent="0.2">
      <c r="A612" t="s">
        <v>76</v>
      </c>
      <c r="B612" t="s">
        <v>28</v>
      </c>
      <c r="D612" t="s">
        <v>36</v>
      </c>
      <c r="F612" t="s">
        <v>60</v>
      </c>
    </row>
    <row r="613" spans="1:6" x14ac:dyDescent="0.2">
      <c r="A613" t="s">
        <v>76</v>
      </c>
      <c r="B613" t="s">
        <v>38</v>
      </c>
      <c r="D613" t="s">
        <v>32</v>
      </c>
      <c r="F613" t="s">
        <v>60</v>
      </c>
    </row>
    <row r="614" spans="1:6" x14ac:dyDescent="0.2">
      <c r="A614" t="s">
        <v>76</v>
      </c>
      <c r="B614" t="s">
        <v>23</v>
      </c>
      <c r="D614" t="s">
        <v>35</v>
      </c>
      <c r="F614" t="s">
        <v>60</v>
      </c>
    </row>
    <row r="615" spans="1:6" x14ac:dyDescent="0.2">
      <c r="A615" t="s">
        <v>76</v>
      </c>
      <c r="B615" t="s">
        <v>29</v>
      </c>
      <c r="D615" t="s">
        <v>55</v>
      </c>
      <c r="F615" t="s">
        <v>60</v>
      </c>
    </row>
    <row r="616" spans="1:6" x14ac:dyDescent="0.2">
      <c r="A616" t="s">
        <v>76</v>
      </c>
      <c r="B616" t="s">
        <v>34</v>
      </c>
      <c r="D616" t="s">
        <v>20</v>
      </c>
      <c r="F616" t="s">
        <v>60</v>
      </c>
    </row>
    <row r="617" spans="1:6" x14ac:dyDescent="0.2">
      <c r="A617" t="s">
        <v>76</v>
      </c>
      <c r="B617" t="s">
        <v>17</v>
      </c>
      <c r="D617" t="s">
        <v>40</v>
      </c>
      <c r="F617" t="s">
        <v>60</v>
      </c>
    </row>
    <row r="618" spans="1:6" x14ac:dyDescent="0.2">
      <c r="A618" t="s">
        <v>77</v>
      </c>
      <c r="B618" t="s">
        <v>30</v>
      </c>
      <c r="D618" t="s">
        <v>10</v>
      </c>
      <c r="F618" t="s">
        <v>60</v>
      </c>
    </row>
    <row r="619" spans="1:6" x14ac:dyDescent="0.2">
      <c r="A619" t="s">
        <v>77</v>
      </c>
      <c r="B619" t="s">
        <v>18</v>
      </c>
      <c r="D619" t="s">
        <v>11</v>
      </c>
      <c r="F619" t="s">
        <v>60</v>
      </c>
    </row>
    <row r="620" spans="1:6" x14ac:dyDescent="0.2">
      <c r="A620" t="s">
        <v>77</v>
      </c>
      <c r="B620" t="s">
        <v>25</v>
      </c>
      <c r="D620" t="s">
        <v>14</v>
      </c>
      <c r="F620" t="s">
        <v>60</v>
      </c>
    </row>
    <row r="621" spans="1:6" x14ac:dyDescent="0.2">
      <c r="A621" t="s">
        <v>77</v>
      </c>
      <c r="B621" t="s">
        <v>24</v>
      </c>
      <c r="D621" t="s">
        <v>19</v>
      </c>
      <c r="F621" t="s">
        <v>60</v>
      </c>
    </row>
    <row r="622" spans="1:6" x14ac:dyDescent="0.2">
      <c r="A622" t="s">
        <v>77</v>
      </c>
      <c r="B622" t="s">
        <v>27</v>
      </c>
      <c r="D622" t="s">
        <v>38</v>
      </c>
      <c r="F622" t="s">
        <v>60</v>
      </c>
    </row>
    <row r="623" spans="1:6" x14ac:dyDescent="0.2">
      <c r="A623" t="s">
        <v>78</v>
      </c>
      <c r="B623" t="s">
        <v>37</v>
      </c>
      <c r="D623" t="s">
        <v>31</v>
      </c>
      <c r="F623" t="s">
        <v>60</v>
      </c>
    </row>
    <row r="624" spans="1:6" x14ac:dyDescent="0.2">
      <c r="A624" t="s">
        <v>78</v>
      </c>
      <c r="B624" t="s">
        <v>24</v>
      </c>
      <c r="D624" t="s">
        <v>28</v>
      </c>
      <c r="F624" t="s">
        <v>60</v>
      </c>
    </row>
    <row r="625" spans="1:6" x14ac:dyDescent="0.2">
      <c r="A625" t="s">
        <v>78</v>
      </c>
      <c r="B625" t="s">
        <v>27</v>
      </c>
      <c r="D625" t="s">
        <v>16</v>
      </c>
      <c r="F625" t="s">
        <v>60</v>
      </c>
    </row>
    <row r="626" spans="1:6" x14ac:dyDescent="0.2">
      <c r="A626" t="s">
        <v>78</v>
      </c>
      <c r="B626" t="s">
        <v>35</v>
      </c>
      <c r="D626" t="s">
        <v>12</v>
      </c>
      <c r="F626" t="s">
        <v>60</v>
      </c>
    </row>
    <row r="627" spans="1:6" x14ac:dyDescent="0.2">
      <c r="A627" t="s">
        <v>78</v>
      </c>
      <c r="B627" t="s">
        <v>23</v>
      </c>
      <c r="D627" t="s">
        <v>39</v>
      </c>
      <c r="F627" t="s">
        <v>60</v>
      </c>
    </row>
    <row r="628" spans="1:6" x14ac:dyDescent="0.2">
      <c r="A628" t="s">
        <v>78</v>
      </c>
      <c r="B628" t="s">
        <v>40</v>
      </c>
      <c r="D628" t="s">
        <v>26</v>
      </c>
      <c r="F628" t="s">
        <v>60</v>
      </c>
    </row>
    <row r="629" spans="1:6" x14ac:dyDescent="0.2">
      <c r="A629" t="s">
        <v>78</v>
      </c>
      <c r="B629" t="s">
        <v>21</v>
      </c>
      <c r="D629" t="s">
        <v>17</v>
      </c>
      <c r="F629" t="s">
        <v>60</v>
      </c>
    </row>
    <row r="630" spans="1:6" x14ac:dyDescent="0.2">
      <c r="A630" t="s">
        <v>78</v>
      </c>
      <c r="B630" t="s">
        <v>34</v>
      </c>
      <c r="D630" t="s">
        <v>33</v>
      </c>
      <c r="F630" t="s">
        <v>60</v>
      </c>
    </row>
    <row r="631" spans="1:6" x14ac:dyDescent="0.2">
      <c r="A631" t="s">
        <v>78</v>
      </c>
      <c r="B631" t="s">
        <v>29</v>
      </c>
      <c r="D631" t="s">
        <v>20</v>
      </c>
      <c r="F631" t="s">
        <v>60</v>
      </c>
    </row>
    <row r="632" spans="1:6" x14ac:dyDescent="0.2">
      <c r="A632" t="s">
        <v>78</v>
      </c>
      <c r="B632" t="s">
        <v>15</v>
      </c>
      <c r="D632" t="s">
        <v>22</v>
      </c>
      <c r="F632" t="s">
        <v>60</v>
      </c>
    </row>
    <row r="633" spans="1:6" x14ac:dyDescent="0.2">
      <c r="A633" t="s">
        <v>79</v>
      </c>
      <c r="B633" t="s">
        <v>18</v>
      </c>
      <c r="D633" t="s">
        <v>25</v>
      </c>
      <c r="F633" t="s">
        <v>60</v>
      </c>
    </row>
    <row r="634" spans="1:6" x14ac:dyDescent="0.2">
      <c r="A634" t="s">
        <v>79</v>
      </c>
      <c r="B634" t="s">
        <v>39</v>
      </c>
      <c r="D634" t="s">
        <v>10</v>
      </c>
      <c r="F634" t="s">
        <v>60</v>
      </c>
    </row>
    <row r="635" spans="1:6" x14ac:dyDescent="0.2">
      <c r="A635" t="s">
        <v>79</v>
      </c>
      <c r="B635" t="s">
        <v>37</v>
      </c>
      <c r="D635" t="s">
        <v>13</v>
      </c>
      <c r="F635" t="s">
        <v>60</v>
      </c>
    </row>
    <row r="636" spans="1:6" x14ac:dyDescent="0.2">
      <c r="A636" t="s">
        <v>79</v>
      </c>
      <c r="B636" t="s">
        <v>55</v>
      </c>
      <c r="D636" t="s">
        <v>30</v>
      </c>
      <c r="F636" t="s">
        <v>60</v>
      </c>
    </row>
    <row r="637" spans="1:6" x14ac:dyDescent="0.2">
      <c r="A637" t="s">
        <v>79</v>
      </c>
      <c r="B637" t="s">
        <v>22</v>
      </c>
      <c r="D637" t="s">
        <v>36</v>
      </c>
      <c r="F637" t="s">
        <v>60</v>
      </c>
    </row>
    <row r="638" spans="1:6" x14ac:dyDescent="0.2">
      <c r="A638" t="s">
        <v>79</v>
      </c>
      <c r="B638" t="s">
        <v>26</v>
      </c>
      <c r="D638" t="s">
        <v>14</v>
      </c>
      <c r="F638" t="s">
        <v>60</v>
      </c>
    </row>
    <row r="639" spans="1:6" x14ac:dyDescent="0.2">
      <c r="A639" t="s">
        <v>79</v>
      </c>
      <c r="B639" t="s">
        <v>29</v>
      </c>
      <c r="D639" t="s">
        <v>32</v>
      </c>
      <c r="F639" t="s">
        <v>60</v>
      </c>
    </row>
    <row r="640" spans="1:6" x14ac:dyDescent="0.2">
      <c r="A640" t="s">
        <v>79</v>
      </c>
      <c r="B640" t="s">
        <v>40</v>
      </c>
      <c r="D640" t="s">
        <v>19</v>
      </c>
      <c r="F640" t="s">
        <v>60</v>
      </c>
    </row>
    <row r="641" spans="1:6" x14ac:dyDescent="0.2">
      <c r="A641" t="s">
        <v>80</v>
      </c>
      <c r="B641" t="s">
        <v>34</v>
      </c>
      <c r="D641" t="s">
        <v>31</v>
      </c>
      <c r="F641" t="s">
        <v>60</v>
      </c>
    </row>
    <row r="642" spans="1:6" x14ac:dyDescent="0.2">
      <c r="A642" t="s">
        <v>80</v>
      </c>
      <c r="B642" t="s">
        <v>15</v>
      </c>
      <c r="D642" t="s">
        <v>11</v>
      </c>
      <c r="F642" t="s">
        <v>60</v>
      </c>
    </row>
    <row r="643" spans="1:6" x14ac:dyDescent="0.2">
      <c r="A643" t="s">
        <v>80</v>
      </c>
      <c r="B643" t="s">
        <v>20</v>
      </c>
      <c r="D643" t="s">
        <v>35</v>
      </c>
      <c r="F643" t="s">
        <v>60</v>
      </c>
    </row>
    <row r="644" spans="1:6" x14ac:dyDescent="0.2">
      <c r="A644" t="s">
        <v>80</v>
      </c>
      <c r="B644" t="s">
        <v>32</v>
      </c>
      <c r="D644" t="s">
        <v>38</v>
      </c>
      <c r="F644" t="s">
        <v>60</v>
      </c>
    </row>
    <row r="645" spans="1:6" x14ac:dyDescent="0.2">
      <c r="A645" t="s">
        <v>81</v>
      </c>
      <c r="B645" t="s">
        <v>12</v>
      </c>
      <c r="D645" t="s">
        <v>25</v>
      </c>
      <c r="F645" t="s">
        <v>60</v>
      </c>
    </row>
    <row r="646" spans="1:6" x14ac:dyDescent="0.2">
      <c r="A646" t="s">
        <v>81</v>
      </c>
      <c r="B646" t="s">
        <v>23</v>
      </c>
      <c r="D646" t="s">
        <v>28</v>
      </c>
      <c r="F646" t="s">
        <v>60</v>
      </c>
    </row>
    <row r="647" spans="1:6" x14ac:dyDescent="0.2">
      <c r="A647" t="s">
        <v>81</v>
      </c>
      <c r="B647" t="s">
        <v>29</v>
      </c>
      <c r="D647" t="s">
        <v>16</v>
      </c>
      <c r="F647" t="s">
        <v>60</v>
      </c>
    </row>
    <row r="648" spans="1:6" x14ac:dyDescent="0.2">
      <c r="A648" t="s">
        <v>81</v>
      </c>
      <c r="B648" t="s">
        <v>14</v>
      </c>
      <c r="D648" t="s">
        <v>26</v>
      </c>
      <c r="F648" t="s">
        <v>60</v>
      </c>
    </row>
    <row r="649" spans="1:6" x14ac:dyDescent="0.2">
      <c r="A649" t="s">
        <v>81</v>
      </c>
      <c r="B649" t="s">
        <v>27</v>
      </c>
      <c r="D649" t="s">
        <v>17</v>
      </c>
      <c r="F649" t="s">
        <v>60</v>
      </c>
    </row>
    <row r="650" spans="1:6" x14ac:dyDescent="0.2">
      <c r="A650" t="s">
        <v>81</v>
      </c>
      <c r="B650" t="s">
        <v>34</v>
      </c>
      <c r="D650" t="s">
        <v>13</v>
      </c>
      <c r="F650" t="s">
        <v>60</v>
      </c>
    </row>
    <row r="651" spans="1:6" x14ac:dyDescent="0.2">
      <c r="A651" t="s">
        <v>81</v>
      </c>
      <c r="B651" t="s">
        <v>55</v>
      </c>
      <c r="D651" t="s">
        <v>24</v>
      </c>
      <c r="F651" t="s">
        <v>60</v>
      </c>
    </row>
    <row r="652" spans="1:6" x14ac:dyDescent="0.2">
      <c r="A652" t="s">
        <v>81</v>
      </c>
      <c r="B652" t="s">
        <v>19</v>
      </c>
      <c r="D652" t="s">
        <v>30</v>
      </c>
      <c r="F652" t="s">
        <v>60</v>
      </c>
    </row>
    <row r="653" spans="1:6" x14ac:dyDescent="0.2">
      <c r="A653" t="s">
        <v>81</v>
      </c>
      <c r="B653" t="s">
        <v>40</v>
      </c>
      <c r="D653" t="s">
        <v>36</v>
      </c>
      <c r="F653" t="s">
        <v>60</v>
      </c>
    </row>
    <row r="654" spans="1:6" x14ac:dyDescent="0.2">
      <c r="A654" t="s">
        <v>81</v>
      </c>
      <c r="B654" t="s">
        <v>37</v>
      </c>
      <c r="D654" t="s">
        <v>33</v>
      </c>
      <c r="F654" t="s">
        <v>60</v>
      </c>
    </row>
    <row r="655" spans="1:6" x14ac:dyDescent="0.2">
      <c r="A655" t="s">
        <v>81</v>
      </c>
      <c r="B655" t="s">
        <v>18</v>
      </c>
      <c r="D655" t="s">
        <v>35</v>
      </c>
      <c r="F655" t="s">
        <v>60</v>
      </c>
    </row>
    <row r="656" spans="1:6" x14ac:dyDescent="0.2">
      <c r="A656" t="s">
        <v>81</v>
      </c>
      <c r="B656" t="s">
        <v>21</v>
      </c>
      <c r="D656" t="s">
        <v>38</v>
      </c>
      <c r="F656" t="s">
        <v>60</v>
      </c>
    </row>
    <row r="657" spans="1:6" x14ac:dyDescent="0.2">
      <c r="A657" t="s">
        <v>81</v>
      </c>
      <c r="B657" t="s">
        <v>10</v>
      </c>
      <c r="D657" t="s">
        <v>22</v>
      </c>
      <c r="F657" t="s">
        <v>60</v>
      </c>
    </row>
    <row r="658" spans="1:6" x14ac:dyDescent="0.2">
      <c r="A658" t="s">
        <v>82</v>
      </c>
      <c r="B658" t="s">
        <v>14</v>
      </c>
      <c r="D658" t="s">
        <v>28</v>
      </c>
      <c r="F658" t="s">
        <v>60</v>
      </c>
    </row>
    <row r="659" spans="1:6" x14ac:dyDescent="0.2">
      <c r="A659" t="s">
        <v>82</v>
      </c>
      <c r="B659" t="s">
        <v>20</v>
      </c>
      <c r="D659" t="s">
        <v>10</v>
      </c>
      <c r="F659" t="s">
        <v>60</v>
      </c>
    </row>
    <row r="660" spans="1:6" x14ac:dyDescent="0.2">
      <c r="A660" t="s">
        <v>82</v>
      </c>
      <c r="B660" t="s">
        <v>18</v>
      </c>
      <c r="D660" t="s">
        <v>39</v>
      </c>
      <c r="F660" t="s">
        <v>60</v>
      </c>
    </row>
    <row r="661" spans="1:6" x14ac:dyDescent="0.2">
      <c r="A661" t="s">
        <v>82</v>
      </c>
      <c r="B661" t="s">
        <v>12</v>
      </c>
      <c r="D661" t="s">
        <v>11</v>
      </c>
      <c r="F661" t="s">
        <v>60</v>
      </c>
    </row>
    <row r="662" spans="1:6" x14ac:dyDescent="0.2">
      <c r="A662" t="s">
        <v>82</v>
      </c>
      <c r="B662" t="s">
        <v>25</v>
      </c>
      <c r="D662" t="s">
        <v>24</v>
      </c>
      <c r="F662" t="s">
        <v>60</v>
      </c>
    </row>
    <row r="663" spans="1:6" x14ac:dyDescent="0.2">
      <c r="A663" t="s">
        <v>83</v>
      </c>
      <c r="B663" t="s">
        <v>32</v>
      </c>
      <c r="D663" t="s">
        <v>16</v>
      </c>
      <c r="F663" t="s">
        <v>60</v>
      </c>
    </row>
    <row r="664" spans="1:6" x14ac:dyDescent="0.2">
      <c r="A664" t="s">
        <v>83</v>
      </c>
      <c r="B664" t="s">
        <v>34</v>
      </c>
      <c r="D664" t="s">
        <v>13</v>
      </c>
      <c r="F664" t="s">
        <v>60</v>
      </c>
    </row>
    <row r="665" spans="1:6" x14ac:dyDescent="0.2">
      <c r="A665" t="s">
        <v>83</v>
      </c>
      <c r="B665" t="s">
        <v>55</v>
      </c>
      <c r="D665" t="s">
        <v>15</v>
      </c>
      <c r="F665" t="s">
        <v>60</v>
      </c>
    </row>
    <row r="666" spans="1:6" x14ac:dyDescent="0.2">
      <c r="A666" t="s">
        <v>83</v>
      </c>
      <c r="B666" t="s">
        <v>26</v>
      </c>
      <c r="D666" t="s">
        <v>36</v>
      </c>
      <c r="F666" t="s">
        <v>60</v>
      </c>
    </row>
    <row r="667" spans="1:6" x14ac:dyDescent="0.2">
      <c r="A667" t="s">
        <v>83</v>
      </c>
      <c r="B667" t="s">
        <v>31</v>
      </c>
      <c r="D667" t="s">
        <v>22</v>
      </c>
      <c r="F667" t="s">
        <v>60</v>
      </c>
    </row>
    <row r="668" spans="1:6" x14ac:dyDescent="0.2">
      <c r="A668" t="s">
        <v>84</v>
      </c>
      <c r="B668" t="s">
        <v>38</v>
      </c>
      <c r="D668" t="s">
        <v>23</v>
      </c>
      <c r="F668" t="s">
        <v>60</v>
      </c>
    </row>
    <row r="669" spans="1:6" x14ac:dyDescent="0.2">
      <c r="A669" t="s">
        <v>84</v>
      </c>
      <c r="B669" t="s">
        <v>39</v>
      </c>
      <c r="D669" t="s">
        <v>25</v>
      </c>
      <c r="F669" t="s">
        <v>60</v>
      </c>
    </row>
    <row r="670" spans="1:6" x14ac:dyDescent="0.2">
      <c r="A670" t="s">
        <v>84</v>
      </c>
      <c r="B670" t="s">
        <v>29</v>
      </c>
      <c r="D670" t="s">
        <v>17</v>
      </c>
      <c r="F670" t="s">
        <v>60</v>
      </c>
    </row>
    <row r="671" spans="1:6" x14ac:dyDescent="0.2">
      <c r="A671" t="s">
        <v>84</v>
      </c>
      <c r="B671" t="s">
        <v>24</v>
      </c>
      <c r="D671" t="s">
        <v>30</v>
      </c>
      <c r="F671" t="s">
        <v>60</v>
      </c>
    </row>
    <row r="672" spans="1:6" x14ac:dyDescent="0.2">
      <c r="A672" t="s">
        <v>84</v>
      </c>
      <c r="B672" t="s">
        <v>31</v>
      </c>
      <c r="D672" t="s">
        <v>27</v>
      </c>
      <c r="F672" t="s">
        <v>60</v>
      </c>
    </row>
    <row r="673" spans="1:6" x14ac:dyDescent="0.2">
      <c r="A673" t="s">
        <v>84</v>
      </c>
      <c r="B673" t="s">
        <v>21</v>
      </c>
      <c r="D673" t="s">
        <v>32</v>
      </c>
      <c r="F673" t="s">
        <v>60</v>
      </c>
    </row>
    <row r="674" spans="1:6" x14ac:dyDescent="0.2">
      <c r="A674" t="s">
        <v>84</v>
      </c>
      <c r="B674" t="s">
        <v>28</v>
      </c>
      <c r="D674" t="s">
        <v>33</v>
      </c>
      <c r="F674" t="s">
        <v>60</v>
      </c>
    </row>
    <row r="675" spans="1:6" x14ac:dyDescent="0.2">
      <c r="A675" t="s">
        <v>84</v>
      </c>
      <c r="B675" t="s">
        <v>12</v>
      </c>
      <c r="D675" t="s">
        <v>37</v>
      </c>
      <c r="F675" t="s">
        <v>60</v>
      </c>
    </row>
    <row r="676" spans="1:6" x14ac:dyDescent="0.2">
      <c r="A676" t="s">
        <v>84</v>
      </c>
      <c r="B676" t="s">
        <v>11</v>
      </c>
      <c r="D676" t="s">
        <v>19</v>
      </c>
      <c r="F676" t="s">
        <v>60</v>
      </c>
    </row>
    <row r="677" spans="1:6" x14ac:dyDescent="0.2">
      <c r="A677" t="s">
        <v>84</v>
      </c>
      <c r="B677" t="s">
        <v>20</v>
      </c>
      <c r="D677" t="s">
        <v>40</v>
      </c>
      <c r="F677" t="s">
        <v>60</v>
      </c>
    </row>
    <row r="678" spans="1:6" x14ac:dyDescent="0.2">
      <c r="A678" t="s">
        <v>85</v>
      </c>
      <c r="B678" t="s">
        <v>35</v>
      </c>
      <c r="D678" t="s">
        <v>10</v>
      </c>
      <c r="F678" t="s">
        <v>60</v>
      </c>
    </row>
    <row r="679" spans="1:6" x14ac:dyDescent="0.2">
      <c r="A679" t="s">
        <v>85</v>
      </c>
      <c r="B679" t="s">
        <v>33</v>
      </c>
      <c r="D679" t="s">
        <v>13</v>
      </c>
      <c r="F679" t="s">
        <v>60</v>
      </c>
    </row>
    <row r="680" spans="1:6" x14ac:dyDescent="0.2">
      <c r="A680" t="s">
        <v>85</v>
      </c>
      <c r="B680" t="s">
        <v>16</v>
      </c>
      <c r="D680" t="s">
        <v>18</v>
      </c>
      <c r="F680" t="s">
        <v>60</v>
      </c>
    </row>
    <row r="681" spans="1:6" x14ac:dyDescent="0.2">
      <c r="A681" t="s">
        <v>85</v>
      </c>
      <c r="B681" t="s">
        <v>36</v>
      </c>
      <c r="D681" t="s">
        <v>55</v>
      </c>
      <c r="F681" t="s">
        <v>60</v>
      </c>
    </row>
    <row r="682" spans="1:6" x14ac:dyDescent="0.2">
      <c r="A682" t="s">
        <v>85</v>
      </c>
      <c r="B682" t="s">
        <v>39</v>
      </c>
      <c r="D682" t="s">
        <v>22</v>
      </c>
      <c r="F682" t="s">
        <v>60</v>
      </c>
    </row>
    <row r="683" spans="1:6" x14ac:dyDescent="0.2">
      <c r="A683" t="s">
        <v>86</v>
      </c>
      <c r="B683" t="s">
        <v>16</v>
      </c>
      <c r="D683" t="s">
        <v>21</v>
      </c>
      <c r="F683" t="s">
        <v>60</v>
      </c>
    </row>
    <row r="684" spans="1:6" x14ac:dyDescent="0.2">
      <c r="A684" t="s">
        <v>86</v>
      </c>
      <c r="B684" t="s">
        <v>31</v>
      </c>
      <c r="D684" t="s">
        <v>25</v>
      </c>
      <c r="F684" t="s">
        <v>60</v>
      </c>
    </row>
    <row r="685" spans="1:6" x14ac:dyDescent="0.2">
      <c r="A685" t="s">
        <v>86</v>
      </c>
      <c r="B685" t="s">
        <v>36</v>
      </c>
      <c r="D685" t="s">
        <v>12</v>
      </c>
      <c r="F685" t="s">
        <v>60</v>
      </c>
    </row>
    <row r="686" spans="1:6" x14ac:dyDescent="0.2">
      <c r="A686" t="s">
        <v>86</v>
      </c>
      <c r="B686" t="s">
        <v>38</v>
      </c>
      <c r="D686" t="s">
        <v>26</v>
      </c>
      <c r="F686" t="s">
        <v>60</v>
      </c>
    </row>
    <row r="687" spans="1:6" x14ac:dyDescent="0.2">
      <c r="A687" t="s">
        <v>86</v>
      </c>
      <c r="B687" t="s">
        <v>11</v>
      </c>
      <c r="D687" t="s">
        <v>18</v>
      </c>
      <c r="F687" t="s">
        <v>60</v>
      </c>
    </row>
    <row r="688" spans="1:6" x14ac:dyDescent="0.2">
      <c r="A688" t="s">
        <v>86</v>
      </c>
      <c r="B688" t="s">
        <v>30</v>
      </c>
      <c r="D688" t="s">
        <v>29</v>
      </c>
      <c r="F688" t="s">
        <v>60</v>
      </c>
    </row>
    <row r="689" spans="1:6" x14ac:dyDescent="0.2">
      <c r="A689" t="s">
        <v>86</v>
      </c>
      <c r="B689" t="s">
        <v>23</v>
      </c>
      <c r="D689" t="s">
        <v>15</v>
      </c>
      <c r="F689" t="s">
        <v>60</v>
      </c>
    </row>
    <row r="690" spans="1:6" x14ac:dyDescent="0.2">
      <c r="A690" t="s">
        <v>86</v>
      </c>
      <c r="B690" t="s">
        <v>19</v>
      </c>
      <c r="D690" t="s">
        <v>27</v>
      </c>
      <c r="F690" t="s">
        <v>60</v>
      </c>
    </row>
    <row r="691" spans="1:6" x14ac:dyDescent="0.2">
      <c r="A691" t="s">
        <v>86</v>
      </c>
      <c r="B691" t="s">
        <v>24</v>
      </c>
      <c r="D691" t="s">
        <v>14</v>
      </c>
      <c r="F691" t="s">
        <v>60</v>
      </c>
    </row>
    <row r="692" spans="1:6" x14ac:dyDescent="0.2">
      <c r="A692" t="s">
        <v>86</v>
      </c>
      <c r="B692" t="s">
        <v>34</v>
      </c>
      <c r="D692" t="s">
        <v>32</v>
      </c>
      <c r="F692" t="s">
        <v>60</v>
      </c>
    </row>
    <row r="693" spans="1:6" x14ac:dyDescent="0.2">
      <c r="A693" t="s">
        <v>86</v>
      </c>
      <c r="B693" t="s">
        <v>28</v>
      </c>
      <c r="D693" t="s">
        <v>20</v>
      </c>
      <c r="F693" t="s">
        <v>60</v>
      </c>
    </row>
    <row r="694" spans="1:6" x14ac:dyDescent="0.2">
      <c r="A694" t="s">
        <v>86</v>
      </c>
      <c r="B694" t="s">
        <v>17</v>
      </c>
      <c r="D694" t="s">
        <v>40</v>
      </c>
      <c r="F694" t="s">
        <v>60</v>
      </c>
    </row>
    <row r="695" spans="1:6" x14ac:dyDescent="0.2">
      <c r="A695" t="s">
        <v>87</v>
      </c>
      <c r="B695" t="s">
        <v>22</v>
      </c>
      <c r="D695" t="s">
        <v>10</v>
      </c>
      <c r="F695" t="s">
        <v>60</v>
      </c>
    </row>
    <row r="696" spans="1:6" x14ac:dyDescent="0.2">
      <c r="A696" t="s">
        <v>87</v>
      </c>
      <c r="B696" t="s">
        <v>35</v>
      </c>
      <c r="D696" t="s">
        <v>55</v>
      </c>
      <c r="F696" t="s">
        <v>60</v>
      </c>
    </row>
    <row r="697" spans="1:6" x14ac:dyDescent="0.2">
      <c r="A697" t="s">
        <v>87</v>
      </c>
      <c r="B697" t="s">
        <v>13</v>
      </c>
      <c r="D697" t="s">
        <v>40</v>
      </c>
      <c r="F697" t="s">
        <v>60</v>
      </c>
    </row>
    <row r="698" spans="1:6" x14ac:dyDescent="0.2">
      <c r="A698" t="s">
        <v>88</v>
      </c>
      <c r="B698" t="s">
        <v>15</v>
      </c>
      <c r="D698" t="s">
        <v>21</v>
      </c>
      <c r="F698" t="s">
        <v>60</v>
      </c>
    </row>
    <row r="699" spans="1:6" x14ac:dyDescent="0.2">
      <c r="A699" t="s">
        <v>88</v>
      </c>
      <c r="B699" t="s">
        <v>31</v>
      </c>
      <c r="D699" t="s">
        <v>23</v>
      </c>
      <c r="F699" t="s">
        <v>60</v>
      </c>
    </row>
    <row r="700" spans="1:6" x14ac:dyDescent="0.2">
      <c r="A700" t="s">
        <v>88</v>
      </c>
      <c r="B700" t="s">
        <v>32</v>
      </c>
      <c r="D700" t="s">
        <v>25</v>
      </c>
      <c r="F700" t="s">
        <v>60</v>
      </c>
    </row>
    <row r="701" spans="1:6" x14ac:dyDescent="0.2">
      <c r="A701" t="s">
        <v>88</v>
      </c>
      <c r="B701" t="s">
        <v>28</v>
      </c>
      <c r="D701" t="s">
        <v>12</v>
      </c>
      <c r="F701" t="s">
        <v>60</v>
      </c>
    </row>
    <row r="702" spans="1:6" x14ac:dyDescent="0.2">
      <c r="A702" t="s">
        <v>88</v>
      </c>
      <c r="B702" t="s">
        <v>13</v>
      </c>
      <c r="D702" t="s">
        <v>17</v>
      </c>
      <c r="F702" t="s">
        <v>60</v>
      </c>
    </row>
    <row r="703" spans="1:6" x14ac:dyDescent="0.2">
      <c r="A703" t="s">
        <v>88</v>
      </c>
      <c r="B703" t="s">
        <v>30</v>
      </c>
      <c r="D703" t="s">
        <v>34</v>
      </c>
      <c r="F703" t="s">
        <v>60</v>
      </c>
    </row>
    <row r="704" spans="1:6" x14ac:dyDescent="0.2">
      <c r="A704" t="s">
        <v>88</v>
      </c>
      <c r="B704" t="s">
        <v>26</v>
      </c>
      <c r="D704" t="s">
        <v>18</v>
      </c>
      <c r="F704" t="s">
        <v>60</v>
      </c>
    </row>
    <row r="705" spans="1:6" x14ac:dyDescent="0.2">
      <c r="A705" t="s">
        <v>88</v>
      </c>
      <c r="B705" t="s">
        <v>10</v>
      </c>
      <c r="D705" t="s">
        <v>29</v>
      </c>
      <c r="F705" t="s">
        <v>60</v>
      </c>
    </row>
    <row r="706" spans="1:6" x14ac:dyDescent="0.2">
      <c r="A706" t="s">
        <v>88</v>
      </c>
      <c r="B706" t="s">
        <v>11</v>
      </c>
      <c r="D706" t="s">
        <v>36</v>
      </c>
      <c r="F706" t="s">
        <v>60</v>
      </c>
    </row>
    <row r="707" spans="1:6" x14ac:dyDescent="0.2">
      <c r="A707" t="s">
        <v>88</v>
      </c>
      <c r="B707" t="s">
        <v>37</v>
      </c>
      <c r="D707" t="s">
        <v>27</v>
      </c>
      <c r="F707" t="s">
        <v>60</v>
      </c>
    </row>
    <row r="708" spans="1:6" x14ac:dyDescent="0.2">
      <c r="A708" t="s">
        <v>88</v>
      </c>
      <c r="B708" t="s">
        <v>16</v>
      </c>
      <c r="D708" t="s">
        <v>14</v>
      </c>
      <c r="F708" t="s">
        <v>60</v>
      </c>
    </row>
    <row r="709" spans="1:6" x14ac:dyDescent="0.2">
      <c r="A709" t="s">
        <v>88</v>
      </c>
      <c r="B709" t="s">
        <v>39</v>
      </c>
      <c r="D709" t="s">
        <v>33</v>
      </c>
      <c r="F709" t="s">
        <v>60</v>
      </c>
    </row>
    <row r="710" spans="1:6" x14ac:dyDescent="0.2">
      <c r="A710" t="s">
        <v>88</v>
      </c>
      <c r="B710" t="s">
        <v>38</v>
      </c>
      <c r="D710" t="s">
        <v>19</v>
      </c>
      <c r="F710" t="s">
        <v>60</v>
      </c>
    </row>
    <row r="711" spans="1:6" x14ac:dyDescent="0.2">
      <c r="A711" t="s">
        <v>88</v>
      </c>
      <c r="B711" t="s">
        <v>35</v>
      </c>
      <c r="D711" t="s">
        <v>20</v>
      </c>
      <c r="F711" t="s">
        <v>60</v>
      </c>
    </row>
    <row r="712" spans="1:6" x14ac:dyDescent="0.2">
      <c r="A712" t="s">
        <v>89</v>
      </c>
      <c r="B712" t="s">
        <v>14</v>
      </c>
      <c r="D712" t="s">
        <v>21</v>
      </c>
      <c r="F712" t="s">
        <v>60</v>
      </c>
    </row>
    <row r="713" spans="1:6" x14ac:dyDescent="0.2">
      <c r="A713" t="s">
        <v>89</v>
      </c>
      <c r="B713" t="s">
        <v>22</v>
      </c>
      <c r="D713" t="s">
        <v>29</v>
      </c>
      <c r="F713" t="s">
        <v>60</v>
      </c>
    </row>
    <row r="714" spans="1:6" x14ac:dyDescent="0.2">
      <c r="A714" t="s">
        <v>89</v>
      </c>
      <c r="B714" t="s">
        <v>20</v>
      </c>
      <c r="D714" t="s">
        <v>33</v>
      </c>
      <c r="F714" t="s">
        <v>60</v>
      </c>
    </row>
    <row r="715" spans="1:6" x14ac:dyDescent="0.2">
      <c r="A715" t="s">
        <v>89</v>
      </c>
      <c r="B715" t="s">
        <v>28</v>
      </c>
      <c r="D715" t="s">
        <v>55</v>
      </c>
      <c r="F715" t="s">
        <v>60</v>
      </c>
    </row>
    <row r="716" spans="1:6" x14ac:dyDescent="0.2">
      <c r="A716" t="s">
        <v>89</v>
      </c>
      <c r="B716" t="s">
        <v>24</v>
      </c>
      <c r="D716" t="s">
        <v>40</v>
      </c>
      <c r="F716" t="s">
        <v>60</v>
      </c>
    </row>
    <row r="717" spans="1:6" x14ac:dyDescent="0.2">
      <c r="A717" t="s">
        <v>90</v>
      </c>
      <c r="B717" t="s">
        <v>11</v>
      </c>
      <c r="D717" t="s">
        <v>23</v>
      </c>
      <c r="F717" t="s">
        <v>60</v>
      </c>
    </row>
    <row r="718" spans="1:6" x14ac:dyDescent="0.2">
      <c r="A718" t="s">
        <v>90</v>
      </c>
      <c r="B718" t="s">
        <v>17</v>
      </c>
      <c r="D718" t="s">
        <v>10</v>
      </c>
      <c r="F718" t="s">
        <v>60</v>
      </c>
    </row>
    <row r="719" spans="1:6" x14ac:dyDescent="0.2">
      <c r="A719" t="s">
        <v>90</v>
      </c>
      <c r="B719" t="s">
        <v>19</v>
      </c>
      <c r="D719" t="s">
        <v>12</v>
      </c>
      <c r="F719" t="s">
        <v>60</v>
      </c>
    </row>
    <row r="720" spans="1:6" x14ac:dyDescent="0.2">
      <c r="A720" t="s">
        <v>90</v>
      </c>
      <c r="B720" t="s">
        <v>25</v>
      </c>
      <c r="D720" t="s">
        <v>26</v>
      </c>
      <c r="F720" t="s">
        <v>60</v>
      </c>
    </row>
    <row r="721" spans="1:6" x14ac:dyDescent="0.2">
      <c r="A721" t="s">
        <v>90</v>
      </c>
      <c r="B721" t="s">
        <v>39</v>
      </c>
      <c r="D721" t="s">
        <v>13</v>
      </c>
      <c r="F721" t="s">
        <v>60</v>
      </c>
    </row>
    <row r="722" spans="1:6" x14ac:dyDescent="0.2">
      <c r="A722" t="s">
        <v>90</v>
      </c>
      <c r="B722" t="s">
        <v>24</v>
      </c>
      <c r="D722" t="s">
        <v>34</v>
      </c>
      <c r="F722" t="s">
        <v>60</v>
      </c>
    </row>
    <row r="723" spans="1:6" x14ac:dyDescent="0.2">
      <c r="A723" t="s">
        <v>90</v>
      </c>
      <c r="B723" t="s">
        <v>38</v>
      </c>
      <c r="D723" t="s">
        <v>18</v>
      </c>
      <c r="F723" t="s">
        <v>60</v>
      </c>
    </row>
    <row r="724" spans="1:6" x14ac:dyDescent="0.2">
      <c r="A724" t="s">
        <v>90</v>
      </c>
      <c r="B724" t="s">
        <v>32</v>
      </c>
      <c r="D724" t="s">
        <v>15</v>
      </c>
      <c r="F724" t="s">
        <v>60</v>
      </c>
    </row>
    <row r="725" spans="1:6" x14ac:dyDescent="0.2">
      <c r="A725" t="s">
        <v>90</v>
      </c>
      <c r="B725" t="s">
        <v>37</v>
      </c>
      <c r="D725" t="s">
        <v>27</v>
      </c>
      <c r="F725" t="s">
        <v>60</v>
      </c>
    </row>
    <row r="726" spans="1:6" x14ac:dyDescent="0.2">
      <c r="A726" t="s">
        <v>91</v>
      </c>
      <c r="B726" t="s">
        <v>39</v>
      </c>
      <c r="D726" t="s">
        <v>31</v>
      </c>
      <c r="F726" t="s">
        <v>60</v>
      </c>
    </row>
    <row r="727" spans="1:6" x14ac:dyDescent="0.2">
      <c r="A727" t="s">
        <v>91</v>
      </c>
      <c r="B727" t="s">
        <v>26</v>
      </c>
      <c r="D727" t="s">
        <v>21</v>
      </c>
      <c r="F727" t="s">
        <v>60</v>
      </c>
    </row>
    <row r="728" spans="1:6" x14ac:dyDescent="0.2">
      <c r="A728" t="s">
        <v>91</v>
      </c>
      <c r="B728" t="s">
        <v>16</v>
      </c>
      <c r="D728" t="s">
        <v>28</v>
      </c>
      <c r="F728" t="s">
        <v>60</v>
      </c>
    </row>
    <row r="729" spans="1:6" x14ac:dyDescent="0.2">
      <c r="A729" t="s">
        <v>91</v>
      </c>
      <c r="B729" t="s">
        <v>17</v>
      </c>
      <c r="D729" t="s">
        <v>29</v>
      </c>
      <c r="F729" t="s">
        <v>60</v>
      </c>
    </row>
    <row r="730" spans="1:6" x14ac:dyDescent="0.2">
      <c r="A730" t="s">
        <v>91</v>
      </c>
      <c r="B730" t="s">
        <v>38</v>
      </c>
      <c r="D730" t="s">
        <v>36</v>
      </c>
      <c r="F730" t="s">
        <v>60</v>
      </c>
    </row>
    <row r="731" spans="1:6" x14ac:dyDescent="0.2">
      <c r="A731" t="s">
        <v>91</v>
      </c>
      <c r="B731" t="s">
        <v>37</v>
      </c>
      <c r="D731" t="s">
        <v>14</v>
      </c>
      <c r="F731" t="s">
        <v>60</v>
      </c>
    </row>
    <row r="732" spans="1:6" x14ac:dyDescent="0.2">
      <c r="A732" t="s">
        <v>91</v>
      </c>
      <c r="B732" t="s">
        <v>25</v>
      </c>
      <c r="D732" t="s">
        <v>35</v>
      </c>
      <c r="F732" t="s">
        <v>60</v>
      </c>
    </row>
    <row r="733" spans="1:6" x14ac:dyDescent="0.2">
      <c r="A733" t="s">
        <v>91</v>
      </c>
      <c r="B733" t="s">
        <v>19</v>
      </c>
      <c r="D733" t="s">
        <v>55</v>
      </c>
      <c r="F733" t="s">
        <v>60</v>
      </c>
    </row>
    <row r="734" spans="1:6" x14ac:dyDescent="0.2">
      <c r="A734" t="s">
        <v>91</v>
      </c>
      <c r="B734" t="s">
        <v>30</v>
      </c>
      <c r="D734" t="s">
        <v>40</v>
      </c>
      <c r="F734" t="s">
        <v>60</v>
      </c>
    </row>
    <row r="735" spans="1:6" x14ac:dyDescent="0.2">
      <c r="A735" t="s">
        <v>91</v>
      </c>
      <c r="B735" t="s">
        <v>18</v>
      </c>
      <c r="D735" t="s">
        <v>22</v>
      </c>
      <c r="F735" t="s">
        <v>60</v>
      </c>
    </row>
    <row r="736" spans="1:6" x14ac:dyDescent="0.2">
      <c r="A736" t="s">
        <v>92</v>
      </c>
      <c r="B736" t="s">
        <v>27</v>
      </c>
      <c r="D736" t="s">
        <v>23</v>
      </c>
      <c r="F736" t="s">
        <v>60</v>
      </c>
    </row>
    <row r="737" spans="1:6" x14ac:dyDescent="0.2">
      <c r="A737" t="s">
        <v>92</v>
      </c>
      <c r="B737" t="s">
        <v>20</v>
      </c>
      <c r="D737" t="s">
        <v>13</v>
      </c>
      <c r="F737" t="s">
        <v>60</v>
      </c>
    </row>
    <row r="738" spans="1:6" x14ac:dyDescent="0.2">
      <c r="A738" t="s">
        <v>92</v>
      </c>
      <c r="B738" t="s">
        <v>32</v>
      </c>
      <c r="D738" t="s">
        <v>24</v>
      </c>
      <c r="F738" t="s">
        <v>60</v>
      </c>
    </row>
    <row r="739" spans="1:6" x14ac:dyDescent="0.2">
      <c r="A739" t="s">
        <v>92</v>
      </c>
      <c r="B739" t="s">
        <v>36</v>
      </c>
      <c r="D739" t="s">
        <v>15</v>
      </c>
      <c r="F739" t="s">
        <v>60</v>
      </c>
    </row>
    <row r="740" spans="1:6" x14ac:dyDescent="0.2">
      <c r="A740" t="s">
        <v>93</v>
      </c>
      <c r="B740" t="s">
        <v>32</v>
      </c>
      <c r="D740" t="s">
        <v>21</v>
      </c>
      <c r="F740" t="s">
        <v>60</v>
      </c>
    </row>
    <row r="741" spans="1:6" x14ac:dyDescent="0.2">
      <c r="A741" t="s">
        <v>93</v>
      </c>
      <c r="B741" t="s">
        <v>18</v>
      </c>
      <c r="D741" t="s">
        <v>23</v>
      </c>
      <c r="F741" t="s">
        <v>60</v>
      </c>
    </row>
    <row r="742" spans="1:6" x14ac:dyDescent="0.2">
      <c r="A742" t="s">
        <v>93</v>
      </c>
      <c r="B742" t="s">
        <v>38</v>
      </c>
      <c r="D742" t="s">
        <v>28</v>
      </c>
      <c r="F742" t="s">
        <v>60</v>
      </c>
    </row>
    <row r="743" spans="1:6" x14ac:dyDescent="0.2">
      <c r="A743" t="s">
        <v>93</v>
      </c>
      <c r="B743" t="s">
        <v>16</v>
      </c>
      <c r="D743" t="s">
        <v>10</v>
      </c>
      <c r="F743" t="s">
        <v>60</v>
      </c>
    </row>
    <row r="744" spans="1:6" x14ac:dyDescent="0.2">
      <c r="A744" t="s">
        <v>93</v>
      </c>
      <c r="B744" t="s">
        <v>30</v>
      </c>
      <c r="D744" t="s">
        <v>17</v>
      </c>
      <c r="F744" t="s">
        <v>60</v>
      </c>
    </row>
    <row r="745" spans="1:6" x14ac:dyDescent="0.2">
      <c r="A745" t="s">
        <v>93</v>
      </c>
      <c r="B745" t="s">
        <v>40</v>
      </c>
      <c r="D745" t="s">
        <v>34</v>
      </c>
      <c r="F745" t="s">
        <v>60</v>
      </c>
    </row>
    <row r="746" spans="1:6" x14ac:dyDescent="0.2">
      <c r="A746" t="s">
        <v>93</v>
      </c>
      <c r="B746" t="s">
        <v>27</v>
      </c>
      <c r="D746" t="s">
        <v>14</v>
      </c>
      <c r="F746" t="s">
        <v>60</v>
      </c>
    </row>
    <row r="747" spans="1:6" x14ac:dyDescent="0.2">
      <c r="A747" t="s">
        <v>93</v>
      </c>
      <c r="B747" t="s">
        <v>39</v>
      </c>
      <c r="D747" t="s">
        <v>55</v>
      </c>
      <c r="F747" t="s">
        <v>60</v>
      </c>
    </row>
    <row r="748" spans="1:6" x14ac:dyDescent="0.2">
      <c r="A748" t="s">
        <v>93</v>
      </c>
      <c r="B748" t="s">
        <v>19</v>
      </c>
      <c r="D748" t="s">
        <v>20</v>
      </c>
      <c r="F748" t="s">
        <v>60</v>
      </c>
    </row>
    <row r="749" spans="1:6" x14ac:dyDescent="0.2">
      <c r="A749" t="s">
        <v>93</v>
      </c>
      <c r="B749" t="s">
        <v>33</v>
      </c>
      <c r="D749" t="s">
        <v>22</v>
      </c>
      <c r="F749" t="s">
        <v>60</v>
      </c>
    </row>
    <row r="750" spans="1:6" x14ac:dyDescent="0.2">
      <c r="A750" t="s">
        <v>94</v>
      </c>
      <c r="B750" t="s">
        <v>11</v>
      </c>
      <c r="D750" t="s">
        <v>25</v>
      </c>
      <c r="F750" t="s">
        <v>60</v>
      </c>
    </row>
    <row r="751" spans="1:6" x14ac:dyDescent="0.2">
      <c r="A751" t="s">
        <v>94</v>
      </c>
      <c r="B751" t="s">
        <v>29</v>
      </c>
      <c r="D751" t="s">
        <v>12</v>
      </c>
      <c r="F751" t="s">
        <v>60</v>
      </c>
    </row>
    <row r="752" spans="1:6" x14ac:dyDescent="0.2">
      <c r="A752" t="s">
        <v>94</v>
      </c>
      <c r="B752" t="s">
        <v>33</v>
      </c>
      <c r="D752" t="s">
        <v>26</v>
      </c>
      <c r="F752" t="s">
        <v>60</v>
      </c>
    </row>
    <row r="753" spans="1:6" x14ac:dyDescent="0.2">
      <c r="A753" t="s">
        <v>94</v>
      </c>
      <c r="B753" t="s">
        <v>31</v>
      </c>
      <c r="D753" t="s">
        <v>13</v>
      </c>
      <c r="F753" t="s">
        <v>60</v>
      </c>
    </row>
    <row r="754" spans="1:6" x14ac:dyDescent="0.2">
      <c r="A754" t="s">
        <v>94</v>
      </c>
      <c r="B754" t="s">
        <v>37</v>
      </c>
      <c r="D754" t="s">
        <v>35</v>
      </c>
      <c r="F754" t="s">
        <v>60</v>
      </c>
    </row>
    <row r="755" spans="1:6" x14ac:dyDescent="0.2">
      <c r="A755" t="s">
        <v>95</v>
      </c>
      <c r="B755" t="s">
        <v>13</v>
      </c>
      <c r="D755" t="s">
        <v>31</v>
      </c>
      <c r="F755" t="s">
        <v>60</v>
      </c>
    </row>
    <row r="756" spans="1:6" x14ac:dyDescent="0.2">
      <c r="A756" t="s">
        <v>95</v>
      </c>
      <c r="B756" t="s">
        <v>34</v>
      </c>
      <c r="D756" t="s">
        <v>23</v>
      </c>
      <c r="F756" t="s">
        <v>60</v>
      </c>
    </row>
    <row r="757" spans="1:6" x14ac:dyDescent="0.2">
      <c r="A757" t="s">
        <v>95</v>
      </c>
      <c r="B757" t="s">
        <v>30</v>
      </c>
      <c r="D757" t="s">
        <v>16</v>
      </c>
      <c r="F757" t="s">
        <v>60</v>
      </c>
    </row>
    <row r="758" spans="1:6" x14ac:dyDescent="0.2">
      <c r="A758" t="s">
        <v>95</v>
      </c>
      <c r="B758" t="s">
        <v>21</v>
      </c>
      <c r="D758" t="s">
        <v>10</v>
      </c>
      <c r="F758" t="s">
        <v>60</v>
      </c>
    </row>
    <row r="759" spans="1:6" x14ac:dyDescent="0.2">
      <c r="A759" t="s">
        <v>95</v>
      </c>
      <c r="B759" t="s">
        <v>25</v>
      </c>
      <c r="D759" t="s">
        <v>24</v>
      </c>
      <c r="F759" t="s">
        <v>60</v>
      </c>
    </row>
    <row r="760" spans="1:6" x14ac:dyDescent="0.2">
      <c r="A760" t="s">
        <v>95</v>
      </c>
      <c r="B760" t="s">
        <v>18</v>
      </c>
      <c r="D760" t="s">
        <v>36</v>
      </c>
      <c r="F760" t="s">
        <v>60</v>
      </c>
    </row>
    <row r="761" spans="1:6" x14ac:dyDescent="0.2">
      <c r="A761" t="s">
        <v>95</v>
      </c>
      <c r="B761" t="s">
        <v>15</v>
      </c>
      <c r="D761" t="s">
        <v>27</v>
      </c>
      <c r="F761" t="s">
        <v>60</v>
      </c>
    </row>
    <row r="762" spans="1:6" x14ac:dyDescent="0.2">
      <c r="A762" t="s">
        <v>95</v>
      </c>
      <c r="B762" t="s">
        <v>28</v>
      </c>
      <c r="D762" t="s">
        <v>14</v>
      </c>
      <c r="F762" t="s">
        <v>60</v>
      </c>
    </row>
    <row r="763" spans="1:6" x14ac:dyDescent="0.2">
      <c r="A763" t="s">
        <v>95</v>
      </c>
      <c r="B763" t="s">
        <v>32</v>
      </c>
      <c r="D763" t="s">
        <v>55</v>
      </c>
      <c r="F763" t="s">
        <v>60</v>
      </c>
    </row>
    <row r="764" spans="1:6" x14ac:dyDescent="0.2">
      <c r="A764" t="s">
        <v>95</v>
      </c>
      <c r="B764" t="s">
        <v>17</v>
      </c>
      <c r="D764" t="s">
        <v>38</v>
      </c>
      <c r="F764" t="s">
        <v>60</v>
      </c>
    </row>
    <row r="765" spans="1:6" x14ac:dyDescent="0.2">
      <c r="A765" t="s">
        <v>95</v>
      </c>
      <c r="B765" t="s">
        <v>29</v>
      </c>
      <c r="D765" t="s">
        <v>20</v>
      </c>
      <c r="F765" t="s">
        <v>60</v>
      </c>
    </row>
    <row r="766" spans="1:6" x14ac:dyDescent="0.2">
      <c r="A766" t="s">
        <v>95</v>
      </c>
      <c r="B766" t="s">
        <v>19</v>
      </c>
      <c r="D766" t="s">
        <v>40</v>
      </c>
      <c r="F766" t="s">
        <v>60</v>
      </c>
    </row>
    <row r="767" spans="1:6" x14ac:dyDescent="0.2">
      <c r="A767" t="s">
        <v>95</v>
      </c>
      <c r="B767" t="s">
        <v>11</v>
      </c>
      <c r="D767" t="s">
        <v>22</v>
      </c>
      <c r="F767" t="s">
        <v>60</v>
      </c>
    </row>
    <row r="768" spans="1:6" x14ac:dyDescent="0.2">
      <c r="A768" t="s">
        <v>96</v>
      </c>
      <c r="B768" t="s">
        <v>37</v>
      </c>
      <c r="D768" t="s">
        <v>39</v>
      </c>
      <c r="F768" t="s">
        <v>60</v>
      </c>
    </row>
    <row r="769" spans="1:6" x14ac:dyDescent="0.2">
      <c r="A769" t="s">
        <v>96</v>
      </c>
      <c r="B769" t="s">
        <v>36</v>
      </c>
      <c r="D769" t="s">
        <v>26</v>
      </c>
      <c r="F769" t="s">
        <v>60</v>
      </c>
    </row>
    <row r="770" spans="1:6" x14ac:dyDescent="0.2">
      <c r="A770" t="s">
        <v>96</v>
      </c>
      <c r="B770" t="s">
        <v>35</v>
      </c>
      <c r="D770" t="s">
        <v>17</v>
      </c>
      <c r="F770" t="s">
        <v>60</v>
      </c>
    </row>
    <row r="771" spans="1:6" x14ac:dyDescent="0.2">
      <c r="A771" t="s">
        <v>97</v>
      </c>
      <c r="B771" t="s">
        <v>15</v>
      </c>
      <c r="D771" t="s">
        <v>31</v>
      </c>
      <c r="F771" t="s">
        <v>60</v>
      </c>
    </row>
    <row r="772" spans="1:6" x14ac:dyDescent="0.2">
      <c r="A772" t="s">
        <v>97</v>
      </c>
      <c r="B772" t="s">
        <v>23</v>
      </c>
      <c r="D772" t="s">
        <v>25</v>
      </c>
      <c r="F772" t="s">
        <v>60</v>
      </c>
    </row>
    <row r="773" spans="1:6" x14ac:dyDescent="0.2">
      <c r="A773" t="s">
        <v>97</v>
      </c>
      <c r="B773" t="s">
        <v>24</v>
      </c>
      <c r="D773" t="s">
        <v>16</v>
      </c>
      <c r="F773" t="s">
        <v>60</v>
      </c>
    </row>
    <row r="774" spans="1:6" x14ac:dyDescent="0.2">
      <c r="A774" t="s">
        <v>97</v>
      </c>
      <c r="B774" t="s">
        <v>40</v>
      </c>
      <c r="D774" t="s">
        <v>10</v>
      </c>
      <c r="F774" t="s">
        <v>60</v>
      </c>
    </row>
    <row r="775" spans="1:6" x14ac:dyDescent="0.2">
      <c r="A775" t="s">
        <v>97</v>
      </c>
      <c r="B775" t="s">
        <v>22</v>
      </c>
      <c r="D775" t="s">
        <v>12</v>
      </c>
      <c r="F775" t="s">
        <v>60</v>
      </c>
    </row>
    <row r="776" spans="1:6" x14ac:dyDescent="0.2">
      <c r="A776" t="s">
        <v>97</v>
      </c>
      <c r="B776" t="s">
        <v>33</v>
      </c>
      <c r="D776" t="s">
        <v>11</v>
      </c>
      <c r="F776" t="s">
        <v>60</v>
      </c>
    </row>
    <row r="777" spans="1:6" x14ac:dyDescent="0.2">
      <c r="A777" t="s">
        <v>97</v>
      </c>
      <c r="B777" t="s">
        <v>14</v>
      </c>
      <c r="D777" t="s">
        <v>32</v>
      </c>
      <c r="F777" t="s">
        <v>60</v>
      </c>
    </row>
    <row r="778" spans="1:6" x14ac:dyDescent="0.2">
      <c r="A778" t="s">
        <v>97</v>
      </c>
      <c r="B778" t="s">
        <v>34</v>
      </c>
      <c r="D778" t="s">
        <v>19</v>
      </c>
      <c r="F778" t="s">
        <v>60</v>
      </c>
    </row>
    <row r="779" spans="1:6" x14ac:dyDescent="0.2">
      <c r="A779" t="s">
        <v>97</v>
      </c>
      <c r="B779" t="s">
        <v>30</v>
      </c>
      <c r="D779" t="s">
        <v>38</v>
      </c>
      <c r="F779" t="s">
        <v>60</v>
      </c>
    </row>
    <row r="780" spans="1:6" x14ac:dyDescent="0.2">
      <c r="A780" t="s">
        <v>97</v>
      </c>
      <c r="B780" t="s">
        <v>27</v>
      </c>
      <c r="D780" t="s">
        <v>20</v>
      </c>
      <c r="F780" t="s">
        <v>60</v>
      </c>
    </row>
    <row r="781" spans="1:6" x14ac:dyDescent="0.2">
      <c r="A781" t="s">
        <v>98</v>
      </c>
      <c r="B781" t="s">
        <v>36</v>
      </c>
      <c r="D781" t="s">
        <v>28</v>
      </c>
      <c r="F781" t="s">
        <v>60</v>
      </c>
    </row>
    <row r="782" spans="1:6" x14ac:dyDescent="0.2">
      <c r="A782" t="s">
        <v>98</v>
      </c>
      <c r="B782" t="s">
        <v>21</v>
      </c>
      <c r="D782" t="s">
        <v>39</v>
      </c>
      <c r="F782" t="s">
        <v>60</v>
      </c>
    </row>
    <row r="783" spans="1:6" x14ac:dyDescent="0.2">
      <c r="A783" t="s">
        <v>98</v>
      </c>
      <c r="B783" t="s">
        <v>24</v>
      </c>
      <c r="D783" t="s">
        <v>17</v>
      </c>
      <c r="F783" t="s">
        <v>60</v>
      </c>
    </row>
    <row r="784" spans="1:6" x14ac:dyDescent="0.2">
      <c r="A784" t="s">
        <v>98</v>
      </c>
      <c r="B784" t="s">
        <v>15</v>
      </c>
      <c r="D784" t="s">
        <v>13</v>
      </c>
      <c r="F784" t="s">
        <v>60</v>
      </c>
    </row>
    <row r="785" spans="1:6" x14ac:dyDescent="0.2">
      <c r="A785" t="s">
        <v>98</v>
      </c>
      <c r="B785" t="s">
        <v>34</v>
      </c>
      <c r="D785" t="s">
        <v>18</v>
      </c>
      <c r="F785" t="s">
        <v>60</v>
      </c>
    </row>
    <row r="786" spans="1:6" x14ac:dyDescent="0.2">
      <c r="A786" t="s">
        <v>98</v>
      </c>
      <c r="B786" t="s">
        <v>23</v>
      </c>
      <c r="D786" t="s">
        <v>29</v>
      </c>
      <c r="F786" t="s">
        <v>60</v>
      </c>
    </row>
    <row r="787" spans="1:6" x14ac:dyDescent="0.2">
      <c r="A787" t="s">
        <v>98</v>
      </c>
      <c r="B787" t="s">
        <v>33</v>
      </c>
      <c r="D787" t="s">
        <v>37</v>
      </c>
      <c r="F787" t="s">
        <v>60</v>
      </c>
    </row>
    <row r="788" spans="1:6" x14ac:dyDescent="0.2">
      <c r="A788" t="s">
        <v>98</v>
      </c>
      <c r="B788" t="s">
        <v>35</v>
      </c>
      <c r="D788" t="s">
        <v>40</v>
      </c>
      <c r="F788" t="s">
        <v>60</v>
      </c>
    </row>
    <row r="789" spans="1:6" x14ac:dyDescent="0.2">
      <c r="A789" t="s">
        <v>99</v>
      </c>
      <c r="B789" t="s">
        <v>14</v>
      </c>
      <c r="D789" t="s">
        <v>16</v>
      </c>
      <c r="F789" t="s">
        <v>60</v>
      </c>
    </row>
    <row r="790" spans="1:6" x14ac:dyDescent="0.2">
      <c r="A790" t="s">
        <v>99</v>
      </c>
      <c r="B790" t="s">
        <v>31</v>
      </c>
      <c r="D790" t="s">
        <v>12</v>
      </c>
      <c r="F790" t="s">
        <v>60</v>
      </c>
    </row>
    <row r="791" spans="1:6" x14ac:dyDescent="0.2">
      <c r="A791" t="s">
        <v>99</v>
      </c>
      <c r="B791" t="s">
        <v>30</v>
      </c>
      <c r="D791" t="s">
        <v>32</v>
      </c>
      <c r="F791" t="s">
        <v>60</v>
      </c>
    </row>
    <row r="792" spans="1:6" x14ac:dyDescent="0.2">
      <c r="A792" t="s">
        <v>99</v>
      </c>
      <c r="B792" t="s">
        <v>26</v>
      </c>
      <c r="D792" t="s">
        <v>19</v>
      </c>
      <c r="F792" t="s">
        <v>60</v>
      </c>
    </row>
    <row r="793" spans="1:6" x14ac:dyDescent="0.2">
      <c r="A793" t="s">
        <v>99</v>
      </c>
      <c r="B793" t="s">
        <v>27</v>
      </c>
      <c r="D793" t="s">
        <v>55</v>
      </c>
      <c r="F793" t="s">
        <v>60</v>
      </c>
    </row>
    <row r="794" spans="1:6" x14ac:dyDescent="0.2">
      <c r="A794" t="s">
        <v>99</v>
      </c>
      <c r="B794" t="s">
        <v>22</v>
      </c>
      <c r="D794" t="s">
        <v>38</v>
      </c>
      <c r="F794" t="s">
        <v>60</v>
      </c>
    </row>
    <row r="795" spans="1:6" x14ac:dyDescent="0.2">
      <c r="A795" t="s">
        <v>100</v>
      </c>
      <c r="B795" t="s">
        <v>20</v>
      </c>
      <c r="D795" t="s">
        <v>21</v>
      </c>
      <c r="F795" t="s">
        <v>60</v>
      </c>
    </row>
    <row r="796" spans="1:6" x14ac:dyDescent="0.2">
      <c r="A796" t="s">
        <v>100</v>
      </c>
      <c r="B796" t="s">
        <v>10</v>
      </c>
      <c r="D796" t="s">
        <v>25</v>
      </c>
      <c r="F796" t="s">
        <v>60</v>
      </c>
    </row>
    <row r="797" spans="1:6" x14ac:dyDescent="0.2">
      <c r="A797" t="s">
        <v>100</v>
      </c>
      <c r="B797" t="s">
        <v>39</v>
      </c>
      <c r="D797" t="s">
        <v>28</v>
      </c>
      <c r="F797" t="s">
        <v>60</v>
      </c>
    </row>
    <row r="798" spans="1:6" x14ac:dyDescent="0.2">
      <c r="A798" t="s">
        <v>100</v>
      </c>
      <c r="B798" t="s">
        <v>14</v>
      </c>
      <c r="D798" t="s">
        <v>17</v>
      </c>
      <c r="F798" t="s">
        <v>60</v>
      </c>
    </row>
    <row r="799" spans="1:6" x14ac:dyDescent="0.2">
      <c r="A799" t="s">
        <v>100</v>
      </c>
      <c r="B799" t="s">
        <v>26</v>
      </c>
      <c r="D799" t="s">
        <v>34</v>
      </c>
      <c r="F799" t="s">
        <v>60</v>
      </c>
    </row>
    <row r="800" spans="1:6" x14ac:dyDescent="0.2">
      <c r="A800" t="s">
        <v>100</v>
      </c>
      <c r="B800" t="s">
        <v>23</v>
      </c>
      <c r="D800" t="s">
        <v>18</v>
      </c>
      <c r="F800" t="s">
        <v>60</v>
      </c>
    </row>
    <row r="801" spans="1:6" x14ac:dyDescent="0.2">
      <c r="A801" t="s">
        <v>100</v>
      </c>
      <c r="B801" t="s">
        <v>36</v>
      </c>
      <c r="D801" t="s">
        <v>29</v>
      </c>
      <c r="F801" t="s">
        <v>60</v>
      </c>
    </row>
    <row r="802" spans="1:6" x14ac:dyDescent="0.2">
      <c r="A802" t="s">
        <v>100</v>
      </c>
      <c r="B802" t="s">
        <v>11</v>
      </c>
      <c r="D802" t="s">
        <v>40</v>
      </c>
      <c r="F802" t="s">
        <v>60</v>
      </c>
    </row>
    <row r="803" spans="1:6" x14ac:dyDescent="0.2">
      <c r="A803" t="s">
        <v>101</v>
      </c>
      <c r="B803" t="s">
        <v>22</v>
      </c>
      <c r="D803" t="s">
        <v>16</v>
      </c>
      <c r="F803" t="s">
        <v>60</v>
      </c>
    </row>
    <row r="804" spans="1:6" x14ac:dyDescent="0.2">
      <c r="A804" t="s">
        <v>101</v>
      </c>
      <c r="B804" t="s">
        <v>37</v>
      </c>
      <c r="D804" t="s">
        <v>10</v>
      </c>
      <c r="F804" t="s">
        <v>60</v>
      </c>
    </row>
    <row r="805" spans="1:6" x14ac:dyDescent="0.2">
      <c r="A805" t="s">
        <v>101</v>
      </c>
      <c r="B805" t="s">
        <v>27</v>
      </c>
      <c r="D805" t="s">
        <v>12</v>
      </c>
      <c r="F805" t="s">
        <v>60</v>
      </c>
    </row>
    <row r="806" spans="1:6" x14ac:dyDescent="0.2">
      <c r="A806" t="s">
        <v>101</v>
      </c>
      <c r="B806" t="s">
        <v>35</v>
      </c>
      <c r="D806" t="s">
        <v>39</v>
      </c>
      <c r="F806" t="s">
        <v>60</v>
      </c>
    </row>
    <row r="807" spans="1:6" x14ac:dyDescent="0.2">
      <c r="A807" t="s">
        <v>101</v>
      </c>
      <c r="B807" t="s">
        <v>31</v>
      </c>
      <c r="D807" t="s">
        <v>32</v>
      </c>
      <c r="F807" t="s">
        <v>60</v>
      </c>
    </row>
    <row r="808" spans="1:6" x14ac:dyDescent="0.2">
      <c r="A808" t="s">
        <v>101</v>
      </c>
      <c r="B808" t="s">
        <v>15</v>
      </c>
      <c r="D808" t="s">
        <v>33</v>
      </c>
      <c r="F808" t="s">
        <v>60</v>
      </c>
    </row>
    <row r="809" spans="1:6" x14ac:dyDescent="0.2">
      <c r="A809" t="s">
        <v>101</v>
      </c>
      <c r="B809" t="s">
        <v>20</v>
      </c>
      <c r="D809" t="s">
        <v>19</v>
      </c>
      <c r="F809" t="s">
        <v>60</v>
      </c>
    </row>
    <row r="810" spans="1:6" x14ac:dyDescent="0.2">
      <c r="A810" t="s">
        <v>101</v>
      </c>
      <c r="B810" t="s">
        <v>24</v>
      </c>
      <c r="D810" t="s">
        <v>38</v>
      </c>
      <c r="F810" t="s">
        <v>60</v>
      </c>
    </row>
    <row r="811" spans="1:6" x14ac:dyDescent="0.2">
      <c r="A811" t="s">
        <v>102</v>
      </c>
      <c r="B811" t="s">
        <v>18</v>
      </c>
      <c r="D811" t="s">
        <v>21</v>
      </c>
      <c r="F811" t="s">
        <v>60</v>
      </c>
    </row>
    <row r="812" spans="1:6" x14ac:dyDescent="0.2">
      <c r="A812" t="s">
        <v>102</v>
      </c>
      <c r="B812" t="s">
        <v>37</v>
      </c>
      <c r="D812" t="s">
        <v>28</v>
      </c>
      <c r="F812" t="s">
        <v>60</v>
      </c>
    </row>
    <row r="813" spans="1:6" x14ac:dyDescent="0.2">
      <c r="A813" t="s">
        <v>102</v>
      </c>
      <c r="B813" t="s">
        <v>22</v>
      </c>
      <c r="D813" t="s">
        <v>17</v>
      </c>
      <c r="F813" t="s">
        <v>60</v>
      </c>
    </row>
    <row r="814" spans="1:6" x14ac:dyDescent="0.2">
      <c r="A814" t="s">
        <v>102</v>
      </c>
      <c r="B814" t="s">
        <v>11</v>
      </c>
      <c r="D814" t="s">
        <v>34</v>
      </c>
      <c r="F814" t="s">
        <v>60</v>
      </c>
    </row>
    <row r="815" spans="1:6" x14ac:dyDescent="0.2">
      <c r="A815" t="s">
        <v>102</v>
      </c>
      <c r="B815" t="s">
        <v>55</v>
      </c>
      <c r="D815" t="s">
        <v>29</v>
      </c>
      <c r="F815" t="s">
        <v>60</v>
      </c>
    </row>
    <row r="816" spans="1:6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8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0.13754338897241636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1832.9077395420375</v>
      </c>
    </row>
    <row r="6" spans="1:10" x14ac:dyDescent="0.2">
      <c r="A6" s="3" t="s">
        <v>42</v>
      </c>
      <c r="B6" s="3" t="s">
        <v>43</v>
      </c>
      <c r="D6" s="8" t="s">
        <v>2</v>
      </c>
      <c r="E6" s="8" t="s">
        <v>3</v>
      </c>
      <c r="F6" s="8" t="s">
        <v>4</v>
      </c>
      <c r="G6" s="8" t="s">
        <v>5</v>
      </c>
      <c r="H6" s="7" t="s">
        <v>46</v>
      </c>
      <c r="I6" s="6" t="s">
        <v>47</v>
      </c>
      <c r="J6" s="6" t="s">
        <v>48</v>
      </c>
    </row>
    <row r="7" spans="1:10" x14ac:dyDescent="0.2">
      <c r="A7" s="4" t="s">
        <v>31</v>
      </c>
      <c r="B7">
        <v>0.34329638981067145</v>
      </c>
      <c r="D7" t="s">
        <v>10</v>
      </c>
      <c r="E7">
        <f>'NHL2025-26Results'!C2</f>
        <v>2</v>
      </c>
      <c r="F7" t="s">
        <v>11</v>
      </c>
      <c r="G7">
        <f>'NHL2025-26Results'!E2</f>
        <v>3</v>
      </c>
      <c r="H7">
        <f>Table3[[#This Row],[G_1]]-Table3[[#This Row],[G]]</f>
        <v>1</v>
      </c>
      <c r="I7">
        <f>HomeEdge+VLOOKUP(Table3[[#This Row],[Home]],$A$6:$B$38,2,FALSE)-VLOOKUP(Table3[[#This Row],[Visitor]],$A$6:$B$38,2,FALSE)</f>
        <v>-8.8190953334024158E-2</v>
      </c>
      <c r="J7">
        <f>(Table3[[#This Row],[HomeMargin]]-Table3[[#This Row],[HomeForecast]])^2</f>
        <v>1.1841595509180123</v>
      </c>
    </row>
    <row r="8" spans="1:10" x14ac:dyDescent="0.2">
      <c r="A8" s="4" t="s">
        <v>21</v>
      </c>
      <c r="B8">
        <v>-0.14464931395309213</v>
      </c>
      <c r="D8" t="s">
        <v>12</v>
      </c>
      <c r="E8">
        <f>'NHL2025-26Results'!C3</f>
        <v>4</v>
      </c>
      <c r="F8" t="s">
        <v>13</v>
      </c>
      <c r="G8">
        <f>'NHL2025-26Results'!E3</f>
        <v>1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-1.6696327675384794</v>
      </c>
      <c r="J8">
        <f>(Table3[[#This Row],[HomeMargin]]-Table3[[#This Row],[HomeForecast]])^2</f>
        <v>1.7698769732073254</v>
      </c>
    </row>
    <row r="9" spans="1:10" x14ac:dyDescent="0.2">
      <c r="A9" s="4" t="s">
        <v>23</v>
      </c>
      <c r="B9">
        <v>-0.51535072045188635</v>
      </c>
      <c r="D9" t="s">
        <v>14</v>
      </c>
      <c r="E9">
        <f>'NHL2025-26Results'!C4</f>
        <v>3</v>
      </c>
      <c r="F9" t="s">
        <v>15</v>
      </c>
      <c r="G9">
        <f>'NHL2025-26Results'!E4</f>
        <v>0</v>
      </c>
      <c r="H9">
        <f>Table3[[#This Row],[G_1]]-Table3[[#This Row],[G]]</f>
        <v>-3</v>
      </c>
      <c r="I9">
        <f>HomeEdge+VLOOKUP(Table3[[#This Row],[Home]],$A$6:$B$38,2,FALSE)-VLOOKUP(Table3[[#This Row],[Visitor]],$A$6:$B$38,2,FALSE)</f>
        <v>-0.15180957096340095</v>
      </c>
      <c r="J9">
        <f>(Table3[[#This Row],[HomeMargin]]-Table3[[#This Row],[HomeForecast]])^2</f>
        <v>8.1121887200556859</v>
      </c>
    </row>
    <row r="10" spans="1:10" x14ac:dyDescent="0.2">
      <c r="A10" s="4" t="s">
        <v>16</v>
      </c>
      <c r="B10">
        <v>-1.0952038865534519</v>
      </c>
      <c r="D10" t="s">
        <v>16</v>
      </c>
      <c r="E10">
        <f>'NHL2025-26Results'!C5</f>
        <v>4</v>
      </c>
      <c r="F10" t="s">
        <v>17</v>
      </c>
      <c r="G10">
        <f>'NHL2025-26Results'!E5</f>
        <v>3</v>
      </c>
      <c r="H10">
        <f>Table3[[#This Row],[G_1]]-Table3[[#This Row],[G]]</f>
        <v>-1</v>
      </c>
      <c r="I10">
        <f>HomeEdge+VLOOKUP(Table3[[#This Row],[Home]],$A$6:$B$38,2,FALSE)-VLOOKUP(Table3[[#This Row],[Visitor]],$A$6:$B$38,2,FALSE)</f>
        <v>0.36011582518632546</v>
      </c>
      <c r="J10">
        <f>(Table3[[#This Row],[HomeMargin]]-Table3[[#This Row],[HomeForecast]])^2</f>
        <v>1.8499150579222789</v>
      </c>
    </row>
    <row r="11" spans="1:10" x14ac:dyDescent="0.2">
      <c r="A11" s="4" t="s">
        <v>25</v>
      </c>
      <c r="B11">
        <v>0.42515174825138019</v>
      </c>
      <c r="D11" t="s">
        <v>18</v>
      </c>
      <c r="E11">
        <f>'NHL2025-26Results'!C6</f>
        <v>2</v>
      </c>
      <c r="F11" t="s">
        <v>19</v>
      </c>
      <c r="G11">
        <f>'NHL2025-26Results'!E6</f>
        <v>5</v>
      </c>
      <c r="H11">
        <f>Table3[[#This Row],[G_1]]-Table3[[#This Row],[G]]</f>
        <v>3</v>
      </c>
      <c r="I11">
        <f>HomeEdge+VLOOKUP(Table3[[#This Row],[Home]],$A$6:$B$38,2,FALSE)-VLOOKUP(Table3[[#This Row],[Visitor]],$A$6:$B$38,2,FALSE)</f>
        <v>-5.0118362170515685E-2</v>
      </c>
      <c r="J11">
        <f>(Table3[[#This Row],[HomeMargin]]-Table3[[#This Row],[HomeForecast]])^2</f>
        <v>9.3032220232497487</v>
      </c>
    </row>
    <row r="12" spans="1:10" x14ac:dyDescent="0.2">
      <c r="A12" s="4" t="s">
        <v>10</v>
      </c>
      <c r="B12">
        <v>-0.15263505358797036</v>
      </c>
      <c r="D12" t="s">
        <v>13</v>
      </c>
      <c r="E12">
        <f>'NHL2025-26Results'!C7</f>
        <v>6</v>
      </c>
      <c r="F12" t="s">
        <v>20</v>
      </c>
      <c r="G12">
        <f>'NHL2025-26Results'!E7</f>
        <v>5</v>
      </c>
      <c r="H12">
        <f>Table3[[#This Row],[G_1]]-Table3[[#This Row],[G]]</f>
        <v>-1</v>
      </c>
      <c r="I12">
        <f>HomeEdge+VLOOKUP(Table3[[#This Row],[Home]],$A$6:$B$38,2,FALSE)-VLOOKUP(Table3[[#This Row],[Visitor]],$A$6:$B$38,2,FALSE)</f>
        <v>0.61961876011093264</v>
      </c>
      <c r="J12">
        <f>(Table3[[#This Row],[HomeMargin]]-Table3[[#This Row],[HomeForecast]])^2</f>
        <v>2.6231649281032747</v>
      </c>
    </row>
    <row r="13" spans="1:10" x14ac:dyDescent="0.2">
      <c r="A13" s="4" t="s">
        <v>12</v>
      </c>
      <c r="B13">
        <v>1.4458345276269271</v>
      </c>
      <c r="D13" t="s">
        <v>21</v>
      </c>
      <c r="E13">
        <f>'NHL2025-26Results'!C8</f>
        <v>3</v>
      </c>
      <c r="F13" t="s">
        <v>22</v>
      </c>
      <c r="G13">
        <f>'NHL2025-26Results'!E8</f>
        <v>1</v>
      </c>
      <c r="H13">
        <f>Table3[[#This Row],[G_1]]-Table3[[#This Row],[G]]</f>
        <v>-2</v>
      </c>
      <c r="I13">
        <f>HomeEdge+VLOOKUP(Table3[[#This Row],[Home]],$A$6:$B$38,2,FALSE)-VLOOKUP(Table3[[#This Row],[Visitor]],$A$6:$B$38,2,FALSE)</f>
        <v>0.34700412304432315</v>
      </c>
      <c r="J13">
        <f>(Table3[[#This Row],[HomeMargin]]-Table3[[#This Row],[HomeForecast]])^2</f>
        <v>5.5084283535870533</v>
      </c>
    </row>
    <row r="14" spans="1:10" x14ac:dyDescent="0.2">
      <c r="A14" s="4" t="s">
        <v>28</v>
      </c>
      <c r="B14">
        <v>-0.59418600019583889</v>
      </c>
      <c r="D14" t="s">
        <v>10</v>
      </c>
      <c r="E14">
        <f>'NHL2025-26Results'!C9</f>
        <v>3</v>
      </c>
      <c r="F14" t="s">
        <v>21</v>
      </c>
      <c r="G14">
        <f>'NHL2025-26Results'!E9</f>
        <v>4</v>
      </c>
      <c r="H14">
        <f>Table3[[#This Row],[G_1]]-Table3[[#This Row],[G]]</f>
        <v>1</v>
      </c>
      <c r="I14">
        <f>HomeEdge+VLOOKUP(Table3[[#This Row],[Home]],$A$6:$B$38,2,FALSE)-VLOOKUP(Table3[[#This Row],[Visitor]],$A$6:$B$38,2,FALSE)</f>
        <v>0.14552912860729458</v>
      </c>
      <c r="J14">
        <f>(Table3[[#This Row],[HomeMargin]]-Table3[[#This Row],[HomeForecast]])^2</f>
        <v>0.73012047005860925</v>
      </c>
    </row>
    <row r="15" spans="1:10" x14ac:dyDescent="0.2">
      <c r="A15" s="4" t="s">
        <v>39</v>
      </c>
      <c r="B15">
        <v>4.3828122498436855E-3</v>
      </c>
      <c r="D15" t="s">
        <v>15</v>
      </c>
      <c r="E15">
        <f>'NHL2025-26Results'!C10</f>
        <v>4</v>
      </c>
      <c r="F15" t="s">
        <v>23</v>
      </c>
      <c r="G15">
        <f>'NHL2025-26Results'!E10</f>
        <v>0</v>
      </c>
      <c r="H15">
        <f>Table3[[#This Row],[G_1]]-Table3[[#This Row],[G]]</f>
        <v>-4</v>
      </c>
      <c r="I15">
        <f>HomeEdge+VLOOKUP(Table3[[#This Row],[Home]],$A$6:$B$38,2,FALSE)-VLOOKUP(Table3[[#This Row],[Visitor]],$A$6:$B$38,2,FALSE)</f>
        <v>0.12055137036787622</v>
      </c>
      <c r="J15">
        <f>(Table3[[#This Row],[HomeMargin]]-Table3[[#This Row],[HomeForecast]])^2</f>
        <v>16.97894359584058</v>
      </c>
    </row>
    <row r="16" spans="1:10" x14ac:dyDescent="0.2">
      <c r="A16" s="4" t="s">
        <v>26</v>
      </c>
      <c r="B16">
        <v>-0.66335717753705836</v>
      </c>
      <c r="D16" t="s">
        <v>24</v>
      </c>
      <c r="E16">
        <f>'NHL2025-26Results'!C11</f>
        <v>3</v>
      </c>
      <c r="F16" t="s">
        <v>25</v>
      </c>
      <c r="G16">
        <f>'NHL2025-26Results'!E11</f>
        <v>6</v>
      </c>
      <c r="H16">
        <f>Table3[[#This Row],[G_1]]-Table3[[#This Row],[G]]</f>
        <v>3</v>
      </c>
      <c r="I16">
        <f>HomeEdge+VLOOKUP(Table3[[#This Row],[Home]],$A$6:$B$38,2,FALSE)-VLOOKUP(Table3[[#This Row],[Visitor]],$A$6:$B$38,2,FALSE)</f>
        <v>0.58072772242633031</v>
      </c>
      <c r="J16">
        <f>(Table3[[#This Row],[HomeMargin]]-Table3[[#This Row],[HomeForecast]])^2</f>
        <v>5.8528783530364912</v>
      </c>
    </row>
    <row r="17" spans="1:10" x14ac:dyDescent="0.2">
      <c r="A17" s="4" t="s">
        <v>17</v>
      </c>
      <c r="B17">
        <v>-0.87263145033954281</v>
      </c>
      <c r="D17" t="s">
        <v>55</v>
      </c>
      <c r="E17">
        <f>'NHL2025-26Results'!C12</f>
        <v>1</v>
      </c>
      <c r="F17" t="s">
        <v>12</v>
      </c>
      <c r="G17">
        <f>'NHL2025-26Results'!E12</f>
        <v>2</v>
      </c>
      <c r="H17">
        <f>Table3[[#This Row],[G_1]]-Table3[[#This Row],[G]]</f>
        <v>1</v>
      </c>
      <c r="I17">
        <f>HomeEdge+VLOOKUP(Table3[[#This Row],[Home]],$A$6:$B$38,2,FALSE)-VLOOKUP(Table3[[#This Row],[Visitor]],$A$6:$B$38,2,FALSE)</f>
        <v>1.8930684262313986</v>
      </c>
      <c r="J17">
        <f>(Table3[[#This Row],[HomeMargin]]-Table3[[#This Row],[HomeForecast]])^2</f>
        <v>0.79757121393142705</v>
      </c>
    </row>
    <row r="18" spans="1:10" x14ac:dyDescent="0.2">
      <c r="A18" s="4" t="s">
        <v>11</v>
      </c>
      <c r="B18">
        <v>-0.37836939589441088</v>
      </c>
      <c r="D18" t="s">
        <v>18</v>
      </c>
      <c r="E18">
        <f>'NHL2025-26Results'!C13</f>
        <v>5</v>
      </c>
      <c r="F18" t="s">
        <v>26</v>
      </c>
      <c r="G18">
        <f>'NHL2025-26Results'!E13</f>
        <v>1</v>
      </c>
      <c r="H18">
        <f>Table3[[#This Row],[G_1]]-Table3[[#This Row],[G]]</f>
        <v>-4</v>
      </c>
      <c r="I18">
        <f>HomeEdge+VLOOKUP(Table3[[#This Row],[Home]],$A$6:$B$38,2,FALSE)-VLOOKUP(Table3[[#This Row],[Visitor]],$A$6:$B$38,2,FALSE)</f>
        <v>0.22172757372066398</v>
      </c>
      <c r="J18">
        <f>(Table3[[#This Row],[HomeMargin]]-Table3[[#This Row],[HomeForecast]])^2</f>
        <v>17.822983706713366</v>
      </c>
    </row>
    <row r="19" spans="1:10" x14ac:dyDescent="0.2">
      <c r="A19" s="4" t="s">
        <v>13</v>
      </c>
      <c r="B19">
        <v>-0.36134162888396865</v>
      </c>
      <c r="D19" t="s">
        <v>27</v>
      </c>
      <c r="E19">
        <f>'NHL2025-26Results'!C14</f>
        <v>1</v>
      </c>
      <c r="F19" t="s">
        <v>11</v>
      </c>
      <c r="G19">
        <f>'NHL2025-26Results'!E14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0.18120525554771827</v>
      </c>
      <c r="J19">
        <f>(Table3[[#This Row],[HomeMargin]]-Table3[[#This Row],[HomeForecast]])^2</f>
        <v>0.67042483354267735</v>
      </c>
    </row>
    <row r="20" spans="1:10" x14ac:dyDescent="0.2">
      <c r="A20" s="4" t="s">
        <v>34</v>
      </c>
      <c r="B20">
        <v>-0.16358905079701039</v>
      </c>
      <c r="D20" t="s">
        <v>28</v>
      </c>
      <c r="E20">
        <f>'NHL2025-26Results'!C15</f>
        <v>1</v>
      </c>
      <c r="F20" t="s">
        <v>29</v>
      </c>
      <c r="G20">
        <f>'NHL2025-26Results'!E15</f>
        <v>2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-0.76400570332170681</v>
      </c>
      <c r="J20">
        <f>(Table3[[#This Row],[HomeMargin]]-Table3[[#This Row],[HomeForecast]])^2</f>
        <v>3.1117161213515092</v>
      </c>
    </row>
    <row r="21" spans="1:10" x14ac:dyDescent="0.2">
      <c r="A21" s="4" t="s">
        <v>18</v>
      </c>
      <c r="B21">
        <v>-0.74754136228530599</v>
      </c>
      <c r="D21" t="s">
        <v>30</v>
      </c>
      <c r="E21">
        <f>'NHL2025-26Results'!C16</f>
        <v>3</v>
      </c>
      <c r="F21" t="s">
        <v>14</v>
      </c>
      <c r="G21">
        <f>'NHL2025-26Results'!E16</f>
        <v>4</v>
      </c>
      <c r="H21">
        <f>Table3[[#This Row],[G_1]]-Table3[[#This Row],[G]]</f>
        <v>1</v>
      </c>
      <c r="I21">
        <f>HomeEdge+VLOOKUP(Table3[[#This Row],[Home]],$A$6:$B$38,2,FALSE)-VLOOKUP(Table3[[#This Row],[Visitor]],$A$6:$B$38,2,FALSE)</f>
        <v>-7.5300825244486405E-2</v>
      </c>
      <c r="J21">
        <f>(Table3[[#This Row],[HomeMargin]]-Table3[[#This Row],[HomeForecast]])^2</f>
        <v>1.1562718647714736</v>
      </c>
    </row>
    <row r="22" spans="1:10" x14ac:dyDescent="0.2">
      <c r="A22" s="4" t="s">
        <v>29</v>
      </c>
      <c r="B22">
        <v>-1.4957350924899622</v>
      </c>
      <c r="D22" t="s">
        <v>31</v>
      </c>
      <c r="E22">
        <f>'NHL2025-26Results'!C17</f>
        <v>1</v>
      </c>
      <c r="F22" t="s">
        <v>32</v>
      </c>
      <c r="G22">
        <f>'NHL2025-26Results'!E17</f>
        <v>3</v>
      </c>
      <c r="H22">
        <f>Table3[[#This Row],[G_1]]-Table3[[#This Row],[G]]</f>
        <v>2</v>
      </c>
      <c r="I22">
        <f>HomeEdge+VLOOKUP(Table3[[#This Row],[Home]],$A$6:$B$38,2,FALSE)-VLOOKUP(Table3[[#This Row],[Visitor]],$A$6:$B$38,2,FALSE)</f>
        <v>-0.65582323368942119</v>
      </c>
      <c r="J22">
        <f>(Table3[[#This Row],[HomeMargin]]-Table3[[#This Row],[HomeForecast]])^2</f>
        <v>7.053397048604535</v>
      </c>
    </row>
    <row r="23" spans="1:10" x14ac:dyDescent="0.2">
      <c r="A23" s="4" t="s">
        <v>24</v>
      </c>
      <c r="B23">
        <v>-1.8032585202533785E-2</v>
      </c>
      <c r="D23" t="s">
        <v>20</v>
      </c>
      <c r="E23">
        <f>'NHL2025-26Results'!C18</f>
        <v>4</v>
      </c>
      <c r="F23" t="s">
        <v>33</v>
      </c>
      <c r="G23">
        <f>'NHL2025-26Results'!E18</f>
        <v>3</v>
      </c>
      <c r="H23">
        <f>Table3[[#This Row],[G_1]]-Table3[[#This Row],[G]]</f>
        <v>-1</v>
      </c>
      <c r="I23">
        <f>HomeEdge+VLOOKUP(Table3[[#This Row],[Home]],$A$6:$B$38,2,FALSE)-VLOOKUP(Table3[[#This Row],[Visitor]],$A$6:$B$38,2,FALSE)</f>
        <v>-0.34497416614920673</v>
      </c>
      <c r="J23">
        <f>(Table3[[#This Row],[HomeMargin]]-Table3[[#This Row],[HomeForecast]])^2</f>
        <v>0.42905884301192704</v>
      </c>
    </row>
    <row r="24" spans="1:10" x14ac:dyDescent="0.2">
      <c r="A24" s="4" t="s">
        <v>30</v>
      </c>
      <c r="B24">
        <v>3.838472305373858E-3</v>
      </c>
      <c r="D24" t="s">
        <v>34</v>
      </c>
      <c r="E24">
        <f>'NHL2025-26Results'!C19</f>
        <v>5</v>
      </c>
      <c r="F24" t="s">
        <v>35</v>
      </c>
      <c r="G24">
        <f>'NHL2025-26Results'!E19</f>
        <v>0</v>
      </c>
      <c r="H24">
        <f>Table3[[#This Row],[G_1]]-Table3[[#This Row],[G]]</f>
        <v>-5</v>
      </c>
      <c r="I24">
        <f>HomeEdge+VLOOKUP(Table3[[#This Row],[Home]],$A$6:$B$38,2,FALSE)-VLOOKUP(Table3[[#This Row],[Visitor]],$A$6:$B$38,2,FALSE)</f>
        <v>-1.255846675221177</v>
      </c>
      <c r="J24">
        <f>(Table3[[#This Row],[HomeMargin]]-Table3[[#This Row],[HomeForecast]])^2</f>
        <v>14.018684119452317</v>
      </c>
    </row>
    <row r="25" spans="1:10" x14ac:dyDescent="0.2">
      <c r="A25" s="4" t="s">
        <v>15</v>
      </c>
      <c r="B25">
        <v>-0.49835870184734621</v>
      </c>
      <c r="D25" t="s">
        <v>36</v>
      </c>
      <c r="E25">
        <f>'NHL2025-26Results'!C20</f>
        <v>5</v>
      </c>
      <c r="F25" t="s">
        <v>37</v>
      </c>
      <c r="G25">
        <f>'NHL2025-26Results'!E20</f>
        <v>4</v>
      </c>
      <c r="H25">
        <f>Table3[[#This Row],[G_1]]-Table3[[#This Row],[G]]</f>
        <v>-1</v>
      </c>
      <c r="I25">
        <f>HomeEdge+VLOOKUP(Table3[[#This Row],[Home]],$A$6:$B$38,2,FALSE)-VLOOKUP(Table3[[#This Row],[Visitor]],$A$6:$B$38,2,FALSE)</f>
        <v>0.52673038769174418</v>
      </c>
      <c r="J25">
        <f>(Table3[[#This Row],[HomeMargin]]-Table3[[#This Row],[HomeForecast]])^2</f>
        <v>2.3309056767013834</v>
      </c>
    </row>
    <row r="26" spans="1:10" x14ac:dyDescent="0.2">
      <c r="A26" s="4" t="s">
        <v>36</v>
      </c>
      <c r="B26">
        <v>-0.31751962084606655</v>
      </c>
      <c r="D26" t="s">
        <v>16</v>
      </c>
      <c r="E26">
        <f>'NHL2025-26Results'!C21</f>
        <v>1</v>
      </c>
      <c r="F26" t="s">
        <v>38</v>
      </c>
      <c r="G26">
        <f>'NHL2025-26Results'!E21</f>
        <v>5</v>
      </c>
      <c r="H26">
        <f>Table3[[#This Row],[G_1]]-Table3[[#This Row],[G]]</f>
        <v>4</v>
      </c>
      <c r="I26">
        <f>HomeEdge+VLOOKUP(Table3[[#This Row],[Home]],$A$6:$B$38,2,FALSE)-VLOOKUP(Table3[[#This Row],[Visitor]],$A$6:$B$38,2,FALSE)</f>
        <v>0.10909867962440745</v>
      </c>
      <c r="J26">
        <f>(Table3[[#This Row],[HomeMargin]]-Table3[[#This Row],[HomeForecast]])^2</f>
        <v>15.139113084900531</v>
      </c>
    </row>
    <row r="27" spans="1:10" x14ac:dyDescent="0.2">
      <c r="A27" s="4" t="s">
        <v>27</v>
      </c>
      <c r="B27">
        <v>-0.42203126246971279</v>
      </c>
      <c r="D27" t="s">
        <v>39</v>
      </c>
      <c r="E27">
        <f>'NHL2025-26Results'!C22</f>
        <v>5</v>
      </c>
      <c r="F27" t="s">
        <v>40</v>
      </c>
      <c r="G27">
        <f>'NHL2025-26Results'!E22</f>
        <v>4</v>
      </c>
      <c r="H27">
        <f>Table3[[#This Row],[G_1]]-Table3[[#This Row],[G]]</f>
        <v>-1</v>
      </c>
      <c r="I27">
        <f>HomeEdge+VLOOKUP(Table3[[#This Row],[Home]],$A$6:$B$38,2,FALSE)-VLOOKUP(Table3[[#This Row],[Visitor]],$A$6:$B$38,2,FALSE)</f>
        <v>7.2912715781641824E-2</v>
      </c>
      <c r="J27">
        <f>(Table3[[#This Row],[HomeMargin]]-Table3[[#This Row],[HomeForecast]])^2</f>
        <v>1.1511416956859382</v>
      </c>
    </row>
    <row r="28" spans="1:10" x14ac:dyDescent="0.2">
      <c r="A28" s="4" t="s">
        <v>14</v>
      </c>
      <c r="B28">
        <v>-0.2090057419115289</v>
      </c>
      <c r="D28" t="s">
        <v>23</v>
      </c>
      <c r="E28">
        <f>'NHL2025-26Results'!C23</f>
        <v>1</v>
      </c>
      <c r="F28" t="s">
        <v>21</v>
      </c>
      <c r="G28">
        <f>'NHL2025-26Results'!E23</f>
        <v>3</v>
      </c>
      <c r="H28">
        <f>Table3[[#This Row],[G_1]]-Table3[[#This Row],[G]]</f>
        <v>2</v>
      </c>
      <c r="I28">
        <f>HomeEdge+VLOOKUP(Table3[[#This Row],[Home]],$A$6:$B$38,2,FALSE)-VLOOKUP(Table3[[#This Row],[Visitor]],$A$6:$B$38,2,FALSE)</f>
        <v>0.5082447954712106</v>
      </c>
      <c r="J28">
        <f>(Table3[[#This Row],[HomeMargin]]-Table3[[#This Row],[HomeForecast]])^2</f>
        <v>2.2253335902387303</v>
      </c>
    </row>
    <row r="29" spans="1:10" x14ac:dyDescent="0.2">
      <c r="A29" s="4" t="s">
        <v>33</v>
      </c>
      <c r="B29">
        <v>-0.36178381286707545</v>
      </c>
      <c r="D29" t="s">
        <v>27</v>
      </c>
      <c r="E29">
        <f>'NHL2025-26Results'!C24</f>
        <v>3</v>
      </c>
      <c r="F29" t="s">
        <v>25</v>
      </c>
      <c r="G29">
        <f>'NHL2025-26Results'!E24</f>
        <v>4</v>
      </c>
      <c r="H29">
        <f>Table3[[#This Row],[G_1]]-Table3[[#This Row],[G]]</f>
        <v>1</v>
      </c>
      <c r="I29">
        <f>HomeEdge+VLOOKUP(Table3[[#This Row],[Home]],$A$6:$B$38,2,FALSE)-VLOOKUP(Table3[[#This Row],[Visitor]],$A$6:$B$38,2,FALSE)</f>
        <v>0.98472639969350928</v>
      </c>
      <c r="J29">
        <f>(Table3[[#This Row],[HomeMargin]]-Table3[[#This Row],[HomeForecast]])^2</f>
        <v>2.3328286632243341E-4</v>
      </c>
    </row>
    <row r="30" spans="1:10" x14ac:dyDescent="0.2">
      <c r="A30" s="4" t="s">
        <v>32</v>
      </c>
      <c r="B30">
        <v>-0.45007023285116615</v>
      </c>
      <c r="D30" t="s">
        <v>35</v>
      </c>
      <c r="E30">
        <f>'NHL2025-26Results'!C25</f>
        <v>4</v>
      </c>
      <c r="F30" t="s">
        <v>16</v>
      </c>
      <c r="G30">
        <f>'NHL2025-26Results'!E25</f>
        <v>2</v>
      </c>
      <c r="H30">
        <f>Table3[[#This Row],[G_1]]-Table3[[#This Row],[G]]</f>
        <v>-2</v>
      </c>
      <c r="I30">
        <f>HomeEdge+VLOOKUP(Table3[[#This Row],[Home]],$A$6:$B$38,2,FALSE)-VLOOKUP(Table3[[#This Row],[Visitor]],$A$6:$B$38,2,FALSE)</f>
        <v>0.59931861740956827</v>
      </c>
      <c r="J30">
        <f>(Table3[[#This Row],[HomeMargin]]-Table3[[#This Row],[HomeForecast]])^2</f>
        <v>6.7564572748119893</v>
      </c>
    </row>
    <row r="31" spans="1:10" x14ac:dyDescent="0.2">
      <c r="A31" s="4" t="s">
        <v>35</v>
      </c>
      <c r="B31">
        <v>-1.5569791149906038</v>
      </c>
      <c r="D31" t="s">
        <v>18</v>
      </c>
      <c r="E31">
        <f>'NHL2025-26Results'!C26</f>
        <v>3</v>
      </c>
      <c r="F31" t="s">
        <v>10</v>
      </c>
      <c r="G31">
        <f>'NHL2025-26Results'!E26</f>
        <v>2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0.73244969766975199</v>
      </c>
      <c r="J31">
        <f>(Table3[[#This Row],[HomeMargin]]-Table3[[#This Row],[HomeForecast]])^2</f>
        <v>3.0013819549560155</v>
      </c>
    </row>
    <row r="32" spans="1:10" x14ac:dyDescent="0.2">
      <c r="A32" s="4" t="s">
        <v>37</v>
      </c>
      <c r="B32">
        <v>7.1667377873261273E-2</v>
      </c>
      <c r="D32" t="s">
        <v>39</v>
      </c>
      <c r="E32">
        <f>'NHL2025-26Results'!C27</f>
        <v>5</v>
      </c>
      <c r="F32" t="s">
        <v>12</v>
      </c>
      <c r="G32">
        <f>'NHL2025-26Results'!E27</f>
        <v>4</v>
      </c>
      <c r="H32">
        <f>Table3[[#This Row],[G_1]]-Table3[[#This Row],[G]]</f>
        <v>-1</v>
      </c>
      <c r="I32">
        <f>HomeEdge+VLOOKUP(Table3[[#This Row],[Home]],$A$6:$B$38,2,FALSE)-VLOOKUP(Table3[[#This Row],[Visitor]],$A$6:$B$38,2,FALSE)</f>
        <v>1.5789951043494999</v>
      </c>
      <c r="J32">
        <f>(Table3[[#This Row],[HomeMargin]]-Table3[[#This Row],[HomeForecast]])^2</f>
        <v>6.6512157482586867</v>
      </c>
    </row>
    <row r="33" spans="1:10" x14ac:dyDescent="0.2">
      <c r="A33" s="4" t="s">
        <v>19</v>
      </c>
      <c r="B33">
        <v>-0.93520311342823803</v>
      </c>
      <c r="D33" t="s">
        <v>19</v>
      </c>
      <c r="E33">
        <f>'NHL2025-26Results'!C28</f>
        <v>3</v>
      </c>
      <c r="F33" t="s">
        <v>26</v>
      </c>
      <c r="G33">
        <f>'NHL2025-26Results'!E28</f>
        <v>6</v>
      </c>
      <c r="H33">
        <f>Table3[[#This Row],[G_1]]-Table3[[#This Row],[G]]</f>
        <v>3</v>
      </c>
      <c r="I33">
        <f>HomeEdge+VLOOKUP(Table3[[#This Row],[Home]],$A$6:$B$38,2,FALSE)-VLOOKUP(Table3[[#This Row],[Visitor]],$A$6:$B$38,2,FALSE)</f>
        <v>0.40938932486359603</v>
      </c>
      <c r="J33">
        <f>(Table3[[#This Row],[HomeMargin]]-Table3[[#This Row],[HomeForecast]])^2</f>
        <v>6.7112636701306947</v>
      </c>
    </row>
    <row r="34" spans="1:10" x14ac:dyDescent="0.2">
      <c r="A34" t="s">
        <v>55</v>
      </c>
      <c r="B34">
        <v>-0.30969050963205513</v>
      </c>
      <c r="D34" t="s">
        <v>38</v>
      </c>
      <c r="E34">
        <f>'NHL2025-26Results'!C29</f>
        <v>1</v>
      </c>
      <c r="F34" t="s">
        <v>17</v>
      </c>
      <c r="G34">
        <f>'NHL2025-26Results'!E29</f>
        <v>3</v>
      </c>
      <c r="H34">
        <f>Table3[[#This Row],[G_1]]-Table3[[#This Row],[G]]</f>
        <v>2</v>
      </c>
      <c r="I34">
        <f>HomeEdge+VLOOKUP(Table3[[#This Row],[Home]],$A$6:$B$38,2,FALSE)-VLOOKUP(Table3[[#This Row],[Visitor]],$A$6:$B$38,2,FALSE)</f>
        <v>0.38856053453433437</v>
      </c>
      <c r="J34">
        <f>(Table3[[#This Row],[HomeMargin]]-Table3[[#This Row],[HomeForecast]])^2</f>
        <v>2.5967371508602701</v>
      </c>
    </row>
    <row r="35" spans="1:10" x14ac:dyDescent="0.2">
      <c r="A35" s="4" t="s">
        <v>38</v>
      </c>
      <c r="B35">
        <v>-1.1236485959014608</v>
      </c>
      <c r="D35" t="s">
        <v>36</v>
      </c>
      <c r="E35">
        <f>'NHL2025-26Results'!C30</f>
        <v>2</v>
      </c>
      <c r="F35" t="s">
        <v>11</v>
      </c>
      <c r="G35">
        <f>'NHL2025-26Results'!E30</f>
        <v>6</v>
      </c>
      <c r="H35">
        <f>Table3[[#This Row],[G_1]]-Table3[[#This Row],[G]]</f>
        <v>4</v>
      </c>
      <c r="I35">
        <f>HomeEdge+VLOOKUP(Table3[[#This Row],[Home]],$A$6:$B$38,2,FALSE)-VLOOKUP(Table3[[#This Row],[Visitor]],$A$6:$B$38,2,FALSE)</f>
        <v>7.6693613924072035E-2</v>
      </c>
      <c r="J35">
        <f>(Table3[[#This Row],[HomeMargin]]-Table3[[#This Row],[HomeForecast]])^2</f>
        <v>15.392332999024157</v>
      </c>
    </row>
    <row r="36" spans="1:10" x14ac:dyDescent="0.2">
      <c r="A36" s="4" t="s">
        <v>20</v>
      </c>
      <c r="B36">
        <v>0.12073374225454764</v>
      </c>
      <c r="D36" t="s">
        <v>28</v>
      </c>
      <c r="E36">
        <f>'NHL2025-26Results'!C31</f>
        <v>7</v>
      </c>
      <c r="F36" t="s">
        <v>34</v>
      </c>
      <c r="G36">
        <f>'NHL2025-26Results'!E31</f>
        <v>4</v>
      </c>
      <c r="H36">
        <f>Table3[[#This Row],[G_1]]-Table3[[#This Row],[G]]</f>
        <v>-3</v>
      </c>
      <c r="I36">
        <f>HomeEdge+VLOOKUP(Table3[[#This Row],[Home]],$A$6:$B$38,2,FALSE)-VLOOKUP(Table3[[#This Row],[Visitor]],$A$6:$B$38,2,FALSE)</f>
        <v>0.56814033837124489</v>
      </c>
      <c r="J36">
        <f>(Table3[[#This Row],[HomeMargin]]-Table3[[#This Row],[HomeForecast]])^2</f>
        <v>12.731625474312063</v>
      </c>
    </row>
    <row r="37" spans="1:10" x14ac:dyDescent="0.2">
      <c r="A37" s="4" t="s">
        <v>22</v>
      </c>
      <c r="B37">
        <v>6.4811420118814619E-2</v>
      </c>
      <c r="D37" t="s">
        <v>55</v>
      </c>
      <c r="E37">
        <f>'NHL2025-26Results'!C32</f>
        <v>3</v>
      </c>
      <c r="F37" t="s">
        <v>29</v>
      </c>
      <c r="G37">
        <f>'NHL2025-26Results'!E32</f>
        <v>2</v>
      </c>
      <c r="H37">
        <f>Table3[[#This Row],[G_1]]-Table3[[#This Row],[G]]</f>
        <v>-1</v>
      </c>
      <c r="I37">
        <f>HomeEdge+VLOOKUP(Table3[[#This Row],[Home]],$A$6:$B$38,2,FALSE)-VLOOKUP(Table3[[#This Row],[Visitor]],$A$6:$B$38,2,FALSE)</f>
        <v>-1.0485011938854907</v>
      </c>
      <c r="J37">
        <f>(Table3[[#This Row],[HomeMargin]]-Table3[[#This Row],[HomeForecast]])^2</f>
        <v>2.3523658083179585E-3</v>
      </c>
    </row>
    <row r="38" spans="1:10" x14ac:dyDescent="0.2">
      <c r="A38" s="4" t="s">
        <v>40</v>
      </c>
      <c r="B38">
        <v>-6.0247860940930854E-2</v>
      </c>
      <c r="D38" t="s">
        <v>22</v>
      </c>
      <c r="E38">
        <f>'NHL2025-26Results'!C33</f>
        <v>4</v>
      </c>
      <c r="F38" t="s">
        <v>30</v>
      </c>
      <c r="G38">
        <f>'NHL2025-26Results'!E33</f>
        <v>2</v>
      </c>
      <c r="H38">
        <f>Table3[[#This Row],[G_1]]-Table3[[#This Row],[G]]</f>
        <v>-2</v>
      </c>
      <c r="I38">
        <f>HomeEdge+VLOOKUP(Table3[[#This Row],[Home]],$A$6:$B$38,2,FALSE)-VLOOKUP(Table3[[#This Row],[Visitor]],$A$6:$B$38,2,FALSE)</f>
        <v>7.6570441158975586E-2</v>
      </c>
      <c r="J38">
        <f>(Table3[[#This Row],[HomeMargin]]-Table3[[#This Row],[HomeForecast]])^2</f>
        <v>4.3121447970951818</v>
      </c>
    </row>
    <row r="39" spans="1:10" x14ac:dyDescent="0.2">
      <c r="D39" t="s">
        <v>15</v>
      </c>
      <c r="E39">
        <f>'NHL2025-26Results'!C34</f>
        <v>6</v>
      </c>
      <c r="F39" t="s">
        <v>14</v>
      </c>
      <c r="G39">
        <f>'NHL2025-26Results'!E34</f>
        <v>1</v>
      </c>
      <c r="H39">
        <f>Table3[[#This Row],[G_1]]-Table3[[#This Row],[G]]</f>
        <v>-5</v>
      </c>
      <c r="I39">
        <f>HomeEdge+VLOOKUP(Table3[[#This Row],[Home]],$A$6:$B$38,2,FALSE)-VLOOKUP(Table3[[#This Row],[Visitor]],$A$6:$B$38,2,FALSE)</f>
        <v>0.42689634890823369</v>
      </c>
      <c r="J39">
        <f>(Table3[[#This Row],[HomeMargin]]-Table3[[#This Row],[HomeForecast]])^2</f>
        <v>29.451203981793523</v>
      </c>
    </row>
    <row r="40" spans="1:10" x14ac:dyDescent="0.2">
      <c r="D40" t="s">
        <v>20</v>
      </c>
      <c r="E40">
        <f>'NHL2025-26Results'!C35</f>
        <v>1</v>
      </c>
      <c r="F40" t="s">
        <v>32</v>
      </c>
      <c r="G40">
        <f>'NHL2025-26Results'!E35</f>
        <v>2</v>
      </c>
      <c r="H40">
        <f>Table3[[#This Row],[G_1]]-Table3[[#This Row],[G]]</f>
        <v>1</v>
      </c>
      <c r="I40">
        <f>HomeEdge+VLOOKUP(Table3[[#This Row],[Home]],$A$6:$B$38,2,FALSE)-VLOOKUP(Table3[[#This Row],[Visitor]],$A$6:$B$38,2,FALSE)</f>
        <v>-0.43326058613329743</v>
      </c>
      <c r="J40">
        <f>(Table3[[#This Row],[HomeMargin]]-Table3[[#This Row],[HomeForecast]])^2</f>
        <v>2.0542359077631631</v>
      </c>
    </row>
    <row r="41" spans="1:10" x14ac:dyDescent="0.2">
      <c r="D41" t="s">
        <v>31</v>
      </c>
      <c r="E41">
        <f>'NHL2025-26Results'!C36</f>
        <v>7</v>
      </c>
      <c r="F41" t="s">
        <v>33</v>
      </c>
      <c r="G41">
        <f>'NHL2025-26Results'!E36</f>
        <v>6</v>
      </c>
      <c r="H41">
        <f>Table3[[#This Row],[G_1]]-Table3[[#This Row],[G]]</f>
        <v>-1</v>
      </c>
      <c r="I41">
        <f>HomeEdge+VLOOKUP(Table3[[#This Row],[Home]],$A$6:$B$38,2,FALSE)-VLOOKUP(Table3[[#This Row],[Visitor]],$A$6:$B$38,2,FALSE)</f>
        <v>-0.56753681370533049</v>
      </c>
      <c r="J41">
        <f>(Table3[[#This Row],[HomeMargin]]-Table3[[#This Row],[HomeForecast]])^2</f>
        <v>0.18702440750013802</v>
      </c>
    </row>
    <row r="42" spans="1:10" x14ac:dyDescent="0.2">
      <c r="D42" t="s">
        <v>24</v>
      </c>
      <c r="E42">
        <f>'NHL2025-26Results'!C37</f>
        <v>5</v>
      </c>
      <c r="F42" t="s">
        <v>37</v>
      </c>
      <c r="G42">
        <f>'NHL2025-26Results'!E37</f>
        <v>3</v>
      </c>
      <c r="H42">
        <f>Table3[[#This Row],[G_1]]-Table3[[#This Row],[G]]</f>
        <v>-2</v>
      </c>
      <c r="I42">
        <f>HomeEdge+VLOOKUP(Table3[[#This Row],[Home]],$A$6:$B$38,2,FALSE)-VLOOKUP(Table3[[#This Row],[Visitor]],$A$6:$B$38,2,FALSE)</f>
        <v>0.22724335204821142</v>
      </c>
      <c r="J42">
        <f>(Table3[[#This Row],[HomeMargin]]-Table3[[#This Row],[HomeForecast]])^2</f>
        <v>4.9606129492429538</v>
      </c>
    </row>
    <row r="43" spans="1:10" x14ac:dyDescent="0.2">
      <c r="D43" t="s">
        <v>13</v>
      </c>
      <c r="E43">
        <f>'NHL2025-26Results'!C38</f>
        <v>2</v>
      </c>
      <c r="F43" t="s">
        <v>40</v>
      </c>
      <c r="G43">
        <f>'NHL2025-26Results'!E38</f>
        <v>3</v>
      </c>
      <c r="H43">
        <f>Table3[[#This Row],[G_1]]-Table3[[#This Row],[G]]</f>
        <v>1</v>
      </c>
      <c r="I43">
        <f>HomeEdge+VLOOKUP(Table3[[#This Row],[Home]],$A$6:$B$38,2,FALSE)-VLOOKUP(Table3[[#This Row],[Visitor]],$A$6:$B$38,2,FALSE)</f>
        <v>0.43863715691545413</v>
      </c>
      <c r="J43">
        <f>(Table3[[#This Row],[HomeMargin]]-Table3[[#This Row],[HomeForecast]])^2</f>
        <v>0.31512824159596448</v>
      </c>
    </row>
    <row r="44" spans="1:10" x14ac:dyDescent="0.2">
      <c r="D44" t="s">
        <v>22</v>
      </c>
      <c r="E44">
        <f>'NHL2025-26Results'!C39</f>
        <v>1</v>
      </c>
      <c r="F44" t="s">
        <v>15</v>
      </c>
      <c r="G44">
        <f>'NHL2025-26Results'!E39</f>
        <v>0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-0.42562673299374448</v>
      </c>
      <c r="J44">
        <f>(Table3[[#This Row],[HomeMargin]]-Table3[[#This Row],[HomeForecast]])^2</f>
        <v>0.32990464985143936</v>
      </c>
    </row>
    <row r="45" spans="1:10" x14ac:dyDescent="0.2">
      <c r="D45" t="s">
        <v>37</v>
      </c>
      <c r="E45">
        <f>'NHL2025-26Results'!C40</f>
        <v>4</v>
      </c>
      <c r="F45" t="s">
        <v>21</v>
      </c>
      <c r="G45">
        <f>'NHL2025-26Results'!E40</f>
        <v>3</v>
      </c>
      <c r="H45">
        <f>Table3[[#This Row],[G_1]]-Table3[[#This Row],[G]]</f>
        <v>-1</v>
      </c>
      <c r="I45">
        <f>HomeEdge+VLOOKUP(Table3[[#This Row],[Home]],$A$6:$B$38,2,FALSE)-VLOOKUP(Table3[[#This Row],[Visitor]],$A$6:$B$38,2,FALSE)</f>
        <v>-7.8773302853937049E-2</v>
      </c>
      <c r="J45">
        <f>(Table3[[#This Row],[HomeMargin]]-Table3[[#This Row],[HomeForecast]])^2</f>
        <v>0.84865862753464405</v>
      </c>
    </row>
    <row r="46" spans="1:10" x14ac:dyDescent="0.2">
      <c r="D46" t="s">
        <v>12</v>
      </c>
      <c r="E46">
        <f>'NHL2025-26Results'!C41</f>
        <v>3</v>
      </c>
      <c r="F46" t="s">
        <v>23</v>
      </c>
      <c r="G46">
        <f>'NHL2025-26Results'!E41</f>
        <v>1</v>
      </c>
      <c r="H46">
        <f>Table3[[#This Row],[G_1]]-Table3[[#This Row],[G]]</f>
        <v>-2</v>
      </c>
      <c r="I46">
        <f>HomeEdge+VLOOKUP(Table3[[#This Row],[Home]],$A$6:$B$38,2,FALSE)-VLOOKUP(Table3[[#This Row],[Visitor]],$A$6:$B$38,2,FALSE)</f>
        <v>-1.823641859106397</v>
      </c>
      <c r="J46">
        <f>(Table3[[#This Row],[HomeMargin]]-Table3[[#This Row],[HomeForecast]])^2</f>
        <v>3.1102193859447933E-2</v>
      </c>
    </row>
    <row r="47" spans="1:10" x14ac:dyDescent="0.2">
      <c r="D47" t="s">
        <v>24</v>
      </c>
      <c r="E47">
        <f>'NHL2025-26Results'!C42</f>
        <v>3</v>
      </c>
      <c r="F47" t="s">
        <v>28</v>
      </c>
      <c r="G47">
        <f>'NHL2025-26Results'!E42</f>
        <v>2</v>
      </c>
      <c r="H47">
        <f>Table3[[#This Row],[G_1]]-Table3[[#This Row],[G]]</f>
        <v>-1</v>
      </c>
      <c r="I47">
        <f>HomeEdge+VLOOKUP(Table3[[#This Row],[Home]],$A$6:$B$38,2,FALSE)-VLOOKUP(Table3[[#This Row],[Visitor]],$A$6:$B$38,2,FALSE)</f>
        <v>-0.43861002602088872</v>
      </c>
      <c r="J47">
        <f>(Table3[[#This Row],[HomeMargin]]-Table3[[#This Row],[HomeForecast]])^2</f>
        <v>0.31515870288426723</v>
      </c>
    </row>
    <row r="48" spans="1:10" x14ac:dyDescent="0.2">
      <c r="D48" t="s">
        <v>55</v>
      </c>
      <c r="E48">
        <f>'NHL2025-26Results'!C43</f>
        <v>1</v>
      </c>
      <c r="F48" t="s">
        <v>10</v>
      </c>
      <c r="G48">
        <f>'NHL2025-26Results'!E43</f>
        <v>3</v>
      </c>
      <c r="H48">
        <f>Table3[[#This Row],[G_1]]-Table3[[#This Row],[G]]</f>
        <v>2</v>
      </c>
      <c r="I48">
        <f>HomeEdge+VLOOKUP(Table3[[#This Row],[Home]],$A$6:$B$38,2,FALSE)-VLOOKUP(Table3[[#This Row],[Visitor]],$A$6:$B$38,2,FALSE)</f>
        <v>0.29459884501650113</v>
      </c>
      <c r="J48">
        <f>(Table3[[#This Row],[HomeMargin]]-Table3[[#This Row],[HomeForecast]])^2</f>
        <v>2.9083930994190519</v>
      </c>
    </row>
    <row r="49" spans="4:10" x14ac:dyDescent="0.2">
      <c r="D49" t="s">
        <v>13</v>
      </c>
      <c r="E49">
        <f>'NHL2025-26Results'!C44</f>
        <v>3</v>
      </c>
      <c r="F49" t="s">
        <v>34</v>
      </c>
      <c r="G49">
        <f>'NHL2025-26Results'!E44</f>
        <v>4</v>
      </c>
      <c r="H49">
        <f>Table3[[#This Row],[G_1]]-Table3[[#This Row],[G]]</f>
        <v>1</v>
      </c>
      <c r="I49">
        <f>HomeEdge+VLOOKUP(Table3[[#This Row],[Home]],$A$6:$B$38,2,FALSE)-VLOOKUP(Table3[[#This Row],[Visitor]],$A$6:$B$38,2,FALSE)</f>
        <v>0.33529596705937459</v>
      </c>
      <c r="J49">
        <f>(Table3[[#This Row],[HomeMargin]]-Table3[[#This Row],[HomeForecast]])^2</f>
        <v>0.44183145140753205</v>
      </c>
    </row>
    <row r="50" spans="4:10" x14ac:dyDescent="0.2">
      <c r="D50" t="s">
        <v>40</v>
      </c>
      <c r="E50">
        <f>'NHL2025-26Results'!C45</f>
        <v>5</v>
      </c>
      <c r="F50" t="s">
        <v>30</v>
      </c>
      <c r="G50">
        <f>'NHL2025-26Results'!E45</f>
        <v>2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0.20162972221872105</v>
      </c>
      <c r="J50">
        <f>(Table3[[#This Row],[HomeMargin]]-Table3[[#This Row],[HomeForecast]])^2</f>
        <v>10.250432878194324</v>
      </c>
    </row>
    <row r="51" spans="4:10" x14ac:dyDescent="0.2">
      <c r="D51" t="s">
        <v>29</v>
      </c>
      <c r="E51">
        <f>'NHL2025-26Results'!C46</f>
        <v>4</v>
      </c>
      <c r="F51" t="s">
        <v>36</v>
      </c>
      <c r="G51">
        <f>'NHL2025-26Results'!E46</f>
        <v>1</v>
      </c>
      <c r="H51">
        <f>Table3[[#This Row],[G_1]]-Table3[[#This Row],[G]]</f>
        <v>-3</v>
      </c>
      <c r="I51">
        <f>HomeEdge+VLOOKUP(Table3[[#This Row],[Home]],$A$6:$B$38,2,FALSE)-VLOOKUP(Table3[[#This Row],[Visitor]],$A$6:$B$38,2,FALSE)</f>
        <v>1.315758860616312</v>
      </c>
      <c r="J51">
        <f>(Table3[[#This Row],[HomeMargin]]-Table3[[#This Row],[HomeForecast]])^2</f>
        <v>18.625774542988211</v>
      </c>
    </row>
    <row r="52" spans="4:10" x14ac:dyDescent="0.2">
      <c r="D52" t="s">
        <v>11</v>
      </c>
      <c r="E52">
        <f>'NHL2025-26Results'!C47</f>
        <v>2</v>
      </c>
      <c r="F52" t="s">
        <v>27</v>
      </c>
      <c r="G52">
        <f>'NHL2025-26Results'!E47</f>
        <v>5</v>
      </c>
      <c r="H52">
        <f>Table3[[#This Row],[G_1]]-Table3[[#This Row],[G]]</f>
        <v>3</v>
      </c>
      <c r="I52">
        <f>HomeEdge+VLOOKUP(Table3[[#This Row],[Home]],$A$6:$B$38,2,FALSE)-VLOOKUP(Table3[[#This Row],[Visitor]],$A$6:$B$38,2,FALSE)</f>
        <v>9.3881522397114447E-2</v>
      </c>
      <c r="J52">
        <f>(Table3[[#This Row],[HomeMargin]]-Table3[[#This Row],[HomeForecast]])^2</f>
        <v>8.4455246058649127</v>
      </c>
    </row>
    <row r="53" spans="4:10" x14ac:dyDescent="0.2">
      <c r="D53" t="s">
        <v>26</v>
      </c>
      <c r="E53">
        <f>'NHL2025-26Results'!C48</f>
        <v>3</v>
      </c>
      <c r="F53" t="s">
        <v>19</v>
      </c>
      <c r="G53">
        <f>'NHL2025-26Results'!E48</f>
        <v>2</v>
      </c>
      <c r="H53">
        <f>Table3[[#This Row],[G_1]]-Table3[[#This Row],[G]]</f>
        <v>-1</v>
      </c>
      <c r="I53">
        <f>HomeEdge+VLOOKUP(Table3[[#This Row],[Home]],$A$6:$B$38,2,FALSE)-VLOOKUP(Table3[[#This Row],[Visitor]],$A$6:$B$38,2,FALSE)</f>
        <v>-0.13430254691876331</v>
      </c>
      <c r="J53">
        <f>(Table3[[#This Row],[HomeMargin]]-Table3[[#This Row],[HomeForecast]])^2</f>
        <v>0.74943208027134001</v>
      </c>
    </row>
    <row r="54" spans="4:10" x14ac:dyDescent="0.2">
      <c r="D54" t="s">
        <v>35</v>
      </c>
      <c r="E54">
        <f>'NHL2025-26Results'!C49</f>
        <v>5</v>
      </c>
      <c r="F54" t="s">
        <v>38</v>
      </c>
      <c r="G54">
        <f>'NHL2025-26Results'!E49</f>
        <v>2</v>
      </c>
      <c r="H54">
        <f>Table3[[#This Row],[G_1]]-Table3[[#This Row],[G]]</f>
        <v>-3</v>
      </c>
      <c r="I54">
        <f>HomeEdge+VLOOKUP(Table3[[#This Row],[Home]],$A$6:$B$38,2,FALSE)-VLOOKUP(Table3[[#This Row],[Visitor]],$A$6:$B$38,2,FALSE)</f>
        <v>0.57087390806155935</v>
      </c>
      <c r="J54">
        <f>(Table3[[#This Row],[HomeMargin]]-Table3[[#This Row],[HomeForecast]])^2</f>
        <v>12.751140467274835</v>
      </c>
    </row>
    <row r="55" spans="4:10" x14ac:dyDescent="0.2">
      <c r="D55" t="s">
        <v>14</v>
      </c>
      <c r="E55">
        <f>'NHL2025-26Results'!C50</f>
        <v>3</v>
      </c>
      <c r="F55" t="s">
        <v>31</v>
      </c>
      <c r="G55">
        <f>'NHL2025-26Results'!E50</f>
        <v>4</v>
      </c>
      <c r="H55">
        <f>Table3[[#This Row],[G_1]]-Table3[[#This Row],[G]]</f>
        <v>1</v>
      </c>
      <c r="I55">
        <f>HomeEdge+VLOOKUP(Table3[[#This Row],[Home]],$A$6:$B$38,2,FALSE)-VLOOKUP(Table3[[#This Row],[Visitor]],$A$6:$B$38,2,FALSE)</f>
        <v>0.68984552069461669</v>
      </c>
      <c r="J55">
        <f>(Table3[[#This Row],[HomeMargin]]-Table3[[#This Row],[HomeForecast]])^2</f>
        <v>9.6195801033193445E-2</v>
      </c>
    </row>
    <row r="56" spans="4:10" x14ac:dyDescent="0.2">
      <c r="D56" t="s">
        <v>20</v>
      </c>
      <c r="E56">
        <f>'NHL2025-26Results'!C51</f>
        <v>4</v>
      </c>
      <c r="F56" t="s">
        <v>16</v>
      </c>
      <c r="G56">
        <f>'NHL2025-26Results'!E51</f>
        <v>2</v>
      </c>
      <c r="H56">
        <f>Table3[[#This Row],[G_1]]-Table3[[#This Row],[G]]</f>
        <v>-2</v>
      </c>
      <c r="I56">
        <f>HomeEdge+VLOOKUP(Table3[[#This Row],[Home]],$A$6:$B$38,2,FALSE)-VLOOKUP(Table3[[#This Row],[Visitor]],$A$6:$B$38,2,FALSE)</f>
        <v>-1.0783942398355832</v>
      </c>
      <c r="J56">
        <f>(Table3[[#This Row],[HomeMargin]]-Table3[[#This Row],[HomeForecast]])^2</f>
        <v>0.84935717716823245</v>
      </c>
    </row>
    <row r="57" spans="4:10" x14ac:dyDescent="0.2">
      <c r="D57" t="s">
        <v>34</v>
      </c>
      <c r="E57">
        <f>'NHL2025-26Results'!C52</f>
        <v>2</v>
      </c>
      <c r="F57" t="s">
        <v>39</v>
      </c>
      <c r="G57">
        <f>'NHL2025-26Results'!E52</f>
        <v>5</v>
      </c>
      <c r="H57">
        <f>Table3[[#This Row],[G_1]]-Table3[[#This Row],[G]]</f>
        <v>3</v>
      </c>
      <c r="I57">
        <f>HomeEdge+VLOOKUP(Table3[[#This Row],[Home]],$A$6:$B$38,2,FALSE)-VLOOKUP(Table3[[#This Row],[Visitor]],$A$6:$B$38,2,FALSE)</f>
        <v>0.30551525201927043</v>
      </c>
      <c r="J57">
        <f>(Table3[[#This Row],[HomeMargin]]-Table3[[#This Row],[HomeForecast]])^2</f>
        <v>7.2602480571007755</v>
      </c>
    </row>
    <row r="58" spans="4:10" x14ac:dyDescent="0.2">
      <c r="D58" t="s">
        <v>32</v>
      </c>
      <c r="E58">
        <f>'NHL2025-26Results'!C53</f>
        <v>4</v>
      </c>
      <c r="F58" t="s">
        <v>18</v>
      </c>
      <c r="G58">
        <f>'NHL2025-26Results'!E53</f>
        <v>5</v>
      </c>
      <c r="H58">
        <f>Table3[[#This Row],[G_1]]-Table3[[#This Row],[G]]</f>
        <v>1</v>
      </c>
      <c r="I58">
        <f>HomeEdge+VLOOKUP(Table3[[#This Row],[Home]],$A$6:$B$38,2,FALSE)-VLOOKUP(Table3[[#This Row],[Visitor]],$A$6:$B$38,2,FALSE)</f>
        <v>-0.15992774046172348</v>
      </c>
      <c r="J58">
        <f>(Table3[[#This Row],[HomeMargin]]-Table3[[#This Row],[HomeForecast]])^2</f>
        <v>1.3454323630926392</v>
      </c>
    </row>
    <row r="59" spans="4:10" x14ac:dyDescent="0.2">
      <c r="D59" t="s">
        <v>17</v>
      </c>
      <c r="E59">
        <f>'NHL2025-26Results'!C54</f>
        <v>2</v>
      </c>
      <c r="F59" t="s">
        <v>15</v>
      </c>
      <c r="G59">
        <f>'NHL2025-26Results'!E54</f>
        <v>0</v>
      </c>
      <c r="H59">
        <f>Table3[[#This Row],[G_1]]-Table3[[#This Row],[G]]</f>
        <v>-2</v>
      </c>
      <c r="I59">
        <f>HomeEdge+VLOOKUP(Table3[[#This Row],[Home]],$A$6:$B$38,2,FALSE)-VLOOKUP(Table3[[#This Row],[Visitor]],$A$6:$B$38,2,FALSE)</f>
        <v>0.51181613746461296</v>
      </c>
      <c r="J59">
        <f>(Table3[[#This Row],[HomeMargin]]-Table3[[#This Row],[HomeForecast]])^2</f>
        <v>6.3092203084276477</v>
      </c>
    </row>
    <row r="60" spans="4:10" x14ac:dyDescent="0.2">
      <c r="D60" t="s">
        <v>25</v>
      </c>
      <c r="E60">
        <f>'NHL2025-26Results'!C55</f>
        <v>5</v>
      </c>
      <c r="F60" t="s">
        <v>33</v>
      </c>
      <c r="G60">
        <f>'NHL2025-26Results'!E55</f>
        <v>1</v>
      </c>
      <c r="H60">
        <f>Table3[[#This Row],[G_1]]-Table3[[#This Row],[G]]</f>
        <v>-4</v>
      </c>
      <c r="I60">
        <f>HomeEdge+VLOOKUP(Table3[[#This Row],[Home]],$A$6:$B$38,2,FALSE)-VLOOKUP(Table3[[#This Row],[Visitor]],$A$6:$B$38,2,FALSE)</f>
        <v>-0.64939217214603928</v>
      </c>
      <c r="J60">
        <f>(Table3[[#This Row],[HomeMargin]]-Table3[[#This Row],[HomeForecast]])^2</f>
        <v>11.226572816076237</v>
      </c>
    </row>
    <row r="61" spans="4:10" x14ac:dyDescent="0.2">
      <c r="D61" t="s">
        <v>29</v>
      </c>
      <c r="E61">
        <f>'NHL2025-26Results'!C56</f>
        <v>4</v>
      </c>
      <c r="F61" t="s">
        <v>19</v>
      </c>
      <c r="G61">
        <f>'NHL2025-26Results'!E56</f>
        <v>7</v>
      </c>
      <c r="H61">
        <f>Table3[[#This Row],[G_1]]-Table3[[#This Row],[G]]</f>
        <v>3</v>
      </c>
      <c r="I61">
        <f>HomeEdge+VLOOKUP(Table3[[#This Row],[Home]],$A$6:$B$38,2,FALSE)-VLOOKUP(Table3[[#This Row],[Visitor]],$A$6:$B$38,2,FALSE)</f>
        <v>0.6980753680341405</v>
      </c>
      <c r="J61">
        <f>(Table3[[#This Row],[HomeMargin]]-Table3[[#This Row],[HomeForecast]])^2</f>
        <v>5.298857011251159</v>
      </c>
    </row>
    <row r="62" spans="4:10" x14ac:dyDescent="0.2">
      <c r="D62" t="s">
        <v>37</v>
      </c>
      <c r="E62">
        <f>'NHL2025-26Results'!C57</f>
        <v>2</v>
      </c>
      <c r="F62" t="s">
        <v>22</v>
      </c>
      <c r="G62">
        <f>'NHL2025-26Results'!E57</f>
        <v>3</v>
      </c>
      <c r="H62">
        <f>Table3[[#This Row],[G_1]]-Table3[[#This Row],[G]]</f>
        <v>1</v>
      </c>
      <c r="I62">
        <f>HomeEdge+VLOOKUP(Table3[[#This Row],[Home]],$A$6:$B$38,2,FALSE)-VLOOKUP(Table3[[#This Row],[Visitor]],$A$6:$B$38,2,FALSE)</f>
        <v>0.13068743121796972</v>
      </c>
      <c r="J62">
        <f>(Table3[[#This Row],[HomeMargin]]-Table3[[#This Row],[HomeForecast]])^2</f>
        <v>0.75570434224241201</v>
      </c>
    </row>
    <row r="63" spans="4:10" x14ac:dyDescent="0.2">
      <c r="D63" t="s">
        <v>36</v>
      </c>
      <c r="E63">
        <f>'NHL2025-26Results'!C58</f>
        <v>4</v>
      </c>
      <c r="F63" t="s">
        <v>23</v>
      </c>
      <c r="G63">
        <f>'NHL2025-26Results'!E58</f>
        <v>8</v>
      </c>
      <c r="H63">
        <f>Table3[[#This Row],[G_1]]-Table3[[#This Row],[G]]</f>
        <v>4</v>
      </c>
      <c r="I63">
        <f>HomeEdge+VLOOKUP(Table3[[#This Row],[Home]],$A$6:$B$38,2,FALSE)-VLOOKUP(Table3[[#This Row],[Visitor]],$A$6:$B$38,2,FALSE)</f>
        <v>-6.0287710633403435E-2</v>
      </c>
      <c r="J63">
        <f>(Table3[[#This Row],[HomeMargin]]-Table3[[#This Row],[HomeForecast]])^2</f>
        <v>16.485936293120645</v>
      </c>
    </row>
    <row r="64" spans="4:10" x14ac:dyDescent="0.2">
      <c r="D64" t="s">
        <v>11</v>
      </c>
      <c r="E64">
        <f>'NHL2025-26Results'!C59</f>
        <v>1</v>
      </c>
      <c r="F64" t="s">
        <v>26</v>
      </c>
      <c r="G64">
        <f>'NHL2025-26Results'!E59</f>
        <v>4</v>
      </c>
      <c r="H64">
        <f>Table3[[#This Row],[G_1]]-Table3[[#This Row],[G]]</f>
        <v>3</v>
      </c>
      <c r="I64">
        <f>HomeEdge+VLOOKUP(Table3[[#This Row],[Home]],$A$6:$B$38,2,FALSE)-VLOOKUP(Table3[[#This Row],[Visitor]],$A$6:$B$38,2,FALSE)</f>
        <v>-0.14744439267023113</v>
      </c>
      <c r="J64">
        <f>(Table3[[#This Row],[HomeMargin]]-Table3[[#This Row],[HomeForecast]])^2</f>
        <v>9.9064062049512795</v>
      </c>
    </row>
    <row r="65" spans="4:10" x14ac:dyDescent="0.2">
      <c r="D65" t="s">
        <v>10</v>
      </c>
      <c r="E65">
        <f>'NHL2025-26Results'!C60</f>
        <v>8</v>
      </c>
      <c r="F65" t="s">
        <v>35</v>
      </c>
      <c r="G65">
        <f>'NHL2025-26Results'!E60</f>
        <v>3</v>
      </c>
      <c r="H65">
        <f>Table3[[#This Row],[G_1]]-Table3[[#This Row],[G]]</f>
        <v>-5</v>
      </c>
      <c r="I65">
        <f>HomeEdge+VLOOKUP(Table3[[#This Row],[Home]],$A$6:$B$38,2,FALSE)-VLOOKUP(Table3[[#This Row],[Visitor]],$A$6:$B$38,2,FALSE)</f>
        <v>-1.266800672430217</v>
      </c>
      <c r="J65">
        <f>(Table3[[#This Row],[HomeMargin]]-Table3[[#This Row],[HomeForecast]])^2</f>
        <v>13.936777219367478</v>
      </c>
    </row>
    <row r="66" spans="4:10" x14ac:dyDescent="0.2">
      <c r="D66" t="s">
        <v>16</v>
      </c>
      <c r="E66">
        <f>'NHL2025-26Results'!C61</f>
        <v>1</v>
      </c>
      <c r="F66" t="s">
        <v>55</v>
      </c>
      <c r="G66">
        <f>'NHL2025-26Results'!E61</f>
        <v>3</v>
      </c>
      <c r="H66">
        <f>Table3[[#This Row],[G_1]]-Table3[[#This Row],[G]]</f>
        <v>2</v>
      </c>
      <c r="I66">
        <f>HomeEdge+VLOOKUP(Table3[[#This Row],[Home]],$A$6:$B$38,2,FALSE)-VLOOKUP(Table3[[#This Row],[Visitor]],$A$6:$B$38,2,FALSE)</f>
        <v>0.92305676589381314</v>
      </c>
      <c r="J66">
        <f>(Table3[[#This Row],[HomeMargin]]-Table3[[#This Row],[HomeForecast]])^2</f>
        <v>1.1598067294870933</v>
      </c>
    </row>
    <row r="67" spans="4:10" x14ac:dyDescent="0.2">
      <c r="D67" t="s">
        <v>25</v>
      </c>
      <c r="E67">
        <f>'NHL2025-26Results'!C62</f>
        <v>4</v>
      </c>
      <c r="F67" t="s">
        <v>31</v>
      </c>
      <c r="G67">
        <f>'NHL2025-26Results'!E62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5.5688030531707622E-2</v>
      </c>
      <c r="J67">
        <f>(Table3[[#This Row],[HomeMargin]]-Table3[[#This Row],[HomeForecast]])^2</f>
        <v>9.3372293399347477</v>
      </c>
    </row>
    <row r="68" spans="4:10" x14ac:dyDescent="0.2">
      <c r="D68" t="s">
        <v>12</v>
      </c>
      <c r="E68">
        <f>'NHL2025-26Results'!C63</f>
        <v>4</v>
      </c>
      <c r="F68" t="s">
        <v>28</v>
      </c>
      <c r="G68">
        <f>'NHL2025-26Results'!E63</f>
        <v>1</v>
      </c>
      <c r="H68">
        <f>Table3[[#This Row],[G_1]]-Table3[[#This Row],[G]]</f>
        <v>-3</v>
      </c>
      <c r="I68">
        <f>HomeEdge+VLOOKUP(Table3[[#This Row],[Home]],$A$6:$B$38,2,FALSE)-VLOOKUP(Table3[[#This Row],[Visitor]],$A$6:$B$38,2,FALSE)</f>
        <v>-1.9024771388503496</v>
      </c>
      <c r="J68">
        <f>(Table3[[#This Row],[HomeMargin]]-Table3[[#This Row],[HomeForecast]])^2</f>
        <v>1.2045564307461147</v>
      </c>
    </row>
    <row r="69" spans="4:10" x14ac:dyDescent="0.2">
      <c r="D69" t="s">
        <v>38</v>
      </c>
      <c r="E69">
        <f>'NHL2025-26Results'!C64</f>
        <v>5</v>
      </c>
      <c r="F69" t="s">
        <v>39</v>
      </c>
      <c r="G69">
        <f>'NHL2025-26Results'!E64</f>
        <v>3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1.2655747971237208</v>
      </c>
      <c r="J69">
        <f>(Table3[[#This Row],[HomeMargin]]-Table3[[#This Row],[HomeForecast]])^2</f>
        <v>10.66397875560963</v>
      </c>
    </row>
    <row r="70" spans="4:10" x14ac:dyDescent="0.2">
      <c r="D70" t="s">
        <v>14</v>
      </c>
      <c r="E70">
        <f>'NHL2025-26Results'!C65</f>
        <v>4</v>
      </c>
      <c r="F70" t="s">
        <v>13</v>
      </c>
      <c r="G70">
        <f>'NHL2025-26Results'!E65</f>
        <v>2</v>
      </c>
      <c r="H70">
        <f>Table3[[#This Row],[G_1]]-Table3[[#This Row],[G]]</f>
        <v>-2</v>
      </c>
      <c r="I70">
        <f>HomeEdge+VLOOKUP(Table3[[#This Row],[Home]],$A$6:$B$38,2,FALSE)-VLOOKUP(Table3[[#This Row],[Visitor]],$A$6:$B$38,2,FALSE)</f>
        <v>-1.4792498000023385E-2</v>
      </c>
      <c r="J70">
        <f>(Table3[[#This Row],[HomeMargin]]-Table3[[#This Row],[HomeForecast]])^2</f>
        <v>3.9410488259969871</v>
      </c>
    </row>
    <row r="71" spans="4:10" x14ac:dyDescent="0.2">
      <c r="D71" t="s">
        <v>29</v>
      </c>
      <c r="E71">
        <f>'NHL2025-26Results'!C66</f>
        <v>2</v>
      </c>
      <c r="F71" t="s">
        <v>18</v>
      </c>
      <c r="G71">
        <f>'NHL2025-26Results'!E66</f>
        <v>3</v>
      </c>
      <c r="H71">
        <f>Table3[[#This Row],[G_1]]-Table3[[#This Row],[G]]</f>
        <v>1</v>
      </c>
      <c r="I71">
        <f>HomeEdge+VLOOKUP(Table3[[#This Row],[Home]],$A$6:$B$38,2,FALSE)-VLOOKUP(Table3[[#This Row],[Visitor]],$A$6:$B$38,2,FALSE)</f>
        <v>0.88573711917707254</v>
      </c>
      <c r="J71">
        <f>(Table3[[#This Row],[HomeMargin]]-Table3[[#This Row],[HomeForecast]])^2</f>
        <v>1.3056005933954524E-2</v>
      </c>
    </row>
    <row r="72" spans="4:10" x14ac:dyDescent="0.2">
      <c r="D72" t="s">
        <v>11</v>
      </c>
      <c r="E72">
        <f>'NHL2025-26Results'!C67</f>
        <v>1</v>
      </c>
      <c r="F72" t="s">
        <v>24</v>
      </c>
      <c r="G72">
        <f>'NHL2025-26Results'!E67</f>
        <v>3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0.49788019966429342</v>
      </c>
      <c r="J72">
        <f>(Table3[[#This Row],[HomeMargin]]-Table3[[#This Row],[HomeForecast]])^2</f>
        <v>2.2563638945605828</v>
      </c>
    </row>
    <row r="73" spans="4:10" x14ac:dyDescent="0.2">
      <c r="D73" t="s">
        <v>17</v>
      </c>
      <c r="E73">
        <f>'NHL2025-26Results'!C68</f>
        <v>2</v>
      </c>
      <c r="F73" t="s">
        <v>30</v>
      </c>
      <c r="G73">
        <f>'NHL2025-26Results'!E68</f>
        <v>4</v>
      </c>
      <c r="H73">
        <f>Table3[[#This Row],[G_1]]-Table3[[#This Row],[G]]</f>
        <v>2</v>
      </c>
      <c r="I73">
        <f>HomeEdge+VLOOKUP(Table3[[#This Row],[Home]],$A$6:$B$38,2,FALSE)-VLOOKUP(Table3[[#This Row],[Visitor]],$A$6:$B$38,2,FALSE)</f>
        <v>1.0140133116173331</v>
      </c>
      <c r="J73">
        <f>(Table3[[#This Row],[HomeMargin]]-Table3[[#This Row],[HomeForecast]])^2</f>
        <v>0.97216974966781833</v>
      </c>
    </row>
    <row r="74" spans="4:10" x14ac:dyDescent="0.2">
      <c r="D74" t="s">
        <v>32</v>
      </c>
      <c r="E74">
        <f>'NHL2025-26Results'!C69</f>
        <v>3</v>
      </c>
      <c r="F74" t="s">
        <v>36</v>
      </c>
      <c r="G74">
        <f>'NHL2025-26Results'!E69</f>
        <v>4</v>
      </c>
      <c r="H74">
        <f>Table3[[#This Row],[G_1]]-Table3[[#This Row],[G]]</f>
        <v>1</v>
      </c>
      <c r="I74">
        <f>HomeEdge+VLOOKUP(Table3[[#This Row],[Home]],$A$6:$B$38,2,FALSE)-VLOOKUP(Table3[[#This Row],[Visitor]],$A$6:$B$38,2,FALSE)</f>
        <v>0.27009400097751596</v>
      </c>
      <c r="J74">
        <f>(Table3[[#This Row],[HomeMargin]]-Table3[[#This Row],[HomeForecast]])^2</f>
        <v>0.53276276740901052</v>
      </c>
    </row>
    <row r="75" spans="4:10" x14ac:dyDescent="0.2">
      <c r="D75" t="s">
        <v>40</v>
      </c>
      <c r="E75">
        <f>'NHL2025-26Results'!C70</f>
        <v>5</v>
      </c>
      <c r="F75" t="s">
        <v>27</v>
      </c>
      <c r="G75">
        <f>'NHL2025-26Results'!E70</f>
        <v>2</v>
      </c>
      <c r="H75">
        <f>Table3[[#This Row],[G_1]]-Table3[[#This Row],[G]]</f>
        <v>-3</v>
      </c>
      <c r="I75">
        <f>HomeEdge+VLOOKUP(Table3[[#This Row],[Home]],$A$6:$B$38,2,FALSE)-VLOOKUP(Table3[[#This Row],[Visitor]],$A$6:$B$38,2,FALSE)</f>
        <v>-0.22424001255636558</v>
      </c>
      <c r="J75">
        <f>(Table3[[#This Row],[HomeMargin]]-Table3[[#This Row],[HomeForecast]])^2</f>
        <v>7.7048435078930844</v>
      </c>
    </row>
    <row r="76" spans="4:10" x14ac:dyDescent="0.2">
      <c r="D76" t="s">
        <v>15</v>
      </c>
      <c r="E76">
        <f>'NHL2025-26Results'!C71</f>
        <v>1</v>
      </c>
      <c r="F76" t="s">
        <v>19</v>
      </c>
      <c r="G76">
        <f>'NHL2025-26Results'!E71</f>
        <v>2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-0.29930102260847546</v>
      </c>
      <c r="J76">
        <f>(Table3[[#This Row],[HomeMargin]]-Table3[[#This Row],[HomeForecast]])^2</f>
        <v>1.6881831473514297</v>
      </c>
    </row>
    <row r="77" spans="4:10" x14ac:dyDescent="0.2">
      <c r="D77" t="s">
        <v>21</v>
      </c>
      <c r="E77">
        <f>'NHL2025-26Results'!C72</f>
        <v>5</v>
      </c>
      <c r="F77" t="s">
        <v>20</v>
      </c>
      <c r="G77">
        <f>'NHL2025-26Results'!E72</f>
        <v>6</v>
      </c>
      <c r="H77">
        <f>Table3[[#This Row],[G_1]]-Table3[[#This Row],[G]]</f>
        <v>1</v>
      </c>
      <c r="I77">
        <f>HomeEdge+VLOOKUP(Table3[[#This Row],[Home]],$A$6:$B$38,2,FALSE)-VLOOKUP(Table3[[#This Row],[Visitor]],$A$6:$B$38,2,FALSE)</f>
        <v>0.40292644518005616</v>
      </c>
      <c r="J77">
        <f>(Table3[[#This Row],[HomeMargin]]-Table3[[#This Row],[HomeForecast]])^2</f>
        <v>0.35649682986532449</v>
      </c>
    </row>
    <row r="78" spans="4:10" x14ac:dyDescent="0.2">
      <c r="D78" t="s">
        <v>38</v>
      </c>
      <c r="E78">
        <f>'NHL2025-26Results'!C73</f>
        <v>3</v>
      </c>
      <c r="F78" t="s">
        <v>10</v>
      </c>
      <c r="G78">
        <f>'NHL2025-26Results'!E73</f>
        <v>2</v>
      </c>
      <c r="H78">
        <f>Table3[[#This Row],[G_1]]-Table3[[#This Row],[G]]</f>
        <v>-1</v>
      </c>
      <c r="I78">
        <f>HomeEdge+VLOOKUP(Table3[[#This Row],[Home]],$A$6:$B$38,2,FALSE)-VLOOKUP(Table3[[#This Row],[Visitor]],$A$6:$B$38,2,FALSE)</f>
        <v>1.1085569312859067</v>
      </c>
      <c r="J78">
        <f>(Table3[[#This Row],[HomeMargin]]-Table3[[#This Row],[HomeForecast]])^2</f>
        <v>4.4460123324738401</v>
      </c>
    </row>
    <row r="79" spans="4:10" x14ac:dyDescent="0.2">
      <c r="D79" t="s">
        <v>37</v>
      </c>
      <c r="E79">
        <f>'NHL2025-26Results'!C74</f>
        <v>1</v>
      </c>
      <c r="F79" t="s">
        <v>26</v>
      </c>
      <c r="G79">
        <f>'NHL2025-26Results'!E74</f>
        <v>2</v>
      </c>
      <c r="H79">
        <f>Table3[[#This Row],[G_1]]-Table3[[#This Row],[G]]</f>
        <v>1</v>
      </c>
      <c r="I79">
        <f>HomeEdge+VLOOKUP(Table3[[#This Row],[Home]],$A$6:$B$38,2,FALSE)-VLOOKUP(Table3[[#This Row],[Visitor]],$A$6:$B$38,2,FALSE)</f>
        <v>-0.59748116643790328</v>
      </c>
      <c r="J79">
        <f>(Table3[[#This Row],[HomeMargin]]-Table3[[#This Row],[HomeForecast]])^2</f>
        <v>2.5519460771238038</v>
      </c>
    </row>
    <row r="80" spans="4:10" x14ac:dyDescent="0.2">
      <c r="D80" t="s">
        <v>33</v>
      </c>
      <c r="E80">
        <f>'NHL2025-26Results'!C75</f>
        <v>3</v>
      </c>
      <c r="F80" t="s">
        <v>55</v>
      </c>
      <c r="G80">
        <f>'NHL2025-26Results'!E75</f>
        <v>6</v>
      </c>
      <c r="H80">
        <f>Table3[[#This Row],[G_1]]-Table3[[#This Row],[G]]</f>
        <v>3</v>
      </c>
      <c r="I80">
        <f>HomeEdge+VLOOKUP(Table3[[#This Row],[Home]],$A$6:$B$38,2,FALSE)-VLOOKUP(Table3[[#This Row],[Visitor]],$A$6:$B$38,2,FALSE)</f>
        <v>0.18963669220743667</v>
      </c>
      <c r="J80">
        <f>(Table3[[#This Row],[HomeMargin]]-Table3[[#This Row],[HomeForecast]])^2</f>
        <v>7.898141921786757</v>
      </c>
    </row>
    <row r="81" spans="4:10" x14ac:dyDescent="0.2">
      <c r="D81" t="s">
        <v>34</v>
      </c>
      <c r="E81">
        <f>'NHL2025-26Results'!C76</f>
        <v>1</v>
      </c>
      <c r="F81" t="s">
        <v>22</v>
      </c>
      <c r="G81">
        <f>'NHL2025-26Results'!E76</f>
        <v>5</v>
      </c>
      <c r="H81">
        <f>Table3[[#This Row],[G_1]]-Table3[[#This Row],[G]]</f>
        <v>4</v>
      </c>
      <c r="I81">
        <f>HomeEdge+VLOOKUP(Table3[[#This Row],[Home]],$A$6:$B$38,2,FALSE)-VLOOKUP(Table3[[#This Row],[Visitor]],$A$6:$B$38,2,FALSE)</f>
        <v>0.36594385988824141</v>
      </c>
      <c r="J81">
        <f>(Table3[[#This Row],[HomeMargin]]-Table3[[#This Row],[HomeForecast]])^2</f>
        <v>13.206364029483975</v>
      </c>
    </row>
    <row r="82" spans="4:10" x14ac:dyDescent="0.2">
      <c r="D82" t="s">
        <v>11</v>
      </c>
      <c r="E82">
        <f>'NHL2025-26Results'!C77</f>
        <v>0</v>
      </c>
      <c r="F82" t="s">
        <v>23</v>
      </c>
      <c r="G82">
        <f>'NHL2025-26Results'!E77</f>
        <v>3</v>
      </c>
      <c r="H82">
        <f>Table3[[#This Row],[G_1]]-Table3[[#This Row],[G]]</f>
        <v>3</v>
      </c>
      <c r="I82">
        <f>HomeEdge+VLOOKUP(Table3[[#This Row],[Home]],$A$6:$B$38,2,FALSE)-VLOOKUP(Table3[[#This Row],[Visitor]],$A$6:$B$38,2,FALSE)</f>
        <v>5.6206441494088821E-4</v>
      </c>
      <c r="J82">
        <f>(Table3[[#This Row],[HomeMargin]]-Table3[[#This Row],[HomeForecast]])^2</f>
        <v>8.9966279294267615</v>
      </c>
    </row>
    <row r="83" spans="4:10" x14ac:dyDescent="0.2">
      <c r="D83" t="s">
        <v>37</v>
      </c>
      <c r="E83">
        <f>'NHL2025-26Results'!C78</f>
        <v>2</v>
      </c>
      <c r="F83" t="s">
        <v>28</v>
      </c>
      <c r="G83">
        <f>'NHL2025-26Results'!E78</f>
        <v>3</v>
      </c>
      <c r="H83">
        <f>Table3[[#This Row],[G_1]]-Table3[[#This Row],[G]]</f>
        <v>1</v>
      </c>
      <c r="I83">
        <f>HomeEdge+VLOOKUP(Table3[[#This Row],[Home]],$A$6:$B$38,2,FALSE)-VLOOKUP(Table3[[#This Row],[Visitor]],$A$6:$B$38,2,FALSE)</f>
        <v>-0.52830998909668381</v>
      </c>
      <c r="J83">
        <f>(Table3[[#This Row],[HomeMargin]]-Table3[[#This Row],[HomeForecast]])^2</f>
        <v>2.3357314227727057</v>
      </c>
    </row>
    <row r="84" spans="4:10" x14ac:dyDescent="0.2">
      <c r="D84" t="s">
        <v>21</v>
      </c>
      <c r="E84">
        <f>'NHL2025-26Results'!C79</f>
        <v>1</v>
      </c>
      <c r="F84" t="s">
        <v>12</v>
      </c>
      <c r="G84">
        <f>'NHL2025-26Results'!E79</f>
        <v>4</v>
      </c>
      <c r="H84">
        <f>Table3[[#This Row],[G_1]]-Table3[[#This Row],[G]]</f>
        <v>3</v>
      </c>
      <c r="I84">
        <f>HomeEdge+VLOOKUP(Table3[[#This Row],[Home]],$A$6:$B$38,2,FALSE)-VLOOKUP(Table3[[#This Row],[Visitor]],$A$6:$B$38,2,FALSE)</f>
        <v>1.7280272305524358</v>
      </c>
      <c r="J84">
        <f>(Table3[[#This Row],[HomeMargin]]-Table3[[#This Row],[HomeForecast]])^2</f>
        <v>1.6179147262161064</v>
      </c>
    </row>
    <row r="85" spans="4:10" x14ac:dyDescent="0.2">
      <c r="D85" t="s">
        <v>25</v>
      </c>
      <c r="E85">
        <f>'NHL2025-26Results'!C80</f>
        <v>4</v>
      </c>
      <c r="F85" t="s">
        <v>13</v>
      </c>
      <c r="G85">
        <f>'NHL2025-26Results'!E80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-0.64894998816293248</v>
      </c>
      <c r="J85">
        <f>(Table3[[#This Row],[HomeMargin]]-Table3[[#This Row],[HomeForecast]])^2</f>
        <v>0.12323611081080525</v>
      </c>
    </row>
    <row r="86" spans="4:10" x14ac:dyDescent="0.2">
      <c r="D86" t="s">
        <v>15</v>
      </c>
      <c r="E86">
        <f>'NHL2025-26Results'!C81</f>
        <v>4</v>
      </c>
      <c r="F86" t="s">
        <v>18</v>
      </c>
      <c r="G86">
        <f>'NHL2025-26Results'!E81</f>
        <v>3</v>
      </c>
      <c r="H86">
        <f>Table3[[#This Row],[G_1]]-Table3[[#This Row],[G]]</f>
        <v>-1</v>
      </c>
      <c r="I86">
        <f>HomeEdge+VLOOKUP(Table3[[#This Row],[Home]],$A$6:$B$38,2,FALSE)-VLOOKUP(Table3[[#This Row],[Visitor]],$A$6:$B$38,2,FALSE)</f>
        <v>-0.11163927146554342</v>
      </c>
      <c r="J86">
        <f>(Table3[[#This Row],[HomeMargin]]-Table3[[#This Row],[HomeForecast]])^2</f>
        <v>0.78918478400227043</v>
      </c>
    </row>
    <row r="87" spans="4:10" x14ac:dyDescent="0.2">
      <c r="D87" t="s">
        <v>17</v>
      </c>
      <c r="E87">
        <f>'NHL2025-26Results'!C82</f>
        <v>3</v>
      </c>
      <c r="F87" t="s">
        <v>24</v>
      </c>
      <c r="G87">
        <f>'NHL2025-26Results'!E82</f>
        <v>5</v>
      </c>
      <c r="H87">
        <f>Table3[[#This Row],[G_1]]-Table3[[#This Row],[G]]</f>
        <v>2</v>
      </c>
      <c r="I87">
        <f>HomeEdge+VLOOKUP(Table3[[#This Row],[Home]],$A$6:$B$38,2,FALSE)-VLOOKUP(Table3[[#This Row],[Visitor]],$A$6:$B$38,2,FALSE)</f>
        <v>0.99214225410942536</v>
      </c>
      <c r="J87">
        <f>(Table3[[#This Row],[HomeMargin]]-Table3[[#This Row],[HomeForecast]])^2</f>
        <v>1.0157772359516302</v>
      </c>
    </row>
    <row r="88" spans="4:10" x14ac:dyDescent="0.2">
      <c r="D88" t="s">
        <v>30</v>
      </c>
      <c r="E88">
        <f>'NHL2025-26Results'!C83</f>
        <v>5</v>
      </c>
      <c r="F88" t="s">
        <v>36</v>
      </c>
      <c r="G88">
        <f>'NHL2025-26Results'!E83</f>
        <v>4</v>
      </c>
      <c r="H88">
        <f>Table3[[#This Row],[G_1]]-Table3[[#This Row],[G]]</f>
        <v>-1</v>
      </c>
      <c r="I88">
        <f>HomeEdge+VLOOKUP(Table3[[#This Row],[Home]],$A$6:$B$38,2,FALSE)-VLOOKUP(Table3[[#This Row],[Visitor]],$A$6:$B$38,2,FALSE)</f>
        <v>-0.18381470417902404</v>
      </c>
      <c r="J88">
        <f>(Table3[[#This Row],[HomeMargin]]-Table3[[#This Row],[HomeForecast]])^2</f>
        <v>0.66615843711437406</v>
      </c>
    </row>
    <row r="89" spans="4:10" x14ac:dyDescent="0.2">
      <c r="D89" t="s">
        <v>34</v>
      </c>
      <c r="E89">
        <f>'NHL2025-26Results'!C84</f>
        <v>1</v>
      </c>
      <c r="F89" t="s">
        <v>27</v>
      </c>
      <c r="G89">
        <f>'NHL2025-26Results'!E84</f>
        <v>2</v>
      </c>
      <c r="H89">
        <f>Table3[[#This Row],[G_1]]-Table3[[#This Row],[G]]</f>
        <v>1</v>
      </c>
      <c r="I89">
        <f>HomeEdge+VLOOKUP(Table3[[#This Row],[Home]],$A$6:$B$38,2,FALSE)-VLOOKUP(Table3[[#This Row],[Visitor]],$A$6:$B$38,2,FALSE)</f>
        <v>-0.12089882270028604</v>
      </c>
      <c r="J89">
        <f>(Table3[[#This Row],[HomeMargin]]-Table3[[#This Row],[HomeForecast]])^2</f>
        <v>1.2564141707308873</v>
      </c>
    </row>
    <row r="90" spans="4:10" x14ac:dyDescent="0.2">
      <c r="D90" t="s">
        <v>14</v>
      </c>
      <c r="E90">
        <f>'NHL2025-26Results'!C85</f>
        <v>3</v>
      </c>
      <c r="F90" t="s">
        <v>33</v>
      </c>
      <c r="G90">
        <f>'NHL2025-26Results'!E85</f>
        <v>0</v>
      </c>
      <c r="H90">
        <f>Table3[[#This Row],[G_1]]-Table3[[#This Row],[G]]</f>
        <v>-3</v>
      </c>
      <c r="I90">
        <f>HomeEdge+VLOOKUP(Table3[[#This Row],[Home]],$A$6:$B$38,2,FALSE)-VLOOKUP(Table3[[#This Row],[Visitor]],$A$6:$B$38,2,FALSE)</f>
        <v>-1.5234681983130188E-2</v>
      </c>
      <c r="J90">
        <f>(Table3[[#This Row],[HomeMargin]]-Table3[[#This Row],[HomeForecast]])^2</f>
        <v>8.9088240036363455</v>
      </c>
    </row>
    <row r="91" spans="4:10" x14ac:dyDescent="0.2">
      <c r="D91" t="s">
        <v>39</v>
      </c>
      <c r="E91">
        <f>'NHL2025-26Results'!C86</f>
        <v>1</v>
      </c>
      <c r="F91" t="s">
        <v>35</v>
      </c>
      <c r="G91">
        <f>'NHL2025-26Results'!E86</f>
        <v>3</v>
      </c>
      <c r="H91">
        <f>Table3[[#This Row],[G_1]]-Table3[[#This Row],[G]]</f>
        <v>2</v>
      </c>
      <c r="I91">
        <f>HomeEdge+VLOOKUP(Table3[[#This Row],[Home]],$A$6:$B$38,2,FALSE)-VLOOKUP(Table3[[#This Row],[Visitor]],$A$6:$B$38,2,FALSE)</f>
        <v>-1.4238185382680311</v>
      </c>
      <c r="J91">
        <f>(Table3[[#This Row],[HomeMargin]]-Table3[[#This Row],[HomeForecast]])^2</f>
        <v>11.722533382987836</v>
      </c>
    </row>
    <row r="92" spans="4:10" x14ac:dyDescent="0.2">
      <c r="D92" t="s">
        <v>32</v>
      </c>
      <c r="E92">
        <f>'NHL2025-26Results'!C87</f>
        <v>4</v>
      </c>
      <c r="F92" t="s">
        <v>19</v>
      </c>
      <c r="G92">
        <f>'NHL2025-26Results'!E87</f>
        <v>3</v>
      </c>
      <c r="H92">
        <f>Table3[[#This Row],[G_1]]-Table3[[#This Row],[G]]</f>
        <v>-1</v>
      </c>
      <c r="I92">
        <f>HomeEdge+VLOOKUP(Table3[[#This Row],[Home]],$A$6:$B$38,2,FALSE)-VLOOKUP(Table3[[#This Row],[Visitor]],$A$6:$B$38,2,FALSE)</f>
        <v>-0.34758949160465552</v>
      </c>
      <c r="J92">
        <f>(Table3[[#This Row],[HomeMargin]]-Table3[[#This Row],[HomeForecast]])^2</f>
        <v>0.42563947146467179</v>
      </c>
    </row>
    <row r="93" spans="4:10" x14ac:dyDescent="0.2">
      <c r="D93" t="s">
        <v>16</v>
      </c>
      <c r="E93">
        <f>'NHL2025-26Results'!C88</f>
        <v>1</v>
      </c>
      <c r="F93" t="s">
        <v>20</v>
      </c>
      <c r="G93">
        <f>'NHL2025-26Results'!E88</f>
        <v>6</v>
      </c>
      <c r="H93">
        <f>Table3[[#This Row],[G_1]]-Table3[[#This Row],[G]]</f>
        <v>5</v>
      </c>
      <c r="I93">
        <f>HomeEdge+VLOOKUP(Table3[[#This Row],[Home]],$A$6:$B$38,2,FALSE)-VLOOKUP(Table3[[#This Row],[Visitor]],$A$6:$B$38,2,FALSE)</f>
        <v>1.353481017780416</v>
      </c>
      <c r="J93">
        <f>(Table3[[#This Row],[HomeMargin]]-Table3[[#This Row],[HomeForecast]])^2</f>
        <v>13.297100687687752</v>
      </c>
    </row>
    <row r="94" spans="4:10" x14ac:dyDescent="0.2">
      <c r="D94" t="s">
        <v>29</v>
      </c>
      <c r="E94">
        <f>'NHL2025-26Results'!C89</f>
        <v>1</v>
      </c>
      <c r="F94" t="s">
        <v>40</v>
      </c>
      <c r="G94">
        <f>'NHL2025-26Results'!E89</f>
        <v>4</v>
      </c>
      <c r="H94">
        <f>Table3[[#This Row],[G_1]]-Table3[[#This Row],[G]]</f>
        <v>3</v>
      </c>
      <c r="I94">
        <f>HomeEdge+VLOOKUP(Table3[[#This Row],[Home]],$A$6:$B$38,2,FALSE)-VLOOKUP(Table3[[#This Row],[Visitor]],$A$6:$B$38,2,FALSE)</f>
        <v>1.5730306205214477</v>
      </c>
      <c r="J94">
        <f>(Table3[[#This Row],[HomeMargin]]-Table3[[#This Row],[HomeForecast]])^2</f>
        <v>2.0362416099694047</v>
      </c>
    </row>
    <row r="95" spans="4:10" x14ac:dyDescent="0.2">
      <c r="D95" t="s">
        <v>31</v>
      </c>
      <c r="E95">
        <f>'NHL2025-26Results'!C90</f>
        <v>1</v>
      </c>
      <c r="F95" t="s">
        <v>10</v>
      </c>
      <c r="G95">
        <f>'NHL2025-26Results'!E90</f>
        <v>2</v>
      </c>
      <c r="H95">
        <f>Table3[[#This Row],[G_1]]-Table3[[#This Row],[G]]</f>
        <v>1</v>
      </c>
      <c r="I95">
        <f>HomeEdge+VLOOKUP(Table3[[#This Row],[Home]],$A$6:$B$38,2,FALSE)-VLOOKUP(Table3[[#This Row],[Visitor]],$A$6:$B$38,2,FALSE)</f>
        <v>-0.35838805442622546</v>
      </c>
      <c r="J95">
        <f>(Table3[[#This Row],[HomeMargin]]-Table3[[#This Row],[HomeForecast]])^2</f>
        <v>1.8452181064078661</v>
      </c>
    </row>
    <row r="96" spans="4:10" x14ac:dyDescent="0.2">
      <c r="D96" t="s">
        <v>17</v>
      </c>
      <c r="E96">
        <f>'NHL2025-26Results'!C91</f>
        <v>2</v>
      </c>
      <c r="F96" t="s">
        <v>26</v>
      </c>
      <c r="G96">
        <f>'NHL2025-26Results'!E91</f>
        <v>4</v>
      </c>
      <c r="H96">
        <f>Table3[[#This Row],[G_1]]-Table3[[#This Row],[G]]</f>
        <v>2</v>
      </c>
      <c r="I96">
        <f>HomeEdge+VLOOKUP(Table3[[#This Row],[Home]],$A$6:$B$38,2,FALSE)-VLOOKUP(Table3[[#This Row],[Visitor]],$A$6:$B$38,2,FALSE)</f>
        <v>0.34681766177490081</v>
      </c>
      <c r="J96">
        <f>(Table3[[#This Row],[HomeMargin]]-Table3[[#This Row],[HomeForecast]])^2</f>
        <v>2.7330118434194062</v>
      </c>
    </row>
    <row r="97" spans="4:10" x14ac:dyDescent="0.2">
      <c r="D97" t="s">
        <v>21</v>
      </c>
      <c r="E97">
        <f>'NHL2025-26Results'!C92</f>
        <v>2</v>
      </c>
      <c r="F97" t="s">
        <v>55</v>
      </c>
      <c r="G97">
        <f>'NHL2025-26Results'!E92</f>
        <v>3</v>
      </c>
      <c r="H97">
        <f>Table3[[#This Row],[G_1]]-Table3[[#This Row],[G]]</f>
        <v>1</v>
      </c>
      <c r="I97">
        <f>HomeEdge+VLOOKUP(Table3[[#This Row],[Home]],$A$6:$B$38,2,FALSE)-VLOOKUP(Table3[[#This Row],[Visitor]],$A$6:$B$38,2,FALSE)</f>
        <v>-2.749780670654664E-2</v>
      </c>
      <c r="J97">
        <f>(Table3[[#This Row],[HomeMargin]]-Table3[[#This Row],[HomeForecast]])^2</f>
        <v>1.0557517427867638</v>
      </c>
    </row>
    <row r="98" spans="4:10" x14ac:dyDescent="0.2">
      <c r="D98" t="s">
        <v>38</v>
      </c>
      <c r="E98">
        <f>'NHL2025-26Results'!C93</f>
        <v>4</v>
      </c>
      <c r="F98" t="s">
        <v>22</v>
      </c>
      <c r="G98">
        <f>'NHL2025-26Results'!E93</f>
        <v>3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1.3260034049926919</v>
      </c>
      <c r="J98">
        <f>(Table3[[#This Row],[HomeMargin]]-Table3[[#This Row],[HomeForecast]])^2</f>
        <v>5.4102918400375968</v>
      </c>
    </row>
    <row r="99" spans="4:10" x14ac:dyDescent="0.2">
      <c r="D99" t="s">
        <v>40</v>
      </c>
      <c r="E99">
        <f>'NHL2025-26Results'!C94</f>
        <v>2</v>
      </c>
      <c r="F99" t="s">
        <v>16</v>
      </c>
      <c r="G99">
        <f>'NHL2025-26Results'!E94</f>
        <v>1</v>
      </c>
      <c r="H99">
        <f>Table3[[#This Row],[G_1]]-Table3[[#This Row],[G]]</f>
        <v>-1</v>
      </c>
      <c r="I99">
        <f>HomeEdge+VLOOKUP(Table3[[#This Row],[Home]],$A$6:$B$38,2,FALSE)-VLOOKUP(Table3[[#This Row],[Visitor]],$A$6:$B$38,2,FALSE)</f>
        <v>-0.89741263664010473</v>
      </c>
      <c r="J99">
        <f>(Table3[[#This Row],[HomeMargin]]-Table3[[#This Row],[HomeForecast]])^2</f>
        <v>1.0524167121135183E-2</v>
      </c>
    </row>
    <row r="100" spans="4:10" x14ac:dyDescent="0.2">
      <c r="D100" t="s">
        <v>23</v>
      </c>
      <c r="E100">
        <f>'NHL2025-26Results'!C95</f>
        <v>2</v>
      </c>
      <c r="F100" t="s">
        <v>18</v>
      </c>
      <c r="G100">
        <f>'NHL2025-26Results'!E95</f>
        <v>4</v>
      </c>
      <c r="H100">
        <f>Table3[[#This Row],[G_1]]-Table3[[#This Row],[G]]</f>
        <v>2</v>
      </c>
      <c r="I100">
        <f>HomeEdge+VLOOKUP(Table3[[#This Row],[Home]],$A$6:$B$38,2,FALSE)-VLOOKUP(Table3[[#This Row],[Visitor]],$A$6:$B$38,2,FALSE)</f>
        <v>-9.4647252861003284E-2</v>
      </c>
      <c r="J100">
        <f>(Table3[[#This Row],[HomeMargin]]-Table3[[#This Row],[HomeForecast]])^2</f>
        <v>4.3875471139181483</v>
      </c>
    </row>
    <row r="101" spans="4:10" x14ac:dyDescent="0.2">
      <c r="D101" t="s">
        <v>34</v>
      </c>
      <c r="E101">
        <f>'NHL2025-26Results'!C96</f>
        <v>3</v>
      </c>
      <c r="F101" t="s">
        <v>15</v>
      </c>
      <c r="G101">
        <f>'NHL2025-26Results'!E96</f>
        <v>1</v>
      </c>
      <c r="H101">
        <f>Table3[[#This Row],[G_1]]-Table3[[#This Row],[G]]</f>
        <v>-2</v>
      </c>
      <c r="I101">
        <f>HomeEdge+VLOOKUP(Table3[[#This Row],[Home]],$A$6:$B$38,2,FALSE)-VLOOKUP(Table3[[#This Row],[Visitor]],$A$6:$B$38,2,FALSE)</f>
        <v>-0.19722626207791946</v>
      </c>
      <c r="J101">
        <f>(Table3[[#This Row],[HomeMargin]]-Table3[[#This Row],[HomeForecast]])^2</f>
        <v>3.2499931501415502</v>
      </c>
    </row>
    <row r="102" spans="4:10" x14ac:dyDescent="0.2">
      <c r="D102" t="s">
        <v>32</v>
      </c>
      <c r="E102">
        <f>'NHL2025-26Results'!C97</f>
        <v>2</v>
      </c>
      <c r="F102" t="s">
        <v>27</v>
      </c>
      <c r="G102">
        <f>'NHL2025-26Results'!E97</f>
        <v>5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0.16558235935386972</v>
      </c>
      <c r="J102">
        <f>(Table3[[#This Row],[HomeMargin]]-Table3[[#This Row],[HomeForecast]])^2</f>
        <v>8.0339233616059751</v>
      </c>
    </row>
    <row r="103" spans="4:10" x14ac:dyDescent="0.2">
      <c r="D103" t="s">
        <v>25</v>
      </c>
      <c r="E103">
        <f>'NHL2025-26Results'!C98</f>
        <v>1</v>
      </c>
      <c r="F103" t="s">
        <v>20</v>
      </c>
      <c r="G103">
        <f>'NHL2025-26Results'!E98</f>
        <v>4</v>
      </c>
      <c r="H103">
        <f>Table3[[#This Row],[G_1]]-Table3[[#This Row],[G]]</f>
        <v>3</v>
      </c>
      <c r="I103">
        <f>HomeEdge+VLOOKUP(Table3[[#This Row],[Home]],$A$6:$B$38,2,FALSE)-VLOOKUP(Table3[[#This Row],[Visitor]],$A$6:$B$38,2,FALSE)</f>
        <v>-0.16687461702441619</v>
      </c>
      <c r="J103">
        <f>(Table3[[#This Row],[HomeMargin]]-Table3[[#This Row],[HomeForecast]])^2</f>
        <v>10.029094839953544</v>
      </c>
    </row>
    <row r="104" spans="4:10" x14ac:dyDescent="0.2">
      <c r="D104" t="s">
        <v>11</v>
      </c>
      <c r="E104">
        <f>'NHL2025-26Results'!C99</f>
        <v>4</v>
      </c>
      <c r="F104" t="s">
        <v>21</v>
      </c>
      <c r="G104">
        <f>'NHL2025-26Results'!E99</f>
        <v>3</v>
      </c>
      <c r="H104">
        <f>Table3[[#This Row],[G_1]]-Table3[[#This Row],[G]]</f>
        <v>-1</v>
      </c>
      <c r="I104">
        <f>HomeEdge+VLOOKUP(Table3[[#This Row],[Home]],$A$6:$B$38,2,FALSE)-VLOOKUP(Table3[[#This Row],[Visitor]],$A$6:$B$38,2,FALSE)</f>
        <v>0.37126347091373513</v>
      </c>
      <c r="J104">
        <f>(Table3[[#This Row],[HomeMargin]]-Table3[[#This Row],[HomeForecast]])^2</f>
        <v>1.8803635066623838</v>
      </c>
    </row>
    <row r="105" spans="4:10" x14ac:dyDescent="0.2">
      <c r="D105" t="s">
        <v>28</v>
      </c>
      <c r="E105">
        <f>'NHL2025-26Results'!C100</f>
        <v>5</v>
      </c>
      <c r="F105" t="s">
        <v>39</v>
      </c>
      <c r="G105">
        <f>'NHL2025-26Results'!E100</f>
        <v>1</v>
      </c>
      <c r="H105">
        <f>Table3[[#This Row],[G_1]]-Table3[[#This Row],[G]]</f>
        <v>-4</v>
      </c>
      <c r="I105">
        <f>HomeEdge+VLOOKUP(Table3[[#This Row],[Home]],$A$6:$B$38,2,FALSE)-VLOOKUP(Table3[[#This Row],[Visitor]],$A$6:$B$38,2,FALSE)</f>
        <v>0.73611220141809897</v>
      </c>
      <c r="J105">
        <f>(Table3[[#This Row],[HomeMargin]]-Table3[[#This Row],[HomeForecast]])^2</f>
        <v>22.430758784421389</v>
      </c>
    </row>
    <row r="106" spans="4:10" x14ac:dyDescent="0.2">
      <c r="D106" t="s">
        <v>31</v>
      </c>
      <c r="E106">
        <f>'NHL2025-26Results'!C101</f>
        <v>5</v>
      </c>
      <c r="F106" t="s">
        <v>29</v>
      </c>
      <c r="G106">
        <f>'NHL2025-26Results'!E101</f>
        <v>2</v>
      </c>
      <c r="H106">
        <f>Table3[[#This Row],[G_1]]-Table3[[#This Row],[G]]</f>
        <v>-3</v>
      </c>
      <c r="I106">
        <f>HomeEdge+VLOOKUP(Table3[[#This Row],[Home]],$A$6:$B$38,2,FALSE)-VLOOKUP(Table3[[#This Row],[Visitor]],$A$6:$B$38,2,FALSE)</f>
        <v>-1.701488093328217</v>
      </c>
      <c r="J106">
        <f>(Table3[[#This Row],[HomeMargin]]-Table3[[#This Row],[HomeForecast]])^2</f>
        <v>1.6861331717683892</v>
      </c>
    </row>
    <row r="107" spans="4:10" x14ac:dyDescent="0.2">
      <c r="D107" t="s">
        <v>33</v>
      </c>
      <c r="E107">
        <f>'NHL2025-26Results'!C102</f>
        <v>3</v>
      </c>
      <c r="F107" t="s">
        <v>30</v>
      </c>
      <c r="G107">
        <f>'NHL2025-26Results'!E102</f>
        <v>4</v>
      </c>
      <c r="H107">
        <f>Table3[[#This Row],[G_1]]-Table3[[#This Row],[G]]</f>
        <v>1</v>
      </c>
      <c r="I107">
        <f>HomeEdge+VLOOKUP(Table3[[#This Row],[Home]],$A$6:$B$38,2,FALSE)-VLOOKUP(Table3[[#This Row],[Visitor]],$A$6:$B$38,2,FALSE)</f>
        <v>0.50316567414486568</v>
      </c>
      <c r="J107">
        <f>(Table3[[#This Row],[HomeMargin]]-Table3[[#This Row],[HomeForecast]])^2</f>
        <v>0.24684434734792579</v>
      </c>
    </row>
    <row r="108" spans="4:10" x14ac:dyDescent="0.2">
      <c r="D108" t="s">
        <v>17</v>
      </c>
      <c r="E108">
        <f>'NHL2025-26Results'!C103</f>
        <v>3</v>
      </c>
      <c r="F108" t="s">
        <v>36</v>
      </c>
      <c r="G108">
        <f>'NHL2025-26Results'!E103</f>
        <v>2</v>
      </c>
      <c r="H108">
        <f>Table3[[#This Row],[G_1]]-Table3[[#This Row],[G]]</f>
        <v>-1</v>
      </c>
      <c r="I108">
        <f>HomeEdge+VLOOKUP(Table3[[#This Row],[Home]],$A$6:$B$38,2,FALSE)-VLOOKUP(Table3[[#This Row],[Visitor]],$A$6:$B$38,2,FALSE)</f>
        <v>0.69265521846589262</v>
      </c>
      <c r="J108">
        <f>(Table3[[#This Row],[HomeMargin]]-Table3[[#This Row],[HomeForecast]])^2</f>
        <v>2.8650816885998189</v>
      </c>
    </row>
    <row r="109" spans="4:10" x14ac:dyDescent="0.2">
      <c r="D109" t="s">
        <v>38</v>
      </c>
      <c r="E109">
        <f>'NHL2025-26Results'!C104</f>
        <v>1</v>
      </c>
      <c r="F109" t="s">
        <v>14</v>
      </c>
      <c r="G109">
        <f>'NHL2025-26Results'!E104</f>
        <v>5</v>
      </c>
      <c r="H109">
        <f>Table3[[#This Row],[G_1]]-Table3[[#This Row],[G]]</f>
        <v>4</v>
      </c>
      <c r="I109">
        <f>HomeEdge+VLOOKUP(Table3[[#This Row],[Home]],$A$6:$B$38,2,FALSE)-VLOOKUP(Table3[[#This Row],[Visitor]],$A$6:$B$38,2,FALSE)</f>
        <v>1.0521862429623483</v>
      </c>
      <c r="J109">
        <f>(Table3[[#This Row],[HomeMargin]]-Table3[[#This Row],[HomeForecast]])^2</f>
        <v>8.6896059461804356</v>
      </c>
    </row>
    <row r="110" spans="4:10" x14ac:dyDescent="0.2">
      <c r="D110" t="s">
        <v>13</v>
      </c>
      <c r="E110">
        <f>'NHL2025-26Results'!C105</f>
        <v>2</v>
      </c>
      <c r="F110" t="s">
        <v>35</v>
      </c>
      <c r="G110">
        <f>'NHL2025-26Results'!E105</f>
        <v>1</v>
      </c>
      <c r="H110">
        <f>Table3[[#This Row],[G_1]]-Table3[[#This Row],[G]]</f>
        <v>-1</v>
      </c>
      <c r="I110">
        <f>HomeEdge+VLOOKUP(Table3[[#This Row],[Home]],$A$6:$B$38,2,FALSE)-VLOOKUP(Table3[[#This Row],[Visitor]],$A$6:$B$38,2,FALSE)</f>
        <v>-1.0580940971342188</v>
      </c>
      <c r="J110">
        <f>(Table3[[#This Row],[HomeMargin]]-Table3[[#This Row],[HomeForecast]])^2</f>
        <v>3.3749241218400442E-3</v>
      </c>
    </row>
    <row r="111" spans="4:10" x14ac:dyDescent="0.2">
      <c r="D111" t="s">
        <v>24</v>
      </c>
      <c r="E111">
        <f>'NHL2025-26Results'!C106</f>
        <v>5</v>
      </c>
      <c r="F111" t="s">
        <v>19</v>
      </c>
      <c r="G111">
        <f>'NHL2025-26Results'!E106</f>
        <v>2</v>
      </c>
      <c r="H111">
        <f>Table3[[#This Row],[G_1]]-Table3[[#This Row],[G]]</f>
        <v>-3</v>
      </c>
      <c r="I111">
        <f>HomeEdge+VLOOKUP(Table3[[#This Row],[Home]],$A$6:$B$38,2,FALSE)-VLOOKUP(Table3[[#This Row],[Visitor]],$A$6:$B$38,2,FALSE)</f>
        <v>-0.77962713925328786</v>
      </c>
      <c r="J111">
        <f>(Table3[[#This Row],[HomeMargin]]-Table3[[#This Row],[HomeForecast]])^2</f>
        <v>4.9300556407405391</v>
      </c>
    </row>
    <row r="112" spans="4:10" x14ac:dyDescent="0.2">
      <c r="D112" t="s">
        <v>12</v>
      </c>
      <c r="E112">
        <f>'NHL2025-26Results'!C107</f>
        <v>3</v>
      </c>
      <c r="F112" t="s">
        <v>55</v>
      </c>
      <c r="G112">
        <f>'NHL2025-26Results'!E107</f>
        <v>4</v>
      </c>
      <c r="H112">
        <f>Table3[[#This Row],[G_1]]-Table3[[#This Row],[G]]</f>
        <v>1</v>
      </c>
      <c r="I112">
        <f>HomeEdge+VLOOKUP(Table3[[#This Row],[Home]],$A$6:$B$38,2,FALSE)-VLOOKUP(Table3[[#This Row],[Visitor]],$A$6:$B$38,2,FALSE)</f>
        <v>-1.6179816482865659</v>
      </c>
      <c r="J112">
        <f>(Table3[[#This Row],[HomeMargin]]-Table3[[#This Row],[HomeForecast]])^2</f>
        <v>6.8538279107652453</v>
      </c>
    </row>
    <row r="113" spans="4:10" x14ac:dyDescent="0.2">
      <c r="D113" t="s">
        <v>32</v>
      </c>
      <c r="E113">
        <f>'NHL2025-26Results'!C108</f>
        <v>1</v>
      </c>
      <c r="F113" t="s">
        <v>22</v>
      </c>
      <c r="G113">
        <f>'NHL2025-26Results'!E108</f>
        <v>4</v>
      </c>
      <c r="H113">
        <f>Table3[[#This Row],[G_1]]-Table3[[#This Row],[G]]</f>
        <v>3</v>
      </c>
      <c r="I113">
        <f>HomeEdge+VLOOKUP(Table3[[#This Row],[Home]],$A$6:$B$38,2,FALSE)-VLOOKUP(Table3[[#This Row],[Visitor]],$A$6:$B$38,2,FALSE)</f>
        <v>0.65242504194239714</v>
      </c>
      <c r="J113">
        <f>(Table3[[#This Row],[HomeMargin]]-Table3[[#This Row],[HomeForecast]])^2</f>
        <v>5.5111081836991556</v>
      </c>
    </row>
    <row r="114" spans="4:10" x14ac:dyDescent="0.2">
      <c r="D114" t="s">
        <v>26</v>
      </c>
      <c r="E114">
        <f>'NHL2025-26Results'!C109</f>
        <v>2</v>
      </c>
      <c r="F114" t="s">
        <v>23</v>
      </c>
      <c r="G114">
        <f>'NHL2025-26Results'!E109</f>
        <v>4</v>
      </c>
      <c r="H114">
        <f>Table3[[#This Row],[G_1]]-Table3[[#This Row],[G]]</f>
        <v>2</v>
      </c>
      <c r="I114">
        <f>HomeEdge+VLOOKUP(Table3[[#This Row],[Home]],$A$6:$B$38,2,FALSE)-VLOOKUP(Table3[[#This Row],[Visitor]],$A$6:$B$38,2,FALSE)</f>
        <v>0.28554984605758837</v>
      </c>
      <c r="J114">
        <f>(Table3[[#This Row],[HomeMargin]]-Table3[[#This Row],[HomeForecast]])^2</f>
        <v>2.9393393303531585</v>
      </c>
    </row>
    <row r="115" spans="4:10" x14ac:dyDescent="0.2">
      <c r="D115" t="s">
        <v>18</v>
      </c>
      <c r="E115">
        <f>'NHL2025-26Results'!C110</f>
        <v>2</v>
      </c>
      <c r="F115" t="s">
        <v>16</v>
      </c>
      <c r="G115">
        <f>'NHL2025-26Results'!E110</f>
        <v>1</v>
      </c>
      <c r="H115">
        <f>Table3[[#This Row],[G_1]]-Table3[[#This Row],[G]]</f>
        <v>-1</v>
      </c>
      <c r="I115">
        <f>HomeEdge+VLOOKUP(Table3[[#This Row],[Home]],$A$6:$B$38,2,FALSE)-VLOOKUP(Table3[[#This Row],[Visitor]],$A$6:$B$38,2,FALSE)</f>
        <v>-0.21011913529572956</v>
      </c>
      <c r="J115">
        <f>(Table3[[#This Row],[HomeMargin]]-Table3[[#This Row],[HomeForecast]])^2</f>
        <v>0.62391178042596596</v>
      </c>
    </row>
    <row r="116" spans="4:10" x14ac:dyDescent="0.2">
      <c r="D116" t="s">
        <v>34</v>
      </c>
      <c r="E116">
        <f>'NHL2025-26Results'!C111</f>
        <v>1</v>
      </c>
      <c r="F116" t="s">
        <v>24</v>
      </c>
      <c r="G116">
        <f>'NHL2025-26Results'!E111</f>
        <v>4</v>
      </c>
      <c r="H116">
        <f>Table3[[#This Row],[G_1]]-Table3[[#This Row],[G]]</f>
        <v>3</v>
      </c>
      <c r="I116">
        <f>HomeEdge+VLOOKUP(Table3[[#This Row],[Home]],$A$6:$B$38,2,FALSE)-VLOOKUP(Table3[[#This Row],[Visitor]],$A$6:$B$38,2,FALSE)</f>
        <v>0.28309985456689296</v>
      </c>
      <c r="J116">
        <f>(Table3[[#This Row],[HomeMargin]]-Table3[[#This Row],[HomeForecast]])^2</f>
        <v>7.3815464002544386</v>
      </c>
    </row>
    <row r="117" spans="4:10" x14ac:dyDescent="0.2">
      <c r="D117" t="s">
        <v>31</v>
      </c>
      <c r="E117">
        <f>'NHL2025-26Results'!C112</f>
        <v>7</v>
      </c>
      <c r="F117" t="s">
        <v>21</v>
      </c>
      <c r="G117">
        <f>'NHL2025-26Results'!E112</f>
        <v>5</v>
      </c>
      <c r="H117">
        <f>Table3[[#This Row],[G_1]]-Table3[[#This Row],[G]]</f>
        <v>-2</v>
      </c>
      <c r="I117">
        <f>HomeEdge+VLOOKUP(Table3[[#This Row],[Home]],$A$6:$B$38,2,FALSE)-VLOOKUP(Table3[[#This Row],[Visitor]],$A$6:$B$38,2,FALSE)</f>
        <v>-0.3504023147913472</v>
      </c>
      <c r="J117">
        <f>(Table3[[#This Row],[HomeMargin]]-Table3[[#This Row],[HomeForecast]])^2</f>
        <v>2.721172523045746</v>
      </c>
    </row>
    <row r="118" spans="4:10" x14ac:dyDescent="0.2">
      <c r="D118" t="s">
        <v>25</v>
      </c>
      <c r="E118">
        <f>'NHL2025-26Results'!C113</f>
        <v>5</v>
      </c>
      <c r="F118" t="s">
        <v>12</v>
      </c>
      <c r="G118">
        <f>'NHL2025-26Results'!E113</f>
        <v>4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1.1582261683479633</v>
      </c>
      <c r="J118">
        <f>(Table3[[#This Row],[HomeMargin]]-Table3[[#This Row],[HomeForecast]])^2</f>
        <v>4.65794019374193</v>
      </c>
    </row>
    <row r="119" spans="4:10" x14ac:dyDescent="0.2">
      <c r="D119" t="s">
        <v>13</v>
      </c>
      <c r="E119">
        <f>'NHL2025-26Results'!C114</f>
        <v>3</v>
      </c>
      <c r="F119" t="s">
        <v>39</v>
      </c>
      <c r="G119">
        <f>'NHL2025-26Results'!E114</f>
        <v>2</v>
      </c>
      <c r="H119">
        <f>Table3[[#This Row],[G_1]]-Table3[[#This Row],[G]]</f>
        <v>-1</v>
      </c>
      <c r="I119">
        <f>HomeEdge+VLOOKUP(Table3[[#This Row],[Home]],$A$6:$B$38,2,FALSE)-VLOOKUP(Table3[[#This Row],[Visitor]],$A$6:$B$38,2,FALSE)</f>
        <v>0.50326783010622866</v>
      </c>
      <c r="J119">
        <f>(Table3[[#This Row],[HomeMargin]]-Table3[[#This Row],[HomeForecast]])^2</f>
        <v>2.2598141690322895</v>
      </c>
    </row>
    <row r="120" spans="4:10" x14ac:dyDescent="0.2">
      <c r="D120" t="s">
        <v>18</v>
      </c>
      <c r="E120">
        <f>'NHL2025-26Results'!C115</f>
        <v>5</v>
      </c>
      <c r="F120" t="s">
        <v>17</v>
      </c>
      <c r="G120">
        <f>'NHL2025-26Results'!E115</f>
        <v>6</v>
      </c>
      <c r="H120">
        <f>Table3[[#This Row],[G_1]]-Table3[[#This Row],[G]]</f>
        <v>1</v>
      </c>
      <c r="I120">
        <f>HomeEdge+VLOOKUP(Table3[[#This Row],[Home]],$A$6:$B$38,2,FALSE)-VLOOKUP(Table3[[#This Row],[Visitor]],$A$6:$B$38,2,FALSE)</f>
        <v>1.2453300918179533E-2</v>
      </c>
      <c r="J120">
        <f>(Table3[[#This Row],[HomeMargin]]-Table3[[#This Row],[HomeForecast]])^2</f>
        <v>0.97524848286739962</v>
      </c>
    </row>
    <row r="121" spans="4:10" x14ac:dyDescent="0.2">
      <c r="D121" t="s">
        <v>14</v>
      </c>
      <c r="E121">
        <f>'NHL2025-26Results'!C116</f>
        <v>5</v>
      </c>
      <c r="F121" t="s">
        <v>11</v>
      </c>
      <c r="G121">
        <f>'NHL2025-26Results'!E116</f>
        <v>3</v>
      </c>
      <c r="H121">
        <f>Table3[[#This Row],[G_1]]-Table3[[#This Row],[G]]</f>
        <v>-2</v>
      </c>
      <c r="I121">
        <f>HomeEdge+VLOOKUP(Table3[[#This Row],[Home]],$A$6:$B$38,2,FALSE)-VLOOKUP(Table3[[#This Row],[Visitor]],$A$6:$B$38,2,FALSE)</f>
        <v>-3.1820265010465615E-2</v>
      </c>
      <c r="J121">
        <f>(Table3[[#This Row],[HomeMargin]]-Table3[[#This Row],[HomeForecast]])^2</f>
        <v>3.8737314692234741</v>
      </c>
    </row>
    <row r="122" spans="4:10" x14ac:dyDescent="0.2">
      <c r="D122" t="s">
        <v>38</v>
      </c>
      <c r="E122">
        <f>'NHL2025-26Results'!C117</f>
        <v>1</v>
      </c>
      <c r="F122" t="s">
        <v>29</v>
      </c>
      <c r="G122">
        <f>'NHL2025-26Results'!E117</f>
        <v>2</v>
      </c>
      <c r="H122">
        <f>Table3[[#This Row],[G_1]]-Table3[[#This Row],[G]]</f>
        <v>1</v>
      </c>
      <c r="I122">
        <f>HomeEdge+VLOOKUP(Table3[[#This Row],[Home]],$A$6:$B$38,2,FALSE)-VLOOKUP(Table3[[#This Row],[Visitor]],$A$6:$B$38,2,FALSE)</f>
        <v>-0.23454310761608488</v>
      </c>
      <c r="J122">
        <f>(Table3[[#This Row],[HomeMargin]]-Table3[[#This Row],[HomeForecast]])^2</f>
        <v>1.5240966845623802</v>
      </c>
    </row>
    <row r="123" spans="4:10" x14ac:dyDescent="0.2">
      <c r="D123" t="s">
        <v>26</v>
      </c>
      <c r="E123">
        <f>'NHL2025-26Results'!C118</f>
        <v>2</v>
      </c>
      <c r="F123" t="s">
        <v>30</v>
      </c>
      <c r="G123">
        <f>'NHL2025-26Results'!E118</f>
        <v>7</v>
      </c>
      <c r="H123">
        <f>Table3[[#This Row],[G_1]]-Table3[[#This Row],[G]]</f>
        <v>5</v>
      </c>
      <c r="I123">
        <f>HomeEdge+VLOOKUP(Table3[[#This Row],[Home]],$A$6:$B$38,2,FALSE)-VLOOKUP(Table3[[#This Row],[Visitor]],$A$6:$B$38,2,FALSE)</f>
        <v>0.80473903881484854</v>
      </c>
      <c r="J123">
        <f>(Table3[[#This Row],[HomeMargin]]-Table3[[#This Row],[HomeForecast]])^2</f>
        <v>17.600214532444159</v>
      </c>
    </row>
    <row r="124" spans="4:10" x14ac:dyDescent="0.2">
      <c r="D124" t="s">
        <v>33</v>
      </c>
      <c r="E124">
        <f>'NHL2025-26Results'!C119</f>
        <v>6</v>
      </c>
      <c r="F124" t="s">
        <v>15</v>
      </c>
      <c r="G124">
        <f>'NHL2025-26Results'!E119</f>
        <v>5</v>
      </c>
      <c r="H124">
        <f>Table3[[#This Row],[G_1]]-Table3[[#This Row],[G]]</f>
        <v>-1</v>
      </c>
      <c r="I124">
        <f>HomeEdge+VLOOKUP(Table3[[#This Row],[Home]],$A$6:$B$38,2,FALSE)-VLOOKUP(Table3[[#This Row],[Visitor]],$A$6:$B$38,2,FALSE)</f>
        <v>9.6849999214559945E-4</v>
      </c>
      <c r="J124">
        <f>(Table3[[#This Row],[HomeMargin]]-Table3[[#This Row],[HomeForecast]])^2</f>
        <v>1.0019379379765259</v>
      </c>
    </row>
    <row r="125" spans="4:10" x14ac:dyDescent="0.2">
      <c r="D125" t="s">
        <v>27</v>
      </c>
      <c r="E125">
        <f>'NHL2025-26Results'!C120</f>
        <v>1</v>
      </c>
      <c r="F125" t="s">
        <v>36</v>
      </c>
      <c r="G125">
        <f>'NHL2025-26Results'!E120</f>
        <v>2</v>
      </c>
      <c r="H125">
        <f>Table3[[#This Row],[G_1]]-Table3[[#This Row],[G]]</f>
        <v>1</v>
      </c>
      <c r="I125">
        <f>HomeEdge+VLOOKUP(Table3[[#This Row],[Home]],$A$6:$B$38,2,FALSE)-VLOOKUP(Table3[[#This Row],[Visitor]],$A$6:$B$38,2,FALSE)</f>
        <v>0.24205503059606259</v>
      </c>
      <c r="J125">
        <f>(Table3[[#This Row],[HomeMargin]]-Table3[[#This Row],[HomeForecast]])^2</f>
        <v>0.57448057664473562</v>
      </c>
    </row>
    <row r="126" spans="4:10" x14ac:dyDescent="0.2">
      <c r="D126" t="s">
        <v>55</v>
      </c>
      <c r="E126">
        <f>'NHL2025-26Results'!C121</f>
        <v>7</v>
      </c>
      <c r="F126" t="s">
        <v>35</v>
      </c>
      <c r="G126">
        <f>'NHL2025-26Results'!E121</f>
        <v>4</v>
      </c>
      <c r="H126">
        <f>Table3[[#This Row],[G_1]]-Table3[[#This Row],[G]]</f>
        <v>-3</v>
      </c>
      <c r="I126">
        <f>HomeEdge+VLOOKUP(Table3[[#This Row],[Home]],$A$6:$B$38,2,FALSE)-VLOOKUP(Table3[[#This Row],[Visitor]],$A$6:$B$38,2,FALSE)</f>
        <v>-1.1097452163861323</v>
      </c>
      <c r="J126">
        <f>(Table3[[#This Row],[HomeMargin]]-Table3[[#This Row],[HomeForecast]])^2</f>
        <v>3.5730631469751097</v>
      </c>
    </row>
    <row r="127" spans="4:10" x14ac:dyDescent="0.2">
      <c r="D127" t="s">
        <v>10</v>
      </c>
      <c r="E127">
        <f>'NHL2025-26Results'!C122</f>
        <v>3</v>
      </c>
      <c r="F127" t="s">
        <v>37</v>
      </c>
      <c r="G127">
        <f>'NHL2025-26Results'!E122</f>
        <v>2</v>
      </c>
      <c r="H127">
        <f>Table3[[#This Row],[G_1]]-Table3[[#This Row],[G]]</f>
        <v>-1</v>
      </c>
      <c r="I127">
        <f>HomeEdge+VLOOKUP(Table3[[#This Row],[Home]],$A$6:$B$38,2,FALSE)-VLOOKUP(Table3[[#This Row],[Visitor]],$A$6:$B$38,2,FALSE)</f>
        <v>0.36184582043364799</v>
      </c>
      <c r="J127">
        <f>(Table3[[#This Row],[HomeMargin]]-Table3[[#This Row],[HomeForecast]])^2</f>
        <v>1.8546240386325954</v>
      </c>
    </row>
    <row r="128" spans="4:10" x14ac:dyDescent="0.2">
      <c r="D128" t="s">
        <v>32</v>
      </c>
      <c r="E128">
        <f>'NHL2025-26Results'!C123</f>
        <v>3</v>
      </c>
      <c r="F128" t="s">
        <v>40</v>
      </c>
      <c r="G128">
        <f>'NHL2025-26Results'!E123</f>
        <v>0</v>
      </c>
      <c r="H128">
        <f>Table3[[#This Row],[G_1]]-Table3[[#This Row],[G]]</f>
        <v>-3</v>
      </c>
      <c r="I128">
        <f>HomeEdge+VLOOKUP(Table3[[#This Row],[Home]],$A$6:$B$38,2,FALSE)-VLOOKUP(Table3[[#This Row],[Visitor]],$A$6:$B$38,2,FALSE)</f>
        <v>0.52736576088265164</v>
      </c>
      <c r="J128">
        <f>(Table3[[#This Row],[HomeMargin]]-Table3[[#This Row],[HomeForecast]])^2</f>
        <v>12.442309211047247</v>
      </c>
    </row>
    <row r="129" spans="4:10" x14ac:dyDescent="0.2">
      <c r="D129" t="s">
        <v>19</v>
      </c>
      <c r="E129">
        <f>'NHL2025-26Results'!C124</f>
        <v>3</v>
      </c>
      <c r="F129" t="s">
        <v>23</v>
      </c>
      <c r="G129">
        <f>'NHL2025-26Results'!E124</f>
        <v>5</v>
      </c>
      <c r="H129">
        <f>Table3[[#This Row],[G_1]]-Table3[[#This Row],[G]]</f>
        <v>2</v>
      </c>
      <c r="I129">
        <f>HomeEdge+VLOOKUP(Table3[[#This Row],[Home]],$A$6:$B$38,2,FALSE)-VLOOKUP(Table3[[#This Row],[Visitor]],$A$6:$B$38,2,FALSE)</f>
        <v>0.55739578194876804</v>
      </c>
      <c r="J129">
        <f>(Table3[[#This Row],[HomeMargin]]-Table3[[#This Row],[HomeForecast]])^2</f>
        <v>2.0811069299392062</v>
      </c>
    </row>
    <row r="130" spans="4:10" x14ac:dyDescent="0.2">
      <c r="D130" t="s">
        <v>22</v>
      </c>
      <c r="E130">
        <f>'NHL2025-26Results'!C125</f>
        <v>5</v>
      </c>
      <c r="F130" t="s">
        <v>28</v>
      </c>
      <c r="G130">
        <f>'NHL2025-26Results'!E125</f>
        <v>1</v>
      </c>
      <c r="H130">
        <f>Table3[[#This Row],[G_1]]-Table3[[#This Row],[G]]</f>
        <v>-4</v>
      </c>
      <c r="I130">
        <f>HomeEdge+VLOOKUP(Table3[[#This Row],[Home]],$A$6:$B$38,2,FALSE)-VLOOKUP(Table3[[#This Row],[Visitor]],$A$6:$B$38,2,FALSE)</f>
        <v>-0.52145403134223711</v>
      </c>
      <c r="J130">
        <f>(Table3[[#This Row],[HomeMargin]]-Table3[[#This Row],[HomeForecast]])^2</f>
        <v>12.100282056065174</v>
      </c>
    </row>
    <row r="131" spans="4:10" x14ac:dyDescent="0.2">
      <c r="D131" t="s">
        <v>33</v>
      </c>
      <c r="E131">
        <f>'NHL2025-26Results'!C126</f>
        <v>1</v>
      </c>
      <c r="F131" t="s">
        <v>24</v>
      </c>
      <c r="G131">
        <f>'NHL2025-26Results'!E126</f>
        <v>3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0.48129461663695805</v>
      </c>
      <c r="J131">
        <f>(Table3[[#This Row],[HomeMargin]]-Table3[[#This Row],[HomeForecast]])^2</f>
        <v>2.3064660414558844</v>
      </c>
    </row>
    <row r="132" spans="4:10" x14ac:dyDescent="0.2">
      <c r="D132" t="s">
        <v>16</v>
      </c>
      <c r="E132">
        <f>'NHL2025-26Results'!C127</f>
        <v>3</v>
      </c>
      <c r="F132" t="s">
        <v>40</v>
      </c>
      <c r="G132">
        <f>'NHL2025-26Results'!E127</f>
        <v>5</v>
      </c>
      <c r="H132">
        <f>Table3[[#This Row],[G_1]]-Table3[[#This Row],[G]]</f>
        <v>2</v>
      </c>
      <c r="I132">
        <f>HomeEdge+VLOOKUP(Table3[[#This Row],[Home]],$A$6:$B$38,2,FALSE)-VLOOKUP(Table3[[#This Row],[Visitor]],$A$6:$B$38,2,FALSE)</f>
        <v>1.1724994145849374</v>
      </c>
      <c r="J132">
        <f>(Table3[[#This Row],[HomeMargin]]-Table3[[#This Row],[HomeForecast]])^2</f>
        <v>0.68475721886227126</v>
      </c>
    </row>
    <row r="133" spans="4:10" x14ac:dyDescent="0.2">
      <c r="D133" t="s">
        <v>12</v>
      </c>
      <c r="E133">
        <f>'NHL2025-26Results'!C128</f>
        <v>2</v>
      </c>
      <c r="F133" t="s">
        <v>21</v>
      </c>
      <c r="G133">
        <f>'NHL2025-26Results'!E128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-1.4529404526076029</v>
      </c>
      <c r="J133">
        <f>(Table3[[#This Row],[HomeMargin]]-Table3[[#This Row],[HomeForecast]])^2</f>
        <v>6.0169168640387918</v>
      </c>
    </row>
    <row r="134" spans="4:10" x14ac:dyDescent="0.2">
      <c r="D134" t="s">
        <v>25</v>
      </c>
      <c r="E134">
        <f>'NHL2025-26Results'!C129</f>
        <v>2</v>
      </c>
      <c r="F134" t="s">
        <v>39</v>
      </c>
      <c r="G134">
        <f>'NHL2025-26Results'!E129</f>
        <v>3</v>
      </c>
      <c r="H134">
        <f>Table3[[#This Row],[G_1]]-Table3[[#This Row],[G]]</f>
        <v>1</v>
      </c>
      <c r="I134">
        <f>HomeEdge+VLOOKUP(Table3[[#This Row],[Home]],$A$6:$B$38,2,FALSE)-VLOOKUP(Table3[[#This Row],[Visitor]],$A$6:$B$38,2,FALSE)</f>
        <v>-0.28322554702912017</v>
      </c>
      <c r="J134">
        <f>(Table3[[#This Row],[HomeMargin]]-Table3[[#This Row],[HomeForecast]])^2</f>
        <v>1.6466678045481844</v>
      </c>
    </row>
    <row r="135" spans="4:10" x14ac:dyDescent="0.2">
      <c r="D135" t="s">
        <v>35</v>
      </c>
      <c r="E135">
        <f>'NHL2025-26Results'!C130</f>
        <v>4</v>
      </c>
      <c r="F135" t="s">
        <v>26</v>
      </c>
      <c r="G135">
        <f>'NHL2025-26Results'!E130</f>
        <v>6</v>
      </c>
      <c r="H135">
        <f>Table3[[#This Row],[G_1]]-Table3[[#This Row],[G]]</f>
        <v>2</v>
      </c>
      <c r="I135">
        <f>HomeEdge+VLOOKUP(Table3[[#This Row],[Home]],$A$6:$B$38,2,FALSE)-VLOOKUP(Table3[[#This Row],[Visitor]],$A$6:$B$38,2,FALSE)</f>
        <v>1.0311653264259619</v>
      </c>
      <c r="J135">
        <f>(Table3[[#This Row],[HomeMargin]]-Table3[[#This Row],[HomeForecast]])^2</f>
        <v>0.93864062471931287</v>
      </c>
    </row>
    <row r="136" spans="4:10" x14ac:dyDescent="0.2">
      <c r="D136" t="s">
        <v>20</v>
      </c>
      <c r="E136">
        <f>'NHL2025-26Results'!C131</f>
        <v>0</v>
      </c>
      <c r="F136" t="s">
        <v>11</v>
      </c>
      <c r="G136">
        <f>'NHL2025-26Results'!E131</f>
        <v>3</v>
      </c>
      <c r="H136">
        <f>Table3[[#This Row],[G_1]]-Table3[[#This Row],[G]]</f>
        <v>3</v>
      </c>
      <c r="I136">
        <f>HomeEdge+VLOOKUP(Table3[[#This Row],[Home]],$A$6:$B$38,2,FALSE)-VLOOKUP(Table3[[#This Row],[Visitor]],$A$6:$B$38,2,FALSE)</f>
        <v>-0.36155974917654216</v>
      </c>
      <c r="J136">
        <f>(Table3[[#This Row],[HomeMargin]]-Table3[[#This Row],[HomeForecast]])^2</f>
        <v>11.300083947283857</v>
      </c>
    </row>
    <row r="137" spans="4:10" x14ac:dyDescent="0.2">
      <c r="D137" t="s">
        <v>55</v>
      </c>
      <c r="E137">
        <f>'NHL2025-26Results'!C132</f>
        <v>6</v>
      </c>
      <c r="F137" t="s">
        <v>34</v>
      </c>
      <c r="G137">
        <f>'NHL2025-26Results'!E132</f>
        <v>2</v>
      </c>
      <c r="H137">
        <f>Table3[[#This Row],[G_1]]-Table3[[#This Row],[G]]</f>
        <v>-4</v>
      </c>
      <c r="I137">
        <f>HomeEdge+VLOOKUP(Table3[[#This Row],[Home]],$A$6:$B$38,2,FALSE)-VLOOKUP(Table3[[#This Row],[Visitor]],$A$6:$B$38,2,FALSE)</f>
        <v>0.28364484780746113</v>
      </c>
      <c r="J137">
        <f>(Table3[[#This Row],[HomeMargin]]-Table3[[#This Row],[HomeForecast]])^2</f>
        <v>18.349613182147408</v>
      </c>
    </row>
    <row r="138" spans="4:10" x14ac:dyDescent="0.2">
      <c r="D138" t="s">
        <v>13</v>
      </c>
      <c r="E138">
        <f>'NHL2025-26Results'!C133</f>
        <v>4</v>
      </c>
      <c r="F138" t="s">
        <v>29</v>
      </c>
      <c r="G138">
        <f>'NHL2025-26Results'!E133</f>
        <v>5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-0.99685007463357711</v>
      </c>
      <c r="J138">
        <f>(Table3[[#This Row],[HomeMargin]]-Table3[[#This Row],[HomeForecast]])^2</f>
        <v>3.9874102205641226</v>
      </c>
    </row>
    <row r="139" spans="4:10" x14ac:dyDescent="0.2">
      <c r="D139" t="s">
        <v>30</v>
      </c>
      <c r="E139">
        <f>'NHL2025-26Results'!C134</f>
        <v>3</v>
      </c>
      <c r="F139" t="s">
        <v>27</v>
      </c>
      <c r="G139">
        <f>'NHL2025-26Results'!E134</f>
        <v>4</v>
      </c>
      <c r="H139">
        <f>Table3[[#This Row],[G_1]]-Table3[[#This Row],[G]]</f>
        <v>1</v>
      </c>
      <c r="I139">
        <f>HomeEdge+VLOOKUP(Table3[[#This Row],[Home]],$A$6:$B$38,2,FALSE)-VLOOKUP(Table3[[#This Row],[Visitor]],$A$6:$B$38,2,FALSE)</f>
        <v>-0.2883263458026703</v>
      </c>
      <c r="J139">
        <f>(Table3[[#This Row],[HomeMargin]]-Table3[[#This Row],[HomeForecast]])^2</f>
        <v>1.6597847732892617</v>
      </c>
    </row>
    <row r="140" spans="4:10" x14ac:dyDescent="0.2">
      <c r="D140" t="s">
        <v>28</v>
      </c>
      <c r="E140">
        <f>'NHL2025-26Results'!C135</f>
        <v>5</v>
      </c>
      <c r="F140" t="s">
        <v>14</v>
      </c>
      <c r="G140">
        <f>'NHL2025-26Results'!E135</f>
        <v>4</v>
      </c>
      <c r="H140">
        <f>Table3[[#This Row],[G_1]]-Table3[[#This Row],[G]]</f>
        <v>-1</v>
      </c>
      <c r="I140">
        <f>HomeEdge+VLOOKUP(Table3[[#This Row],[Home]],$A$6:$B$38,2,FALSE)-VLOOKUP(Table3[[#This Row],[Visitor]],$A$6:$B$38,2,FALSE)</f>
        <v>0.52272364725672638</v>
      </c>
      <c r="J140">
        <f>(Table3[[#This Row],[HomeMargin]]-Table3[[#This Row],[HomeForecast]])^2</f>
        <v>2.3186873059148274</v>
      </c>
    </row>
    <row r="141" spans="4:10" x14ac:dyDescent="0.2">
      <c r="D141" t="s">
        <v>17</v>
      </c>
      <c r="E141">
        <f>'NHL2025-26Results'!C136</f>
        <v>2</v>
      </c>
      <c r="F141" t="s">
        <v>32</v>
      </c>
      <c r="G141">
        <f>'NHL2025-26Results'!E136</f>
        <v>3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0.56010460646079308</v>
      </c>
      <c r="J141">
        <f>(Table3[[#This Row],[HomeMargin]]-Table3[[#This Row],[HomeForecast]])^2</f>
        <v>0.19350795725701372</v>
      </c>
    </row>
    <row r="142" spans="4:10" x14ac:dyDescent="0.2">
      <c r="D142" t="s">
        <v>31</v>
      </c>
      <c r="E142">
        <f>'NHL2025-26Results'!C137</f>
        <v>3</v>
      </c>
      <c r="F142" t="s">
        <v>37</v>
      </c>
      <c r="G142">
        <f>'NHL2025-26Results'!E137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-0.13408562296499382</v>
      </c>
      <c r="J142">
        <f>(Table3[[#This Row],[HomeMargin]]-Table3[[#This Row],[HomeForecast]])^2</f>
        <v>1.2861502002158982</v>
      </c>
    </row>
    <row r="143" spans="4:10" x14ac:dyDescent="0.2">
      <c r="D143" t="s">
        <v>23</v>
      </c>
      <c r="E143">
        <f>'NHL2025-26Results'!C138</f>
        <v>3</v>
      </c>
      <c r="F143" t="s">
        <v>19</v>
      </c>
      <c r="G143">
        <f>'NHL2025-26Results'!E138</f>
        <v>4</v>
      </c>
      <c r="H143">
        <f>Table3[[#This Row],[G_1]]-Table3[[#This Row],[G]]</f>
        <v>1</v>
      </c>
      <c r="I143">
        <f>HomeEdge+VLOOKUP(Table3[[#This Row],[Home]],$A$6:$B$38,2,FALSE)-VLOOKUP(Table3[[#This Row],[Visitor]],$A$6:$B$38,2,FALSE)</f>
        <v>-0.28230900400393533</v>
      </c>
      <c r="J143">
        <f>(Table3[[#This Row],[HomeMargin]]-Table3[[#This Row],[HomeForecast]])^2</f>
        <v>1.6443163817495645</v>
      </c>
    </row>
    <row r="144" spans="4:10" x14ac:dyDescent="0.2">
      <c r="D144" t="s">
        <v>18</v>
      </c>
      <c r="E144">
        <f>'NHL2025-26Results'!C139</f>
        <v>4</v>
      </c>
      <c r="F144" t="s">
        <v>38</v>
      </c>
      <c r="G144">
        <f>'NHL2025-26Results'!E139</f>
        <v>3</v>
      </c>
      <c r="H144">
        <f>Table3[[#This Row],[G_1]]-Table3[[#This Row],[G]]</f>
        <v>-1</v>
      </c>
      <c r="I144">
        <f>HomeEdge+VLOOKUP(Table3[[#This Row],[Home]],$A$6:$B$38,2,FALSE)-VLOOKUP(Table3[[#This Row],[Visitor]],$A$6:$B$38,2,FALSE)</f>
        <v>-0.23856384464373848</v>
      </c>
      <c r="J144">
        <f>(Table3[[#This Row],[HomeMargin]]-Table3[[#This Row],[HomeForecast]])^2</f>
        <v>0.57978501868372478</v>
      </c>
    </row>
    <row r="145" spans="4:10" x14ac:dyDescent="0.2">
      <c r="D145" t="s">
        <v>36</v>
      </c>
      <c r="E145">
        <f>'NHL2025-26Results'!C140</f>
        <v>7</v>
      </c>
      <c r="F145" t="s">
        <v>22</v>
      </c>
      <c r="G145">
        <f>'NHL2025-26Results'!E140</f>
        <v>1</v>
      </c>
      <c r="H145">
        <f>Table3[[#This Row],[G_1]]-Table3[[#This Row],[G]]</f>
        <v>-6</v>
      </c>
      <c r="I145">
        <f>HomeEdge+VLOOKUP(Table3[[#This Row],[Home]],$A$6:$B$38,2,FALSE)-VLOOKUP(Table3[[#This Row],[Visitor]],$A$6:$B$38,2,FALSE)</f>
        <v>0.51987442993729749</v>
      </c>
      <c r="J145">
        <f>(Table3[[#This Row],[HomeMargin]]-Table3[[#This Row],[HomeForecast]])^2</f>
        <v>42.508762582150204</v>
      </c>
    </row>
    <row r="146" spans="4:10" x14ac:dyDescent="0.2">
      <c r="D146" t="s">
        <v>15</v>
      </c>
      <c r="E146">
        <f>'NHL2025-26Results'!C141</f>
        <v>1</v>
      </c>
      <c r="F146" t="s">
        <v>16</v>
      </c>
      <c r="G146">
        <f>'NHL2025-26Results'!E141</f>
        <v>5</v>
      </c>
      <c r="H146">
        <f>Table3[[#This Row],[G_1]]-Table3[[#This Row],[G]]</f>
        <v>4</v>
      </c>
      <c r="I146">
        <f>HomeEdge+VLOOKUP(Table3[[#This Row],[Home]],$A$6:$B$38,2,FALSE)-VLOOKUP(Table3[[#This Row],[Visitor]],$A$6:$B$38,2,FALSE)</f>
        <v>-0.45930179573368934</v>
      </c>
      <c r="J146">
        <f>(Table3[[#This Row],[HomeMargin]]-Table3[[#This Row],[HomeForecast]])^2</f>
        <v>19.885372505433708</v>
      </c>
    </row>
    <row r="147" spans="4:10" x14ac:dyDescent="0.2">
      <c r="D147" t="s">
        <v>13</v>
      </c>
      <c r="E147">
        <f>'NHL2025-26Results'!C142</f>
        <v>3</v>
      </c>
      <c r="F147" t="s">
        <v>10</v>
      </c>
      <c r="G147">
        <f>'NHL2025-26Results'!E142</f>
        <v>1</v>
      </c>
      <c r="H147">
        <f>Table3[[#This Row],[G_1]]-Table3[[#This Row],[G]]</f>
        <v>-2</v>
      </c>
      <c r="I147">
        <f>HomeEdge+VLOOKUP(Table3[[#This Row],[Home]],$A$6:$B$38,2,FALSE)-VLOOKUP(Table3[[#This Row],[Visitor]],$A$6:$B$38,2,FALSE)</f>
        <v>0.34624996426841465</v>
      </c>
      <c r="J147">
        <f>(Table3[[#This Row],[HomeMargin]]-Table3[[#This Row],[HomeForecast]])^2</f>
        <v>5.5048888948295369</v>
      </c>
    </row>
    <row r="148" spans="4:10" x14ac:dyDescent="0.2">
      <c r="D148" t="s">
        <v>33</v>
      </c>
      <c r="E148">
        <f>'NHL2025-26Results'!C143</f>
        <v>6</v>
      </c>
      <c r="F148" t="s">
        <v>34</v>
      </c>
      <c r="G148">
        <f>'NHL2025-26Results'!E143</f>
        <v>5</v>
      </c>
      <c r="H148">
        <f>Table3[[#This Row],[G_1]]-Table3[[#This Row],[G]]</f>
        <v>-1</v>
      </c>
      <c r="I148">
        <f>HomeEdge+VLOOKUP(Table3[[#This Row],[Home]],$A$6:$B$38,2,FALSE)-VLOOKUP(Table3[[#This Row],[Visitor]],$A$6:$B$38,2,FALSE)</f>
        <v>0.33573815104248139</v>
      </c>
      <c r="J148">
        <f>(Table3[[#This Row],[HomeMargin]]-Table3[[#This Row],[HomeForecast]])^2</f>
        <v>1.7841964081503865</v>
      </c>
    </row>
    <row r="149" spans="4:10" x14ac:dyDescent="0.2">
      <c r="D149" t="s">
        <v>12</v>
      </c>
      <c r="E149">
        <f>'NHL2025-26Results'!C144</f>
        <v>3</v>
      </c>
      <c r="F149" t="s">
        <v>24</v>
      </c>
      <c r="G149">
        <f>'NHL2025-26Results'!E144</f>
        <v>4</v>
      </c>
      <c r="H149">
        <f>Table3[[#This Row],[G_1]]-Table3[[#This Row],[G]]</f>
        <v>1</v>
      </c>
      <c r="I149">
        <f>HomeEdge+VLOOKUP(Table3[[#This Row],[Home]],$A$6:$B$38,2,FALSE)-VLOOKUP(Table3[[#This Row],[Visitor]],$A$6:$B$38,2,FALSE)</f>
        <v>-1.3263237238570444</v>
      </c>
      <c r="J149">
        <f>(Table3[[#This Row],[HomeMargin]]-Table3[[#This Row],[HomeForecast]])^2</f>
        <v>5.4117820681801065</v>
      </c>
    </row>
    <row r="150" spans="4:10" x14ac:dyDescent="0.2">
      <c r="D150" t="s">
        <v>39</v>
      </c>
      <c r="E150">
        <f>'NHL2025-26Results'!C145</f>
        <v>3</v>
      </c>
      <c r="F150" t="s">
        <v>29</v>
      </c>
      <c r="G150">
        <f>'NHL2025-26Results'!E145</f>
        <v>2</v>
      </c>
      <c r="H150">
        <f>Table3[[#This Row],[G_1]]-Table3[[#This Row],[G]]</f>
        <v>-1</v>
      </c>
      <c r="I150">
        <f>HomeEdge+VLOOKUP(Table3[[#This Row],[Home]],$A$6:$B$38,2,FALSE)-VLOOKUP(Table3[[#This Row],[Visitor]],$A$6:$B$38,2,FALSE)</f>
        <v>-1.3625745157673894</v>
      </c>
      <c r="J150">
        <f>(Table3[[#This Row],[HomeMargin]]-Table3[[#This Row],[HomeForecast]])^2</f>
        <v>0.13146027948395692</v>
      </c>
    </row>
    <row r="151" spans="4:10" x14ac:dyDescent="0.2">
      <c r="D151" t="s">
        <v>20</v>
      </c>
      <c r="E151">
        <f>'NHL2025-26Results'!C146</f>
        <v>1</v>
      </c>
      <c r="F151" t="s">
        <v>37</v>
      </c>
      <c r="G151">
        <f>'NHL2025-26Results'!E146</f>
        <v>2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8.8477024591129994E-2</v>
      </c>
      <c r="J151">
        <f>(Table3[[#This Row],[HomeMargin]]-Table3[[#This Row],[HomeForecast]])^2</f>
        <v>0.83087413469823956</v>
      </c>
    </row>
    <row r="152" spans="4:10" x14ac:dyDescent="0.2">
      <c r="D152" t="s">
        <v>17</v>
      </c>
      <c r="E152">
        <f>'NHL2025-26Results'!C147</f>
        <v>3</v>
      </c>
      <c r="F152" t="s">
        <v>38</v>
      </c>
      <c r="G152">
        <f>'NHL2025-26Results'!E147</f>
        <v>4</v>
      </c>
      <c r="H152">
        <f>Table3[[#This Row],[G_1]]-Table3[[#This Row],[G]]</f>
        <v>1</v>
      </c>
      <c r="I152">
        <f>HomeEdge+VLOOKUP(Table3[[#This Row],[Home]],$A$6:$B$38,2,FALSE)-VLOOKUP(Table3[[#This Row],[Visitor]],$A$6:$B$38,2,FALSE)</f>
        <v>-0.11347375658950165</v>
      </c>
      <c r="J152">
        <f>(Table3[[#This Row],[HomeMargin]]-Table3[[#This Row],[HomeForecast]])^2</f>
        <v>1.2398238066135367</v>
      </c>
    </row>
    <row r="153" spans="4:10" x14ac:dyDescent="0.2">
      <c r="D153" t="s">
        <v>55</v>
      </c>
      <c r="E153">
        <f>'NHL2025-26Results'!C148</f>
        <v>3</v>
      </c>
      <c r="F153" t="s">
        <v>40</v>
      </c>
      <c r="G153">
        <f>'NHL2025-26Results'!E148</f>
        <v>2</v>
      </c>
      <c r="H153">
        <f>Table3[[#This Row],[G_1]]-Table3[[#This Row],[G]]</f>
        <v>-1</v>
      </c>
      <c r="I153">
        <f>HomeEdge+VLOOKUP(Table3[[#This Row],[Home]],$A$6:$B$38,2,FALSE)-VLOOKUP(Table3[[#This Row],[Visitor]],$A$6:$B$38,2,FALSE)</f>
        <v>0.38698603766354067</v>
      </c>
      <c r="J153">
        <f>(Table3[[#This Row],[HomeMargin]]-Table3[[#This Row],[HomeForecast]])^2</f>
        <v>1.9237302686736084</v>
      </c>
    </row>
    <row r="154" spans="4:10" x14ac:dyDescent="0.2">
      <c r="D154" t="s">
        <v>21</v>
      </c>
      <c r="E154">
        <f>'NHL2025-26Results'!C149</f>
        <v>2</v>
      </c>
      <c r="F154" t="s">
        <v>36</v>
      </c>
      <c r="G154">
        <f>'NHL2025-26Results'!E149</f>
        <v>7</v>
      </c>
      <c r="H154">
        <f>Table3[[#This Row],[G_1]]-Table3[[#This Row],[G]]</f>
        <v>5</v>
      </c>
      <c r="I154">
        <f>HomeEdge+VLOOKUP(Table3[[#This Row],[Home]],$A$6:$B$38,2,FALSE)-VLOOKUP(Table3[[#This Row],[Visitor]],$A$6:$B$38,2,FALSE)</f>
        <v>-3.532691792055806E-2</v>
      </c>
      <c r="J154">
        <f>(Table3[[#This Row],[HomeMargin]]-Table3[[#This Row],[HomeForecast]])^2</f>
        <v>25.354517170335342</v>
      </c>
    </row>
    <row r="155" spans="4:10" x14ac:dyDescent="0.2">
      <c r="D155" t="s">
        <v>35</v>
      </c>
      <c r="E155">
        <f>'NHL2025-26Results'!C150</f>
        <v>3</v>
      </c>
      <c r="F155" t="s">
        <v>14</v>
      </c>
      <c r="G155">
        <f>'NHL2025-26Results'!E150</f>
        <v>6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1.4855167620514913</v>
      </c>
      <c r="J155">
        <f>(Table3[[#This Row],[HomeMargin]]-Table3[[#This Row],[HomeForecast]])^2</f>
        <v>2.2936594780269992</v>
      </c>
    </row>
    <row r="156" spans="4:10" x14ac:dyDescent="0.2">
      <c r="D156" t="s">
        <v>30</v>
      </c>
      <c r="E156">
        <f>'NHL2025-26Results'!C151</f>
        <v>2</v>
      </c>
      <c r="F156" t="s">
        <v>21</v>
      </c>
      <c r="G156">
        <f>'NHL2025-26Results'!E151</f>
        <v>5</v>
      </c>
      <c r="H156">
        <f>Table3[[#This Row],[G_1]]-Table3[[#This Row],[G]]</f>
        <v>3</v>
      </c>
      <c r="I156">
        <f>HomeEdge+VLOOKUP(Table3[[#This Row],[Home]],$A$6:$B$38,2,FALSE)-VLOOKUP(Table3[[#This Row],[Visitor]],$A$6:$B$38,2,FALSE)</f>
        <v>-1.0944397286049633E-2</v>
      </c>
      <c r="J156">
        <f>(Table3[[#This Row],[HomeMargin]]-Table3[[#This Row],[HomeForecast]])^2</f>
        <v>9.0657861635482533</v>
      </c>
    </row>
    <row r="157" spans="4:10" x14ac:dyDescent="0.2">
      <c r="D157" t="s">
        <v>28</v>
      </c>
      <c r="E157">
        <f>'NHL2025-26Results'!C152</f>
        <v>4</v>
      </c>
      <c r="F157" t="s">
        <v>23</v>
      </c>
      <c r="G157">
        <f>'NHL2025-26Results'!E152</f>
        <v>3</v>
      </c>
      <c r="H157">
        <f>Table3[[#This Row],[G_1]]-Table3[[#This Row],[G]]</f>
        <v>-1</v>
      </c>
      <c r="I157">
        <f>HomeEdge+VLOOKUP(Table3[[#This Row],[Home]],$A$6:$B$38,2,FALSE)-VLOOKUP(Table3[[#This Row],[Visitor]],$A$6:$B$38,2,FALSE)</f>
        <v>0.2163786687163689</v>
      </c>
      <c r="J157">
        <f>(Table3[[#This Row],[HomeMargin]]-Table3[[#This Row],[HomeForecast]])^2</f>
        <v>1.4795770657082059</v>
      </c>
    </row>
    <row r="158" spans="4:10" x14ac:dyDescent="0.2">
      <c r="D158" t="s">
        <v>20</v>
      </c>
      <c r="E158">
        <f>'NHL2025-26Results'!C153</f>
        <v>6</v>
      </c>
      <c r="F158" t="s">
        <v>25</v>
      </c>
      <c r="G158">
        <f>'NHL2025-26Results'!E153</f>
        <v>3</v>
      </c>
      <c r="H158">
        <f>Table3[[#This Row],[G_1]]-Table3[[#This Row],[G]]</f>
        <v>-3</v>
      </c>
      <c r="I158">
        <f>HomeEdge+VLOOKUP(Table3[[#This Row],[Home]],$A$6:$B$38,2,FALSE)-VLOOKUP(Table3[[#This Row],[Visitor]],$A$6:$B$38,2,FALSE)</f>
        <v>0.44196139496924886</v>
      </c>
      <c r="J158">
        <f>(Table3[[#This Row],[HomeMargin]]-Table3[[#This Row],[HomeForecast]])^2</f>
        <v>11.847098244458659</v>
      </c>
    </row>
    <row r="159" spans="4:10" x14ac:dyDescent="0.2">
      <c r="D159" t="s">
        <v>36</v>
      </c>
      <c r="E159">
        <f>'NHL2025-26Results'!C154</f>
        <v>3</v>
      </c>
      <c r="F159" t="s">
        <v>10</v>
      </c>
      <c r="G159">
        <f>'NHL2025-26Results'!E154</f>
        <v>7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0.30242795623051255</v>
      </c>
      <c r="J159">
        <f>(Table3[[#This Row],[HomeMargin]]-Table3[[#This Row],[HomeForecast]])^2</f>
        <v>13.672039018865666</v>
      </c>
    </row>
    <row r="160" spans="4:10" x14ac:dyDescent="0.2">
      <c r="D160" t="s">
        <v>24</v>
      </c>
      <c r="E160">
        <f>'NHL2025-26Results'!C155</f>
        <v>4</v>
      </c>
      <c r="F160" t="s">
        <v>12</v>
      </c>
      <c r="G160">
        <f>'NHL2025-26Results'!E155</f>
        <v>8</v>
      </c>
      <c r="H160">
        <f>Table3[[#This Row],[G_1]]-Table3[[#This Row],[G]]</f>
        <v>4</v>
      </c>
      <c r="I160">
        <f>HomeEdge+VLOOKUP(Table3[[#This Row],[Home]],$A$6:$B$38,2,FALSE)-VLOOKUP(Table3[[#This Row],[Visitor]],$A$6:$B$38,2,FALSE)</f>
        <v>1.6014105018018774</v>
      </c>
      <c r="J160">
        <f>(Table3[[#This Row],[HomeMargin]]-Table3[[#This Row],[HomeForecast]])^2</f>
        <v>5.7532315808663217</v>
      </c>
    </row>
    <row r="161" spans="4:10" x14ac:dyDescent="0.2">
      <c r="D161" t="s">
        <v>22</v>
      </c>
      <c r="E161">
        <f>'NHL2025-26Results'!C156</f>
        <v>0</v>
      </c>
      <c r="F161" t="s">
        <v>39</v>
      </c>
      <c r="G161">
        <f>'NHL2025-26Results'!E156</f>
        <v>1</v>
      </c>
      <c r="H161">
        <f>Table3[[#This Row],[G_1]]-Table3[[#This Row],[G]]</f>
        <v>1</v>
      </c>
      <c r="I161">
        <f>HomeEdge+VLOOKUP(Table3[[#This Row],[Home]],$A$6:$B$38,2,FALSE)-VLOOKUP(Table3[[#This Row],[Visitor]],$A$6:$B$38,2,FALSE)</f>
        <v>7.7114781103445426E-2</v>
      </c>
      <c r="J161">
        <f>(Table3[[#This Row],[HomeMargin]]-Table3[[#This Row],[HomeForecast]])^2</f>
        <v>0.85171712725774151</v>
      </c>
    </row>
    <row r="162" spans="4:10" x14ac:dyDescent="0.2">
      <c r="D162" t="s">
        <v>55</v>
      </c>
      <c r="E162">
        <f>'NHL2025-26Results'!C157</f>
        <v>3</v>
      </c>
      <c r="F162" t="s">
        <v>17</v>
      </c>
      <c r="G162">
        <f>'NHL2025-26Results'!E157</f>
        <v>6</v>
      </c>
      <c r="H162">
        <f>Table3[[#This Row],[G_1]]-Table3[[#This Row],[G]]</f>
        <v>3</v>
      </c>
      <c r="I162">
        <f>HomeEdge+VLOOKUP(Table3[[#This Row],[Home]],$A$6:$B$38,2,FALSE)-VLOOKUP(Table3[[#This Row],[Visitor]],$A$6:$B$38,2,FALSE)</f>
        <v>-0.42539755173507132</v>
      </c>
      <c r="J162">
        <f>(Table3[[#This Row],[HomeMargin]]-Table3[[#This Row],[HomeForecast]])^2</f>
        <v>11.733348387432621</v>
      </c>
    </row>
    <row r="163" spans="4:10" x14ac:dyDescent="0.2">
      <c r="D163" t="s">
        <v>31</v>
      </c>
      <c r="E163">
        <f>'NHL2025-26Results'!C158</f>
        <v>3</v>
      </c>
      <c r="F163" t="s">
        <v>11</v>
      </c>
      <c r="G163">
        <f>'NHL2025-26Results'!E158</f>
        <v>2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-0.58412239673266597</v>
      </c>
      <c r="J163">
        <f>(Table3[[#This Row],[HomeMargin]]-Table3[[#This Row],[HomeForecast]])^2</f>
        <v>0.17295418089938208</v>
      </c>
    </row>
    <row r="164" spans="4:10" x14ac:dyDescent="0.2">
      <c r="D164" t="s">
        <v>40</v>
      </c>
      <c r="E164">
        <f>'NHL2025-26Results'!C159</f>
        <v>4</v>
      </c>
      <c r="F164" t="s">
        <v>34</v>
      </c>
      <c r="G164">
        <f>'NHL2025-26Results'!E159</f>
        <v>3</v>
      </c>
      <c r="H164">
        <f>Table3[[#This Row],[G_1]]-Table3[[#This Row],[G]]</f>
        <v>-1</v>
      </c>
      <c r="I164">
        <f>HomeEdge+VLOOKUP(Table3[[#This Row],[Home]],$A$6:$B$38,2,FALSE)-VLOOKUP(Table3[[#This Row],[Visitor]],$A$6:$B$38,2,FALSE)</f>
        <v>3.4202199116336825E-2</v>
      </c>
      <c r="J164">
        <f>(Table3[[#This Row],[HomeMargin]]-Table3[[#This Row],[HomeForecast]])^2</f>
        <v>1.0695741886570671</v>
      </c>
    </row>
    <row r="165" spans="4:10" x14ac:dyDescent="0.2">
      <c r="D165" t="s">
        <v>37</v>
      </c>
      <c r="E165">
        <f>'NHL2025-26Results'!C160</f>
        <v>5</v>
      </c>
      <c r="F165" t="s">
        <v>29</v>
      </c>
      <c r="G165">
        <f>'NHL2025-26Results'!E160</f>
        <v>2</v>
      </c>
      <c r="H165">
        <f>Table3[[#This Row],[G_1]]-Table3[[#This Row],[G]]</f>
        <v>-3</v>
      </c>
      <c r="I165">
        <f>HomeEdge+VLOOKUP(Table3[[#This Row],[Home]],$A$6:$B$38,2,FALSE)-VLOOKUP(Table3[[#This Row],[Visitor]],$A$6:$B$38,2,FALSE)</f>
        <v>-1.429859081390807</v>
      </c>
      <c r="J165">
        <f>(Table3[[#This Row],[HomeMargin]]-Table3[[#This Row],[HomeForecast]])^2</f>
        <v>2.4653425042909207</v>
      </c>
    </row>
    <row r="166" spans="4:10" x14ac:dyDescent="0.2">
      <c r="D166" t="s">
        <v>14</v>
      </c>
      <c r="E166">
        <f>'NHL2025-26Results'!C161</f>
        <v>2</v>
      </c>
      <c r="F166" t="s">
        <v>27</v>
      </c>
      <c r="G166">
        <f>'NHL2025-26Results'!E161</f>
        <v>3</v>
      </c>
      <c r="H166">
        <f>Table3[[#This Row],[G_1]]-Table3[[#This Row],[G]]</f>
        <v>1</v>
      </c>
      <c r="I166">
        <f>HomeEdge+VLOOKUP(Table3[[#This Row],[Home]],$A$6:$B$38,2,FALSE)-VLOOKUP(Table3[[#This Row],[Visitor]],$A$6:$B$38,2,FALSE)</f>
        <v>-7.5482131585767526E-2</v>
      </c>
      <c r="J166">
        <f>(Table3[[#This Row],[HomeMargin]]-Table3[[#This Row],[HomeForecast]])^2</f>
        <v>1.1566618153602659</v>
      </c>
    </row>
    <row r="167" spans="4:10" x14ac:dyDescent="0.2">
      <c r="D167" t="s">
        <v>18</v>
      </c>
      <c r="E167">
        <f>'NHL2025-26Results'!C162</f>
        <v>4</v>
      </c>
      <c r="F167" t="s">
        <v>32</v>
      </c>
      <c r="G167">
        <f>'NHL2025-26Results'!E162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0.43501451840655619</v>
      </c>
      <c r="J167">
        <f>(Table3[[#This Row],[HomeMargin]]-Table3[[#This Row],[HomeForecast]])^2</f>
        <v>2.0592666680376004</v>
      </c>
    </row>
    <row r="168" spans="4:10" x14ac:dyDescent="0.2">
      <c r="D168" t="s">
        <v>13</v>
      </c>
      <c r="E168">
        <f>'NHL2025-26Results'!C163</f>
        <v>4</v>
      </c>
      <c r="F168" t="s">
        <v>33</v>
      </c>
      <c r="G168">
        <f>'NHL2025-26Results'!E163</f>
        <v>3</v>
      </c>
      <c r="H168">
        <f>Table3[[#This Row],[G_1]]-Table3[[#This Row],[G]]</f>
        <v>-1</v>
      </c>
      <c r="I168">
        <f>HomeEdge+VLOOKUP(Table3[[#This Row],[Home]],$A$6:$B$38,2,FALSE)-VLOOKUP(Table3[[#This Row],[Visitor]],$A$6:$B$38,2,FALSE)</f>
        <v>0.13710120498930956</v>
      </c>
      <c r="J168">
        <f>(Table3[[#This Row],[HomeMargin]]-Table3[[#This Row],[HomeForecast]])^2</f>
        <v>1.2929991503881395</v>
      </c>
    </row>
    <row r="169" spans="4:10" x14ac:dyDescent="0.2">
      <c r="D169" t="s">
        <v>26</v>
      </c>
      <c r="E169">
        <f>'NHL2025-26Results'!C164</f>
        <v>5</v>
      </c>
      <c r="F169" t="s">
        <v>35</v>
      </c>
      <c r="G169">
        <f>'NHL2025-26Results'!E164</f>
        <v>2</v>
      </c>
      <c r="H169">
        <f>Table3[[#This Row],[G_1]]-Table3[[#This Row],[G]]</f>
        <v>-3</v>
      </c>
      <c r="I169">
        <f>HomeEdge+VLOOKUP(Table3[[#This Row],[Home]],$A$6:$B$38,2,FALSE)-VLOOKUP(Table3[[#This Row],[Visitor]],$A$6:$B$38,2,FALSE)</f>
        <v>-0.75607854848112899</v>
      </c>
      <c r="J169">
        <f>(Table3[[#This Row],[HomeMargin]]-Table3[[#This Row],[HomeForecast]])^2</f>
        <v>5.0351834805865572</v>
      </c>
    </row>
    <row r="170" spans="4:10" x14ac:dyDescent="0.2">
      <c r="D170" t="s">
        <v>16</v>
      </c>
      <c r="E170">
        <f>'NHL2025-26Results'!C165</f>
        <v>3</v>
      </c>
      <c r="F170" t="s">
        <v>19</v>
      </c>
      <c r="G170">
        <f>'NHL2025-26Results'!E165</f>
        <v>4</v>
      </c>
      <c r="H170">
        <f>Table3[[#This Row],[G_1]]-Table3[[#This Row],[G]]</f>
        <v>1</v>
      </c>
      <c r="I170">
        <f>HomeEdge+VLOOKUP(Table3[[#This Row],[Home]],$A$6:$B$38,2,FALSE)-VLOOKUP(Table3[[#This Row],[Visitor]],$A$6:$B$38,2,FALSE)</f>
        <v>0.29754416209763024</v>
      </c>
      <c r="J170">
        <f>(Table3[[#This Row],[HomeMargin]]-Table3[[#This Row],[HomeForecast]])^2</f>
        <v>0.49344420420312041</v>
      </c>
    </row>
    <row r="171" spans="4:10" x14ac:dyDescent="0.2">
      <c r="D171" t="s">
        <v>15</v>
      </c>
      <c r="E171">
        <f>'NHL2025-26Results'!C166</f>
        <v>2</v>
      </c>
      <c r="F171" t="s">
        <v>38</v>
      </c>
      <c r="G171">
        <f>'NHL2025-26Results'!E166</f>
        <v>0</v>
      </c>
      <c r="H171">
        <f>Table3[[#This Row],[G_1]]-Table3[[#This Row],[G]]</f>
        <v>-2</v>
      </c>
      <c r="I171">
        <f>HomeEdge+VLOOKUP(Table3[[#This Row],[Home]],$A$6:$B$38,2,FALSE)-VLOOKUP(Table3[[#This Row],[Visitor]],$A$6:$B$38,2,FALSE)</f>
        <v>-0.48774650508169826</v>
      </c>
      <c r="J171">
        <f>(Table3[[#This Row],[HomeMargin]]-Table3[[#This Row],[HomeForecast]])^2</f>
        <v>2.2869106328926181</v>
      </c>
    </row>
    <row r="172" spans="4:10" x14ac:dyDescent="0.2">
      <c r="D172" t="s">
        <v>19</v>
      </c>
      <c r="E172">
        <f>'NHL2025-26Results'!C167</f>
        <v>3</v>
      </c>
      <c r="F172" t="s">
        <v>28</v>
      </c>
      <c r="G172">
        <f>'NHL2025-26Results'!E167</f>
        <v>6</v>
      </c>
      <c r="H172">
        <f>Table3[[#This Row],[G_1]]-Table3[[#This Row],[G]]</f>
        <v>3</v>
      </c>
      <c r="I172">
        <f>HomeEdge+VLOOKUP(Table3[[#This Row],[Home]],$A$6:$B$38,2,FALSE)-VLOOKUP(Table3[[#This Row],[Visitor]],$A$6:$B$38,2,FALSE)</f>
        <v>0.4785605022048155</v>
      </c>
      <c r="J172">
        <f>(Table3[[#This Row],[HomeMargin]]-Table3[[#This Row],[HomeForecast]])^2</f>
        <v>6.3576571410416332</v>
      </c>
    </row>
    <row r="173" spans="4:10" x14ac:dyDescent="0.2">
      <c r="D173" t="s">
        <v>23</v>
      </c>
      <c r="E173">
        <f>'NHL2025-26Results'!C168</f>
        <v>3</v>
      </c>
      <c r="F173" t="s">
        <v>21</v>
      </c>
      <c r="G173">
        <f>'NHL2025-26Results'!E168</f>
        <v>4</v>
      </c>
      <c r="H173">
        <f>Table3[[#This Row],[G_1]]-Table3[[#This Row],[G]]</f>
        <v>1</v>
      </c>
      <c r="I173">
        <f>HomeEdge+VLOOKUP(Table3[[#This Row],[Home]],$A$6:$B$38,2,FALSE)-VLOOKUP(Table3[[#This Row],[Visitor]],$A$6:$B$38,2,FALSE)</f>
        <v>0.5082447954712106</v>
      </c>
      <c r="J173">
        <f>(Table3[[#This Row],[HomeMargin]]-Table3[[#This Row],[HomeForecast]])^2</f>
        <v>0.24182318118115151</v>
      </c>
    </row>
    <row r="174" spans="4:10" x14ac:dyDescent="0.2">
      <c r="D174" t="s">
        <v>30</v>
      </c>
      <c r="E174">
        <f>'NHL2025-26Results'!C169</f>
        <v>2</v>
      </c>
      <c r="F174" t="s">
        <v>25</v>
      </c>
      <c r="G174">
        <f>'NHL2025-26Results'!E169</f>
        <v>6</v>
      </c>
      <c r="H174">
        <f>Table3[[#This Row],[G_1]]-Table3[[#This Row],[G]]</f>
        <v>4</v>
      </c>
      <c r="I174">
        <f>HomeEdge+VLOOKUP(Table3[[#This Row],[Home]],$A$6:$B$38,2,FALSE)-VLOOKUP(Table3[[#This Row],[Visitor]],$A$6:$B$38,2,FALSE)</f>
        <v>0.55885666491842267</v>
      </c>
      <c r="J174">
        <f>(Table3[[#This Row],[HomeMargin]]-Table3[[#This Row],[HomeForecast]])^2</f>
        <v>11.841467452576362</v>
      </c>
    </row>
    <row r="175" spans="4:10" x14ac:dyDescent="0.2">
      <c r="D175" t="s">
        <v>15</v>
      </c>
      <c r="E175">
        <f>'NHL2025-26Results'!C170</f>
        <v>4</v>
      </c>
      <c r="F175" t="s">
        <v>17</v>
      </c>
      <c r="G175">
        <f>'NHL2025-26Results'!E170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-0.23672935951978025</v>
      </c>
      <c r="J175">
        <f>(Table3[[#This Row],[HomeMargin]]-Table3[[#This Row],[HomeForecast]])^2</f>
        <v>0.58258207061908485</v>
      </c>
    </row>
    <row r="176" spans="4:10" x14ac:dyDescent="0.2">
      <c r="D176" t="s">
        <v>26</v>
      </c>
      <c r="E176">
        <f>'NHL2025-26Results'!C171</f>
        <v>4</v>
      </c>
      <c r="F176" t="s">
        <v>13</v>
      </c>
      <c r="G176">
        <f>'NHL2025-26Results'!E171</f>
        <v>3</v>
      </c>
      <c r="H176">
        <f>Table3[[#This Row],[G_1]]-Table3[[#This Row],[G]]</f>
        <v>-1</v>
      </c>
      <c r="I176">
        <f>HomeEdge+VLOOKUP(Table3[[#This Row],[Home]],$A$6:$B$38,2,FALSE)-VLOOKUP(Table3[[#This Row],[Visitor]],$A$6:$B$38,2,FALSE)</f>
        <v>0.43955893762550607</v>
      </c>
      <c r="J176">
        <f>(Table3[[#This Row],[HomeMargin]]-Table3[[#This Row],[HomeForecast]])^2</f>
        <v>2.0723299348974757</v>
      </c>
    </row>
    <row r="177" spans="4:10" x14ac:dyDescent="0.2">
      <c r="D177" t="s">
        <v>14</v>
      </c>
      <c r="E177">
        <f>'NHL2025-26Results'!C172</f>
        <v>4</v>
      </c>
      <c r="F177" t="s">
        <v>34</v>
      </c>
      <c r="G177">
        <f>'NHL2025-26Results'!E172</f>
        <v>1</v>
      </c>
      <c r="H177">
        <f>Table3[[#This Row],[G_1]]-Table3[[#This Row],[G]]</f>
        <v>-3</v>
      </c>
      <c r="I177">
        <f>HomeEdge+VLOOKUP(Table3[[#This Row],[Home]],$A$6:$B$38,2,FALSE)-VLOOKUP(Table3[[#This Row],[Visitor]],$A$6:$B$38,2,FALSE)</f>
        <v>0.18296008008693487</v>
      </c>
      <c r="J177">
        <f>(Table3[[#This Row],[HomeMargin]]-Table3[[#This Row],[HomeForecast]])^2</f>
        <v>10.131234871427027</v>
      </c>
    </row>
    <row r="178" spans="4:10" x14ac:dyDescent="0.2">
      <c r="D178" t="s">
        <v>16</v>
      </c>
      <c r="E178">
        <f>'NHL2025-26Results'!C173</f>
        <v>3</v>
      </c>
      <c r="F178" t="s">
        <v>36</v>
      </c>
      <c r="G178">
        <f>'NHL2025-26Results'!E173</f>
        <v>4</v>
      </c>
      <c r="H178">
        <f>Table3[[#This Row],[G_1]]-Table3[[#This Row],[G]]</f>
        <v>1</v>
      </c>
      <c r="I178">
        <f>HomeEdge+VLOOKUP(Table3[[#This Row],[Home]],$A$6:$B$38,2,FALSE)-VLOOKUP(Table3[[#This Row],[Visitor]],$A$6:$B$38,2,FALSE)</f>
        <v>0.91522765467980172</v>
      </c>
      <c r="J178">
        <f>(Table3[[#This Row],[HomeMargin]]-Table3[[#This Row],[HomeForecast]])^2</f>
        <v>7.1863505310869437E-3</v>
      </c>
    </row>
    <row r="179" spans="4:10" x14ac:dyDescent="0.2">
      <c r="D179" t="s">
        <v>29</v>
      </c>
      <c r="E179">
        <f>'NHL2025-26Results'!C174</f>
        <v>1</v>
      </c>
      <c r="F179" t="s">
        <v>27</v>
      </c>
      <c r="G179">
        <f>'NHL2025-26Results'!E174</f>
        <v>4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1.2112472189926657</v>
      </c>
      <c r="J179">
        <f>(Table3[[#This Row],[HomeMargin]]-Table3[[#This Row],[HomeForecast]])^2</f>
        <v>3.1996365115614722</v>
      </c>
    </row>
    <row r="180" spans="4:10" x14ac:dyDescent="0.2">
      <c r="D180" t="s">
        <v>24</v>
      </c>
      <c r="E180">
        <f>'NHL2025-26Results'!C175</f>
        <v>2</v>
      </c>
      <c r="F180" t="s">
        <v>33</v>
      </c>
      <c r="G180">
        <f>'NHL2025-26Results'!E175</f>
        <v>5</v>
      </c>
      <c r="H180">
        <f>Table3[[#This Row],[G_1]]-Table3[[#This Row],[G]]</f>
        <v>3</v>
      </c>
      <c r="I180">
        <f>HomeEdge+VLOOKUP(Table3[[#This Row],[Home]],$A$6:$B$38,2,FALSE)-VLOOKUP(Table3[[#This Row],[Visitor]],$A$6:$B$38,2,FALSE)</f>
        <v>-0.20620783869212531</v>
      </c>
      <c r="J180">
        <f>(Table3[[#This Row],[HomeMargin]]-Table3[[#This Row],[HomeForecast]])^2</f>
        <v>10.279768704890827</v>
      </c>
    </row>
    <row r="181" spans="4:10" x14ac:dyDescent="0.2">
      <c r="D181" t="s">
        <v>38</v>
      </c>
      <c r="E181">
        <f>'NHL2025-26Results'!C176</f>
        <v>4</v>
      </c>
      <c r="F181" t="s">
        <v>35</v>
      </c>
      <c r="G181">
        <f>'NHL2025-26Results'!E176</f>
        <v>3</v>
      </c>
      <c r="H181">
        <f>Table3[[#This Row],[G_1]]-Table3[[#This Row],[G]]</f>
        <v>-1</v>
      </c>
      <c r="I181">
        <f>HomeEdge+VLOOKUP(Table3[[#This Row],[Home]],$A$6:$B$38,2,FALSE)-VLOOKUP(Table3[[#This Row],[Visitor]],$A$6:$B$38,2,FALSE)</f>
        <v>-0.29578713011672653</v>
      </c>
      <c r="J181">
        <f>(Table3[[#This Row],[HomeMargin]]-Table3[[#This Row],[HomeForecast]])^2</f>
        <v>0.49591576610923627</v>
      </c>
    </row>
    <row r="182" spans="4:10" x14ac:dyDescent="0.2">
      <c r="D182" t="s">
        <v>39</v>
      </c>
      <c r="E182">
        <f>'NHL2025-26Results'!C177</f>
        <v>1</v>
      </c>
      <c r="F182" t="s">
        <v>37</v>
      </c>
      <c r="G182">
        <f>'NHL2025-26Results'!E177</f>
        <v>2</v>
      </c>
      <c r="H182">
        <f>Table3[[#This Row],[G_1]]-Table3[[#This Row],[G]]</f>
        <v>1</v>
      </c>
      <c r="I182">
        <f>HomeEdge+VLOOKUP(Table3[[#This Row],[Home]],$A$6:$B$38,2,FALSE)-VLOOKUP(Table3[[#This Row],[Visitor]],$A$6:$B$38,2,FALSE)</f>
        <v>0.20482795459583394</v>
      </c>
      <c r="J182">
        <f>(Table3[[#This Row],[HomeMargin]]-Table3[[#This Row],[HomeForecast]])^2</f>
        <v>0.63229858179224518</v>
      </c>
    </row>
    <row r="183" spans="4:10" x14ac:dyDescent="0.2">
      <c r="D183" t="s">
        <v>10</v>
      </c>
      <c r="E183">
        <f>'NHL2025-26Results'!C178</f>
        <v>3</v>
      </c>
      <c r="F183" t="s">
        <v>40</v>
      </c>
      <c r="G183">
        <f>'NHL2025-26Results'!E178</f>
        <v>6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0.22993058161945587</v>
      </c>
      <c r="J183">
        <f>(Table3[[#This Row],[HomeMargin]]-Table3[[#This Row],[HomeForecast]])^2</f>
        <v>7.6732845826471268</v>
      </c>
    </row>
    <row r="184" spans="4:10" x14ac:dyDescent="0.2">
      <c r="D184" t="s">
        <v>26</v>
      </c>
      <c r="E184">
        <f>'NHL2025-26Results'!C179</f>
        <v>2</v>
      </c>
      <c r="F184" t="s">
        <v>31</v>
      </c>
      <c r="G184">
        <f>'NHL2025-26Results'!E179</f>
        <v>5</v>
      </c>
      <c r="H184">
        <f>Table3[[#This Row],[G_1]]-Table3[[#This Row],[G]]</f>
        <v>3</v>
      </c>
      <c r="I184">
        <f>HomeEdge+VLOOKUP(Table3[[#This Row],[Home]],$A$6:$B$38,2,FALSE)-VLOOKUP(Table3[[#This Row],[Visitor]],$A$6:$B$38,2,FALSE)</f>
        <v>1.1441969563201462</v>
      </c>
      <c r="J184">
        <f>(Table3[[#This Row],[HomeMargin]]-Table3[[#This Row],[HomeForecast]])^2</f>
        <v>3.4440049369314094</v>
      </c>
    </row>
    <row r="185" spans="4:10" x14ac:dyDescent="0.2">
      <c r="D185" t="s">
        <v>12</v>
      </c>
      <c r="E185">
        <f>'NHL2025-26Results'!C180</f>
        <v>4</v>
      </c>
      <c r="F185" t="s">
        <v>20</v>
      </c>
      <c r="G185">
        <f>'NHL2025-26Results'!E180</f>
        <v>2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-1.1875573963999631</v>
      </c>
      <c r="J185">
        <f>(Table3[[#This Row],[HomeMargin]]-Table3[[#This Row],[HomeForecast]])^2</f>
        <v>0.66006298414440678</v>
      </c>
    </row>
    <row r="186" spans="4:10" x14ac:dyDescent="0.2">
      <c r="D186" t="s">
        <v>30</v>
      </c>
      <c r="E186">
        <f>'NHL2025-26Results'!C181</f>
        <v>3</v>
      </c>
      <c r="F186" t="s">
        <v>22</v>
      </c>
      <c r="G186">
        <f>'NHL2025-26Results'!E181</f>
        <v>1</v>
      </c>
      <c r="H186">
        <f>Table3[[#This Row],[G_1]]-Table3[[#This Row],[G]]</f>
        <v>-2</v>
      </c>
      <c r="I186">
        <f>HomeEdge+VLOOKUP(Table3[[#This Row],[Home]],$A$6:$B$38,2,FALSE)-VLOOKUP(Table3[[#This Row],[Visitor]],$A$6:$B$38,2,FALSE)</f>
        <v>0.19851633678585714</v>
      </c>
      <c r="J186">
        <f>(Table3[[#This Row],[HomeMargin]]-Table3[[#This Row],[HomeForecast]])^2</f>
        <v>4.8334740831143046</v>
      </c>
    </row>
    <row r="187" spans="4:10" x14ac:dyDescent="0.2">
      <c r="D187" t="s">
        <v>25</v>
      </c>
      <c r="E187">
        <f>'NHL2025-26Results'!C182</f>
        <v>1</v>
      </c>
      <c r="F187" t="s">
        <v>21</v>
      </c>
      <c r="G187">
        <f>'NHL2025-26Results'!E182</f>
        <v>2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-0.43225767323205599</v>
      </c>
      <c r="J187">
        <f>(Table3[[#This Row],[HomeMargin]]-Table3[[#This Row],[HomeForecast]])^2</f>
        <v>2.0513620425321029</v>
      </c>
    </row>
    <row r="188" spans="4:10" x14ac:dyDescent="0.2">
      <c r="D188" t="s">
        <v>22</v>
      </c>
      <c r="E188">
        <f>'NHL2025-26Results'!C183</f>
        <v>3</v>
      </c>
      <c r="F188" t="s">
        <v>23</v>
      </c>
      <c r="G188">
        <f>'NHL2025-26Results'!E183</f>
        <v>4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-0.44261875159828462</v>
      </c>
      <c r="J188">
        <f>(Table3[[#This Row],[HomeMargin]]-Table3[[#This Row],[HomeForecast]])^2</f>
        <v>2.0811488624629932</v>
      </c>
    </row>
    <row r="189" spans="4:10" x14ac:dyDescent="0.2">
      <c r="D189" t="s">
        <v>35</v>
      </c>
      <c r="E189">
        <f>'NHL2025-26Results'!C184</f>
        <v>2</v>
      </c>
      <c r="F189" t="s">
        <v>28</v>
      </c>
      <c r="G189">
        <f>'NHL2025-26Results'!E184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1.1003365037671813</v>
      </c>
      <c r="J189">
        <f>(Table3[[#This Row],[HomeMargin]]-Table3[[#This Row],[HomeForecast]])^2</f>
        <v>1.0067413988221583E-2</v>
      </c>
    </row>
    <row r="190" spans="4:10" x14ac:dyDescent="0.2">
      <c r="D190" t="s">
        <v>10</v>
      </c>
      <c r="E190">
        <f>'NHL2025-26Results'!C185</f>
        <v>2</v>
      </c>
      <c r="F190" t="s">
        <v>17</v>
      </c>
      <c r="G190">
        <f>'NHL2025-26Results'!E185</f>
        <v>3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-0.5824530077791561</v>
      </c>
      <c r="J190">
        <f>(Table3[[#This Row],[HomeMargin]]-Table3[[#This Row],[HomeForecast]])^2</f>
        <v>2.5041575218292977</v>
      </c>
    </row>
    <row r="191" spans="4:10" x14ac:dyDescent="0.2">
      <c r="D191" t="s">
        <v>39</v>
      </c>
      <c r="E191">
        <f>'NHL2025-26Results'!C186</f>
        <v>3</v>
      </c>
      <c r="F191" t="s">
        <v>11</v>
      </c>
      <c r="G191">
        <f>'NHL2025-26Results'!E186</f>
        <v>4</v>
      </c>
      <c r="H191">
        <f>Table3[[#This Row],[G_1]]-Table3[[#This Row],[G]]</f>
        <v>1</v>
      </c>
      <c r="I191">
        <f>HomeEdge+VLOOKUP(Table3[[#This Row],[Home]],$A$6:$B$38,2,FALSE)-VLOOKUP(Table3[[#This Row],[Visitor]],$A$6:$B$38,2,FALSE)</f>
        <v>-0.2452088191718382</v>
      </c>
      <c r="J191">
        <f>(Table3[[#This Row],[HomeMargin]]-Table3[[#This Row],[HomeForecast]])^2</f>
        <v>1.5505450033433237</v>
      </c>
    </row>
    <row r="192" spans="4:10" x14ac:dyDescent="0.2">
      <c r="D192" t="s">
        <v>24</v>
      </c>
      <c r="E192">
        <f>'NHL2025-26Results'!C187</f>
        <v>4</v>
      </c>
      <c r="F192" t="s">
        <v>13</v>
      </c>
      <c r="G192">
        <f>'NHL2025-26Results'!E187</f>
        <v>1</v>
      </c>
      <c r="H192">
        <f>Table3[[#This Row],[G_1]]-Table3[[#This Row],[G]]</f>
        <v>-3</v>
      </c>
      <c r="I192">
        <f>HomeEdge+VLOOKUP(Table3[[#This Row],[Home]],$A$6:$B$38,2,FALSE)-VLOOKUP(Table3[[#This Row],[Visitor]],$A$6:$B$38,2,FALSE)</f>
        <v>-0.2057656547090185</v>
      </c>
      <c r="J192">
        <f>(Table3[[#This Row],[HomeMargin]]-Table3[[#This Row],[HomeForecast]])^2</f>
        <v>7.80774557640372</v>
      </c>
    </row>
    <row r="193" spans="4:10" x14ac:dyDescent="0.2">
      <c r="D193" t="s">
        <v>38</v>
      </c>
      <c r="E193">
        <f>'NHL2025-26Results'!C188</f>
        <v>2</v>
      </c>
      <c r="F193" t="s">
        <v>34</v>
      </c>
      <c r="G193">
        <f>'NHL2025-26Results'!E188</f>
        <v>5</v>
      </c>
      <c r="H193">
        <f>Table3[[#This Row],[G_1]]-Table3[[#This Row],[G]]</f>
        <v>3</v>
      </c>
      <c r="I193">
        <f>HomeEdge+VLOOKUP(Table3[[#This Row],[Home]],$A$6:$B$38,2,FALSE)-VLOOKUP(Table3[[#This Row],[Visitor]],$A$6:$B$38,2,FALSE)</f>
        <v>1.0976029340768667</v>
      </c>
      <c r="J193">
        <f>(Table3[[#This Row],[HomeMargin]]-Table3[[#This Row],[HomeForecast]])^2</f>
        <v>3.6191145964329463</v>
      </c>
    </row>
    <row r="194" spans="4:10" x14ac:dyDescent="0.2">
      <c r="D194" t="s">
        <v>36</v>
      </c>
      <c r="E194">
        <f>'NHL2025-26Results'!C189</f>
        <v>3</v>
      </c>
      <c r="F194" t="s">
        <v>18</v>
      </c>
      <c r="G194">
        <f>'NHL2025-26Results'!E189</f>
        <v>4</v>
      </c>
      <c r="H194">
        <f>Table3[[#This Row],[G_1]]-Table3[[#This Row],[G]]</f>
        <v>1</v>
      </c>
      <c r="I194">
        <f>HomeEdge+VLOOKUP(Table3[[#This Row],[Home]],$A$6:$B$38,2,FALSE)-VLOOKUP(Table3[[#This Row],[Visitor]],$A$6:$B$38,2,FALSE)</f>
        <v>-0.29247835246682308</v>
      </c>
      <c r="J194">
        <f>(Table3[[#This Row],[HomeMargin]]-Table3[[#This Row],[HomeForecast]])^2</f>
        <v>1.6705002915953533</v>
      </c>
    </row>
    <row r="195" spans="4:10" x14ac:dyDescent="0.2">
      <c r="D195" t="s">
        <v>16</v>
      </c>
      <c r="E195">
        <f>'NHL2025-26Results'!C190</f>
        <v>2</v>
      </c>
      <c r="F195" t="s">
        <v>29</v>
      </c>
      <c r="G195">
        <f>'NHL2025-26Results'!E190</f>
        <v>4</v>
      </c>
      <c r="H195">
        <f>Table3[[#This Row],[G_1]]-Table3[[#This Row],[G]]</f>
        <v>2</v>
      </c>
      <c r="I195">
        <f>HomeEdge+VLOOKUP(Table3[[#This Row],[Home]],$A$6:$B$38,2,FALSE)-VLOOKUP(Table3[[#This Row],[Visitor]],$A$6:$B$38,2,FALSE)</f>
        <v>-0.26298781696409379</v>
      </c>
      <c r="J195">
        <f>(Table3[[#This Row],[HomeMargin]]-Table3[[#This Row],[HomeForecast]])^2</f>
        <v>5.121113859727914</v>
      </c>
    </row>
    <row r="196" spans="4:10" x14ac:dyDescent="0.2">
      <c r="D196" t="s">
        <v>19</v>
      </c>
      <c r="E196">
        <f>'NHL2025-26Results'!C191</f>
        <v>5</v>
      </c>
      <c r="F196" t="s">
        <v>27</v>
      </c>
      <c r="G196">
        <f>'NHL2025-26Results'!E191</f>
        <v>2</v>
      </c>
      <c r="H196">
        <f>Table3[[#This Row],[G_1]]-Table3[[#This Row],[G]]</f>
        <v>-3</v>
      </c>
      <c r="I196">
        <f>HomeEdge+VLOOKUP(Table3[[#This Row],[Home]],$A$6:$B$38,2,FALSE)-VLOOKUP(Table3[[#This Row],[Visitor]],$A$6:$B$38,2,FALSE)</f>
        <v>0.6507152399309416</v>
      </c>
      <c r="J196">
        <f>(Table3[[#This Row],[HomeMargin]]-Table3[[#This Row],[HomeForecast]])^2</f>
        <v>13.327721763064034</v>
      </c>
    </row>
    <row r="197" spans="4:10" x14ac:dyDescent="0.2">
      <c r="D197" t="s">
        <v>15</v>
      </c>
      <c r="E197">
        <f>'NHL2025-26Results'!C192</f>
        <v>3</v>
      </c>
      <c r="F197" t="s">
        <v>32</v>
      </c>
      <c r="G197">
        <f>'NHL2025-26Results'!E192</f>
        <v>2</v>
      </c>
      <c r="H197">
        <f>Table3[[#This Row],[G_1]]-Table3[[#This Row],[G]]</f>
        <v>-1</v>
      </c>
      <c r="I197">
        <f>HomeEdge+VLOOKUP(Table3[[#This Row],[Home]],$A$6:$B$38,2,FALSE)-VLOOKUP(Table3[[#This Row],[Visitor]],$A$6:$B$38,2,FALSE)</f>
        <v>0.18583185796859641</v>
      </c>
      <c r="J197">
        <f>(Table3[[#This Row],[HomeMargin]]-Table3[[#This Row],[HomeForecast]])^2</f>
        <v>1.4061971953732535</v>
      </c>
    </row>
    <row r="198" spans="4:10" x14ac:dyDescent="0.2">
      <c r="D198" t="s">
        <v>12</v>
      </c>
      <c r="E198">
        <f>'NHL2025-26Results'!C193</f>
        <v>2</v>
      </c>
      <c r="F198" t="s">
        <v>33</v>
      </c>
      <c r="G198">
        <f>'NHL2025-26Results'!E193</f>
        <v>3</v>
      </c>
      <c r="H198">
        <f>Table3[[#This Row],[G_1]]-Table3[[#This Row],[G]]</f>
        <v>1</v>
      </c>
      <c r="I198">
        <f>HomeEdge+VLOOKUP(Table3[[#This Row],[Home]],$A$6:$B$38,2,FALSE)-VLOOKUP(Table3[[#This Row],[Visitor]],$A$6:$B$38,2,FALSE)</f>
        <v>-1.6700749515215862</v>
      </c>
      <c r="J198">
        <f>(Table3[[#This Row],[HomeMargin]]-Table3[[#This Row],[HomeForecast]])^2</f>
        <v>7.1293002467430027</v>
      </c>
    </row>
    <row r="199" spans="4:10" x14ac:dyDescent="0.2">
      <c r="D199" t="s">
        <v>14</v>
      </c>
      <c r="E199">
        <f>'NHL2025-26Results'!C194</f>
        <v>2</v>
      </c>
      <c r="F199" t="s">
        <v>40</v>
      </c>
      <c r="G199">
        <f>'NHL2025-26Results'!E194</f>
        <v>5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0.28630126994301441</v>
      </c>
      <c r="J199">
        <f>(Table3[[#This Row],[HomeMargin]]-Table3[[#This Row],[HomeForecast]])^2</f>
        <v>7.3641607975128958</v>
      </c>
    </row>
    <row r="200" spans="4:10" x14ac:dyDescent="0.2">
      <c r="D200" t="s">
        <v>24</v>
      </c>
      <c r="E200">
        <f>'NHL2025-26Results'!C195</f>
        <v>1</v>
      </c>
      <c r="F200" t="s">
        <v>31</v>
      </c>
      <c r="G200">
        <f>'NHL2025-26Results'!E195</f>
        <v>4</v>
      </c>
      <c r="H200">
        <f>Table3[[#This Row],[G_1]]-Table3[[#This Row],[G]]</f>
        <v>3</v>
      </c>
      <c r="I200">
        <f>HomeEdge+VLOOKUP(Table3[[#This Row],[Home]],$A$6:$B$38,2,FALSE)-VLOOKUP(Table3[[#This Row],[Visitor]],$A$6:$B$38,2,FALSE)</f>
        <v>0.49887236398562163</v>
      </c>
      <c r="J200">
        <f>(Table3[[#This Row],[HomeMargin]]-Table3[[#This Row],[HomeForecast]])^2</f>
        <v>6.255639451634873</v>
      </c>
    </row>
    <row r="201" spans="4:10" x14ac:dyDescent="0.2">
      <c r="D201" t="s">
        <v>28</v>
      </c>
      <c r="E201">
        <f>'NHL2025-26Results'!C196</f>
        <v>2</v>
      </c>
      <c r="F201" t="s">
        <v>30</v>
      </c>
      <c r="G201">
        <f>'NHL2025-26Results'!E196</f>
        <v>3</v>
      </c>
      <c r="H201">
        <f>Table3[[#This Row],[G_1]]-Table3[[#This Row],[G]]</f>
        <v>1</v>
      </c>
      <c r="I201">
        <f>HomeEdge+VLOOKUP(Table3[[#This Row],[Home]],$A$6:$B$38,2,FALSE)-VLOOKUP(Table3[[#This Row],[Visitor]],$A$6:$B$38,2,FALSE)</f>
        <v>0.73556786147362907</v>
      </c>
      <c r="J201">
        <f>(Table3[[#This Row],[HomeMargin]]-Table3[[#This Row],[HomeForecast]])^2</f>
        <v>6.9924355885629827E-2</v>
      </c>
    </row>
    <row r="202" spans="4:10" x14ac:dyDescent="0.2">
      <c r="D202" t="s">
        <v>16</v>
      </c>
      <c r="E202">
        <f>'NHL2025-26Results'!C197</f>
        <v>2</v>
      </c>
      <c r="F202" t="s">
        <v>27</v>
      </c>
      <c r="G202">
        <f>'NHL2025-26Results'!E197</f>
        <v>1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0.81071601305615548</v>
      </c>
      <c r="J202">
        <f>(Table3[[#This Row],[HomeMargin]]-Table3[[#This Row],[HomeForecast]])^2</f>
        <v>3.2786924799379795</v>
      </c>
    </row>
    <row r="203" spans="4:10" x14ac:dyDescent="0.2">
      <c r="D203" t="s">
        <v>26</v>
      </c>
      <c r="E203">
        <f>'NHL2025-26Results'!C198</f>
        <v>3</v>
      </c>
      <c r="F203" t="s">
        <v>33</v>
      </c>
      <c r="G203">
        <f>'NHL2025-26Results'!E198</f>
        <v>2</v>
      </c>
      <c r="H203">
        <f>Table3[[#This Row],[G_1]]-Table3[[#This Row],[G]]</f>
        <v>-1</v>
      </c>
      <c r="I203">
        <f>HomeEdge+VLOOKUP(Table3[[#This Row],[Home]],$A$6:$B$38,2,FALSE)-VLOOKUP(Table3[[#This Row],[Visitor]],$A$6:$B$38,2,FALSE)</f>
        <v>0.43911675364239927</v>
      </c>
      <c r="J203">
        <f>(Table3[[#This Row],[HomeMargin]]-Table3[[#This Row],[HomeForecast]])^2</f>
        <v>2.071057030614238</v>
      </c>
    </row>
    <row r="204" spans="4:10" x14ac:dyDescent="0.2">
      <c r="D204" t="s">
        <v>37</v>
      </c>
      <c r="E204">
        <f>'NHL2025-26Results'!C199</f>
        <v>4</v>
      </c>
      <c r="F204" t="s">
        <v>55</v>
      </c>
      <c r="G204">
        <f>'NHL2025-26Results'!E199</f>
        <v>2</v>
      </c>
      <c r="H204">
        <f>Table3[[#This Row],[G_1]]-Table3[[#This Row],[G]]</f>
        <v>-2</v>
      </c>
      <c r="I204">
        <f>HomeEdge+VLOOKUP(Table3[[#This Row],[Home]],$A$6:$B$38,2,FALSE)-VLOOKUP(Table3[[#This Row],[Visitor]],$A$6:$B$38,2,FALSE)</f>
        <v>-0.24381449853290005</v>
      </c>
      <c r="J204">
        <f>(Table3[[#This Row],[HomeMargin]]-Table3[[#This Row],[HomeForecast]])^2</f>
        <v>3.0841875155632494</v>
      </c>
    </row>
    <row r="205" spans="4:10" x14ac:dyDescent="0.2">
      <c r="D205" t="s">
        <v>38</v>
      </c>
      <c r="E205">
        <f>'NHL2025-26Results'!C200</f>
        <v>5</v>
      </c>
      <c r="F205" t="s">
        <v>29</v>
      </c>
      <c r="G205">
        <f>'NHL2025-26Results'!E200</f>
        <v>4</v>
      </c>
      <c r="H205">
        <f>Table3[[#This Row],[G_1]]-Table3[[#This Row],[G]]</f>
        <v>-1</v>
      </c>
      <c r="I205">
        <f>HomeEdge+VLOOKUP(Table3[[#This Row],[Home]],$A$6:$B$38,2,FALSE)-VLOOKUP(Table3[[#This Row],[Visitor]],$A$6:$B$38,2,FALSE)</f>
        <v>-0.23454310761608488</v>
      </c>
      <c r="J205">
        <f>(Table3[[#This Row],[HomeMargin]]-Table3[[#This Row],[HomeForecast]])^2</f>
        <v>0.58592425409804061</v>
      </c>
    </row>
    <row r="206" spans="4:10" x14ac:dyDescent="0.2">
      <c r="D206" t="s">
        <v>10</v>
      </c>
      <c r="E206">
        <f>'NHL2025-26Results'!C201</f>
        <v>1</v>
      </c>
      <c r="F206" t="s">
        <v>32</v>
      </c>
      <c r="G206">
        <f>'NHL2025-26Results'!E201</f>
        <v>3</v>
      </c>
      <c r="H206">
        <f>Table3[[#This Row],[G_1]]-Table3[[#This Row],[G]]</f>
        <v>2</v>
      </c>
      <c r="I206">
        <f>HomeEdge+VLOOKUP(Table3[[#This Row],[Home]],$A$6:$B$38,2,FALSE)-VLOOKUP(Table3[[#This Row],[Visitor]],$A$6:$B$38,2,FALSE)</f>
        <v>-0.15989179029077943</v>
      </c>
      <c r="J206">
        <f>(Table3[[#This Row],[HomeMargin]]-Table3[[#This Row],[HomeForecast]])^2</f>
        <v>4.6651325457655082</v>
      </c>
    </row>
    <row r="207" spans="4:10" x14ac:dyDescent="0.2">
      <c r="D207" t="s">
        <v>17</v>
      </c>
      <c r="E207">
        <f>'NHL2025-26Results'!C202</f>
        <v>2</v>
      </c>
      <c r="F207" t="s">
        <v>35</v>
      </c>
      <c r="G207">
        <f>'NHL2025-26Results'!E202</f>
        <v>3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-0.54680427567864454</v>
      </c>
      <c r="J207">
        <f>(Table3[[#This Row],[HomeMargin]]-Table3[[#This Row],[HomeForecast]])^2</f>
        <v>2.3926034672577363</v>
      </c>
    </row>
    <row r="208" spans="4:10" x14ac:dyDescent="0.2">
      <c r="D208" t="s">
        <v>14</v>
      </c>
      <c r="E208">
        <f>'NHL2025-26Results'!C203</f>
        <v>3</v>
      </c>
      <c r="F208" t="s">
        <v>19</v>
      </c>
      <c r="G208">
        <f>'NHL2025-26Results'!E203</f>
        <v>4</v>
      </c>
      <c r="H208">
        <f>Table3[[#This Row],[G_1]]-Table3[[#This Row],[G]]</f>
        <v>1</v>
      </c>
      <c r="I208">
        <f>HomeEdge+VLOOKUP(Table3[[#This Row],[Home]],$A$6:$B$38,2,FALSE)-VLOOKUP(Table3[[#This Row],[Visitor]],$A$6:$B$38,2,FALSE)</f>
        <v>-0.5886539825442928</v>
      </c>
      <c r="J208">
        <f>(Table3[[#This Row],[HomeMargin]]-Table3[[#This Row],[HomeForecast]])^2</f>
        <v>2.5238214762538425</v>
      </c>
    </row>
    <row r="209" spans="4:10" x14ac:dyDescent="0.2">
      <c r="D209" t="s">
        <v>11</v>
      </c>
      <c r="E209">
        <f>'NHL2025-26Results'!C204</f>
        <v>3</v>
      </c>
      <c r="F209" t="s">
        <v>31</v>
      </c>
      <c r="G209">
        <f>'NHL2025-26Results'!E204</f>
        <v>7</v>
      </c>
      <c r="H209">
        <f>Table3[[#This Row],[G_1]]-Table3[[#This Row],[G]]</f>
        <v>4</v>
      </c>
      <c r="I209">
        <f>HomeEdge+VLOOKUP(Table3[[#This Row],[Home]],$A$6:$B$38,2,FALSE)-VLOOKUP(Table3[[#This Row],[Visitor]],$A$6:$B$38,2,FALSE)</f>
        <v>0.85920917467749869</v>
      </c>
      <c r="J209">
        <f>(Table3[[#This Row],[HomeMargin]]-Table3[[#This Row],[HomeForecast]])^2</f>
        <v>9.864567008429999</v>
      </c>
    </row>
    <row r="210" spans="4:10" x14ac:dyDescent="0.2">
      <c r="D210" t="s">
        <v>55</v>
      </c>
      <c r="E210">
        <f>'NHL2025-26Results'!C205</f>
        <v>2</v>
      </c>
      <c r="F210" t="s">
        <v>23</v>
      </c>
      <c r="G210">
        <f>'NHL2025-26Results'!E205</f>
        <v>1</v>
      </c>
      <c r="H210">
        <f>Table3[[#This Row],[G_1]]-Table3[[#This Row],[G]]</f>
        <v>-1</v>
      </c>
      <c r="I210">
        <f>HomeEdge+VLOOKUP(Table3[[#This Row],[Home]],$A$6:$B$38,2,FALSE)-VLOOKUP(Table3[[#This Row],[Visitor]],$A$6:$B$38,2,FALSE)</f>
        <v>-6.8116821847414855E-2</v>
      </c>
      <c r="J210">
        <f>(Table3[[#This Row],[HomeMargin]]-Table3[[#This Row],[HomeForecast]])^2</f>
        <v>0.86840625772376279</v>
      </c>
    </row>
    <row r="211" spans="4:10" x14ac:dyDescent="0.2">
      <c r="D211" t="s">
        <v>37</v>
      </c>
      <c r="E211">
        <f>'NHL2025-26Results'!C206</f>
        <v>2</v>
      </c>
      <c r="F211" t="s">
        <v>12</v>
      </c>
      <c r="G211">
        <f>'NHL2025-26Results'!E206</f>
        <v>3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1.5117105387260823</v>
      </c>
      <c r="J211">
        <f>(Table3[[#This Row],[HomeMargin]]-Table3[[#This Row],[HomeForecast]])^2</f>
        <v>0.26184767544333737</v>
      </c>
    </row>
    <row r="212" spans="4:10" x14ac:dyDescent="0.2">
      <c r="D212" t="s">
        <v>17</v>
      </c>
      <c r="E212">
        <f>'NHL2025-26Results'!C207</f>
        <v>3</v>
      </c>
      <c r="F212" t="s">
        <v>39</v>
      </c>
      <c r="G212">
        <f>'NHL2025-26Results'!E207</f>
        <v>4</v>
      </c>
      <c r="H212">
        <f>Table3[[#This Row],[G_1]]-Table3[[#This Row],[G]]</f>
        <v>1</v>
      </c>
      <c r="I212">
        <f>HomeEdge+VLOOKUP(Table3[[#This Row],[Home]],$A$6:$B$38,2,FALSE)-VLOOKUP(Table3[[#This Row],[Visitor]],$A$6:$B$38,2,FALSE)</f>
        <v>1.0145576515618029</v>
      </c>
      <c r="J212">
        <f>(Table3[[#This Row],[HomeMargin]]-Table3[[#This Row],[HomeForecast]])^2</f>
        <v>2.1192521899486203E-4</v>
      </c>
    </row>
    <row r="213" spans="4:10" x14ac:dyDescent="0.2">
      <c r="D213" t="s">
        <v>40</v>
      </c>
      <c r="E213">
        <f>'NHL2025-26Results'!C208</f>
        <v>0</v>
      </c>
      <c r="F213" t="s">
        <v>13</v>
      </c>
      <c r="G213">
        <f>'NHL2025-26Results'!E208</f>
        <v>3</v>
      </c>
      <c r="H213">
        <f>Table3[[#This Row],[G_1]]-Table3[[#This Row],[G]]</f>
        <v>3</v>
      </c>
      <c r="I213">
        <f>HomeEdge+VLOOKUP(Table3[[#This Row],[Home]],$A$6:$B$38,2,FALSE)-VLOOKUP(Table3[[#This Row],[Visitor]],$A$6:$B$38,2,FALSE)</f>
        <v>-0.16355037897062144</v>
      </c>
      <c r="J213">
        <f>(Table3[[#This Row],[HomeMargin]]-Table3[[#This Row],[HomeForecast]])^2</f>
        <v>10.008051000285162</v>
      </c>
    </row>
    <row r="214" spans="4:10" x14ac:dyDescent="0.2">
      <c r="D214" t="s">
        <v>29</v>
      </c>
      <c r="E214">
        <f>'NHL2025-26Results'!C209</f>
        <v>2</v>
      </c>
      <c r="F214" t="s">
        <v>34</v>
      </c>
      <c r="G214">
        <f>'NHL2025-26Results'!E209</f>
        <v>3</v>
      </c>
      <c r="H214">
        <f>Table3[[#This Row],[G_1]]-Table3[[#This Row],[G]]</f>
        <v>1</v>
      </c>
      <c r="I214">
        <f>HomeEdge+VLOOKUP(Table3[[#This Row],[Home]],$A$6:$B$38,2,FALSE)-VLOOKUP(Table3[[#This Row],[Visitor]],$A$6:$B$38,2,FALSE)</f>
        <v>1.4696894306653681</v>
      </c>
      <c r="J214">
        <f>(Table3[[#This Row],[HomeMargin]]-Table3[[#This Row],[HomeForecast]])^2</f>
        <v>0.2206081612787576</v>
      </c>
    </row>
    <row r="215" spans="4:10" x14ac:dyDescent="0.2">
      <c r="D215" t="s">
        <v>27</v>
      </c>
      <c r="E215">
        <f>'NHL2025-26Results'!C210</f>
        <v>5</v>
      </c>
      <c r="F215" t="s">
        <v>18</v>
      </c>
      <c r="G215">
        <f>'NHL2025-26Results'!E210</f>
        <v>4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-0.18796671084317684</v>
      </c>
      <c r="J215">
        <f>(Table3[[#This Row],[HomeMargin]]-Table3[[#This Row],[HomeForecast]])^2</f>
        <v>0.65939806269884882</v>
      </c>
    </row>
    <row r="216" spans="4:10" x14ac:dyDescent="0.2">
      <c r="D216" t="s">
        <v>21</v>
      </c>
      <c r="E216">
        <f>'NHL2025-26Results'!C211</f>
        <v>4</v>
      </c>
      <c r="F216" t="s">
        <v>30</v>
      </c>
      <c r="G216">
        <f>'NHL2025-26Results'!E211</f>
        <v>3</v>
      </c>
      <c r="H216">
        <f>Table3[[#This Row],[G_1]]-Table3[[#This Row],[G]]</f>
        <v>-1</v>
      </c>
      <c r="I216">
        <f>HomeEdge+VLOOKUP(Table3[[#This Row],[Home]],$A$6:$B$38,2,FALSE)-VLOOKUP(Table3[[#This Row],[Visitor]],$A$6:$B$38,2,FALSE)</f>
        <v>0.28603117523088234</v>
      </c>
      <c r="J216">
        <f>(Table3[[#This Row],[HomeMargin]]-Table3[[#This Row],[HomeForecast]])^2</f>
        <v>1.6538761836657245</v>
      </c>
    </row>
    <row r="217" spans="4:10" x14ac:dyDescent="0.2">
      <c r="D217" t="s">
        <v>25</v>
      </c>
      <c r="E217">
        <f>'NHL2025-26Results'!C212</f>
        <v>3</v>
      </c>
      <c r="F217" t="s">
        <v>15</v>
      </c>
      <c r="G217">
        <f>'NHL2025-26Results'!E212</f>
        <v>0</v>
      </c>
      <c r="H217">
        <f>Table3[[#This Row],[G_1]]-Table3[[#This Row],[G]]</f>
        <v>-3</v>
      </c>
      <c r="I217">
        <f>HomeEdge+VLOOKUP(Table3[[#This Row],[Home]],$A$6:$B$38,2,FALSE)-VLOOKUP(Table3[[#This Row],[Visitor]],$A$6:$B$38,2,FALSE)</f>
        <v>-0.7859670611263101</v>
      </c>
      <c r="J217">
        <f>(Table3[[#This Row],[HomeMargin]]-Table3[[#This Row],[HomeForecast]])^2</f>
        <v>4.9019418544176681</v>
      </c>
    </row>
    <row r="218" spans="4:10" x14ac:dyDescent="0.2">
      <c r="D218" t="s">
        <v>26</v>
      </c>
      <c r="E218">
        <f>'NHL2025-26Results'!C213</f>
        <v>0</v>
      </c>
      <c r="F218" t="s">
        <v>20</v>
      </c>
      <c r="G218">
        <f>'NHL2025-26Results'!E213</f>
        <v>1</v>
      </c>
      <c r="H218">
        <f>Table3[[#This Row],[G_1]]-Table3[[#This Row],[G]]</f>
        <v>1</v>
      </c>
      <c r="I218">
        <f>HomeEdge+VLOOKUP(Table3[[#This Row],[Home]],$A$6:$B$38,2,FALSE)-VLOOKUP(Table3[[#This Row],[Visitor]],$A$6:$B$38,2,FALSE)</f>
        <v>0.92163430876402241</v>
      </c>
      <c r="J218">
        <f>(Table3[[#This Row],[HomeMargin]]-Table3[[#This Row],[HomeForecast]])^2</f>
        <v>6.1411815628925745E-3</v>
      </c>
    </row>
    <row r="219" spans="4:10" x14ac:dyDescent="0.2">
      <c r="D219" t="s">
        <v>28</v>
      </c>
      <c r="E219">
        <f>'NHL2025-26Results'!C214</f>
        <v>1</v>
      </c>
      <c r="F219" t="s">
        <v>16</v>
      </c>
      <c r="G219">
        <f>'NHL2025-26Results'!E214</f>
        <v>5</v>
      </c>
      <c r="H219">
        <f>Table3[[#This Row],[G_1]]-Table3[[#This Row],[G]]</f>
        <v>4</v>
      </c>
      <c r="I219">
        <f>HomeEdge+VLOOKUP(Table3[[#This Row],[Home]],$A$6:$B$38,2,FALSE)-VLOOKUP(Table3[[#This Row],[Visitor]],$A$6:$B$38,2,FALSE)</f>
        <v>-0.36347449738519666</v>
      </c>
      <c r="J219">
        <f>(Table3[[#This Row],[HomeMargin]]-Table3[[#This Row],[HomeForecast]])^2</f>
        <v>19.03990968933099</v>
      </c>
    </row>
    <row r="220" spans="4:10" x14ac:dyDescent="0.2">
      <c r="D220" t="s">
        <v>33</v>
      </c>
      <c r="E220">
        <f>'NHL2025-26Results'!C215</f>
        <v>6</v>
      </c>
      <c r="F220" t="s">
        <v>32</v>
      </c>
      <c r="G220">
        <f>'NHL2025-26Results'!E215</f>
        <v>1</v>
      </c>
      <c r="H220">
        <f>Table3[[#This Row],[G_1]]-Table3[[#This Row],[G]]</f>
        <v>-5</v>
      </c>
      <c r="I220">
        <f>HomeEdge+VLOOKUP(Table3[[#This Row],[Home]],$A$6:$B$38,2,FALSE)-VLOOKUP(Table3[[#This Row],[Visitor]],$A$6:$B$38,2,FALSE)</f>
        <v>4.9256968988325656E-2</v>
      </c>
      <c r="J220">
        <f>(Table3[[#This Row],[HomeMargin]]-Table3[[#This Row],[HomeForecast]])^2</f>
        <v>25.494995938877175</v>
      </c>
    </row>
    <row r="221" spans="4:10" x14ac:dyDescent="0.2">
      <c r="D221" t="s">
        <v>55</v>
      </c>
      <c r="E221">
        <f>'NHL2025-26Results'!C216</f>
        <v>3</v>
      </c>
      <c r="F221" t="s">
        <v>19</v>
      </c>
      <c r="G221">
        <f>'NHL2025-26Results'!E216</f>
        <v>5</v>
      </c>
      <c r="H221">
        <f>Table3[[#This Row],[G_1]]-Table3[[#This Row],[G]]</f>
        <v>2</v>
      </c>
      <c r="I221">
        <f>HomeEdge+VLOOKUP(Table3[[#This Row],[Home]],$A$6:$B$38,2,FALSE)-VLOOKUP(Table3[[#This Row],[Visitor]],$A$6:$B$38,2,FALSE)</f>
        <v>-0.48796921482376654</v>
      </c>
      <c r="J221">
        <f>(Table3[[#This Row],[HomeMargin]]-Table3[[#This Row],[HomeForecast]])^2</f>
        <v>6.1899908139107884</v>
      </c>
    </row>
    <row r="222" spans="4:10" x14ac:dyDescent="0.2">
      <c r="D222" t="s">
        <v>10</v>
      </c>
      <c r="E222">
        <f>'NHL2025-26Results'!C217</f>
        <v>5</v>
      </c>
      <c r="F222" t="s">
        <v>38</v>
      </c>
      <c r="G222">
        <f>'NHL2025-26Results'!E217</f>
        <v>2</v>
      </c>
      <c r="H222">
        <f>Table3[[#This Row],[G_1]]-Table3[[#This Row],[G]]</f>
        <v>-3</v>
      </c>
      <c r="I222">
        <f>HomeEdge+VLOOKUP(Table3[[#This Row],[Home]],$A$6:$B$38,2,FALSE)-VLOOKUP(Table3[[#This Row],[Visitor]],$A$6:$B$38,2,FALSE)</f>
        <v>-0.8334701533410741</v>
      </c>
      <c r="J222">
        <f>(Table3[[#This Row],[HomeMargin]]-Table3[[#This Row],[HomeForecast]])^2</f>
        <v>4.6938515764639481</v>
      </c>
    </row>
    <row r="223" spans="4:10" x14ac:dyDescent="0.2">
      <c r="D223" t="s">
        <v>35</v>
      </c>
      <c r="E223">
        <f>'NHL2025-26Results'!C218</f>
        <v>1</v>
      </c>
      <c r="F223" t="s">
        <v>22</v>
      </c>
      <c r="G223">
        <f>'NHL2025-26Results'!E218</f>
        <v>6</v>
      </c>
      <c r="H223">
        <f>Table3[[#This Row],[G_1]]-Table3[[#This Row],[G]]</f>
        <v>5</v>
      </c>
      <c r="I223">
        <f>HomeEdge+VLOOKUP(Table3[[#This Row],[Home]],$A$6:$B$38,2,FALSE)-VLOOKUP(Table3[[#This Row],[Visitor]],$A$6:$B$38,2,FALSE)</f>
        <v>1.7593339240818349</v>
      </c>
      <c r="J223">
        <f>(Table3[[#This Row],[HomeMargin]]-Table3[[#This Row],[HomeForecast]])^2</f>
        <v>10.501916615606838</v>
      </c>
    </row>
    <row r="224" spans="4:10" x14ac:dyDescent="0.2">
      <c r="D224" t="s">
        <v>36</v>
      </c>
      <c r="E224">
        <f>'NHL2025-26Results'!C219</f>
        <v>2</v>
      </c>
      <c r="F224" t="s">
        <v>21</v>
      </c>
      <c r="G224">
        <f>'NHL2025-26Results'!E219</f>
        <v>3</v>
      </c>
      <c r="H224">
        <f>Table3[[#This Row],[G_1]]-Table3[[#This Row],[G]]</f>
        <v>1</v>
      </c>
      <c r="I224">
        <f>HomeEdge+VLOOKUP(Table3[[#This Row],[Home]],$A$6:$B$38,2,FALSE)-VLOOKUP(Table3[[#This Row],[Visitor]],$A$6:$B$38,2,FALSE)</f>
        <v>0.3104136958653908</v>
      </c>
      <c r="J224">
        <f>(Table3[[#This Row],[HomeMargin]]-Table3[[#This Row],[HomeForecast]])^2</f>
        <v>0.47552927085002972</v>
      </c>
    </row>
    <row r="225" spans="4:10" x14ac:dyDescent="0.2">
      <c r="D225" t="s">
        <v>35</v>
      </c>
      <c r="E225">
        <f>'NHL2025-26Results'!C220</f>
        <v>3</v>
      </c>
      <c r="F225" t="s">
        <v>23</v>
      </c>
      <c r="G225">
        <f>'NHL2025-26Results'!E220</f>
        <v>0</v>
      </c>
      <c r="H225">
        <f>Table3[[#This Row],[G_1]]-Table3[[#This Row],[G]]</f>
        <v>-3</v>
      </c>
      <c r="I225">
        <f>HomeEdge+VLOOKUP(Table3[[#This Row],[Home]],$A$6:$B$38,2,FALSE)-VLOOKUP(Table3[[#This Row],[Visitor]],$A$6:$B$38,2,FALSE)</f>
        <v>1.1791717835111339</v>
      </c>
      <c r="J225">
        <f>(Table3[[#This Row],[HomeMargin]]-Table3[[#This Row],[HomeForecast]])^2</f>
        <v>17.465476796095629</v>
      </c>
    </row>
    <row r="226" spans="4:10" x14ac:dyDescent="0.2">
      <c r="D226" t="s">
        <v>34</v>
      </c>
      <c r="E226">
        <f>'NHL2025-26Results'!C221</f>
        <v>3</v>
      </c>
      <c r="F226" t="s">
        <v>25</v>
      </c>
      <c r="G226">
        <f>'NHL2025-26Results'!E221</f>
        <v>4</v>
      </c>
      <c r="H226">
        <f>Table3[[#This Row],[G_1]]-Table3[[#This Row],[G]]</f>
        <v>1</v>
      </c>
      <c r="I226">
        <f>HomeEdge+VLOOKUP(Table3[[#This Row],[Home]],$A$6:$B$38,2,FALSE)-VLOOKUP(Table3[[#This Row],[Visitor]],$A$6:$B$38,2,FALSE)</f>
        <v>0.72628418802080685</v>
      </c>
      <c r="J226">
        <f>(Table3[[#This Row],[HomeMargin]]-Table3[[#This Row],[HomeForecast]])^2</f>
        <v>7.4920345727429019E-2</v>
      </c>
    </row>
    <row r="227" spans="4:10" x14ac:dyDescent="0.2">
      <c r="D227" t="s">
        <v>31</v>
      </c>
      <c r="E227">
        <f>'NHL2025-26Results'!C222</f>
        <v>7</v>
      </c>
      <c r="F227" t="s">
        <v>39</v>
      </c>
      <c r="G227">
        <f>'NHL2025-26Results'!E222</f>
        <v>5</v>
      </c>
      <c r="H227">
        <f>Table3[[#This Row],[G_1]]-Table3[[#This Row],[G]]</f>
        <v>-2</v>
      </c>
      <c r="I227">
        <f>HomeEdge+VLOOKUP(Table3[[#This Row],[Home]],$A$6:$B$38,2,FALSE)-VLOOKUP(Table3[[#This Row],[Visitor]],$A$6:$B$38,2,FALSE)</f>
        <v>-0.20137018858841141</v>
      </c>
      <c r="J227">
        <f>(Table3[[#This Row],[HomeMargin]]-Table3[[#This Row],[HomeForecast]])^2</f>
        <v>3.2350691984984867</v>
      </c>
    </row>
    <row r="228" spans="4:10" x14ac:dyDescent="0.2">
      <c r="D228" t="s">
        <v>11</v>
      </c>
      <c r="E228">
        <f>'NHL2025-26Results'!C223</f>
        <v>5</v>
      </c>
      <c r="F228" t="s">
        <v>13</v>
      </c>
      <c r="G228">
        <f>'NHL2025-26Results'!E223</f>
        <v>2</v>
      </c>
      <c r="H228">
        <f>Table3[[#This Row],[G_1]]-Table3[[#This Row],[G]]</f>
        <v>-3</v>
      </c>
      <c r="I228">
        <f>HomeEdge+VLOOKUP(Table3[[#This Row],[Home]],$A$6:$B$38,2,FALSE)-VLOOKUP(Table3[[#This Row],[Visitor]],$A$6:$B$38,2,FALSE)</f>
        <v>0.15457115598285859</v>
      </c>
      <c r="J228">
        <f>(Table3[[#This Row],[HomeMargin]]-Table3[[#This Row],[HomeForecast]])^2</f>
        <v>9.9513191781590269</v>
      </c>
    </row>
    <row r="229" spans="4:10" x14ac:dyDescent="0.2">
      <c r="D229" t="s">
        <v>18</v>
      </c>
      <c r="E229">
        <f>'NHL2025-26Results'!C224</f>
        <v>3</v>
      </c>
      <c r="F229" t="s">
        <v>24</v>
      </c>
      <c r="G229">
        <f>'NHL2025-26Results'!E224</f>
        <v>4</v>
      </c>
      <c r="H229">
        <f>Table3[[#This Row],[G_1]]-Table3[[#This Row],[G]]</f>
        <v>1</v>
      </c>
      <c r="I229">
        <f>HomeEdge+VLOOKUP(Table3[[#This Row],[Home]],$A$6:$B$38,2,FALSE)-VLOOKUP(Table3[[#This Row],[Visitor]],$A$6:$B$38,2,FALSE)</f>
        <v>0.86705216605518853</v>
      </c>
      <c r="J229">
        <f>(Table3[[#This Row],[HomeMargin]]-Table3[[#This Row],[HomeForecast]])^2</f>
        <v>1.7675126550617162E-2</v>
      </c>
    </row>
    <row r="230" spans="4:10" x14ac:dyDescent="0.2">
      <c r="D230" t="s">
        <v>27</v>
      </c>
      <c r="E230">
        <f>'NHL2025-26Results'!C225</f>
        <v>3</v>
      </c>
      <c r="F230" t="s">
        <v>29</v>
      </c>
      <c r="G230">
        <f>'NHL2025-26Results'!E225</f>
        <v>1</v>
      </c>
      <c r="H230">
        <f>Table3[[#This Row],[G_1]]-Table3[[#This Row],[G]]</f>
        <v>-2</v>
      </c>
      <c r="I230">
        <f>HomeEdge+VLOOKUP(Table3[[#This Row],[Home]],$A$6:$B$38,2,FALSE)-VLOOKUP(Table3[[#This Row],[Visitor]],$A$6:$B$38,2,FALSE)</f>
        <v>-0.93616044104783291</v>
      </c>
      <c r="J230">
        <f>(Table3[[#This Row],[HomeMargin]]-Table3[[#This Row],[HomeForecast]])^2</f>
        <v>1.1317546071915412</v>
      </c>
    </row>
    <row r="231" spans="4:10" x14ac:dyDescent="0.2">
      <c r="D231" t="s">
        <v>22</v>
      </c>
      <c r="E231">
        <f>'NHL2025-26Results'!C226</f>
        <v>3</v>
      </c>
      <c r="F231" t="s">
        <v>14</v>
      </c>
      <c r="G231">
        <f>'NHL2025-26Results'!E226</f>
        <v>5</v>
      </c>
      <c r="H231">
        <f>Table3[[#This Row],[G_1]]-Table3[[#This Row],[G]]</f>
        <v>2</v>
      </c>
      <c r="I231">
        <f>HomeEdge+VLOOKUP(Table3[[#This Row],[Home]],$A$6:$B$38,2,FALSE)-VLOOKUP(Table3[[#This Row],[Visitor]],$A$6:$B$38,2,FALSE)</f>
        <v>-0.13627377305792715</v>
      </c>
      <c r="J231">
        <f>(Table3[[#This Row],[HomeMargin]]-Table3[[#This Row],[HomeForecast]])^2</f>
        <v>4.5636656334551517</v>
      </c>
    </row>
    <row r="232" spans="4:10" x14ac:dyDescent="0.2">
      <c r="D232" t="s">
        <v>37</v>
      </c>
      <c r="E232">
        <f>'NHL2025-26Results'!C227</f>
        <v>6</v>
      </c>
      <c r="F232" t="s">
        <v>20</v>
      </c>
      <c r="G232">
        <f>'NHL2025-26Results'!E227</f>
        <v>3</v>
      </c>
      <c r="H232">
        <f>Table3[[#This Row],[G_1]]-Table3[[#This Row],[G]]</f>
        <v>-3</v>
      </c>
      <c r="I232">
        <f>HomeEdge+VLOOKUP(Table3[[#This Row],[Home]],$A$6:$B$38,2,FALSE)-VLOOKUP(Table3[[#This Row],[Visitor]],$A$6:$B$38,2,FALSE)</f>
        <v>0.18660975335370272</v>
      </c>
      <c r="J232">
        <f>(Table3[[#This Row],[HomeMargin]]-Table3[[#This Row],[HomeForecast]])^2</f>
        <v>10.154481720168947</v>
      </c>
    </row>
    <row r="233" spans="4:10" x14ac:dyDescent="0.2">
      <c r="D233" t="s">
        <v>10</v>
      </c>
      <c r="E233">
        <f>'NHL2025-26Results'!C228</f>
        <v>4</v>
      </c>
      <c r="F233" t="s">
        <v>16</v>
      </c>
      <c r="G233">
        <f>'NHL2025-26Results'!E228</f>
        <v>0</v>
      </c>
      <c r="H233">
        <f>Table3[[#This Row],[G_1]]-Table3[[#This Row],[G]]</f>
        <v>-4</v>
      </c>
      <c r="I233">
        <f>HomeEdge+VLOOKUP(Table3[[#This Row],[Home]],$A$6:$B$38,2,FALSE)-VLOOKUP(Table3[[#This Row],[Visitor]],$A$6:$B$38,2,FALSE)</f>
        <v>-0.80502544399306519</v>
      </c>
      <c r="J233">
        <f>(Table3[[#This Row],[HomeMargin]]-Table3[[#This Row],[HomeForecast]])^2</f>
        <v>10.207862413531711</v>
      </c>
    </row>
    <row r="234" spans="4:10" x14ac:dyDescent="0.2">
      <c r="D234" t="s">
        <v>15</v>
      </c>
      <c r="E234">
        <f>'NHL2025-26Results'!C229</f>
        <v>4</v>
      </c>
      <c r="F234" t="s">
        <v>26</v>
      </c>
      <c r="G234">
        <f>'NHL2025-26Results'!E229</f>
        <v>1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-2.7455086717295796E-2</v>
      </c>
      <c r="J234">
        <f>(Table3[[#This Row],[HomeMargin]]-Table3[[#This Row],[HomeForecast]])^2</f>
        <v>8.8360232614828789</v>
      </c>
    </row>
    <row r="235" spans="4:10" x14ac:dyDescent="0.2">
      <c r="D235" t="s">
        <v>34</v>
      </c>
      <c r="E235">
        <f>'NHL2025-26Results'!C230</f>
        <v>5</v>
      </c>
      <c r="F235" t="s">
        <v>30</v>
      </c>
      <c r="G235">
        <f>'NHL2025-26Results'!E230</f>
        <v>2</v>
      </c>
      <c r="H235">
        <f>Table3[[#This Row],[G_1]]-Table3[[#This Row],[G]]</f>
        <v>-3</v>
      </c>
      <c r="I235">
        <f>HomeEdge+VLOOKUP(Table3[[#This Row],[Home]],$A$6:$B$38,2,FALSE)-VLOOKUP(Table3[[#This Row],[Visitor]],$A$6:$B$38,2,FALSE)</f>
        <v>0.30497091207480059</v>
      </c>
      <c r="J235">
        <f>(Table3[[#This Row],[HomeMargin]]-Table3[[#This Row],[HomeForecast]])^2</f>
        <v>10.92283272966054</v>
      </c>
    </row>
    <row r="236" spans="4:10" x14ac:dyDescent="0.2">
      <c r="D236" t="s">
        <v>40</v>
      </c>
      <c r="E236">
        <f>'NHL2025-26Results'!C231</f>
        <v>1</v>
      </c>
      <c r="F236" t="s">
        <v>33</v>
      </c>
      <c r="G236">
        <f>'NHL2025-26Results'!E231</f>
        <v>2</v>
      </c>
      <c r="H236">
        <f>Table3[[#This Row],[G_1]]-Table3[[#This Row],[G]]</f>
        <v>1</v>
      </c>
      <c r="I236">
        <f>HomeEdge+VLOOKUP(Table3[[#This Row],[Home]],$A$6:$B$38,2,FALSE)-VLOOKUP(Table3[[#This Row],[Visitor]],$A$6:$B$38,2,FALSE)</f>
        <v>-0.16399256295372824</v>
      </c>
      <c r="J236">
        <f>(Table3[[#This Row],[HomeMargin]]-Table3[[#This Row],[HomeForecast]])^2</f>
        <v>1.3548786866115889</v>
      </c>
    </row>
    <row r="237" spans="4:10" x14ac:dyDescent="0.2">
      <c r="D237" t="s">
        <v>23</v>
      </c>
      <c r="E237">
        <f>'NHL2025-26Results'!C232</f>
        <v>3</v>
      </c>
      <c r="F237" t="s">
        <v>25</v>
      </c>
      <c r="G237">
        <f>'NHL2025-26Results'!E232</f>
        <v>6</v>
      </c>
      <c r="H237">
        <f>Table3[[#This Row],[G_1]]-Table3[[#This Row],[G]]</f>
        <v>3</v>
      </c>
      <c r="I237">
        <f>HomeEdge+VLOOKUP(Table3[[#This Row],[Home]],$A$6:$B$38,2,FALSE)-VLOOKUP(Table3[[#This Row],[Visitor]],$A$6:$B$38,2,FALSE)</f>
        <v>1.0780458576756828</v>
      </c>
      <c r="J237">
        <f>(Table3[[#This Row],[HomeMargin]]-Table3[[#This Row],[HomeForecast]])^2</f>
        <v>3.6939077251976018</v>
      </c>
    </row>
    <row r="238" spans="4:10" x14ac:dyDescent="0.2">
      <c r="D238" t="s">
        <v>12</v>
      </c>
      <c r="E238">
        <f>'NHL2025-26Results'!C233</f>
        <v>9</v>
      </c>
      <c r="F238" t="s">
        <v>17</v>
      </c>
      <c r="G238">
        <f>'NHL2025-26Results'!E233</f>
        <v>1</v>
      </c>
      <c r="H238">
        <f>Table3[[#This Row],[G_1]]-Table3[[#This Row],[G]]</f>
        <v>-8</v>
      </c>
      <c r="I238">
        <f>HomeEdge+VLOOKUP(Table3[[#This Row],[Home]],$A$6:$B$38,2,FALSE)-VLOOKUP(Table3[[#This Row],[Visitor]],$A$6:$B$38,2,FALSE)</f>
        <v>-2.1809225889940533</v>
      </c>
      <c r="J238">
        <f>(Table3[[#This Row],[HomeMargin]]-Table3[[#This Row],[HomeForecast]])^2</f>
        <v>33.861661915279669</v>
      </c>
    </row>
    <row r="239" spans="4:10" x14ac:dyDescent="0.2">
      <c r="D239" t="s">
        <v>55</v>
      </c>
      <c r="E239">
        <f>'NHL2025-26Results'!C234</f>
        <v>2</v>
      </c>
      <c r="F239" t="s">
        <v>18</v>
      </c>
      <c r="G239">
        <f>'NHL2025-26Results'!E234</f>
        <v>6</v>
      </c>
      <c r="H239">
        <f>Table3[[#This Row],[G_1]]-Table3[[#This Row],[G]]</f>
        <v>4</v>
      </c>
      <c r="I239">
        <f>HomeEdge+VLOOKUP(Table3[[#This Row],[Home]],$A$6:$B$38,2,FALSE)-VLOOKUP(Table3[[#This Row],[Visitor]],$A$6:$B$38,2,FALSE)</f>
        <v>-0.3003074636808345</v>
      </c>
      <c r="J239">
        <f>(Table3[[#This Row],[HomeMargin]]-Table3[[#This Row],[HomeForecast]])^2</f>
        <v>18.49264428218909</v>
      </c>
    </row>
    <row r="240" spans="4:10" x14ac:dyDescent="0.2">
      <c r="D240" t="s">
        <v>14</v>
      </c>
      <c r="E240">
        <f>'NHL2025-26Results'!C235</f>
        <v>1</v>
      </c>
      <c r="F240" t="s">
        <v>24</v>
      </c>
      <c r="G240">
        <f>'NHL2025-26Results'!E235</f>
        <v>2</v>
      </c>
      <c r="H240">
        <f>Table3[[#This Row],[G_1]]-Table3[[#This Row],[G]]</f>
        <v>1</v>
      </c>
      <c r="I240">
        <f>HomeEdge+VLOOKUP(Table3[[#This Row],[Home]],$A$6:$B$38,2,FALSE)-VLOOKUP(Table3[[#This Row],[Visitor]],$A$6:$B$38,2,FALSE)</f>
        <v>0.32851654568141148</v>
      </c>
      <c r="J240">
        <f>(Table3[[#This Row],[HomeMargin]]-Table3[[#This Row],[HomeForecast]])^2</f>
        <v>0.45089002942362405</v>
      </c>
    </row>
    <row r="241" spans="4:10" x14ac:dyDescent="0.2">
      <c r="D241" t="s">
        <v>39</v>
      </c>
      <c r="E241">
        <f>'NHL2025-26Results'!C236</f>
        <v>5</v>
      </c>
      <c r="F241" t="s">
        <v>29</v>
      </c>
      <c r="G241">
        <f>'NHL2025-26Results'!E236</f>
        <v>4</v>
      </c>
      <c r="H241">
        <f>Table3[[#This Row],[G_1]]-Table3[[#This Row],[G]]</f>
        <v>-1</v>
      </c>
      <c r="I241">
        <f>HomeEdge+VLOOKUP(Table3[[#This Row],[Home]],$A$6:$B$38,2,FALSE)-VLOOKUP(Table3[[#This Row],[Visitor]],$A$6:$B$38,2,FALSE)</f>
        <v>-1.3625745157673894</v>
      </c>
      <c r="J241">
        <f>(Table3[[#This Row],[HomeMargin]]-Table3[[#This Row],[HomeForecast]])^2</f>
        <v>0.13146027948395692</v>
      </c>
    </row>
    <row r="242" spans="4:10" x14ac:dyDescent="0.2">
      <c r="D242" t="s">
        <v>30</v>
      </c>
      <c r="E242">
        <f>'NHL2025-26Results'!C237</f>
        <v>5</v>
      </c>
      <c r="F242" t="s">
        <v>15</v>
      </c>
      <c r="G242">
        <f>'NHL2025-26Results'!E237</f>
        <v>0</v>
      </c>
      <c r="H242">
        <f>Table3[[#This Row],[G_1]]-Table3[[#This Row],[G]]</f>
        <v>-5</v>
      </c>
      <c r="I242">
        <f>HomeEdge+VLOOKUP(Table3[[#This Row],[Home]],$A$6:$B$38,2,FALSE)-VLOOKUP(Table3[[#This Row],[Visitor]],$A$6:$B$38,2,FALSE)</f>
        <v>-0.36465378518030372</v>
      </c>
      <c r="J242">
        <f>(Table3[[#This Row],[HomeMargin]]-Table3[[#This Row],[HomeForecast]])^2</f>
        <v>21.486434531243287</v>
      </c>
    </row>
    <row r="243" spans="4:10" x14ac:dyDescent="0.2">
      <c r="D243" t="s">
        <v>36</v>
      </c>
      <c r="E243">
        <f>'NHL2025-26Results'!C238</f>
        <v>3</v>
      </c>
      <c r="F243" t="s">
        <v>27</v>
      </c>
      <c r="G243">
        <f>'NHL2025-26Results'!E238</f>
        <v>2</v>
      </c>
      <c r="H243">
        <f>Table3[[#This Row],[G_1]]-Table3[[#This Row],[G]]</f>
        <v>-1</v>
      </c>
      <c r="I243">
        <f>HomeEdge+VLOOKUP(Table3[[#This Row],[Home]],$A$6:$B$38,2,FALSE)-VLOOKUP(Table3[[#This Row],[Visitor]],$A$6:$B$38,2,FALSE)</f>
        <v>3.3031747348770124E-2</v>
      </c>
      <c r="J243">
        <f>(Table3[[#This Row],[HomeMargin]]-Table3[[#This Row],[HomeForecast]])^2</f>
        <v>1.0671545910304534</v>
      </c>
    </row>
    <row r="244" spans="4:10" x14ac:dyDescent="0.2">
      <c r="D244" t="s">
        <v>11</v>
      </c>
      <c r="E244">
        <f>'NHL2025-26Results'!C239</f>
        <v>1</v>
      </c>
      <c r="F244" t="s">
        <v>33</v>
      </c>
      <c r="G244">
        <f>'NHL2025-26Results'!E239</f>
        <v>3</v>
      </c>
      <c r="H244">
        <f>Table3[[#This Row],[G_1]]-Table3[[#This Row],[G]]</f>
        <v>2</v>
      </c>
      <c r="I244">
        <f>HomeEdge+VLOOKUP(Table3[[#This Row],[Home]],$A$6:$B$38,2,FALSE)-VLOOKUP(Table3[[#This Row],[Visitor]],$A$6:$B$38,2,FALSE)</f>
        <v>0.15412897199975178</v>
      </c>
      <c r="J244">
        <f>(Table3[[#This Row],[HomeMargin]]-Table3[[#This Row],[HomeForecast]])^2</f>
        <v>3.4072398520106928</v>
      </c>
    </row>
    <row r="245" spans="4:10" x14ac:dyDescent="0.2">
      <c r="D245" t="s">
        <v>32</v>
      </c>
      <c r="E245">
        <f>'NHL2025-26Results'!C240</f>
        <v>4</v>
      </c>
      <c r="F245" t="s">
        <v>35</v>
      </c>
      <c r="G245">
        <f>'NHL2025-26Results'!E240</f>
        <v>3</v>
      </c>
      <c r="H245">
        <f>Table3[[#This Row],[G_1]]-Table3[[#This Row],[G]]</f>
        <v>-1</v>
      </c>
      <c r="I245">
        <f>HomeEdge+VLOOKUP(Table3[[#This Row],[Home]],$A$6:$B$38,2,FALSE)-VLOOKUP(Table3[[#This Row],[Visitor]],$A$6:$B$38,2,FALSE)</f>
        <v>-0.96936549316702125</v>
      </c>
      <c r="J245">
        <f>(Table3[[#This Row],[HomeMargin]]-Table3[[#This Row],[HomeForecast]])^2</f>
        <v>9.3847300889982152E-4</v>
      </c>
    </row>
    <row r="246" spans="4:10" x14ac:dyDescent="0.2">
      <c r="D246" t="s">
        <v>22</v>
      </c>
      <c r="E246">
        <f>'NHL2025-26Results'!C241</f>
        <v>2</v>
      </c>
      <c r="F246" t="s">
        <v>37</v>
      </c>
      <c r="G246">
        <f>'NHL2025-26Results'!E241</f>
        <v>3</v>
      </c>
      <c r="H246">
        <f>Table3[[#This Row],[G_1]]-Table3[[#This Row],[G]]</f>
        <v>1</v>
      </c>
      <c r="I246">
        <f>HomeEdge+VLOOKUP(Table3[[#This Row],[Home]],$A$6:$B$38,2,FALSE)-VLOOKUP(Table3[[#This Row],[Visitor]],$A$6:$B$38,2,FALSE)</f>
        <v>0.144399346726863</v>
      </c>
      <c r="J246">
        <f>(Table3[[#This Row],[HomeMargin]]-Table3[[#This Row],[HomeForecast]])^2</f>
        <v>0.73205247788141892</v>
      </c>
    </row>
    <row r="247" spans="4:10" x14ac:dyDescent="0.2">
      <c r="D247" t="s">
        <v>21</v>
      </c>
      <c r="E247">
        <f>'NHL2025-26Results'!C242</f>
        <v>5</v>
      </c>
      <c r="F247" t="s">
        <v>19</v>
      </c>
      <c r="G247">
        <f>'NHL2025-26Results'!E242</f>
        <v>3</v>
      </c>
      <c r="H247">
        <f>Table3[[#This Row],[G_1]]-Table3[[#This Row],[G]]</f>
        <v>-2</v>
      </c>
      <c r="I247">
        <f>HomeEdge+VLOOKUP(Table3[[#This Row],[Home]],$A$6:$B$38,2,FALSE)-VLOOKUP(Table3[[#This Row],[Visitor]],$A$6:$B$38,2,FALSE)</f>
        <v>-0.65301041050272957</v>
      </c>
      <c r="J247">
        <f>(Table3[[#This Row],[HomeMargin]]-Table3[[#This Row],[HomeForecast]])^2</f>
        <v>1.8143809542140248</v>
      </c>
    </row>
    <row r="248" spans="4:10" x14ac:dyDescent="0.2">
      <c r="D248" t="s">
        <v>28</v>
      </c>
      <c r="E248">
        <f>'NHL2025-26Results'!C243</f>
        <v>3</v>
      </c>
      <c r="F248" t="s">
        <v>38</v>
      </c>
      <c r="G248">
        <f>'NHL2025-26Results'!E243</f>
        <v>4</v>
      </c>
      <c r="H248">
        <f>Table3[[#This Row],[G_1]]-Table3[[#This Row],[G]]</f>
        <v>1</v>
      </c>
      <c r="I248">
        <f>HomeEdge+VLOOKUP(Table3[[#This Row],[Home]],$A$6:$B$38,2,FALSE)-VLOOKUP(Table3[[#This Row],[Visitor]],$A$6:$B$38,2,FALSE)</f>
        <v>-0.39191920673320557</v>
      </c>
      <c r="J248">
        <f>(Table3[[#This Row],[HomeMargin]]-Table3[[#This Row],[HomeForecast]])^2</f>
        <v>1.9374390780727964</v>
      </c>
    </row>
    <row r="249" spans="4:10" x14ac:dyDescent="0.2">
      <c r="D249" t="s">
        <v>31</v>
      </c>
      <c r="E249">
        <f>'NHL2025-26Results'!C244</f>
        <v>4</v>
      </c>
      <c r="F249" t="s">
        <v>20</v>
      </c>
      <c r="G249">
        <f>'NHL2025-26Results'!E244</f>
        <v>3</v>
      </c>
      <c r="H249">
        <f>Table3[[#This Row],[G_1]]-Table3[[#This Row],[G]]</f>
        <v>-1</v>
      </c>
      <c r="I249">
        <f>HomeEdge+VLOOKUP(Table3[[#This Row],[Home]],$A$6:$B$38,2,FALSE)-VLOOKUP(Table3[[#This Row],[Visitor]],$A$6:$B$38,2,FALSE)</f>
        <v>-8.5019258583707458E-2</v>
      </c>
      <c r="J249">
        <f>(Table3[[#This Row],[HomeMargin]]-Table3[[#This Row],[HomeForecast]])^2</f>
        <v>0.83718975716270827</v>
      </c>
    </row>
    <row r="250" spans="4:10" x14ac:dyDescent="0.2">
      <c r="D250" t="s">
        <v>40</v>
      </c>
      <c r="E250">
        <f>'NHL2025-26Results'!C245</f>
        <v>1</v>
      </c>
      <c r="F250" t="s">
        <v>31</v>
      </c>
      <c r="G250">
        <f>'NHL2025-26Results'!E245</f>
        <v>4</v>
      </c>
      <c r="H250">
        <f>Table3[[#This Row],[G_1]]-Table3[[#This Row],[G]]</f>
        <v>3</v>
      </c>
      <c r="I250">
        <f>HomeEdge+VLOOKUP(Table3[[#This Row],[Home]],$A$6:$B$38,2,FALSE)-VLOOKUP(Table3[[#This Row],[Visitor]],$A$6:$B$38,2,FALSE)</f>
        <v>0.54108763972401863</v>
      </c>
      <c r="J250">
        <f>(Table3[[#This Row],[HomeMargin]]-Table3[[#This Row],[HomeForecast]])^2</f>
        <v>6.0462499955179974</v>
      </c>
    </row>
    <row r="251" spans="4:10" x14ac:dyDescent="0.2">
      <c r="D251" t="s">
        <v>32</v>
      </c>
      <c r="E251">
        <f>'NHL2025-26Results'!C246</f>
        <v>1</v>
      </c>
      <c r="F251" t="s">
        <v>39</v>
      </c>
      <c r="G251">
        <f>'NHL2025-26Results'!E246</f>
        <v>2</v>
      </c>
      <c r="H251">
        <f>Table3[[#This Row],[G_1]]-Table3[[#This Row],[G]]</f>
        <v>1</v>
      </c>
      <c r="I251">
        <f>HomeEdge+VLOOKUP(Table3[[#This Row],[Home]],$A$6:$B$38,2,FALSE)-VLOOKUP(Table3[[#This Row],[Visitor]],$A$6:$B$38,2,FALSE)</f>
        <v>0.59199643407342617</v>
      </c>
      <c r="J251">
        <f>(Table3[[#This Row],[HomeMargin]]-Table3[[#This Row],[HomeForecast]])^2</f>
        <v>0.16646690980880008</v>
      </c>
    </row>
    <row r="252" spans="4:10" x14ac:dyDescent="0.2">
      <c r="D252" t="s">
        <v>10</v>
      </c>
      <c r="E252">
        <f>'NHL2025-26Results'!C247</f>
        <v>5</v>
      </c>
      <c r="F252" t="s">
        <v>26</v>
      </c>
      <c r="G252">
        <f>'NHL2025-26Results'!E247</f>
        <v>1</v>
      </c>
      <c r="H252">
        <f>Table3[[#This Row],[G_1]]-Table3[[#This Row],[G]]</f>
        <v>-4</v>
      </c>
      <c r="I252">
        <f>HomeEdge+VLOOKUP(Table3[[#This Row],[Home]],$A$6:$B$38,2,FALSE)-VLOOKUP(Table3[[#This Row],[Visitor]],$A$6:$B$38,2,FALSE)</f>
        <v>-0.37317873497667164</v>
      </c>
      <c r="J252">
        <f>(Table3[[#This Row],[HomeMargin]]-Table3[[#This Row],[HomeForecast]])^2</f>
        <v>13.153832488425415</v>
      </c>
    </row>
    <row r="253" spans="4:10" x14ac:dyDescent="0.2">
      <c r="D253" t="s">
        <v>16</v>
      </c>
      <c r="E253">
        <f>'NHL2025-26Results'!C248</f>
        <v>0</v>
      </c>
      <c r="F253" t="s">
        <v>34</v>
      </c>
      <c r="G253">
        <f>'NHL2025-26Results'!E248</f>
        <v>2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1.0691582247288578</v>
      </c>
      <c r="J253">
        <f>(Table3[[#This Row],[HomeMargin]]-Table3[[#This Row],[HomeForecast]])^2</f>
        <v>0.86646641058993157</v>
      </c>
    </row>
    <row r="254" spans="4:10" x14ac:dyDescent="0.2">
      <c r="D254" t="s">
        <v>55</v>
      </c>
      <c r="E254">
        <f>'NHL2025-26Results'!C249</f>
        <v>2</v>
      </c>
      <c r="F254" t="s">
        <v>36</v>
      </c>
      <c r="G254">
        <f>'NHL2025-26Results'!E249</f>
        <v>4</v>
      </c>
      <c r="H254">
        <f>Table3[[#This Row],[G_1]]-Table3[[#This Row],[G]]</f>
        <v>2</v>
      </c>
      <c r="I254">
        <f>HomeEdge+VLOOKUP(Table3[[#This Row],[Home]],$A$6:$B$38,2,FALSE)-VLOOKUP(Table3[[#This Row],[Visitor]],$A$6:$B$38,2,FALSE)</f>
        <v>0.12971427775840494</v>
      </c>
      <c r="J254">
        <f>(Table3[[#This Row],[HomeMargin]]-Table3[[#This Row],[HomeForecast]])^2</f>
        <v>3.4979686828207646</v>
      </c>
    </row>
    <row r="255" spans="4:10" x14ac:dyDescent="0.2">
      <c r="D255" t="s">
        <v>13</v>
      </c>
      <c r="E255">
        <f>'NHL2025-26Results'!C250</f>
        <v>3</v>
      </c>
      <c r="F255" t="s">
        <v>14</v>
      </c>
      <c r="G255">
        <f>'NHL2025-26Results'!E250</f>
        <v>2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0.28987927594485607</v>
      </c>
      <c r="J255">
        <f>(Table3[[#This Row],[HomeMargin]]-Table3[[#This Row],[HomeForecast]])^2</f>
        <v>1.6637885465120261</v>
      </c>
    </row>
    <row r="256" spans="4:10" x14ac:dyDescent="0.2">
      <c r="D256" t="s">
        <v>25</v>
      </c>
      <c r="E256">
        <f>'NHL2025-26Results'!C251</f>
        <v>5</v>
      </c>
      <c r="F256" t="s">
        <v>19</v>
      </c>
      <c r="G256">
        <f>'NHL2025-26Results'!E251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-1.2228114727072019</v>
      </c>
      <c r="J256">
        <f>(Table3[[#This Row],[HomeMargin]]-Table3[[#This Row],[HomeForecast]])^2</f>
        <v>4.9644952369952186E-2</v>
      </c>
    </row>
    <row r="257" spans="4:10" x14ac:dyDescent="0.2">
      <c r="D257" t="s">
        <v>12</v>
      </c>
      <c r="E257">
        <f>'NHL2025-26Results'!C252</f>
        <v>5</v>
      </c>
      <c r="F257" t="s">
        <v>38</v>
      </c>
      <c r="G257">
        <f>'NHL2025-26Results'!E252</f>
        <v>4</v>
      </c>
      <c r="H257">
        <f>Table3[[#This Row],[G_1]]-Table3[[#This Row],[G]]</f>
        <v>-1</v>
      </c>
      <c r="I257">
        <f>HomeEdge+VLOOKUP(Table3[[#This Row],[Home]],$A$6:$B$38,2,FALSE)-VLOOKUP(Table3[[#This Row],[Visitor]],$A$6:$B$38,2,FALSE)</f>
        <v>-2.4319397345559715</v>
      </c>
      <c r="J257">
        <f>(Table3[[#This Row],[HomeMargin]]-Table3[[#This Row],[HomeForecast]])^2</f>
        <v>2.0504514034002259</v>
      </c>
    </row>
    <row r="258" spans="4:10" x14ac:dyDescent="0.2">
      <c r="D258" t="s">
        <v>28</v>
      </c>
      <c r="E258">
        <f>'NHL2025-26Results'!C253</f>
        <v>4</v>
      </c>
      <c r="F258" t="s">
        <v>17</v>
      </c>
      <c r="G258">
        <f>'NHL2025-26Results'!E253</f>
        <v>5</v>
      </c>
      <c r="H258">
        <f>Table3[[#This Row],[G_1]]-Table3[[#This Row],[G]]</f>
        <v>1</v>
      </c>
      <c r="I258">
        <f>HomeEdge+VLOOKUP(Table3[[#This Row],[Home]],$A$6:$B$38,2,FALSE)-VLOOKUP(Table3[[#This Row],[Visitor]],$A$6:$B$38,2,FALSE)</f>
        <v>-0.14090206117128756</v>
      </c>
      <c r="J258">
        <f>(Table3[[#This Row],[HomeMargin]]-Table3[[#This Row],[HomeForecast]])^2</f>
        <v>1.3016575131848926</v>
      </c>
    </row>
    <row r="259" spans="4:10" x14ac:dyDescent="0.2">
      <c r="D259" t="s">
        <v>30</v>
      </c>
      <c r="E259">
        <f>'NHL2025-26Results'!C254</f>
        <v>3</v>
      </c>
      <c r="F259" t="s">
        <v>24</v>
      </c>
      <c r="G259">
        <f>'NHL2025-26Results'!E254</f>
        <v>2</v>
      </c>
      <c r="H259">
        <f>Table3[[#This Row],[G_1]]-Table3[[#This Row],[G]]</f>
        <v>-1</v>
      </c>
      <c r="I259">
        <f>HomeEdge+VLOOKUP(Table3[[#This Row],[Home]],$A$6:$B$38,2,FALSE)-VLOOKUP(Table3[[#This Row],[Visitor]],$A$6:$B$38,2,FALSE)</f>
        <v>0.11567233146450871</v>
      </c>
      <c r="J259">
        <f>(Table3[[#This Row],[HomeMargin]]-Table3[[#This Row],[HomeForecast]])^2</f>
        <v>1.2447247511954527</v>
      </c>
    </row>
    <row r="260" spans="4:10" x14ac:dyDescent="0.2">
      <c r="D260" t="s">
        <v>29</v>
      </c>
      <c r="E260">
        <f>'NHL2025-26Results'!C255</f>
        <v>3</v>
      </c>
      <c r="F260" t="s">
        <v>15</v>
      </c>
      <c r="G260">
        <f>'NHL2025-26Results'!E255</f>
        <v>6</v>
      </c>
      <c r="H260">
        <f>Table3[[#This Row],[G_1]]-Table3[[#This Row],[G]]</f>
        <v>3</v>
      </c>
      <c r="I260">
        <f>HomeEdge+VLOOKUP(Table3[[#This Row],[Home]],$A$6:$B$38,2,FALSE)-VLOOKUP(Table3[[#This Row],[Visitor]],$A$6:$B$38,2,FALSE)</f>
        <v>1.1349197796150323</v>
      </c>
      <c r="J260">
        <f>(Table3[[#This Row],[HomeMargin]]-Table3[[#This Row],[HomeForecast]])^2</f>
        <v>3.4785242284712394</v>
      </c>
    </row>
    <row r="261" spans="4:10" x14ac:dyDescent="0.2">
      <c r="D261" t="s">
        <v>11</v>
      </c>
      <c r="E261">
        <f>'NHL2025-26Results'!C256</f>
        <v>3</v>
      </c>
      <c r="F261" t="s">
        <v>20</v>
      </c>
      <c r="G261">
        <f>'NHL2025-26Results'!E256</f>
        <v>2</v>
      </c>
      <c r="H261">
        <f>Table3[[#This Row],[G_1]]-Table3[[#This Row],[G]]</f>
        <v>-1</v>
      </c>
      <c r="I261">
        <f>HomeEdge+VLOOKUP(Table3[[#This Row],[Home]],$A$6:$B$38,2,FALSE)-VLOOKUP(Table3[[#This Row],[Visitor]],$A$6:$B$38,2,FALSE)</f>
        <v>0.63664652712137482</v>
      </c>
      <c r="J261">
        <f>(Table3[[#This Row],[HomeMargin]]-Table3[[#This Row],[HomeForecast]])^2</f>
        <v>2.678611854738457</v>
      </c>
    </row>
    <row r="262" spans="4:10" x14ac:dyDescent="0.2">
      <c r="D262" t="s">
        <v>19</v>
      </c>
      <c r="E262">
        <f>'NHL2025-26Results'!C257</f>
        <v>3</v>
      </c>
      <c r="F262" t="s">
        <v>21</v>
      </c>
      <c r="G262">
        <f>'NHL2025-26Results'!E257</f>
        <v>5</v>
      </c>
      <c r="H262">
        <f>Table3[[#This Row],[G_1]]-Table3[[#This Row],[G]]</f>
        <v>2</v>
      </c>
      <c r="I262">
        <f>HomeEdge+VLOOKUP(Table3[[#This Row],[Home]],$A$6:$B$38,2,FALSE)-VLOOKUP(Table3[[#This Row],[Visitor]],$A$6:$B$38,2,FALSE)</f>
        <v>0.92809718844756228</v>
      </c>
      <c r="J262">
        <f>(Table3[[#This Row],[HomeMargin]]-Table3[[#This Row],[HomeForecast]])^2</f>
        <v>1.148975637414021</v>
      </c>
    </row>
    <row r="263" spans="4:10" x14ac:dyDescent="0.2">
      <c r="D263" t="s">
        <v>22</v>
      </c>
      <c r="E263">
        <f>'NHL2025-26Results'!C258</f>
        <v>4</v>
      </c>
      <c r="F263" t="s">
        <v>25</v>
      </c>
      <c r="G263">
        <f>'NHL2025-26Results'!E258</f>
        <v>1</v>
      </c>
      <c r="H263">
        <f>Table3[[#This Row],[G_1]]-Table3[[#This Row],[G]]</f>
        <v>-3</v>
      </c>
      <c r="I263">
        <f>HomeEdge+VLOOKUP(Table3[[#This Row],[Home]],$A$6:$B$38,2,FALSE)-VLOOKUP(Table3[[#This Row],[Visitor]],$A$6:$B$38,2,FALSE)</f>
        <v>0.49788371710498186</v>
      </c>
      <c r="J263">
        <f>(Table3[[#This Row],[HomeMargin]]-Table3[[#This Row],[HomeForecast]])^2</f>
        <v>12.235190498388166</v>
      </c>
    </row>
    <row r="264" spans="4:10" x14ac:dyDescent="0.2">
      <c r="D264" t="s">
        <v>31</v>
      </c>
      <c r="E264">
        <f>'NHL2025-26Results'!C259</f>
        <v>1</v>
      </c>
      <c r="F264" t="s">
        <v>12</v>
      </c>
      <c r="G264">
        <f>'NHL2025-26Results'!E259</f>
        <v>4</v>
      </c>
      <c r="H264">
        <f>Table3[[#This Row],[G_1]]-Table3[[#This Row],[G]]</f>
        <v>3</v>
      </c>
      <c r="I264">
        <f>HomeEdge+VLOOKUP(Table3[[#This Row],[Home]],$A$6:$B$38,2,FALSE)-VLOOKUP(Table3[[#This Row],[Visitor]],$A$6:$B$38,2,FALSE)</f>
        <v>1.2400815267886722</v>
      </c>
      <c r="J264">
        <f>(Table3[[#This Row],[HomeMargin]]-Table3[[#This Row],[HomeForecast]])^2</f>
        <v>3.0973130323504909</v>
      </c>
    </row>
    <row r="265" spans="4:10" x14ac:dyDescent="0.2">
      <c r="D265" t="s">
        <v>33</v>
      </c>
      <c r="E265">
        <f>'NHL2025-26Results'!C260</f>
        <v>2</v>
      </c>
      <c r="F265" t="s">
        <v>34</v>
      </c>
      <c r="G265">
        <f>'NHL2025-26Results'!E260</f>
        <v>1</v>
      </c>
      <c r="H265">
        <f>Table3[[#This Row],[G_1]]-Table3[[#This Row],[G]]</f>
        <v>-1</v>
      </c>
      <c r="I265">
        <f>HomeEdge+VLOOKUP(Table3[[#This Row],[Home]],$A$6:$B$38,2,FALSE)-VLOOKUP(Table3[[#This Row],[Visitor]],$A$6:$B$38,2,FALSE)</f>
        <v>0.33573815104248139</v>
      </c>
      <c r="J265">
        <f>(Table3[[#This Row],[HomeMargin]]-Table3[[#This Row],[HomeForecast]])^2</f>
        <v>1.7841964081503865</v>
      </c>
    </row>
    <row r="266" spans="4:10" x14ac:dyDescent="0.2">
      <c r="D266" t="s">
        <v>13</v>
      </c>
      <c r="E266">
        <f>'NHL2025-26Results'!C261</f>
        <v>5</v>
      </c>
      <c r="F266" t="s">
        <v>18</v>
      </c>
      <c r="G266">
        <f>'NHL2025-26Results'!E261</f>
        <v>1</v>
      </c>
      <c r="H266">
        <f>Table3[[#This Row],[G_1]]-Table3[[#This Row],[G]]</f>
        <v>-4</v>
      </c>
      <c r="I266">
        <f>HomeEdge+VLOOKUP(Table3[[#This Row],[Home]],$A$6:$B$38,2,FALSE)-VLOOKUP(Table3[[#This Row],[Visitor]],$A$6:$B$38,2,FALSE)</f>
        <v>-0.24865634442892098</v>
      </c>
      <c r="J266">
        <f>(Table3[[#This Row],[HomeMargin]]-Table3[[#This Row],[HomeForecast]])^2</f>
        <v>14.072579222193387</v>
      </c>
    </row>
    <row r="267" spans="4:10" x14ac:dyDescent="0.2">
      <c r="D267" t="s">
        <v>39</v>
      </c>
      <c r="E267">
        <f>'NHL2025-26Results'!C262</f>
        <v>3</v>
      </c>
      <c r="F267" t="s">
        <v>36</v>
      </c>
      <c r="G267">
        <f>'NHL2025-26Results'!E262</f>
        <v>2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-0.18435904412349388</v>
      </c>
      <c r="J267">
        <f>(Table3[[#This Row],[HomeMargin]]-Table3[[#This Row],[HomeForecast]])^2</f>
        <v>0.6652701689031405</v>
      </c>
    </row>
    <row r="268" spans="4:10" x14ac:dyDescent="0.2">
      <c r="D268" t="s">
        <v>28</v>
      </c>
      <c r="E268">
        <f>'NHL2025-26Results'!C263</f>
        <v>2</v>
      </c>
      <c r="F268" t="s">
        <v>32</v>
      </c>
      <c r="G268">
        <f>'NHL2025-26Results'!E263</f>
        <v>1</v>
      </c>
      <c r="H268">
        <f>Table3[[#This Row],[G_1]]-Table3[[#This Row],[G]]</f>
        <v>-1</v>
      </c>
      <c r="I268">
        <f>HomeEdge+VLOOKUP(Table3[[#This Row],[Home]],$A$6:$B$38,2,FALSE)-VLOOKUP(Table3[[#This Row],[Visitor]],$A$6:$B$38,2,FALSE)</f>
        <v>0.2816591563170891</v>
      </c>
      <c r="J268">
        <f>(Table3[[#This Row],[HomeMargin]]-Table3[[#This Row],[HomeForecast]])^2</f>
        <v>1.6426501929714328</v>
      </c>
    </row>
    <row r="269" spans="4:10" x14ac:dyDescent="0.2">
      <c r="D269" t="s">
        <v>16</v>
      </c>
      <c r="E269">
        <f>'NHL2025-26Results'!C264</f>
        <v>2</v>
      </c>
      <c r="F269" t="s">
        <v>35</v>
      </c>
      <c r="G269">
        <f>'NHL2025-26Results'!E264</f>
        <v>3</v>
      </c>
      <c r="H269">
        <f>Table3[[#This Row],[G_1]]-Table3[[#This Row],[G]]</f>
        <v>1</v>
      </c>
      <c r="I269">
        <f>HomeEdge+VLOOKUP(Table3[[#This Row],[Home]],$A$6:$B$38,2,FALSE)-VLOOKUP(Table3[[#This Row],[Visitor]],$A$6:$B$38,2,FALSE)</f>
        <v>-0.32423183946473544</v>
      </c>
      <c r="J269">
        <f>(Table3[[#This Row],[HomeMargin]]-Table3[[#This Row],[HomeForecast]])^2</f>
        <v>1.7535899646521569</v>
      </c>
    </row>
    <row r="270" spans="4:10" x14ac:dyDescent="0.2">
      <c r="D270" t="s">
        <v>40</v>
      </c>
      <c r="E270">
        <f>'NHL2025-26Results'!C265</f>
        <v>5</v>
      </c>
      <c r="F270" t="s">
        <v>38</v>
      </c>
      <c r="G270">
        <f>'NHL2025-26Results'!E265</f>
        <v>3</v>
      </c>
      <c r="H270">
        <f>Table3[[#This Row],[G_1]]-Table3[[#This Row],[G]]</f>
        <v>-2</v>
      </c>
      <c r="I270">
        <f>HomeEdge+VLOOKUP(Table3[[#This Row],[Home]],$A$6:$B$38,2,FALSE)-VLOOKUP(Table3[[#This Row],[Visitor]],$A$6:$B$38,2,FALSE)</f>
        <v>-0.92585734598811364</v>
      </c>
      <c r="J270">
        <f>(Table3[[#This Row],[HomeMargin]]-Table3[[#This Row],[HomeForecast]])^2</f>
        <v>1.1537824411676989</v>
      </c>
    </row>
    <row r="271" spans="4:10" x14ac:dyDescent="0.2">
      <c r="D271" t="s">
        <v>24</v>
      </c>
      <c r="E271">
        <f>'NHL2025-26Results'!C266</f>
        <v>4</v>
      </c>
      <c r="F271" t="s">
        <v>10</v>
      </c>
      <c r="G271">
        <f>'NHL2025-26Results'!E266</f>
        <v>3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2.9409205869797839E-3</v>
      </c>
      <c r="J271">
        <f>(Table3[[#This Row],[HomeMargin]]-Table3[[#This Row],[HomeForecast]])^2</f>
        <v>1.0058904901878583</v>
      </c>
    </row>
    <row r="272" spans="4:10" x14ac:dyDescent="0.2">
      <c r="D272" t="s">
        <v>17</v>
      </c>
      <c r="E272">
        <f>'NHL2025-26Results'!C267</f>
        <v>2</v>
      </c>
      <c r="F272" t="s">
        <v>27</v>
      </c>
      <c r="G272">
        <f>'NHL2025-26Results'!E267</f>
        <v>1</v>
      </c>
      <c r="H272">
        <f>Table3[[#This Row],[G_1]]-Table3[[#This Row],[G]]</f>
        <v>-1</v>
      </c>
      <c r="I272">
        <f>HomeEdge+VLOOKUP(Table3[[#This Row],[Home]],$A$6:$B$38,2,FALSE)-VLOOKUP(Table3[[#This Row],[Visitor]],$A$6:$B$38,2,FALSE)</f>
        <v>0.58814357684224639</v>
      </c>
      <c r="J272">
        <f>(Table3[[#This Row],[HomeMargin]]-Table3[[#This Row],[HomeForecast]])^2</f>
        <v>2.5222000206652844</v>
      </c>
    </row>
    <row r="273" spans="4:10" x14ac:dyDescent="0.2">
      <c r="D273" t="s">
        <v>15</v>
      </c>
      <c r="E273">
        <f>'NHL2025-26Results'!C268</f>
        <v>7</v>
      </c>
      <c r="F273" t="s">
        <v>37</v>
      </c>
      <c r="G273">
        <f>'NHL2025-26Results'!E268</f>
        <v>3</v>
      </c>
      <c r="H273">
        <f>Table3[[#This Row],[G_1]]-Table3[[#This Row],[G]]</f>
        <v>-4</v>
      </c>
      <c r="I273">
        <f>HomeEdge+VLOOKUP(Table3[[#This Row],[Home]],$A$6:$B$38,2,FALSE)-VLOOKUP(Table3[[#This Row],[Visitor]],$A$6:$B$38,2,FALSE)</f>
        <v>0.70756946869302384</v>
      </c>
      <c r="J273">
        <f>(Table3[[#This Row],[HomeMargin]]-Table3[[#This Row],[HomeForecast]])^2</f>
        <v>22.161210302570716</v>
      </c>
    </row>
    <row r="274" spans="4:10" x14ac:dyDescent="0.2">
      <c r="D274" t="s">
        <v>23</v>
      </c>
      <c r="E274">
        <f>'NHL2025-26Results'!C269</f>
        <v>2</v>
      </c>
      <c r="F274" t="s">
        <v>55</v>
      </c>
      <c r="G274">
        <f>'NHL2025-26Results'!E269</f>
        <v>5</v>
      </c>
      <c r="H274">
        <f>Table3[[#This Row],[G_1]]-Table3[[#This Row],[G]]</f>
        <v>3</v>
      </c>
      <c r="I274">
        <f>HomeEdge+VLOOKUP(Table3[[#This Row],[Home]],$A$6:$B$38,2,FALSE)-VLOOKUP(Table3[[#This Row],[Visitor]],$A$6:$B$38,2,FALSE)</f>
        <v>0.34320359979224757</v>
      </c>
      <c r="J274">
        <f>(Table3[[#This Row],[HomeMargin]]-Table3[[#This Row],[HomeForecast]])^2</f>
        <v>7.0585671121568705</v>
      </c>
    </row>
    <row r="275" spans="4:10" x14ac:dyDescent="0.2">
      <c r="D275" t="s">
        <v>17</v>
      </c>
      <c r="E275">
        <f>'NHL2025-26Results'!C270</f>
        <v>4</v>
      </c>
      <c r="F275" t="s">
        <v>28</v>
      </c>
      <c r="G275">
        <f>'NHL2025-26Results'!E270</f>
        <v>5</v>
      </c>
      <c r="H275">
        <f>Table3[[#This Row],[G_1]]-Table3[[#This Row],[G]]</f>
        <v>1</v>
      </c>
      <c r="I275">
        <f>HomeEdge+VLOOKUP(Table3[[#This Row],[Home]],$A$6:$B$38,2,FALSE)-VLOOKUP(Table3[[#This Row],[Visitor]],$A$6:$B$38,2,FALSE)</f>
        <v>0.41598883911612028</v>
      </c>
      <c r="J275">
        <f>(Table3[[#This Row],[HomeMargin]]-Table3[[#This Row],[HomeForecast]])^2</f>
        <v>0.34106903603693683</v>
      </c>
    </row>
    <row r="276" spans="4:10" x14ac:dyDescent="0.2">
      <c r="D276" t="s">
        <v>33</v>
      </c>
      <c r="E276">
        <f>'NHL2025-26Results'!C271</f>
        <v>0</v>
      </c>
      <c r="F276" t="s">
        <v>16</v>
      </c>
      <c r="G276">
        <f>'NHL2025-26Results'!E271</f>
        <v>2</v>
      </c>
      <c r="H276">
        <f>Table3[[#This Row],[G_1]]-Table3[[#This Row],[G]]</f>
        <v>2</v>
      </c>
      <c r="I276">
        <f>HomeEdge+VLOOKUP(Table3[[#This Row],[Home]],$A$6:$B$38,2,FALSE)-VLOOKUP(Table3[[#This Row],[Visitor]],$A$6:$B$38,2,FALSE)</f>
        <v>-0.59587668471396005</v>
      </c>
      <c r="J276">
        <f>(Table3[[#This Row],[HomeMargin]]-Table3[[#This Row],[HomeForecast]])^2</f>
        <v>6.7385757622415392</v>
      </c>
    </row>
    <row r="277" spans="4:10" x14ac:dyDescent="0.2">
      <c r="D277" t="s">
        <v>23</v>
      </c>
      <c r="E277">
        <f>'NHL2025-26Results'!C272</f>
        <v>3</v>
      </c>
      <c r="F277" t="s">
        <v>12</v>
      </c>
      <c r="G277">
        <f>'NHL2025-26Results'!E272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2.0987286370512299</v>
      </c>
      <c r="J277">
        <f>(Table3[[#This Row],[HomeMargin]]-Table3[[#This Row],[HomeForecast]])^2</f>
        <v>0.81229006967153361</v>
      </c>
    </row>
    <row r="278" spans="4:10" x14ac:dyDescent="0.2">
      <c r="D278" t="s">
        <v>31</v>
      </c>
      <c r="E278">
        <f>'NHL2025-26Results'!C273</f>
        <v>3</v>
      </c>
      <c r="F278" t="s">
        <v>26</v>
      </c>
      <c r="G278">
        <f>'NHL2025-26Results'!E273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-0.86911017837531346</v>
      </c>
      <c r="J278">
        <f>(Table3[[#This Row],[HomeMargin]]-Table3[[#This Row],[HomeForecast]])^2</f>
        <v>14.970013572407451</v>
      </c>
    </row>
    <row r="279" spans="4:10" x14ac:dyDescent="0.2">
      <c r="D279" t="s">
        <v>22</v>
      </c>
      <c r="E279">
        <f>'NHL2025-26Results'!C274</f>
        <v>3</v>
      </c>
      <c r="F279" t="s">
        <v>11</v>
      </c>
      <c r="G279">
        <f>'NHL2025-26Results'!E274</f>
        <v>6</v>
      </c>
      <c r="H279">
        <f>Table3[[#This Row],[G_1]]-Table3[[#This Row],[G]]</f>
        <v>3</v>
      </c>
      <c r="I279">
        <f>HomeEdge+VLOOKUP(Table3[[#This Row],[Home]],$A$6:$B$38,2,FALSE)-VLOOKUP(Table3[[#This Row],[Visitor]],$A$6:$B$38,2,FALSE)</f>
        <v>-0.30563742704080915</v>
      </c>
      <c r="J279">
        <f>(Table3[[#This Row],[HomeMargin]]-Table3[[#This Row],[HomeForecast]])^2</f>
        <v>10.927238799052981</v>
      </c>
    </row>
    <row r="280" spans="4:10" x14ac:dyDescent="0.2">
      <c r="D280" t="s">
        <v>39</v>
      </c>
      <c r="E280">
        <f>'NHL2025-26Results'!C275</f>
        <v>7</v>
      </c>
      <c r="F280" t="s">
        <v>18</v>
      </c>
      <c r="G280">
        <f>'NHL2025-26Results'!E275</f>
        <v>0</v>
      </c>
      <c r="H280">
        <f>Table3[[#This Row],[G_1]]-Table3[[#This Row],[G]]</f>
        <v>-7</v>
      </c>
      <c r="I280">
        <f>HomeEdge+VLOOKUP(Table3[[#This Row],[Home]],$A$6:$B$38,2,FALSE)-VLOOKUP(Table3[[#This Row],[Visitor]],$A$6:$B$38,2,FALSE)</f>
        <v>-0.61438078556273334</v>
      </c>
      <c r="J280">
        <f>(Table3[[#This Row],[HomeMargin]]-Table3[[#This Row],[HomeForecast]])^2</f>
        <v>40.776132751790414</v>
      </c>
    </row>
    <row r="281" spans="4:10" x14ac:dyDescent="0.2">
      <c r="D281" t="s">
        <v>21</v>
      </c>
      <c r="E281">
        <f>'NHL2025-26Results'!C276</f>
        <v>3</v>
      </c>
      <c r="F281" t="s">
        <v>36</v>
      </c>
      <c r="G281">
        <f>'NHL2025-26Results'!E276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-3.532691792055806E-2</v>
      </c>
      <c r="J281">
        <f>(Table3[[#This Row],[HomeMargin]]-Table3[[#This Row],[HomeForecast]])^2</f>
        <v>4.1425556628119988</v>
      </c>
    </row>
    <row r="282" spans="4:10" x14ac:dyDescent="0.2">
      <c r="D282" t="s">
        <v>40</v>
      </c>
      <c r="E282">
        <f>'NHL2025-26Results'!C277</f>
        <v>3</v>
      </c>
      <c r="F282" t="s">
        <v>32</v>
      </c>
      <c r="G282">
        <f>'NHL2025-26Results'!E277</f>
        <v>5</v>
      </c>
      <c r="H282">
        <f>Table3[[#This Row],[G_1]]-Table3[[#This Row],[G]]</f>
        <v>2</v>
      </c>
      <c r="I282">
        <f>HomeEdge+VLOOKUP(Table3[[#This Row],[Home]],$A$6:$B$38,2,FALSE)-VLOOKUP(Table3[[#This Row],[Visitor]],$A$6:$B$38,2,FALSE)</f>
        <v>-0.25227898293781892</v>
      </c>
      <c r="J282">
        <f>(Table3[[#This Row],[HomeMargin]]-Table3[[#This Row],[HomeForecast]])^2</f>
        <v>5.0727606169834152</v>
      </c>
    </row>
    <row r="283" spans="4:10" x14ac:dyDescent="0.2">
      <c r="D283" t="s">
        <v>13</v>
      </c>
      <c r="E283">
        <f>'NHL2025-26Results'!C278</f>
        <v>4</v>
      </c>
      <c r="F283" t="s">
        <v>19</v>
      </c>
      <c r="G283">
        <f>'NHL2025-26Results'!E278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-0.43631809557185303</v>
      </c>
      <c r="J283">
        <f>(Table3[[#This Row],[HomeMargin]]-Table3[[#This Row],[HomeForecast]])^2</f>
        <v>0.31773728937974255</v>
      </c>
    </row>
    <row r="284" spans="4:10" x14ac:dyDescent="0.2">
      <c r="D284" t="s">
        <v>30</v>
      </c>
      <c r="E284">
        <f>'NHL2025-26Results'!C279</f>
        <v>4</v>
      </c>
      <c r="F284" t="s">
        <v>20</v>
      </c>
      <c r="G284">
        <f>'NHL2025-26Results'!E279</f>
        <v>3</v>
      </c>
      <c r="H284">
        <f>Table3[[#This Row],[G_1]]-Table3[[#This Row],[G]]</f>
        <v>-1</v>
      </c>
      <c r="I284">
        <f>HomeEdge+VLOOKUP(Table3[[#This Row],[Home]],$A$6:$B$38,2,FALSE)-VLOOKUP(Table3[[#This Row],[Visitor]],$A$6:$B$38,2,FALSE)</f>
        <v>0.25443865892159012</v>
      </c>
      <c r="J284">
        <f>(Table3[[#This Row],[HomeMargin]]-Table3[[#This Row],[HomeForecast]])^2</f>
        <v>1.5736163489969974</v>
      </c>
    </row>
    <row r="285" spans="4:10" x14ac:dyDescent="0.2">
      <c r="D285" t="s">
        <v>38</v>
      </c>
      <c r="E285">
        <f>'NHL2025-26Results'!C280</f>
        <v>3</v>
      </c>
      <c r="F285" t="s">
        <v>25</v>
      </c>
      <c r="G285">
        <f>'NHL2025-26Results'!E280</f>
        <v>4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1.6863437331252573</v>
      </c>
      <c r="J285">
        <f>(Table3[[#This Row],[HomeMargin]]-Table3[[#This Row],[HomeForecast]])^2</f>
        <v>0.47106772000031444</v>
      </c>
    </row>
    <row r="286" spans="4:10" x14ac:dyDescent="0.2">
      <c r="D286" t="s">
        <v>14</v>
      </c>
      <c r="E286">
        <f>'NHL2025-26Results'!C281</f>
        <v>1</v>
      </c>
      <c r="F286" t="s">
        <v>29</v>
      </c>
      <c r="G286">
        <f>'NHL2025-26Results'!E281</f>
        <v>2</v>
      </c>
      <c r="H286">
        <f>Table3[[#This Row],[G_1]]-Table3[[#This Row],[G]]</f>
        <v>1</v>
      </c>
      <c r="I286">
        <f>HomeEdge+VLOOKUP(Table3[[#This Row],[Home]],$A$6:$B$38,2,FALSE)-VLOOKUP(Table3[[#This Row],[Visitor]],$A$6:$B$38,2,FALSE)</f>
        <v>-1.1491859616060167</v>
      </c>
      <c r="J286">
        <f>(Table3[[#This Row],[HomeMargin]]-Table3[[#This Row],[HomeForecast]])^2</f>
        <v>4.6190002975643791</v>
      </c>
    </row>
    <row r="287" spans="4:10" x14ac:dyDescent="0.2">
      <c r="D287" t="s">
        <v>27</v>
      </c>
      <c r="E287">
        <f>'NHL2025-26Results'!C282</f>
        <v>6</v>
      </c>
      <c r="F287" t="s">
        <v>35</v>
      </c>
      <c r="G287">
        <f>'NHL2025-26Results'!E282</f>
        <v>5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-0.99740446354847456</v>
      </c>
      <c r="J287">
        <f>(Table3[[#This Row],[HomeMargin]]-Table3[[#This Row],[HomeForecast]])^2</f>
        <v>6.7368094711972602E-6</v>
      </c>
    </row>
    <row r="288" spans="4:10" x14ac:dyDescent="0.2">
      <c r="D288" t="s">
        <v>30</v>
      </c>
      <c r="E288">
        <f>'NHL2025-26Results'!C283</f>
        <v>3</v>
      </c>
      <c r="F288" t="s">
        <v>55</v>
      </c>
      <c r="G288">
        <f>'NHL2025-26Results'!E283</f>
        <v>2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-0.17598559296501262</v>
      </c>
      <c r="J288">
        <f>(Table3[[#This Row],[HomeMargin]]-Table3[[#This Row],[HomeForecast]])^2</f>
        <v>0.6789997430012219</v>
      </c>
    </row>
    <row r="289" spans="4:10" x14ac:dyDescent="0.2">
      <c r="D289" t="s">
        <v>17</v>
      </c>
      <c r="E289">
        <f>'NHL2025-26Results'!C284</f>
        <v>4</v>
      </c>
      <c r="F289" t="s">
        <v>25</v>
      </c>
      <c r="G289">
        <f>'NHL2025-26Results'!E284</f>
        <v>3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1.4353265875633392</v>
      </c>
      <c r="J289">
        <f>(Table3[[#This Row],[HomeMargin]]-Table3[[#This Row],[HomeForecast]])^2</f>
        <v>5.9308155880928988</v>
      </c>
    </row>
    <row r="290" spans="4:10" x14ac:dyDescent="0.2">
      <c r="D290" t="s">
        <v>15</v>
      </c>
      <c r="E290">
        <f>'NHL2025-26Results'!C285</f>
        <v>2</v>
      </c>
      <c r="F290" t="s">
        <v>28</v>
      </c>
      <c r="G290">
        <f>'NHL2025-26Results'!E285</f>
        <v>1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4.1716090623923674E-2</v>
      </c>
      <c r="J290">
        <f>(Table3[[#This Row],[HomeMargin]]-Table3[[#This Row],[HomeForecast]])^2</f>
        <v>1.0851724134647904</v>
      </c>
    </row>
    <row r="291" spans="4:10" x14ac:dyDescent="0.2">
      <c r="D291" t="s">
        <v>40</v>
      </c>
      <c r="E291">
        <f>'NHL2025-26Results'!C286</f>
        <v>4</v>
      </c>
      <c r="F291" t="s">
        <v>16</v>
      </c>
      <c r="G291">
        <f>'NHL2025-26Results'!E286</f>
        <v>3</v>
      </c>
      <c r="H291">
        <f>Table3[[#This Row],[G_1]]-Table3[[#This Row],[G]]</f>
        <v>-1</v>
      </c>
      <c r="I291">
        <f>HomeEdge+VLOOKUP(Table3[[#This Row],[Home]],$A$6:$B$38,2,FALSE)-VLOOKUP(Table3[[#This Row],[Visitor]],$A$6:$B$38,2,FALSE)</f>
        <v>-0.89741263664010473</v>
      </c>
      <c r="J291">
        <f>(Table3[[#This Row],[HomeMargin]]-Table3[[#This Row],[HomeForecast]])^2</f>
        <v>1.0524167121135183E-2</v>
      </c>
    </row>
    <row r="292" spans="4:10" x14ac:dyDescent="0.2">
      <c r="D292" t="s">
        <v>19</v>
      </c>
      <c r="E292">
        <f>'NHL2025-26Results'!C287</f>
        <v>2</v>
      </c>
      <c r="F292" t="s">
        <v>10</v>
      </c>
      <c r="G292">
        <f>'NHL2025-26Results'!E287</f>
        <v>3</v>
      </c>
      <c r="H292">
        <f>Table3[[#This Row],[G_1]]-Table3[[#This Row],[G]]</f>
        <v>1</v>
      </c>
      <c r="I292">
        <f>HomeEdge+VLOOKUP(Table3[[#This Row],[Home]],$A$6:$B$38,2,FALSE)-VLOOKUP(Table3[[#This Row],[Visitor]],$A$6:$B$38,2,FALSE)</f>
        <v>0.92011144881268403</v>
      </c>
      <c r="J292">
        <f>(Table3[[#This Row],[HomeMargin]]-Table3[[#This Row],[HomeForecast]])^2</f>
        <v>6.3821806108084042E-3</v>
      </c>
    </row>
    <row r="293" spans="4:10" x14ac:dyDescent="0.2">
      <c r="D293" t="s">
        <v>27</v>
      </c>
      <c r="E293">
        <f>'NHL2025-26Results'!C288</f>
        <v>1</v>
      </c>
      <c r="F293" t="s">
        <v>39</v>
      </c>
      <c r="G293">
        <f>'NHL2025-26Results'!E288</f>
        <v>5</v>
      </c>
      <c r="H293">
        <f>Table3[[#This Row],[G_1]]-Table3[[#This Row],[G]]</f>
        <v>4</v>
      </c>
      <c r="I293">
        <f>HomeEdge+VLOOKUP(Table3[[#This Row],[Home]],$A$6:$B$38,2,FALSE)-VLOOKUP(Table3[[#This Row],[Visitor]],$A$6:$B$38,2,FALSE)</f>
        <v>0.56395746369197286</v>
      </c>
      <c r="J293">
        <f>(Table3[[#This Row],[HomeMargin]]-Table3[[#This Row],[HomeForecast]])^2</f>
        <v>11.806388311318099</v>
      </c>
    </row>
    <row r="294" spans="4:10" x14ac:dyDescent="0.2">
      <c r="D294" t="s">
        <v>23</v>
      </c>
      <c r="E294">
        <f>'NHL2025-26Results'!C289</f>
        <v>5</v>
      </c>
      <c r="F294" t="s">
        <v>26</v>
      </c>
      <c r="G294">
        <f>'NHL2025-26Results'!E289</f>
        <v>4</v>
      </c>
      <c r="H294">
        <f>Table3[[#This Row],[G_1]]-Table3[[#This Row],[G]]</f>
        <v>-1</v>
      </c>
      <c r="I294">
        <f>HomeEdge+VLOOKUP(Table3[[#This Row],[Home]],$A$6:$B$38,2,FALSE)-VLOOKUP(Table3[[#This Row],[Visitor]],$A$6:$B$38,2,FALSE)</f>
        <v>-1.0463068112755658E-2</v>
      </c>
      <c r="J294">
        <f>(Table3[[#This Row],[HomeMargin]]-Table3[[#This Row],[HomeForecast]])^2</f>
        <v>0.97918333956882087</v>
      </c>
    </row>
    <row r="295" spans="4:10" x14ac:dyDescent="0.2">
      <c r="D295" t="s">
        <v>37</v>
      </c>
      <c r="E295">
        <f>'NHL2025-26Results'!C290</f>
        <v>3</v>
      </c>
      <c r="F295" t="s">
        <v>11</v>
      </c>
      <c r="G295">
        <f>'NHL2025-26Results'!E290</f>
        <v>1</v>
      </c>
      <c r="H295">
        <f>Table3[[#This Row],[G_1]]-Table3[[#This Row],[G]]</f>
        <v>-2</v>
      </c>
      <c r="I295">
        <f>HomeEdge+VLOOKUP(Table3[[#This Row],[Home]],$A$6:$B$38,2,FALSE)-VLOOKUP(Table3[[#This Row],[Visitor]],$A$6:$B$38,2,FALSE)</f>
        <v>-0.31249338479525579</v>
      </c>
      <c r="J295">
        <f>(Table3[[#This Row],[HomeMargin]]-Table3[[#This Row],[HomeForecast]])^2</f>
        <v>2.8476785763597725</v>
      </c>
    </row>
    <row r="296" spans="4:10" x14ac:dyDescent="0.2">
      <c r="D296" t="s">
        <v>31</v>
      </c>
      <c r="E296">
        <f>'NHL2025-26Results'!C291</f>
        <v>0</v>
      </c>
      <c r="F296" t="s">
        <v>34</v>
      </c>
      <c r="G296">
        <f>'NHL2025-26Results'!E291</f>
        <v>2</v>
      </c>
      <c r="H296">
        <f>Table3[[#This Row],[G_1]]-Table3[[#This Row],[G]]</f>
        <v>2</v>
      </c>
      <c r="I296">
        <f>HomeEdge+VLOOKUP(Table3[[#This Row],[Home]],$A$6:$B$38,2,FALSE)-VLOOKUP(Table3[[#This Row],[Visitor]],$A$6:$B$38,2,FALSE)</f>
        <v>-0.36934205163526546</v>
      </c>
      <c r="J296">
        <f>(Table3[[#This Row],[HomeMargin]]-Table3[[#This Row],[HomeForecast]])^2</f>
        <v>5.6137817576472093</v>
      </c>
    </row>
    <row r="297" spans="4:10" x14ac:dyDescent="0.2">
      <c r="D297" t="s">
        <v>21</v>
      </c>
      <c r="E297">
        <f>'NHL2025-26Results'!C292</f>
        <v>3</v>
      </c>
      <c r="F297" t="s">
        <v>18</v>
      </c>
      <c r="G297">
        <f>'NHL2025-26Results'!E292</f>
        <v>2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-0.46534865935979752</v>
      </c>
      <c r="J297">
        <f>(Table3[[#This Row],[HomeMargin]]-Table3[[#This Row],[HomeForecast]])^2</f>
        <v>0.28585205604836583</v>
      </c>
    </row>
    <row r="298" spans="4:10" x14ac:dyDescent="0.2">
      <c r="D298" t="s">
        <v>13</v>
      </c>
      <c r="E298">
        <f>'NHL2025-26Results'!C293</f>
        <v>1</v>
      </c>
      <c r="F298" t="s">
        <v>36</v>
      </c>
      <c r="G298">
        <f>'NHL2025-26Results'!E293</f>
        <v>0</v>
      </c>
      <c r="H298">
        <f>Table3[[#This Row],[G_1]]-Table3[[#This Row],[G]]</f>
        <v>-1</v>
      </c>
      <c r="I298">
        <f>HomeEdge+VLOOKUP(Table3[[#This Row],[Home]],$A$6:$B$38,2,FALSE)-VLOOKUP(Table3[[#This Row],[Visitor]],$A$6:$B$38,2,FALSE)</f>
        <v>0.18136539701031845</v>
      </c>
      <c r="J298">
        <f>(Table3[[#This Row],[HomeMargin]]-Table3[[#This Row],[HomeForecast]])^2</f>
        <v>1.3956242012533473</v>
      </c>
    </row>
    <row r="299" spans="4:10" x14ac:dyDescent="0.2">
      <c r="D299" t="s">
        <v>33</v>
      </c>
      <c r="E299">
        <f>'NHL2025-26Results'!C294</f>
        <v>1</v>
      </c>
      <c r="F299" t="s">
        <v>32</v>
      </c>
      <c r="G299">
        <f>'NHL2025-26Results'!E294</f>
        <v>4</v>
      </c>
      <c r="H299">
        <f>Table3[[#This Row],[G_1]]-Table3[[#This Row],[G]]</f>
        <v>3</v>
      </c>
      <c r="I299">
        <f>HomeEdge+VLOOKUP(Table3[[#This Row],[Home]],$A$6:$B$38,2,FALSE)-VLOOKUP(Table3[[#This Row],[Visitor]],$A$6:$B$38,2,FALSE)</f>
        <v>4.9256968988325656E-2</v>
      </c>
      <c r="J299">
        <f>(Table3[[#This Row],[HomeMargin]]-Table3[[#This Row],[HomeForecast]])^2</f>
        <v>8.7068844350639623</v>
      </c>
    </row>
    <row r="300" spans="4:10" x14ac:dyDescent="0.2">
      <c r="D300" t="s">
        <v>20</v>
      </c>
      <c r="E300">
        <f>'NHL2025-26Results'!C295</f>
        <v>4</v>
      </c>
      <c r="F300" t="s">
        <v>35</v>
      </c>
      <c r="G300">
        <f>'NHL2025-26Results'!E295</f>
        <v>1</v>
      </c>
      <c r="H300">
        <f>Table3[[#This Row],[G_1]]-Table3[[#This Row],[G]]</f>
        <v>-3</v>
      </c>
      <c r="I300">
        <f>HomeEdge+VLOOKUP(Table3[[#This Row],[Home]],$A$6:$B$38,2,FALSE)-VLOOKUP(Table3[[#This Row],[Visitor]],$A$6:$B$38,2,FALSE)</f>
        <v>-1.5401694682727349</v>
      </c>
      <c r="J300">
        <f>(Table3[[#This Row],[HomeMargin]]-Table3[[#This Row],[HomeForecast]])^2</f>
        <v>2.1311051813631097</v>
      </c>
    </row>
    <row r="301" spans="4:10" x14ac:dyDescent="0.2">
      <c r="D301" t="s">
        <v>24</v>
      </c>
      <c r="E301">
        <f>'NHL2025-26Results'!C296</f>
        <v>3</v>
      </c>
      <c r="F301" t="s">
        <v>22</v>
      </c>
      <c r="G301">
        <f>'NHL2025-26Results'!E296</f>
        <v>2</v>
      </c>
      <c r="H301">
        <f>Table3[[#This Row],[G_1]]-Table3[[#This Row],[G]]</f>
        <v>-1</v>
      </c>
      <c r="I301">
        <f>HomeEdge+VLOOKUP(Table3[[#This Row],[Home]],$A$6:$B$38,2,FALSE)-VLOOKUP(Table3[[#This Row],[Visitor]],$A$6:$B$38,2,FALSE)</f>
        <v>0.22038739429376478</v>
      </c>
      <c r="J301">
        <f>(Table3[[#This Row],[HomeMargin]]-Table3[[#This Row],[HomeForecast]])^2</f>
        <v>1.489345392151125</v>
      </c>
    </row>
    <row r="302" spans="4:10" x14ac:dyDescent="0.2">
      <c r="D302" t="s">
        <v>30</v>
      </c>
      <c r="E302">
        <f>'NHL2025-26Results'!C297</f>
        <v>1</v>
      </c>
      <c r="F302" t="s">
        <v>12</v>
      </c>
      <c r="G302">
        <f>'NHL2025-26Results'!E297</f>
        <v>4</v>
      </c>
      <c r="H302">
        <f>Table3[[#This Row],[G_1]]-Table3[[#This Row],[G]]</f>
        <v>3</v>
      </c>
      <c r="I302">
        <f>HomeEdge+VLOOKUP(Table3[[#This Row],[Home]],$A$6:$B$38,2,FALSE)-VLOOKUP(Table3[[#This Row],[Visitor]],$A$6:$B$38,2,FALSE)</f>
        <v>1.5795394442939696</v>
      </c>
      <c r="J302">
        <f>(Table3[[#This Row],[HomeMargin]]-Table3[[#This Row],[HomeForecast]])^2</f>
        <v>2.0177081903166845</v>
      </c>
    </row>
    <row r="303" spans="4:10" x14ac:dyDescent="0.2">
      <c r="D303" t="s">
        <v>20</v>
      </c>
      <c r="E303">
        <f>'NHL2025-26Results'!C298</f>
        <v>2</v>
      </c>
      <c r="F303" t="s">
        <v>34</v>
      </c>
      <c r="G303">
        <f>'NHL2025-26Results'!E298</f>
        <v>3</v>
      </c>
      <c r="H303">
        <f>Table3[[#This Row],[G_1]]-Table3[[#This Row],[G]]</f>
        <v>1</v>
      </c>
      <c r="I303">
        <f>HomeEdge+VLOOKUP(Table3[[#This Row],[Home]],$A$6:$B$38,2,FALSE)-VLOOKUP(Table3[[#This Row],[Visitor]],$A$6:$B$38,2,FALSE)</f>
        <v>-0.14677940407914167</v>
      </c>
      <c r="J303">
        <f>(Table3[[#This Row],[HomeMargin]]-Table3[[#This Row],[HomeForecast]])^2</f>
        <v>1.3151030016201113</v>
      </c>
    </row>
    <row r="304" spans="4:10" x14ac:dyDescent="0.2">
      <c r="D304" t="s">
        <v>26</v>
      </c>
      <c r="E304">
        <f>'NHL2025-26Results'!C299</f>
        <v>2</v>
      </c>
      <c r="F304" t="s">
        <v>15</v>
      </c>
      <c r="G304">
        <f>'NHL2025-26Results'!E299</f>
        <v>1</v>
      </c>
      <c r="H304">
        <f>Table3[[#This Row],[G_1]]-Table3[[#This Row],[G]]</f>
        <v>-1</v>
      </c>
      <c r="I304">
        <f>HomeEdge+VLOOKUP(Table3[[#This Row],[Home]],$A$6:$B$38,2,FALSE)-VLOOKUP(Table3[[#This Row],[Visitor]],$A$6:$B$38,2,FALSE)</f>
        <v>0.30254186466212851</v>
      </c>
      <c r="J304">
        <f>(Table3[[#This Row],[HomeMargin]]-Table3[[#This Row],[HomeForecast]])^2</f>
        <v>1.6966153091974947</v>
      </c>
    </row>
    <row r="305" spans="4:10" x14ac:dyDescent="0.2">
      <c r="D305" t="s">
        <v>29</v>
      </c>
      <c r="E305">
        <f>'NHL2025-26Results'!C300</f>
        <v>0</v>
      </c>
      <c r="F305" t="s">
        <v>14</v>
      </c>
      <c r="G305">
        <f>'NHL2025-26Results'!E300</f>
        <v>4</v>
      </c>
      <c r="H305">
        <f>Table3[[#This Row],[G_1]]-Table3[[#This Row],[G]]</f>
        <v>4</v>
      </c>
      <c r="I305">
        <f>HomeEdge+VLOOKUP(Table3[[#This Row],[Home]],$A$6:$B$38,2,FALSE)-VLOOKUP(Table3[[#This Row],[Visitor]],$A$6:$B$38,2,FALSE)</f>
        <v>1.4242727395508497</v>
      </c>
      <c r="J305">
        <f>(Table3[[#This Row],[HomeMargin]]-Table3[[#This Row],[HomeForecast]])^2</f>
        <v>6.6343709202208849</v>
      </c>
    </row>
    <row r="306" spans="4:10" x14ac:dyDescent="0.2">
      <c r="D306" t="s">
        <v>38</v>
      </c>
      <c r="E306">
        <f>'NHL2025-26Results'!C301</f>
        <v>6</v>
      </c>
      <c r="F306" t="s">
        <v>37</v>
      </c>
      <c r="G306">
        <f>'NHL2025-26Results'!E301</f>
        <v>2</v>
      </c>
      <c r="H306">
        <f>Table3[[#This Row],[G_1]]-Table3[[#This Row],[G]]</f>
        <v>-4</v>
      </c>
      <c r="I306">
        <f>HomeEdge+VLOOKUP(Table3[[#This Row],[Home]],$A$6:$B$38,2,FALSE)-VLOOKUP(Table3[[#This Row],[Visitor]],$A$6:$B$38,2,FALSE)</f>
        <v>1.3328593627471386</v>
      </c>
      <c r="J306">
        <f>(Table3[[#This Row],[HomeMargin]]-Table3[[#This Row],[HomeForecast]])^2</f>
        <v>28.439388982839812</v>
      </c>
    </row>
    <row r="307" spans="4:10" x14ac:dyDescent="0.2">
      <c r="D307" t="s">
        <v>55</v>
      </c>
      <c r="E307">
        <f>'NHL2025-26Results'!C302</f>
        <v>2</v>
      </c>
      <c r="F307" t="s">
        <v>31</v>
      </c>
      <c r="G307">
        <f>'NHL2025-26Results'!E302</f>
        <v>3</v>
      </c>
      <c r="H307">
        <f>Table3[[#This Row],[G_1]]-Table3[[#This Row],[G]]</f>
        <v>1</v>
      </c>
      <c r="I307">
        <f>HomeEdge+VLOOKUP(Table3[[#This Row],[Home]],$A$6:$B$38,2,FALSE)-VLOOKUP(Table3[[#This Row],[Visitor]],$A$6:$B$38,2,FALSE)</f>
        <v>0.79053028841514295</v>
      </c>
      <c r="J307">
        <f>(Table3[[#This Row],[HomeMargin]]-Table3[[#This Row],[HomeForecast]])^2</f>
        <v>4.3877560071443195E-2</v>
      </c>
    </row>
    <row r="308" spans="4:10" x14ac:dyDescent="0.2">
      <c r="D308" t="s">
        <v>25</v>
      </c>
      <c r="E308">
        <f>'NHL2025-26Results'!C303</f>
        <v>3</v>
      </c>
      <c r="F308" t="s">
        <v>21</v>
      </c>
      <c r="G308">
        <f>'NHL2025-26Results'!E303</f>
        <v>1</v>
      </c>
      <c r="H308">
        <f>Table3[[#This Row],[G_1]]-Table3[[#This Row],[G]]</f>
        <v>-2</v>
      </c>
      <c r="I308">
        <f>HomeEdge+VLOOKUP(Table3[[#This Row],[Home]],$A$6:$B$38,2,FALSE)-VLOOKUP(Table3[[#This Row],[Visitor]],$A$6:$B$38,2,FALSE)</f>
        <v>-0.43225767323205599</v>
      </c>
      <c r="J308">
        <f>(Table3[[#This Row],[HomeMargin]]-Table3[[#This Row],[HomeForecast]])^2</f>
        <v>2.4578160031397669</v>
      </c>
    </row>
    <row r="309" spans="4:10" x14ac:dyDescent="0.2">
      <c r="D309" t="s">
        <v>17</v>
      </c>
      <c r="E309">
        <f>'NHL2025-26Results'!C304</f>
        <v>1</v>
      </c>
      <c r="F309" t="s">
        <v>23</v>
      </c>
      <c r="G309">
        <f>'NHL2025-26Results'!E304</f>
        <v>5</v>
      </c>
      <c r="H309">
        <f>Table3[[#This Row],[G_1]]-Table3[[#This Row],[G]]</f>
        <v>4</v>
      </c>
      <c r="I309">
        <f>HomeEdge+VLOOKUP(Table3[[#This Row],[Home]],$A$6:$B$38,2,FALSE)-VLOOKUP(Table3[[#This Row],[Visitor]],$A$6:$B$38,2,FALSE)</f>
        <v>0.49482411886007283</v>
      </c>
      <c r="J309">
        <f>(Table3[[#This Row],[HomeMargin]]-Table3[[#This Row],[HomeForecast]])^2</f>
        <v>12.286257957725065</v>
      </c>
    </row>
    <row r="310" spans="4:10" x14ac:dyDescent="0.2">
      <c r="D310" t="s">
        <v>18</v>
      </c>
      <c r="E310">
        <f>'NHL2025-26Results'!C305</f>
        <v>3</v>
      </c>
      <c r="F310" t="s">
        <v>28</v>
      </c>
      <c r="G310">
        <f>'NHL2025-26Results'!E305</f>
        <v>4</v>
      </c>
      <c r="H310">
        <f>Table3[[#This Row],[G_1]]-Table3[[#This Row],[G]]</f>
        <v>1</v>
      </c>
      <c r="I310">
        <f>HomeEdge+VLOOKUP(Table3[[#This Row],[Home]],$A$6:$B$38,2,FALSE)-VLOOKUP(Table3[[#This Row],[Visitor]],$A$6:$B$38,2,FALSE)</f>
        <v>0.29089875106188345</v>
      </c>
      <c r="J310">
        <f>(Table3[[#This Row],[HomeMargin]]-Table3[[#This Row],[HomeForecast]])^2</f>
        <v>0.5028245812455967</v>
      </c>
    </row>
    <row r="311" spans="4:10" x14ac:dyDescent="0.2">
      <c r="D311" t="s">
        <v>38</v>
      </c>
      <c r="E311">
        <f>'NHL2025-26Results'!C306</f>
        <v>5</v>
      </c>
      <c r="F311" t="s">
        <v>11</v>
      </c>
      <c r="G311">
        <f>'NHL2025-26Results'!E306</f>
        <v>8</v>
      </c>
      <c r="H311">
        <f>Table3[[#This Row],[G_1]]-Table3[[#This Row],[G]]</f>
        <v>3</v>
      </c>
      <c r="I311">
        <f>HomeEdge+VLOOKUP(Table3[[#This Row],[Home]],$A$6:$B$38,2,FALSE)-VLOOKUP(Table3[[#This Row],[Visitor]],$A$6:$B$38,2,FALSE)</f>
        <v>0.88282258897946631</v>
      </c>
      <c r="J311">
        <f>(Table3[[#This Row],[HomeMargin]]-Table3[[#This Row],[HomeForecast]])^2</f>
        <v>4.4824401897356108</v>
      </c>
    </row>
    <row r="312" spans="4:10" x14ac:dyDescent="0.2">
      <c r="D312" t="s">
        <v>13</v>
      </c>
      <c r="E312">
        <f>'NHL2025-26Results'!C307</f>
        <v>1</v>
      </c>
      <c r="F312" t="s">
        <v>22</v>
      </c>
      <c r="G312">
        <f>'NHL2025-26Results'!E307</f>
        <v>2</v>
      </c>
      <c r="H312">
        <f>Table3[[#This Row],[G_1]]-Table3[[#This Row],[G]]</f>
        <v>1</v>
      </c>
      <c r="I312">
        <f>HomeEdge+VLOOKUP(Table3[[#This Row],[Home]],$A$6:$B$38,2,FALSE)-VLOOKUP(Table3[[#This Row],[Visitor]],$A$6:$B$38,2,FALSE)</f>
        <v>0.56369643797519964</v>
      </c>
      <c r="J312">
        <f>(Table3[[#This Row],[HomeMargin]]-Table3[[#This Row],[HomeForecast]])^2</f>
        <v>0.19036079823552882</v>
      </c>
    </row>
    <row r="313" spans="4:10" x14ac:dyDescent="0.2">
      <c r="D313" t="s">
        <v>16</v>
      </c>
      <c r="E313">
        <f>'NHL2025-26Results'!C308</f>
        <v>2</v>
      </c>
      <c r="F313" t="s">
        <v>10</v>
      </c>
      <c r="G313">
        <f>'NHL2025-26Results'!E308</f>
        <v>5</v>
      </c>
      <c r="H313">
        <f>Table3[[#This Row],[G_1]]-Table3[[#This Row],[G]]</f>
        <v>3</v>
      </c>
      <c r="I313">
        <f>HomeEdge+VLOOKUP(Table3[[#This Row],[Home]],$A$6:$B$38,2,FALSE)-VLOOKUP(Table3[[#This Row],[Visitor]],$A$6:$B$38,2,FALSE)</f>
        <v>1.080112221937898</v>
      </c>
      <c r="J313">
        <f>(Table3[[#This Row],[HomeMargin]]-Table3[[#This Row],[HomeForecast]])^2</f>
        <v>3.6859690803522351</v>
      </c>
    </row>
    <row r="314" spans="4:10" x14ac:dyDescent="0.2">
      <c r="D314" t="s">
        <v>30</v>
      </c>
      <c r="E314">
        <f>'NHL2025-26Results'!C309</f>
        <v>3</v>
      </c>
      <c r="F314" t="s">
        <v>39</v>
      </c>
      <c r="G314">
        <f>'NHL2025-26Results'!E309</f>
        <v>2</v>
      </c>
      <c r="H314">
        <f>Table3[[#This Row],[G_1]]-Table3[[#This Row],[G]]</f>
        <v>-1</v>
      </c>
      <c r="I314">
        <f>HomeEdge+VLOOKUP(Table3[[#This Row],[Home]],$A$6:$B$38,2,FALSE)-VLOOKUP(Table3[[#This Row],[Visitor]],$A$6:$B$38,2,FALSE)</f>
        <v>0.1380877289168862</v>
      </c>
      <c r="J314">
        <f>(Table3[[#This Row],[HomeMargin]]-Table3[[#This Row],[HomeForecast]])^2</f>
        <v>1.2952436787111961</v>
      </c>
    </row>
    <row r="315" spans="4:10" x14ac:dyDescent="0.2">
      <c r="D315" t="s">
        <v>32</v>
      </c>
      <c r="E315">
        <f>'NHL2025-26Results'!C310</f>
        <v>2</v>
      </c>
      <c r="F315" t="s">
        <v>26</v>
      </c>
      <c r="G315">
        <f>'NHL2025-26Results'!E310</f>
        <v>4</v>
      </c>
      <c r="H315">
        <f>Table3[[#This Row],[G_1]]-Table3[[#This Row],[G]]</f>
        <v>2</v>
      </c>
      <c r="I315">
        <f>HomeEdge+VLOOKUP(Table3[[#This Row],[Home]],$A$6:$B$38,2,FALSE)-VLOOKUP(Table3[[#This Row],[Visitor]],$A$6:$B$38,2,FALSE)</f>
        <v>-7.5743555713475852E-2</v>
      </c>
      <c r="J315">
        <f>(Table3[[#This Row],[HomeMargin]]-Table3[[#This Row],[HomeForecast]])^2</f>
        <v>4.3087113090860232</v>
      </c>
    </row>
    <row r="316" spans="4:10" x14ac:dyDescent="0.2">
      <c r="D316" t="s">
        <v>55</v>
      </c>
      <c r="E316">
        <f>'NHL2025-26Results'!C311</f>
        <v>2</v>
      </c>
      <c r="F316" t="s">
        <v>33</v>
      </c>
      <c r="G316">
        <f>'NHL2025-26Results'!E311</f>
        <v>3</v>
      </c>
      <c r="H316">
        <f>Table3[[#This Row],[G_1]]-Table3[[#This Row],[G]]</f>
        <v>1</v>
      </c>
      <c r="I316">
        <f>HomeEdge+VLOOKUP(Table3[[#This Row],[Home]],$A$6:$B$38,2,FALSE)-VLOOKUP(Table3[[#This Row],[Visitor]],$A$6:$B$38,2,FALSE)</f>
        <v>8.5450085737396042E-2</v>
      </c>
      <c r="J316">
        <f>(Table3[[#This Row],[HomeMargin]]-Table3[[#This Row],[HomeForecast]])^2</f>
        <v>0.83640154567773617</v>
      </c>
    </row>
    <row r="317" spans="4:10" x14ac:dyDescent="0.2">
      <c r="D317" t="s">
        <v>24</v>
      </c>
      <c r="E317">
        <f>'NHL2025-26Results'!C312</f>
        <v>1</v>
      </c>
      <c r="F317" t="s">
        <v>37</v>
      </c>
      <c r="G317">
        <f>'NHL2025-26Results'!E312</f>
        <v>5</v>
      </c>
      <c r="H317">
        <f>Table3[[#This Row],[G_1]]-Table3[[#This Row],[G]]</f>
        <v>4</v>
      </c>
      <c r="I317">
        <f>HomeEdge+VLOOKUP(Table3[[#This Row],[Home]],$A$6:$B$38,2,FALSE)-VLOOKUP(Table3[[#This Row],[Visitor]],$A$6:$B$38,2,FALSE)</f>
        <v>0.22724335204821142</v>
      </c>
      <c r="J317">
        <f>(Table3[[#This Row],[HomeMargin]]-Table3[[#This Row],[HomeForecast]])^2</f>
        <v>14.233692724664415</v>
      </c>
    </row>
    <row r="318" spans="4:10" x14ac:dyDescent="0.2">
      <c r="D318" t="s">
        <v>35</v>
      </c>
      <c r="E318">
        <f>'NHL2025-26Results'!C313</f>
        <v>2</v>
      </c>
      <c r="F318" t="s">
        <v>19</v>
      </c>
      <c r="G318">
        <f>'NHL2025-26Results'!E313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0.75931939053478215</v>
      </c>
      <c r="J318">
        <f>(Table3[[#This Row],[HomeMargin]]-Table3[[#This Row],[HomeForecast]])^2</f>
        <v>5.7927155772548714E-2</v>
      </c>
    </row>
    <row r="319" spans="4:10" x14ac:dyDescent="0.2">
      <c r="D319" t="s">
        <v>15</v>
      </c>
      <c r="E319">
        <f>'NHL2025-26Results'!C314</f>
        <v>2</v>
      </c>
      <c r="F319" t="s">
        <v>20</v>
      </c>
      <c r="G319">
        <f>'NHL2025-26Results'!E314</f>
        <v>3</v>
      </c>
      <c r="H319">
        <f>Table3[[#This Row],[G_1]]-Table3[[#This Row],[G]]</f>
        <v>1</v>
      </c>
      <c r="I319">
        <f>HomeEdge+VLOOKUP(Table3[[#This Row],[Home]],$A$6:$B$38,2,FALSE)-VLOOKUP(Table3[[#This Row],[Visitor]],$A$6:$B$38,2,FALSE)</f>
        <v>0.75663583307431015</v>
      </c>
      <c r="J319">
        <f>(Table3[[#This Row],[HomeMargin]]-Table3[[#This Row],[HomeForecast]])^2</f>
        <v>5.9226117743435031E-2</v>
      </c>
    </row>
    <row r="320" spans="4:10" x14ac:dyDescent="0.2">
      <c r="D320" t="s">
        <v>28</v>
      </c>
      <c r="E320">
        <f>'NHL2025-26Results'!C315</f>
        <v>2</v>
      </c>
      <c r="F320" t="s">
        <v>40</v>
      </c>
      <c r="G320">
        <f>'NHL2025-26Results'!E315</f>
        <v>5</v>
      </c>
      <c r="H320">
        <f>Table3[[#This Row],[G_1]]-Table3[[#This Row],[G]]</f>
        <v>3</v>
      </c>
      <c r="I320">
        <f>HomeEdge+VLOOKUP(Table3[[#This Row],[Home]],$A$6:$B$38,2,FALSE)-VLOOKUP(Table3[[#This Row],[Visitor]],$A$6:$B$38,2,FALSE)</f>
        <v>0.67148152822732443</v>
      </c>
      <c r="J320">
        <f>(Table3[[#This Row],[HomeMargin]]-Table3[[#This Row],[HomeForecast]])^2</f>
        <v>5.4219982733865564</v>
      </c>
    </row>
    <row r="321" spans="4:10" x14ac:dyDescent="0.2">
      <c r="D321" t="s">
        <v>21</v>
      </c>
      <c r="E321">
        <f>'NHL2025-26Results'!C316</f>
        <v>3</v>
      </c>
      <c r="F321" t="s">
        <v>31</v>
      </c>
      <c r="G321">
        <f>'NHL2025-26Results'!E316</f>
        <v>4</v>
      </c>
      <c r="H321">
        <f>Table3[[#This Row],[G_1]]-Table3[[#This Row],[G]]</f>
        <v>1</v>
      </c>
      <c r="I321">
        <f>HomeEdge+VLOOKUP(Table3[[#This Row],[Home]],$A$6:$B$38,2,FALSE)-VLOOKUP(Table3[[#This Row],[Visitor]],$A$6:$B$38,2,FALSE)</f>
        <v>0.62548909273617992</v>
      </c>
      <c r="J321">
        <f>(Table3[[#This Row],[HomeMargin]]-Table3[[#This Row],[HomeForecast]])^2</f>
        <v>0.14025841965956964</v>
      </c>
    </row>
    <row r="322" spans="4:10" x14ac:dyDescent="0.2">
      <c r="D322" t="s">
        <v>16</v>
      </c>
      <c r="E322">
        <f>'NHL2025-26Results'!C317</f>
        <v>6</v>
      </c>
      <c r="F322" t="s">
        <v>23</v>
      </c>
      <c r="G322">
        <f>'NHL2025-26Results'!E317</f>
        <v>2</v>
      </c>
      <c r="H322">
        <f>Table3[[#This Row],[G_1]]-Table3[[#This Row],[G]]</f>
        <v>-4</v>
      </c>
      <c r="I322">
        <f>HomeEdge+VLOOKUP(Table3[[#This Row],[Home]],$A$6:$B$38,2,FALSE)-VLOOKUP(Table3[[#This Row],[Visitor]],$A$6:$B$38,2,FALSE)</f>
        <v>0.71739655507398192</v>
      </c>
      <c r="J322">
        <f>(Table3[[#This Row],[HomeMargin]]-Table3[[#This Row],[HomeForecast]])^2</f>
        <v>22.253830257823875</v>
      </c>
    </row>
    <row r="323" spans="4:10" x14ac:dyDescent="0.2">
      <c r="D323" t="s">
        <v>25</v>
      </c>
      <c r="E323">
        <f>'NHL2025-26Results'!C318</f>
        <v>3</v>
      </c>
      <c r="F323" t="s">
        <v>34</v>
      </c>
      <c r="G323">
        <f>'NHL2025-26Results'!E318</f>
        <v>4</v>
      </c>
      <c r="H323">
        <f>Table3[[#This Row],[G_1]]-Table3[[#This Row],[G]]</f>
        <v>1</v>
      </c>
      <c r="I323">
        <f>HomeEdge+VLOOKUP(Table3[[#This Row],[Home]],$A$6:$B$38,2,FALSE)-VLOOKUP(Table3[[#This Row],[Visitor]],$A$6:$B$38,2,FALSE)</f>
        <v>-0.45119741007597425</v>
      </c>
      <c r="J323">
        <f>(Table3[[#This Row],[HomeMargin]]-Table3[[#This Row],[HomeForecast]])^2</f>
        <v>2.1059739230112151</v>
      </c>
    </row>
    <row r="324" spans="4:10" x14ac:dyDescent="0.2">
      <c r="D324" t="s">
        <v>17</v>
      </c>
      <c r="E324">
        <f>'NHL2025-26Results'!C319</f>
        <v>4</v>
      </c>
      <c r="F324" t="s">
        <v>22</v>
      </c>
      <c r="G324">
        <f>'NHL2025-26Results'!E319</f>
        <v>7</v>
      </c>
      <c r="H324">
        <f>Table3[[#This Row],[G_1]]-Table3[[#This Row],[G]]</f>
        <v>3</v>
      </c>
      <c r="I324">
        <f>HomeEdge+VLOOKUP(Table3[[#This Row],[Home]],$A$6:$B$38,2,FALSE)-VLOOKUP(Table3[[#This Row],[Visitor]],$A$6:$B$38,2,FALSE)</f>
        <v>1.0749862594307737</v>
      </c>
      <c r="J324">
        <f>(Table3[[#This Row],[HomeMargin]]-Table3[[#This Row],[HomeForecast]])^2</f>
        <v>3.7056779013803243</v>
      </c>
    </row>
    <row r="325" spans="4:10" x14ac:dyDescent="0.2">
      <c r="D325" t="s">
        <v>36</v>
      </c>
      <c r="E325">
        <f>'NHL2025-26Results'!C320</f>
        <v>3</v>
      </c>
      <c r="F325" t="s">
        <v>31</v>
      </c>
      <c r="G325">
        <f>'NHL2025-26Results'!E320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0.79835939962915436</v>
      </c>
      <c r="J325">
        <f>(Table3[[#This Row],[HomeMargin]]-Table3[[#This Row],[HomeForecast]])^2</f>
        <v>3.2340965302345319</v>
      </c>
    </row>
    <row r="326" spans="4:10" x14ac:dyDescent="0.2">
      <c r="D326" t="s">
        <v>32</v>
      </c>
      <c r="E326">
        <f>'NHL2025-26Results'!C321</f>
        <v>3</v>
      </c>
      <c r="F326" t="s">
        <v>10</v>
      </c>
      <c r="G326">
        <f>'NHL2025-26Results'!E321</f>
        <v>2</v>
      </c>
      <c r="H326">
        <f>Table3[[#This Row],[G_1]]-Table3[[#This Row],[G]]</f>
        <v>-1</v>
      </c>
      <c r="I326">
        <f>HomeEdge+VLOOKUP(Table3[[#This Row],[Home]],$A$6:$B$38,2,FALSE)-VLOOKUP(Table3[[#This Row],[Visitor]],$A$6:$B$38,2,FALSE)</f>
        <v>0.43497856823561215</v>
      </c>
      <c r="J326">
        <f>(Table3[[#This Row],[HomeMargin]]-Table3[[#This Row],[HomeForecast]])^2</f>
        <v>2.0591634912955277</v>
      </c>
    </row>
    <row r="327" spans="4:10" x14ac:dyDescent="0.2">
      <c r="D327" t="s">
        <v>15</v>
      </c>
      <c r="E327">
        <f>'NHL2025-26Results'!C322</f>
        <v>3</v>
      </c>
      <c r="F327" t="s">
        <v>12</v>
      </c>
      <c r="G327">
        <f>'NHL2025-26Results'!E322</f>
        <v>6</v>
      </c>
      <c r="H327">
        <f>Table3[[#This Row],[G_1]]-Table3[[#This Row],[G]]</f>
        <v>3</v>
      </c>
      <c r="I327">
        <f>HomeEdge+VLOOKUP(Table3[[#This Row],[Home]],$A$6:$B$38,2,FALSE)-VLOOKUP(Table3[[#This Row],[Visitor]],$A$6:$B$38,2,FALSE)</f>
        <v>2.0817366184466897</v>
      </c>
      <c r="J327">
        <f>(Table3[[#This Row],[HomeMargin]]-Table3[[#This Row],[HomeForecast]])^2</f>
        <v>0.84320763790172037</v>
      </c>
    </row>
    <row r="328" spans="4:10" x14ac:dyDescent="0.2">
      <c r="D328" t="s">
        <v>30</v>
      </c>
      <c r="E328">
        <f>'NHL2025-26Results'!C323</f>
        <v>5</v>
      </c>
      <c r="F328" t="s">
        <v>26</v>
      </c>
      <c r="G328">
        <f>'NHL2025-26Results'!E323</f>
        <v>0</v>
      </c>
      <c r="H328">
        <f>Table3[[#This Row],[G_1]]-Table3[[#This Row],[G]]</f>
        <v>-5</v>
      </c>
      <c r="I328">
        <f>HomeEdge+VLOOKUP(Table3[[#This Row],[Home]],$A$6:$B$38,2,FALSE)-VLOOKUP(Table3[[#This Row],[Visitor]],$A$6:$B$38,2,FALSE)</f>
        <v>-0.52965226087001582</v>
      </c>
      <c r="J328">
        <f>(Table3[[#This Row],[HomeMargin]]-Table3[[#This Row],[HomeForecast]])^2</f>
        <v>19.98400890874456</v>
      </c>
    </row>
    <row r="329" spans="4:10" x14ac:dyDescent="0.2">
      <c r="D329" t="s">
        <v>24</v>
      </c>
      <c r="E329">
        <f>'NHL2025-26Results'!C324</f>
        <v>0</v>
      </c>
      <c r="F329" t="s">
        <v>11</v>
      </c>
      <c r="G329">
        <f>'NHL2025-26Results'!E324</f>
        <v>1</v>
      </c>
      <c r="H329">
        <f>Table3[[#This Row],[G_1]]-Table3[[#This Row],[G]]</f>
        <v>1</v>
      </c>
      <c r="I329">
        <f>HomeEdge+VLOOKUP(Table3[[#This Row],[Home]],$A$6:$B$38,2,FALSE)-VLOOKUP(Table3[[#This Row],[Visitor]],$A$6:$B$38,2,FALSE)</f>
        <v>-0.22279342171946073</v>
      </c>
      <c r="J329">
        <f>(Table3[[#This Row],[HomeMargin]]-Table3[[#This Row],[HomeForecast]])^2</f>
        <v>1.4952237522003868</v>
      </c>
    </row>
    <row r="330" spans="4:10" x14ac:dyDescent="0.2">
      <c r="D330" t="s">
        <v>22</v>
      </c>
      <c r="E330">
        <f>'NHL2025-26Results'!C325</f>
        <v>8</v>
      </c>
      <c r="F330" t="s">
        <v>18</v>
      </c>
      <c r="G330">
        <f>'NHL2025-26Results'!E325</f>
        <v>4</v>
      </c>
      <c r="H330">
        <f>Table3[[#This Row],[G_1]]-Table3[[#This Row],[G]]</f>
        <v>-4</v>
      </c>
      <c r="I330">
        <f>HomeEdge+VLOOKUP(Table3[[#This Row],[Home]],$A$6:$B$38,2,FALSE)-VLOOKUP(Table3[[#This Row],[Visitor]],$A$6:$B$38,2,FALSE)</f>
        <v>-0.67480939343170421</v>
      </c>
      <c r="J330">
        <f>(Table3[[#This Row],[HomeMargin]]-Table3[[#This Row],[HomeForecast]])^2</f>
        <v>11.05689257001003</v>
      </c>
    </row>
    <row r="331" spans="4:10" x14ac:dyDescent="0.2">
      <c r="D331" t="s">
        <v>35</v>
      </c>
      <c r="E331">
        <f>'NHL2025-26Results'!C326</f>
        <v>2</v>
      </c>
      <c r="F331" t="s">
        <v>27</v>
      </c>
      <c r="G331">
        <f>'NHL2025-26Results'!E326</f>
        <v>3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1.2724912414933074</v>
      </c>
      <c r="J331">
        <f>(Table3[[#This Row],[HomeMargin]]-Table3[[#This Row],[HomeForecast]])^2</f>
        <v>7.4251476690563964E-2</v>
      </c>
    </row>
    <row r="332" spans="4:10" x14ac:dyDescent="0.2">
      <c r="D332" t="s">
        <v>13</v>
      </c>
      <c r="E332">
        <f>'NHL2025-26Results'!C327</f>
        <v>3</v>
      </c>
      <c r="F332" t="s">
        <v>33</v>
      </c>
      <c r="G332">
        <f>'NHL2025-26Results'!E327</f>
        <v>4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0.13710120498930956</v>
      </c>
      <c r="J332">
        <f>(Table3[[#This Row],[HomeMargin]]-Table3[[#This Row],[HomeForecast]])^2</f>
        <v>0.74459433043090162</v>
      </c>
    </row>
    <row r="333" spans="4:10" x14ac:dyDescent="0.2">
      <c r="D333" t="s">
        <v>17</v>
      </c>
      <c r="E333">
        <f>'NHL2025-26Results'!C328</f>
        <v>1</v>
      </c>
      <c r="F333" t="s">
        <v>37</v>
      </c>
      <c r="G333">
        <f>'NHL2025-26Results'!E328</f>
        <v>2</v>
      </c>
      <c r="H333">
        <f>Table3[[#This Row],[G_1]]-Table3[[#This Row],[G]]</f>
        <v>1</v>
      </c>
      <c r="I333">
        <f>HomeEdge+VLOOKUP(Table3[[#This Row],[Home]],$A$6:$B$38,2,FALSE)-VLOOKUP(Table3[[#This Row],[Visitor]],$A$6:$B$38,2,FALSE)</f>
        <v>1.0818422171852204</v>
      </c>
      <c r="J333">
        <f>(Table3[[#This Row],[HomeMargin]]-Table3[[#This Row],[HomeForecast]])^2</f>
        <v>6.6981485137927932E-3</v>
      </c>
    </row>
    <row r="334" spans="4:10" x14ac:dyDescent="0.2">
      <c r="D334" t="s">
        <v>28</v>
      </c>
      <c r="E334">
        <f>'NHL2025-26Results'!C329</f>
        <v>3</v>
      </c>
      <c r="F334" t="s">
        <v>19</v>
      </c>
      <c r="G334">
        <f>'NHL2025-26Results'!E329</f>
        <v>2</v>
      </c>
      <c r="H334">
        <f>Table3[[#This Row],[G_1]]-Table3[[#This Row],[G]]</f>
        <v>-1</v>
      </c>
      <c r="I334">
        <f>HomeEdge+VLOOKUP(Table3[[#This Row],[Home]],$A$6:$B$38,2,FALSE)-VLOOKUP(Table3[[#This Row],[Visitor]],$A$6:$B$38,2,FALSE)</f>
        <v>-0.20347372425998278</v>
      </c>
      <c r="J334">
        <f>(Table3[[#This Row],[HomeMargin]]-Table3[[#This Row],[HomeForecast]])^2</f>
        <v>0.63445410794426194</v>
      </c>
    </row>
    <row r="335" spans="4:10" x14ac:dyDescent="0.2">
      <c r="D335" t="s">
        <v>20</v>
      </c>
      <c r="E335">
        <f>'NHL2025-26Results'!C330</f>
        <v>4</v>
      </c>
      <c r="F335" t="s">
        <v>55</v>
      </c>
      <c r="G335">
        <f>'NHL2025-26Results'!E330</f>
        <v>1</v>
      </c>
      <c r="H335">
        <f>Table3[[#This Row],[G_1]]-Table3[[#This Row],[G]]</f>
        <v>-3</v>
      </c>
      <c r="I335">
        <f>HomeEdge+VLOOKUP(Table3[[#This Row],[Home]],$A$6:$B$38,2,FALSE)-VLOOKUP(Table3[[#This Row],[Visitor]],$A$6:$B$38,2,FALSE)</f>
        <v>-0.29288086291418641</v>
      </c>
      <c r="J335">
        <f>(Table3[[#This Row],[HomeMargin]]-Table3[[#This Row],[HomeForecast]])^2</f>
        <v>7.3284940223762387</v>
      </c>
    </row>
    <row r="336" spans="4:10" x14ac:dyDescent="0.2">
      <c r="D336" t="s">
        <v>39</v>
      </c>
      <c r="E336">
        <f>'NHL2025-26Results'!C331</f>
        <v>4</v>
      </c>
      <c r="F336" t="s">
        <v>38</v>
      </c>
      <c r="G336">
        <f>'NHL2025-26Results'!E331</f>
        <v>2</v>
      </c>
      <c r="H336">
        <f>Table3[[#This Row],[G_1]]-Table3[[#This Row],[G]]</f>
        <v>-2</v>
      </c>
      <c r="I336">
        <f>HomeEdge+VLOOKUP(Table3[[#This Row],[Home]],$A$6:$B$38,2,FALSE)-VLOOKUP(Table3[[#This Row],[Visitor]],$A$6:$B$38,2,FALSE)</f>
        <v>-0.99048801917888818</v>
      </c>
      <c r="J336">
        <f>(Table3[[#This Row],[HomeMargin]]-Table3[[#This Row],[HomeForecast]])^2</f>
        <v>1.0191144394213647</v>
      </c>
    </row>
    <row r="337" spans="4:10" x14ac:dyDescent="0.2">
      <c r="D337" t="s">
        <v>10</v>
      </c>
      <c r="E337">
        <f>'NHL2025-26Results'!C332</f>
        <v>3</v>
      </c>
      <c r="F337" t="s">
        <v>23</v>
      </c>
      <c r="G337">
        <f>'NHL2025-26Results'!E332</f>
        <v>9</v>
      </c>
      <c r="H337">
        <f>Table3[[#This Row],[G_1]]-Table3[[#This Row],[G]]</f>
        <v>6</v>
      </c>
      <c r="I337">
        <f>HomeEdge+VLOOKUP(Table3[[#This Row],[Home]],$A$6:$B$38,2,FALSE)-VLOOKUP(Table3[[#This Row],[Visitor]],$A$6:$B$38,2,FALSE)</f>
        <v>-0.22517227789149963</v>
      </c>
      <c r="J337">
        <f>(Table3[[#This Row],[HomeMargin]]-Table3[[#This Row],[HomeForecast]])^2</f>
        <v>38.752769889428841</v>
      </c>
    </row>
    <row r="338" spans="4:10" x14ac:dyDescent="0.2">
      <c r="D338" t="s">
        <v>21</v>
      </c>
      <c r="E338">
        <f>'NHL2025-26Results'!C333</f>
        <v>2</v>
      </c>
      <c r="F338" t="s">
        <v>13</v>
      </c>
      <c r="G338">
        <f>'NHL2025-26Results'!E333</f>
        <v>1</v>
      </c>
      <c r="H338">
        <f>Table3[[#This Row],[G_1]]-Table3[[#This Row],[G]]</f>
        <v>-1</v>
      </c>
      <c r="I338">
        <f>HomeEdge+VLOOKUP(Table3[[#This Row],[Home]],$A$6:$B$38,2,FALSE)-VLOOKUP(Table3[[#This Row],[Visitor]],$A$6:$B$38,2,FALSE)</f>
        <v>-7.9148925958460153E-2</v>
      </c>
      <c r="J338">
        <f>(Table3[[#This Row],[HomeMargin]]-Table3[[#This Row],[HomeForecast]])^2</f>
        <v>0.84796670056345758</v>
      </c>
    </row>
    <row r="339" spans="4:10" x14ac:dyDescent="0.2">
      <c r="D339" t="s">
        <v>34</v>
      </c>
      <c r="E339">
        <f>'NHL2025-26Results'!C334</f>
        <v>5</v>
      </c>
      <c r="F339" t="s">
        <v>14</v>
      </c>
      <c r="G339">
        <f>'NHL2025-26Results'!E334</f>
        <v>0</v>
      </c>
      <c r="H339">
        <f>Table3[[#This Row],[G_1]]-Table3[[#This Row],[G]]</f>
        <v>-5</v>
      </c>
      <c r="I339">
        <f>HomeEdge+VLOOKUP(Table3[[#This Row],[Home]],$A$6:$B$38,2,FALSE)-VLOOKUP(Table3[[#This Row],[Visitor]],$A$6:$B$38,2,FALSE)</f>
        <v>9.2126697857897843E-2</v>
      </c>
      <c r="J339">
        <f>(Table3[[#This Row],[HomeMargin]]-Table3[[#This Row],[HomeForecast]])^2</f>
        <v>25.929754307037182</v>
      </c>
    </row>
    <row r="340" spans="4:10" x14ac:dyDescent="0.2">
      <c r="D340" t="s">
        <v>25</v>
      </c>
      <c r="E340">
        <f>'NHL2025-26Results'!C335</f>
        <v>4</v>
      </c>
      <c r="F340" t="s">
        <v>40</v>
      </c>
      <c r="G340">
        <f>'NHL2025-26Results'!E335</f>
        <v>3</v>
      </c>
      <c r="H340">
        <f>Table3[[#This Row],[G_1]]-Table3[[#This Row],[G]]</f>
        <v>-1</v>
      </c>
      <c r="I340">
        <f>HomeEdge+VLOOKUP(Table3[[#This Row],[Home]],$A$6:$B$38,2,FALSE)-VLOOKUP(Table3[[#This Row],[Visitor]],$A$6:$B$38,2,FALSE)</f>
        <v>-0.34785622021989471</v>
      </c>
      <c r="J340">
        <f>(Table3[[#This Row],[HomeMargin]]-Table3[[#This Row],[HomeForecast]])^2</f>
        <v>0.42529150950588246</v>
      </c>
    </row>
    <row r="341" spans="4:10" x14ac:dyDescent="0.2">
      <c r="D341" t="s">
        <v>20</v>
      </c>
      <c r="E341">
        <f>'NHL2025-26Results'!C336</f>
        <v>3</v>
      </c>
      <c r="F341" t="s">
        <v>31</v>
      </c>
      <c r="G341">
        <f>'NHL2025-26Results'!E336</f>
        <v>4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0.36010603652854017</v>
      </c>
      <c r="J341">
        <f>(Table3[[#This Row],[HomeMargin]]-Table3[[#This Row],[HomeForecast]])^2</f>
        <v>0.40946428448721389</v>
      </c>
    </row>
    <row r="342" spans="4:10" x14ac:dyDescent="0.2">
      <c r="D342" t="s">
        <v>39</v>
      </c>
      <c r="E342">
        <f>'NHL2025-26Results'!C337</f>
        <v>2</v>
      </c>
      <c r="F342" t="s">
        <v>16</v>
      </c>
      <c r="G342">
        <f>'NHL2025-26Results'!E337</f>
        <v>3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-0.96204330983087927</v>
      </c>
      <c r="J342">
        <f>(Table3[[#This Row],[HomeMargin]]-Table3[[#This Row],[HomeForecast]])^2</f>
        <v>3.8496139496521113</v>
      </c>
    </row>
    <row r="343" spans="4:10" x14ac:dyDescent="0.2">
      <c r="D343" t="s">
        <v>28</v>
      </c>
      <c r="E343">
        <f>'NHL2025-26Results'!C338</f>
        <v>3</v>
      </c>
      <c r="F343" t="s">
        <v>26</v>
      </c>
      <c r="G343">
        <f>'NHL2025-26Results'!E338</f>
        <v>4</v>
      </c>
      <c r="H343">
        <f>Table3[[#This Row],[G_1]]-Table3[[#This Row],[G]]</f>
        <v>1</v>
      </c>
      <c r="I343">
        <f>HomeEdge+VLOOKUP(Table3[[#This Row],[Home]],$A$6:$B$38,2,FALSE)-VLOOKUP(Table3[[#This Row],[Visitor]],$A$6:$B$38,2,FALSE)</f>
        <v>6.8372211631196889E-2</v>
      </c>
      <c r="J343">
        <f>(Table3[[#This Row],[HomeMargin]]-Table3[[#This Row],[HomeForecast]])^2</f>
        <v>0.86793033606094738</v>
      </c>
    </row>
    <row r="344" spans="4:10" x14ac:dyDescent="0.2">
      <c r="D344" t="s">
        <v>17</v>
      </c>
      <c r="E344">
        <f>'NHL2025-26Results'!C339</f>
        <v>6</v>
      </c>
      <c r="F344" t="s">
        <v>11</v>
      </c>
      <c r="G344">
        <f>'NHL2025-26Results'!E339</f>
        <v>3</v>
      </c>
      <c r="H344">
        <f>Table3[[#This Row],[G_1]]-Table3[[#This Row],[G]]</f>
        <v>-3</v>
      </c>
      <c r="I344">
        <f>HomeEdge+VLOOKUP(Table3[[#This Row],[Home]],$A$6:$B$38,2,FALSE)-VLOOKUP(Table3[[#This Row],[Visitor]],$A$6:$B$38,2,FALSE)</f>
        <v>0.6318054434175483</v>
      </c>
      <c r="J344">
        <f>(Table3[[#This Row],[HomeMargin]]-Table3[[#This Row],[HomeForecast]])^2</f>
        <v>13.190010778837335</v>
      </c>
    </row>
    <row r="345" spans="4:10" x14ac:dyDescent="0.2">
      <c r="D345" t="s">
        <v>19</v>
      </c>
      <c r="E345">
        <f>'NHL2025-26Results'!C340</f>
        <v>2</v>
      </c>
      <c r="F345" t="s">
        <v>18</v>
      </c>
      <c r="G345">
        <f>'NHL2025-26Results'!E340</f>
        <v>5</v>
      </c>
      <c r="H345">
        <f>Table3[[#This Row],[G_1]]-Table3[[#This Row],[G]]</f>
        <v>3</v>
      </c>
      <c r="I345">
        <f>HomeEdge+VLOOKUP(Table3[[#This Row],[Home]],$A$6:$B$38,2,FALSE)-VLOOKUP(Table3[[#This Row],[Visitor]],$A$6:$B$38,2,FALSE)</f>
        <v>0.3252051401153484</v>
      </c>
      <c r="J345">
        <f>(Table3[[#This Row],[HomeMargin]]-Table3[[#This Row],[HomeForecast]])^2</f>
        <v>7.1545275424653543</v>
      </c>
    </row>
    <row r="346" spans="4:10" x14ac:dyDescent="0.2">
      <c r="D346" t="s">
        <v>12</v>
      </c>
      <c r="E346">
        <f>'NHL2025-26Results'!C341</f>
        <v>3</v>
      </c>
      <c r="F346" t="s">
        <v>29</v>
      </c>
      <c r="G346">
        <f>'NHL2025-26Results'!E341</f>
        <v>0</v>
      </c>
      <c r="H346">
        <f>Table3[[#This Row],[G_1]]-Table3[[#This Row],[G]]</f>
        <v>-3</v>
      </c>
      <c r="I346">
        <f>HomeEdge+VLOOKUP(Table3[[#This Row],[Home]],$A$6:$B$38,2,FALSE)-VLOOKUP(Table3[[#This Row],[Visitor]],$A$6:$B$38,2,FALSE)</f>
        <v>-2.8040262311444728</v>
      </c>
      <c r="J346">
        <f>(Table3[[#This Row],[HomeMargin]]-Table3[[#This Row],[HomeForecast]])^2</f>
        <v>3.8405718079439599E-2</v>
      </c>
    </row>
    <row r="347" spans="4:10" x14ac:dyDescent="0.2">
      <c r="D347" t="s">
        <v>35</v>
      </c>
      <c r="E347">
        <f>'NHL2025-26Results'!C342</f>
        <v>2</v>
      </c>
      <c r="F347" t="s">
        <v>30</v>
      </c>
      <c r="G347">
        <f>'NHL2025-26Results'!E342</f>
        <v>1</v>
      </c>
      <c r="H347">
        <f>Table3[[#This Row],[G_1]]-Table3[[#This Row],[G]]</f>
        <v>-1</v>
      </c>
      <c r="I347">
        <f>HomeEdge+VLOOKUP(Table3[[#This Row],[Home]],$A$6:$B$38,2,FALSE)-VLOOKUP(Table3[[#This Row],[Visitor]],$A$6:$B$38,2,FALSE)</f>
        <v>1.698360976268394</v>
      </c>
      <c r="J347">
        <f>(Table3[[#This Row],[HomeMargin]]-Table3[[#This Row],[HomeForecast]])^2</f>
        <v>7.2811519582481212</v>
      </c>
    </row>
    <row r="348" spans="4:10" x14ac:dyDescent="0.2">
      <c r="D348" t="s">
        <v>24</v>
      </c>
      <c r="E348">
        <f>'NHL2025-26Results'!C343</f>
        <v>3</v>
      </c>
      <c r="F348" t="s">
        <v>27</v>
      </c>
      <c r="G348">
        <f>'NHL2025-26Results'!E343</f>
        <v>6</v>
      </c>
      <c r="H348">
        <f>Table3[[#This Row],[G_1]]-Table3[[#This Row],[G]]</f>
        <v>3</v>
      </c>
      <c r="I348">
        <f>HomeEdge+VLOOKUP(Table3[[#This Row],[Home]],$A$6:$B$38,2,FALSE)-VLOOKUP(Table3[[#This Row],[Visitor]],$A$6:$B$38,2,FALSE)</f>
        <v>-0.26645528829476262</v>
      </c>
      <c r="J348">
        <f>(Table3[[#This Row],[HomeMargin]]-Table3[[#This Row],[HomeForecast]])^2</f>
        <v>10.669730150428823</v>
      </c>
    </row>
    <row r="349" spans="4:10" x14ac:dyDescent="0.2">
      <c r="D349" t="s">
        <v>32</v>
      </c>
      <c r="E349">
        <f>'NHL2025-26Results'!C344</f>
        <v>3</v>
      </c>
      <c r="F349" t="s">
        <v>14</v>
      </c>
      <c r="G349">
        <f>'NHL2025-26Results'!E344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0.37860787991205358</v>
      </c>
      <c r="J349">
        <f>(Table3[[#This Row],[HomeMargin]]-Table3[[#This Row],[HomeForecast]])^2</f>
        <v>1.9005596865556071</v>
      </c>
    </row>
    <row r="350" spans="4:10" x14ac:dyDescent="0.2">
      <c r="D350" t="s">
        <v>36</v>
      </c>
      <c r="E350">
        <f>'NHL2025-26Results'!C345</f>
        <v>3</v>
      </c>
      <c r="F350" t="s">
        <v>33</v>
      </c>
      <c r="G350">
        <f>'NHL2025-26Results'!E345</f>
        <v>2</v>
      </c>
      <c r="H350">
        <f>Table3[[#This Row],[G_1]]-Table3[[#This Row],[G]]</f>
        <v>-1</v>
      </c>
      <c r="I350">
        <f>HomeEdge+VLOOKUP(Table3[[#This Row],[Home]],$A$6:$B$38,2,FALSE)-VLOOKUP(Table3[[#This Row],[Visitor]],$A$6:$B$38,2,FALSE)</f>
        <v>9.3279196951407461E-2</v>
      </c>
      <c r="J350">
        <f>(Table3[[#This Row],[HomeMargin]]-Table3[[#This Row],[HomeForecast]])^2</f>
        <v>1.1952594024867145</v>
      </c>
    </row>
    <row r="351" spans="4:10" x14ac:dyDescent="0.2">
      <c r="D351" t="s">
        <v>15</v>
      </c>
      <c r="E351">
        <f>'NHL2025-26Results'!C346</f>
        <v>2</v>
      </c>
      <c r="F351" t="s">
        <v>55</v>
      </c>
      <c r="G351">
        <f>'NHL2025-26Results'!E346</f>
        <v>3</v>
      </c>
      <c r="H351">
        <f>Table3[[#This Row],[G_1]]-Table3[[#This Row],[G]]</f>
        <v>1</v>
      </c>
      <c r="I351">
        <f>HomeEdge+VLOOKUP(Table3[[#This Row],[Home]],$A$6:$B$38,2,FALSE)-VLOOKUP(Table3[[#This Row],[Visitor]],$A$6:$B$38,2,FALSE)</f>
        <v>0.32621158118770743</v>
      </c>
      <c r="J351">
        <f>(Table3[[#This Row],[HomeMargin]]-Table3[[#This Row],[HomeForecast]])^2</f>
        <v>0.45399083332556939</v>
      </c>
    </row>
    <row r="352" spans="4:10" x14ac:dyDescent="0.2">
      <c r="D352" t="s">
        <v>37</v>
      </c>
      <c r="E352">
        <f>'NHL2025-26Results'!C347</f>
        <v>5</v>
      </c>
      <c r="F352" t="s">
        <v>22</v>
      </c>
      <c r="G352">
        <f>'NHL2025-26Results'!E347</f>
        <v>3</v>
      </c>
      <c r="H352">
        <f>Table3[[#This Row],[G_1]]-Table3[[#This Row],[G]]</f>
        <v>-2</v>
      </c>
      <c r="I352">
        <f>HomeEdge+VLOOKUP(Table3[[#This Row],[Home]],$A$6:$B$38,2,FALSE)-VLOOKUP(Table3[[#This Row],[Visitor]],$A$6:$B$38,2,FALSE)</f>
        <v>0.13068743121796972</v>
      </c>
      <c r="J352">
        <f>(Table3[[#This Row],[HomeMargin]]-Table3[[#This Row],[HomeForecast]])^2</f>
        <v>4.5398289295502305</v>
      </c>
    </row>
    <row r="353" spans="4:10" x14ac:dyDescent="0.2">
      <c r="D353" t="s">
        <v>25</v>
      </c>
      <c r="E353">
        <f>'NHL2025-26Results'!C348</f>
        <v>1</v>
      </c>
      <c r="F353" t="s">
        <v>23</v>
      </c>
      <c r="G353">
        <f>'NHL2025-26Results'!E348</f>
        <v>4</v>
      </c>
      <c r="H353">
        <f>Table3[[#This Row],[G_1]]-Table3[[#This Row],[G]]</f>
        <v>3</v>
      </c>
      <c r="I353">
        <f>HomeEdge+VLOOKUP(Table3[[#This Row],[Home]],$A$6:$B$38,2,FALSE)-VLOOKUP(Table3[[#This Row],[Visitor]],$A$6:$B$38,2,FALSE)</f>
        <v>-0.80295907973085012</v>
      </c>
      <c r="J353">
        <f>(Table3[[#This Row],[HomeMargin]]-Table3[[#This Row],[HomeForecast]])^2</f>
        <v>14.462497762107313</v>
      </c>
    </row>
    <row r="354" spans="4:10" x14ac:dyDescent="0.2">
      <c r="D354" t="s">
        <v>12</v>
      </c>
      <c r="E354">
        <f>'NHL2025-26Results'!C349</f>
        <v>1</v>
      </c>
      <c r="F354" t="s">
        <v>10</v>
      </c>
      <c r="G354">
        <f>'NHL2025-26Results'!E349</f>
        <v>0</v>
      </c>
      <c r="H354">
        <f>Table3[[#This Row],[G_1]]-Table3[[#This Row],[G]]</f>
        <v>-1</v>
      </c>
      <c r="I354">
        <f>HomeEdge+VLOOKUP(Table3[[#This Row],[Home]],$A$6:$B$38,2,FALSE)-VLOOKUP(Table3[[#This Row],[Visitor]],$A$6:$B$38,2,FALSE)</f>
        <v>-1.4609261922424812</v>
      </c>
      <c r="J354">
        <f>(Table3[[#This Row],[HomeMargin]]-Table3[[#This Row],[HomeForecast]])^2</f>
        <v>0.21245295469515274</v>
      </c>
    </row>
    <row r="355" spans="4:10" x14ac:dyDescent="0.2">
      <c r="D355" t="s">
        <v>32</v>
      </c>
      <c r="E355">
        <f>'NHL2025-26Results'!C350</f>
        <v>0</v>
      </c>
      <c r="F355" t="s">
        <v>30</v>
      </c>
      <c r="G355">
        <f>'NHL2025-26Results'!E350</f>
        <v>1</v>
      </c>
      <c r="H355">
        <f>Table3[[#This Row],[G_1]]-Table3[[#This Row],[G]]</f>
        <v>1</v>
      </c>
      <c r="I355">
        <f>HomeEdge+VLOOKUP(Table3[[#This Row],[Home]],$A$6:$B$38,2,FALSE)-VLOOKUP(Table3[[#This Row],[Visitor]],$A$6:$B$38,2,FALSE)</f>
        <v>0.59145209412895638</v>
      </c>
      <c r="J355">
        <f>(Table3[[#This Row],[HomeMargin]]-Table3[[#This Row],[HomeForecast]])^2</f>
        <v>0.16691139139161512</v>
      </c>
    </row>
    <row r="356" spans="4:10" x14ac:dyDescent="0.2">
      <c r="D356" t="s">
        <v>21</v>
      </c>
      <c r="E356">
        <f>'NHL2025-26Results'!C351</f>
        <v>1</v>
      </c>
      <c r="F356" t="s">
        <v>33</v>
      </c>
      <c r="G356">
        <f>'NHL2025-26Results'!E351</f>
        <v>3</v>
      </c>
      <c r="H356">
        <f>Table3[[#This Row],[G_1]]-Table3[[#This Row],[G]]</f>
        <v>2</v>
      </c>
      <c r="I356">
        <f>HomeEdge+VLOOKUP(Table3[[#This Row],[Home]],$A$6:$B$38,2,FALSE)-VLOOKUP(Table3[[#This Row],[Visitor]],$A$6:$B$38,2,FALSE)</f>
        <v>-7.9591109941566957E-2</v>
      </c>
      <c r="J356">
        <f>(Table3[[#This Row],[HomeMargin]]-Table3[[#This Row],[HomeForecast]])^2</f>
        <v>4.324699184547999</v>
      </c>
    </row>
    <row r="357" spans="4:10" x14ac:dyDescent="0.2">
      <c r="D357" t="s">
        <v>16</v>
      </c>
      <c r="E357">
        <f>'NHL2025-26Results'!C352</f>
        <v>5</v>
      </c>
      <c r="F357" t="s">
        <v>38</v>
      </c>
      <c r="G357">
        <f>'NHL2025-26Results'!E352</f>
        <v>2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0.10909867962440745</v>
      </c>
      <c r="J357">
        <f>(Table3[[#This Row],[HomeMargin]]-Table3[[#This Row],[HomeForecast]])^2</f>
        <v>9.6664945996422329</v>
      </c>
    </row>
    <row r="358" spans="4:10" x14ac:dyDescent="0.2">
      <c r="D358" t="s">
        <v>34</v>
      </c>
      <c r="E358">
        <f>'NHL2025-26Results'!C353</f>
        <v>3</v>
      </c>
      <c r="F358" t="s">
        <v>40</v>
      </c>
      <c r="G358">
        <f>'NHL2025-26Results'!E353</f>
        <v>0</v>
      </c>
      <c r="H358">
        <f>Table3[[#This Row],[G_1]]-Table3[[#This Row],[G]]</f>
        <v>-3</v>
      </c>
      <c r="I358">
        <f>HomeEdge+VLOOKUP(Table3[[#This Row],[Home]],$A$6:$B$38,2,FALSE)-VLOOKUP(Table3[[#This Row],[Visitor]],$A$6:$B$38,2,FALSE)</f>
        <v>0.2408845788284959</v>
      </c>
      <c r="J358">
        <f>(Table3[[#This Row],[HomeMargin]]-Table3[[#This Row],[HomeForecast]])^2</f>
        <v>10.503332853288356</v>
      </c>
    </row>
    <row r="359" spans="4:10" x14ac:dyDescent="0.2">
      <c r="D359" t="s">
        <v>36</v>
      </c>
      <c r="F359" t="s">
        <v>13</v>
      </c>
    </row>
    <row r="360" spans="4:10" x14ac:dyDescent="0.2">
      <c r="D360" t="s">
        <v>26</v>
      </c>
      <c r="F360" t="s">
        <v>24</v>
      </c>
    </row>
    <row r="361" spans="4:10" x14ac:dyDescent="0.2">
      <c r="D361" t="s">
        <v>11</v>
      </c>
      <c r="F361" t="s">
        <v>29</v>
      </c>
    </row>
    <row r="362" spans="4:10" x14ac:dyDescent="0.2">
      <c r="D362" t="s">
        <v>35</v>
      </c>
      <c r="F362" t="s">
        <v>15</v>
      </c>
    </row>
    <row r="363" spans="4:10" x14ac:dyDescent="0.2">
      <c r="D363" t="s">
        <v>27</v>
      </c>
      <c r="F363" t="s">
        <v>37</v>
      </c>
    </row>
    <row r="364" spans="4:10" x14ac:dyDescent="0.2">
      <c r="D364" t="s">
        <v>20</v>
      </c>
      <c r="F364" t="s">
        <v>55</v>
      </c>
    </row>
    <row r="365" spans="4:10" x14ac:dyDescent="0.2">
      <c r="D365" t="s">
        <v>28</v>
      </c>
      <c r="F365" t="s">
        <v>22</v>
      </c>
    </row>
    <row r="366" spans="4:10" x14ac:dyDescent="0.2">
      <c r="D366" t="s">
        <v>39</v>
      </c>
      <c r="F366" t="s">
        <v>17</v>
      </c>
    </row>
    <row r="367" spans="4:10" x14ac:dyDescent="0.2">
      <c r="D367" t="s">
        <v>38</v>
      </c>
      <c r="F367" t="s">
        <v>31</v>
      </c>
    </row>
    <row r="368" spans="4:10" x14ac:dyDescent="0.2">
      <c r="D368" t="s">
        <v>15</v>
      </c>
      <c r="F368" t="s">
        <v>25</v>
      </c>
    </row>
    <row r="369" spans="4:6" x14ac:dyDescent="0.2">
      <c r="D369" t="s">
        <v>19</v>
      </c>
      <c r="F369" t="s">
        <v>28</v>
      </c>
    </row>
    <row r="370" spans="4:6" x14ac:dyDescent="0.2">
      <c r="D370" t="s">
        <v>34</v>
      </c>
      <c r="F370" t="s">
        <v>10</v>
      </c>
    </row>
    <row r="371" spans="4:6" x14ac:dyDescent="0.2">
      <c r="D371" t="s">
        <v>33</v>
      </c>
      <c r="F371" t="s">
        <v>12</v>
      </c>
    </row>
    <row r="372" spans="4:6" x14ac:dyDescent="0.2">
      <c r="D372" t="s">
        <v>29</v>
      </c>
      <c r="F372" t="s">
        <v>26</v>
      </c>
    </row>
    <row r="373" spans="4:6" x14ac:dyDescent="0.2">
      <c r="D373" t="s">
        <v>27</v>
      </c>
      <c r="F373" t="s">
        <v>11</v>
      </c>
    </row>
    <row r="374" spans="4:6" x14ac:dyDescent="0.2">
      <c r="D374" t="s">
        <v>35</v>
      </c>
      <c r="F374" t="s">
        <v>24</v>
      </c>
    </row>
    <row r="375" spans="4:6" x14ac:dyDescent="0.2">
      <c r="D375" t="s">
        <v>21</v>
      </c>
      <c r="F375" t="s">
        <v>30</v>
      </c>
    </row>
    <row r="376" spans="4:6" x14ac:dyDescent="0.2">
      <c r="D376" t="s">
        <v>23</v>
      </c>
      <c r="F376" t="s">
        <v>14</v>
      </c>
    </row>
    <row r="377" spans="4:6" x14ac:dyDescent="0.2">
      <c r="D377" t="s">
        <v>39</v>
      </c>
      <c r="F377" t="s">
        <v>32</v>
      </c>
    </row>
    <row r="378" spans="4:6" x14ac:dyDescent="0.2">
      <c r="D378" t="s">
        <v>16</v>
      </c>
      <c r="F378" t="s">
        <v>37</v>
      </c>
    </row>
    <row r="379" spans="4:6" x14ac:dyDescent="0.2">
      <c r="D379" t="s">
        <v>18</v>
      </c>
      <c r="F379" t="s">
        <v>55</v>
      </c>
    </row>
    <row r="380" spans="4:6" x14ac:dyDescent="0.2">
      <c r="D380" t="s">
        <v>36</v>
      </c>
      <c r="F380" t="s">
        <v>20</v>
      </c>
    </row>
    <row r="381" spans="4:6" x14ac:dyDescent="0.2">
      <c r="D381" t="s">
        <v>40</v>
      </c>
      <c r="F381" t="s">
        <v>22</v>
      </c>
    </row>
    <row r="382" spans="4:6" x14ac:dyDescent="0.2">
      <c r="D382" t="s">
        <v>13</v>
      </c>
      <c r="F382" t="s">
        <v>31</v>
      </c>
    </row>
    <row r="383" spans="4:6" x14ac:dyDescent="0.2">
      <c r="D383" t="s">
        <v>15</v>
      </c>
      <c r="F383" t="s">
        <v>21</v>
      </c>
    </row>
    <row r="384" spans="4:6" x14ac:dyDescent="0.2">
      <c r="D384" t="s">
        <v>24</v>
      </c>
      <c r="F384" t="s">
        <v>23</v>
      </c>
    </row>
    <row r="385" spans="4:6" x14ac:dyDescent="0.2">
      <c r="D385" t="s">
        <v>40</v>
      </c>
      <c r="F385" t="s">
        <v>25</v>
      </c>
    </row>
    <row r="386" spans="4:6" x14ac:dyDescent="0.2">
      <c r="D386" t="s">
        <v>14</v>
      </c>
      <c r="F386" t="s">
        <v>28</v>
      </c>
    </row>
    <row r="387" spans="4:6" x14ac:dyDescent="0.2">
      <c r="D387" t="s">
        <v>29</v>
      </c>
      <c r="F387" t="s">
        <v>10</v>
      </c>
    </row>
    <row r="388" spans="4:6" x14ac:dyDescent="0.2">
      <c r="D388" t="s">
        <v>55</v>
      </c>
      <c r="F388" t="s">
        <v>39</v>
      </c>
    </row>
    <row r="389" spans="4:6" x14ac:dyDescent="0.2">
      <c r="D389" t="s">
        <v>37</v>
      </c>
      <c r="F389" t="s">
        <v>26</v>
      </c>
    </row>
    <row r="390" spans="4:6" x14ac:dyDescent="0.2">
      <c r="D390" t="s">
        <v>16</v>
      </c>
      <c r="F390" t="s">
        <v>11</v>
      </c>
    </row>
    <row r="391" spans="4:6" x14ac:dyDescent="0.2">
      <c r="D391" t="s">
        <v>12</v>
      </c>
      <c r="F391" t="s">
        <v>34</v>
      </c>
    </row>
    <row r="392" spans="4:6" x14ac:dyDescent="0.2">
      <c r="D392" t="s">
        <v>27</v>
      </c>
      <c r="F392" t="s">
        <v>30</v>
      </c>
    </row>
    <row r="393" spans="4:6" x14ac:dyDescent="0.2">
      <c r="D393" t="s">
        <v>38</v>
      </c>
      <c r="F393" t="s">
        <v>33</v>
      </c>
    </row>
    <row r="394" spans="4:6" x14ac:dyDescent="0.2">
      <c r="D394" t="s">
        <v>36</v>
      </c>
      <c r="F394" t="s">
        <v>35</v>
      </c>
    </row>
    <row r="395" spans="4:6" x14ac:dyDescent="0.2">
      <c r="D395" t="s">
        <v>18</v>
      </c>
      <c r="F395" t="s">
        <v>20</v>
      </c>
    </row>
    <row r="396" spans="4:6" x14ac:dyDescent="0.2">
      <c r="D396" t="s">
        <v>19</v>
      </c>
      <c r="F396" t="s">
        <v>22</v>
      </c>
    </row>
    <row r="397" spans="4:6" x14ac:dyDescent="0.2">
      <c r="D397" t="s">
        <v>26</v>
      </c>
      <c r="F397" t="s">
        <v>21</v>
      </c>
    </row>
    <row r="398" spans="4:6" x14ac:dyDescent="0.2">
      <c r="D398" t="s">
        <v>18</v>
      </c>
      <c r="F398" t="s">
        <v>12</v>
      </c>
    </row>
    <row r="399" spans="4:6" x14ac:dyDescent="0.2">
      <c r="D399" t="s">
        <v>38</v>
      </c>
      <c r="F399" t="s">
        <v>13</v>
      </c>
    </row>
    <row r="400" spans="4:6" x14ac:dyDescent="0.2">
      <c r="D400" t="s">
        <v>23</v>
      </c>
      <c r="F400" t="s">
        <v>34</v>
      </c>
    </row>
    <row r="401" spans="4:6" x14ac:dyDescent="0.2">
      <c r="D401" t="s">
        <v>27</v>
      </c>
      <c r="F401" t="s">
        <v>24</v>
      </c>
    </row>
    <row r="402" spans="4:6" x14ac:dyDescent="0.2">
      <c r="D402" t="s">
        <v>40</v>
      </c>
      <c r="F402" t="s">
        <v>29</v>
      </c>
    </row>
    <row r="403" spans="4:6" x14ac:dyDescent="0.2">
      <c r="D403" t="s">
        <v>37</v>
      </c>
      <c r="F403" t="s">
        <v>15</v>
      </c>
    </row>
    <row r="404" spans="4:6" x14ac:dyDescent="0.2">
      <c r="D404" t="s">
        <v>19</v>
      </c>
      <c r="F404" t="s">
        <v>14</v>
      </c>
    </row>
    <row r="405" spans="4:6" x14ac:dyDescent="0.2">
      <c r="D405" t="s">
        <v>17</v>
      </c>
      <c r="F405" t="s">
        <v>32</v>
      </c>
    </row>
    <row r="406" spans="4:6" x14ac:dyDescent="0.2">
      <c r="D406" t="s">
        <v>55</v>
      </c>
      <c r="F406" t="s">
        <v>35</v>
      </c>
    </row>
    <row r="407" spans="4:6" x14ac:dyDescent="0.2">
      <c r="D407" t="s">
        <v>33</v>
      </c>
      <c r="F407" t="s">
        <v>20</v>
      </c>
    </row>
    <row r="408" spans="4:6" x14ac:dyDescent="0.2">
      <c r="D408" t="s">
        <v>16</v>
      </c>
      <c r="F408" t="s">
        <v>25</v>
      </c>
    </row>
    <row r="409" spans="4:6" x14ac:dyDescent="0.2">
      <c r="D409" t="s">
        <v>31</v>
      </c>
      <c r="F409" t="s">
        <v>10</v>
      </c>
    </row>
    <row r="410" spans="4:6" x14ac:dyDescent="0.2">
      <c r="D410" t="s">
        <v>36</v>
      </c>
      <c r="F410" t="s">
        <v>39</v>
      </c>
    </row>
    <row r="411" spans="4:6" x14ac:dyDescent="0.2">
      <c r="D411" t="s">
        <v>22</v>
      </c>
      <c r="F411" t="s">
        <v>30</v>
      </c>
    </row>
    <row r="412" spans="4:6" x14ac:dyDescent="0.2">
      <c r="D412" t="s">
        <v>40</v>
      </c>
      <c r="F412" t="s">
        <v>23</v>
      </c>
    </row>
    <row r="413" spans="4:6" x14ac:dyDescent="0.2">
      <c r="D413" t="s">
        <v>28</v>
      </c>
      <c r="F413" t="s">
        <v>24</v>
      </c>
    </row>
    <row r="414" spans="4:6" x14ac:dyDescent="0.2">
      <c r="D414" t="s">
        <v>14</v>
      </c>
      <c r="F414" t="s">
        <v>27</v>
      </c>
    </row>
    <row r="415" spans="4:6" x14ac:dyDescent="0.2">
      <c r="D415" t="s">
        <v>55</v>
      </c>
      <c r="F415" t="s">
        <v>33</v>
      </c>
    </row>
    <row r="416" spans="4:6" x14ac:dyDescent="0.2">
      <c r="D416" t="s">
        <v>31</v>
      </c>
      <c r="F416" t="s">
        <v>35</v>
      </c>
    </row>
    <row r="417" spans="4:6" x14ac:dyDescent="0.2">
      <c r="D417" t="s">
        <v>38</v>
      </c>
      <c r="F417" t="s">
        <v>12</v>
      </c>
    </row>
    <row r="418" spans="4:6" x14ac:dyDescent="0.2">
      <c r="D418" t="s">
        <v>21</v>
      </c>
      <c r="F418" t="s">
        <v>26</v>
      </c>
    </row>
    <row r="419" spans="4:6" x14ac:dyDescent="0.2">
      <c r="D419" t="s">
        <v>34</v>
      </c>
      <c r="F419" t="s">
        <v>17</v>
      </c>
    </row>
    <row r="420" spans="4:6" x14ac:dyDescent="0.2">
      <c r="D420" t="s">
        <v>19</v>
      </c>
      <c r="F420" t="s">
        <v>11</v>
      </c>
    </row>
    <row r="421" spans="4:6" x14ac:dyDescent="0.2">
      <c r="D421" t="s">
        <v>22</v>
      </c>
      <c r="F421" t="s">
        <v>13</v>
      </c>
    </row>
    <row r="422" spans="4:6" x14ac:dyDescent="0.2">
      <c r="D422" t="s">
        <v>36</v>
      </c>
      <c r="F422" t="s">
        <v>18</v>
      </c>
    </row>
    <row r="423" spans="4:6" x14ac:dyDescent="0.2">
      <c r="D423" t="s">
        <v>16</v>
      </c>
      <c r="F423" t="s">
        <v>29</v>
      </c>
    </row>
    <row r="424" spans="4:6" x14ac:dyDescent="0.2">
      <c r="D424" t="s">
        <v>37</v>
      </c>
      <c r="F424" t="s">
        <v>30</v>
      </c>
    </row>
    <row r="425" spans="4:6" x14ac:dyDescent="0.2">
      <c r="D425" t="s">
        <v>39</v>
      </c>
      <c r="F425" t="s">
        <v>15</v>
      </c>
    </row>
    <row r="426" spans="4:6" x14ac:dyDescent="0.2">
      <c r="D426" t="s">
        <v>10</v>
      </c>
      <c r="F426" t="s">
        <v>20</v>
      </c>
    </row>
    <row r="427" spans="4:6" x14ac:dyDescent="0.2">
      <c r="D427" t="s">
        <v>55</v>
      </c>
      <c r="F427" t="s">
        <v>31</v>
      </c>
    </row>
    <row r="428" spans="4:6" x14ac:dyDescent="0.2">
      <c r="D428" t="s">
        <v>40</v>
      </c>
      <c r="F428" t="s">
        <v>18</v>
      </c>
    </row>
    <row r="429" spans="4:6" x14ac:dyDescent="0.2">
      <c r="D429" t="s">
        <v>39</v>
      </c>
      <c r="F429" t="s">
        <v>24</v>
      </c>
    </row>
    <row r="430" spans="4:6" x14ac:dyDescent="0.2">
      <c r="D430" t="s">
        <v>23</v>
      </c>
      <c r="F430" t="s">
        <v>27</v>
      </c>
    </row>
    <row r="431" spans="4:6" x14ac:dyDescent="0.2">
      <c r="D431" t="s">
        <v>22</v>
      </c>
      <c r="F431" t="s">
        <v>33</v>
      </c>
    </row>
    <row r="432" spans="4:6" x14ac:dyDescent="0.2">
      <c r="D432" t="s">
        <v>35</v>
      </c>
      <c r="F432" t="s">
        <v>21</v>
      </c>
    </row>
    <row r="433" spans="4:6" x14ac:dyDescent="0.2">
      <c r="D433" t="s">
        <v>19</v>
      </c>
      <c r="F433" t="s">
        <v>25</v>
      </c>
    </row>
    <row r="434" spans="4:6" x14ac:dyDescent="0.2">
      <c r="D434" t="s">
        <v>26</v>
      </c>
      <c r="F434" t="s">
        <v>28</v>
      </c>
    </row>
    <row r="435" spans="4:6" x14ac:dyDescent="0.2">
      <c r="D435" t="s">
        <v>34</v>
      </c>
      <c r="F435" t="s">
        <v>16</v>
      </c>
    </row>
    <row r="436" spans="4:6" x14ac:dyDescent="0.2">
      <c r="D436" t="s">
        <v>32</v>
      </c>
      <c r="F436" t="s">
        <v>17</v>
      </c>
    </row>
    <row r="437" spans="4:6" x14ac:dyDescent="0.2">
      <c r="D437" t="s">
        <v>29</v>
      </c>
      <c r="F437" t="s">
        <v>11</v>
      </c>
    </row>
    <row r="438" spans="4:6" x14ac:dyDescent="0.2">
      <c r="D438" t="s">
        <v>10</v>
      </c>
      <c r="F438" t="s">
        <v>13</v>
      </c>
    </row>
    <row r="439" spans="4:6" x14ac:dyDescent="0.2">
      <c r="D439" t="s">
        <v>12</v>
      </c>
      <c r="F439" t="s">
        <v>30</v>
      </c>
    </row>
    <row r="440" spans="4:6" x14ac:dyDescent="0.2">
      <c r="D440" t="s">
        <v>15</v>
      </c>
      <c r="F440" t="s">
        <v>36</v>
      </c>
    </row>
    <row r="441" spans="4:6" x14ac:dyDescent="0.2">
      <c r="D441" t="s">
        <v>14</v>
      </c>
      <c r="F441" t="s">
        <v>37</v>
      </c>
    </row>
    <row r="442" spans="4:6" x14ac:dyDescent="0.2">
      <c r="D442" t="s">
        <v>22</v>
      </c>
      <c r="F442" t="s">
        <v>31</v>
      </c>
    </row>
    <row r="443" spans="4:6" x14ac:dyDescent="0.2">
      <c r="D443" t="s">
        <v>33</v>
      </c>
      <c r="F443" t="s">
        <v>39</v>
      </c>
    </row>
    <row r="444" spans="4:6" x14ac:dyDescent="0.2">
      <c r="D444" t="s">
        <v>20</v>
      </c>
      <c r="F444" t="s">
        <v>24</v>
      </c>
    </row>
    <row r="445" spans="4:6" x14ac:dyDescent="0.2">
      <c r="D445" t="s">
        <v>55</v>
      </c>
      <c r="F445" t="s">
        <v>38</v>
      </c>
    </row>
    <row r="446" spans="4:6" x14ac:dyDescent="0.2">
      <c r="D446" t="s">
        <v>23</v>
      </c>
      <c r="F446" t="s">
        <v>40</v>
      </c>
    </row>
    <row r="447" spans="4:6" x14ac:dyDescent="0.2">
      <c r="D447" t="s">
        <v>24</v>
      </c>
      <c r="F447" t="s">
        <v>21</v>
      </c>
    </row>
    <row r="448" spans="4:6" x14ac:dyDescent="0.2">
      <c r="D448" t="s">
        <v>29</v>
      </c>
      <c r="F448" t="s">
        <v>25</v>
      </c>
    </row>
    <row r="449" spans="4:6" x14ac:dyDescent="0.2">
      <c r="D449" t="s">
        <v>55</v>
      </c>
      <c r="F449" t="s">
        <v>16</v>
      </c>
    </row>
    <row r="450" spans="4:6" x14ac:dyDescent="0.2">
      <c r="D450" t="s">
        <v>40</v>
      </c>
      <c r="F450" t="s">
        <v>17</v>
      </c>
    </row>
    <row r="451" spans="4:6" x14ac:dyDescent="0.2">
      <c r="D451" t="s">
        <v>28</v>
      </c>
      <c r="F451" t="s">
        <v>11</v>
      </c>
    </row>
    <row r="452" spans="4:6" x14ac:dyDescent="0.2">
      <c r="D452" t="s">
        <v>10</v>
      </c>
      <c r="F452" t="s">
        <v>13</v>
      </c>
    </row>
    <row r="453" spans="4:6" x14ac:dyDescent="0.2">
      <c r="D453" t="s">
        <v>12</v>
      </c>
      <c r="F453" t="s">
        <v>15</v>
      </c>
    </row>
    <row r="454" spans="4:6" x14ac:dyDescent="0.2">
      <c r="D454" t="s">
        <v>35</v>
      </c>
      <c r="F454" t="s">
        <v>36</v>
      </c>
    </row>
    <row r="455" spans="4:6" x14ac:dyDescent="0.2">
      <c r="D455" t="s">
        <v>26</v>
      </c>
      <c r="F455" t="s">
        <v>32</v>
      </c>
    </row>
    <row r="456" spans="4:6" x14ac:dyDescent="0.2">
      <c r="D456" t="s">
        <v>30</v>
      </c>
      <c r="F456" t="s">
        <v>37</v>
      </c>
    </row>
    <row r="457" spans="4:6" x14ac:dyDescent="0.2">
      <c r="D457" t="s">
        <v>18</v>
      </c>
      <c r="F457" t="s">
        <v>19</v>
      </c>
    </row>
    <row r="458" spans="4:6" x14ac:dyDescent="0.2">
      <c r="D458" t="s">
        <v>34</v>
      </c>
      <c r="F458" t="s">
        <v>38</v>
      </c>
    </row>
    <row r="459" spans="4:6" x14ac:dyDescent="0.2">
      <c r="D459" t="s">
        <v>10</v>
      </c>
      <c r="F459" t="s">
        <v>31</v>
      </c>
    </row>
    <row r="460" spans="4:6" x14ac:dyDescent="0.2">
      <c r="D460" t="s">
        <v>33</v>
      </c>
      <c r="F460" t="s">
        <v>25</v>
      </c>
    </row>
    <row r="461" spans="4:6" x14ac:dyDescent="0.2">
      <c r="D461" t="s">
        <v>14</v>
      </c>
      <c r="F461" t="s">
        <v>39</v>
      </c>
    </row>
    <row r="462" spans="4:6" x14ac:dyDescent="0.2">
      <c r="D462" t="s">
        <v>30</v>
      </c>
      <c r="F462" t="s">
        <v>11</v>
      </c>
    </row>
    <row r="463" spans="4:6" x14ac:dyDescent="0.2">
      <c r="D463" t="s">
        <v>35</v>
      </c>
      <c r="F463" t="s">
        <v>18</v>
      </c>
    </row>
    <row r="464" spans="4:6" x14ac:dyDescent="0.2">
      <c r="D464" t="s">
        <v>20</v>
      </c>
      <c r="F464" t="s">
        <v>15</v>
      </c>
    </row>
    <row r="465" spans="4:6" x14ac:dyDescent="0.2">
      <c r="D465" t="s">
        <v>12</v>
      </c>
      <c r="F465" t="s">
        <v>27</v>
      </c>
    </row>
    <row r="466" spans="4:6" x14ac:dyDescent="0.2">
      <c r="D466" t="s">
        <v>28</v>
      </c>
      <c r="F466" t="s">
        <v>22</v>
      </c>
    </row>
    <row r="467" spans="4:6" x14ac:dyDescent="0.2">
      <c r="D467" t="s">
        <v>23</v>
      </c>
      <c r="F467" t="s">
        <v>16</v>
      </c>
    </row>
    <row r="468" spans="4:6" x14ac:dyDescent="0.2">
      <c r="D468" t="s">
        <v>34</v>
      </c>
      <c r="F468" t="s">
        <v>32</v>
      </c>
    </row>
    <row r="469" spans="4:6" x14ac:dyDescent="0.2">
      <c r="D469" t="s">
        <v>37</v>
      </c>
      <c r="F469" t="s">
        <v>19</v>
      </c>
    </row>
    <row r="470" spans="4:6" x14ac:dyDescent="0.2">
      <c r="D470" t="s">
        <v>13</v>
      </c>
      <c r="F470" t="s">
        <v>55</v>
      </c>
    </row>
    <row r="471" spans="4:6" x14ac:dyDescent="0.2">
      <c r="D471" t="s">
        <v>26</v>
      </c>
      <c r="F471" t="s">
        <v>38</v>
      </c>
    </row>
    <row r="472" spans="4:6" x14ac:dyDescent="0.2">
      <c r="D472" t="s">
        <v>28</v>
      </c>
      <c r="F472" t="s">
        <v>25</v>
      </c>
    </row>
    <row r="473" spans="4:6" x14ac:dyDescent="0.2">
      <c r="D473" t="s">
        <v>23</v>
      </c>
      <c r="F473" t="s">
        <v>17</v>
      </c>
    </row>
    <row r="474" spans="4:6" x14ac:dyDescent="0.2">
      <c r="D474" t="s">
        <v>37</v>
      </c>
      <c r="F474" t="s">
        <v>18</v>
      </c>
    </row>
    <row r="475" spans="4:6" x14ac:dyDescent="0.2">
      <c r="D475" t="s">
        <v>12</v>
      </c>
      <c r="F475" t="s">
        <v>29</v>
      </c>
    </row>
    <row r="476" spans="4:6" x14ac:dyDescent="0.2">
      <c r="D476" t="s">
        <v>20</v>
      </c>
      <c r="F476" t="s">
        <v>30</v>
      </c>
    </row>
    <row r="477" spans="4:6" x14ac:dyDescent="0.2">
      <c r="D477" t="s">
        <v>24</v>
      </c>
      <c r="F477" t="s">
        <v>36</v>
      </c>
    </row>
    <row r="478" spans="4:6" x14ac:dyDescent="0.2">
      <c r="D478" t="s">
        <v>33</v>
      </c>
      <c r="F478" t="s">
        <v>27</v>
      </c>
    </row>
    <row r="479" spans="4:6" x14ac:dyDescent="0.2">
      <c r="D479" t="s">
        <v>31</v>
      </c>
      <c r="F479" t="s">
        <v>14</v>
      </c>
    </row>
    <row r="480" spans="4:6" x14ac:dyDescent="0.2">
      <c r="D480" t="s">
        <v>21</v>
      </c>
      <c r="F480" t="s">
        <v>35</v>
      </c>
    </row>
    <row r="481" spans="4:6" x14ac:dyDescent="0.2">
      <c r="D481" t="s">
        <v>39</v>
      </c>
      <c r="F481" t="s">
        <v>40</v>
      </c>
    </row>
    <row r="482" spans="4:6" x14ac:dyDescent="0.2">
      <c r="D482" t="s">
        <v>26</v>
      </c>
      <c r="F482" t="s">
        <v>16</v>
      </c>
    </row>
    <row r="483" spans="4:6" x14ac:dyDescent="0.2">
      <c r="D483" t="s">
        <v>15</v>
      </c>
      <c r="F483" t="s">
        <v>10</v>
      </c>
    </row>
    <row r="484" spans="4:6" x14ac:dyDescent="0.2">
      <c r="D484" t="s">
        <v>13</v>
      </c>
      <c r="F484" t="s">
        <v>32</v>
      </c>
    </row>
    <row r="485" spans="4:6" x14ac:dyDescent="0.2">
      <c r="D485" t="s">
        <v>11</v>
      </c>
      <c r="F485" t="s">
        <v>55</v>
      </c>
    </row>
    <row r="486" spans="4:6" x14ac:dyDescent="0.2">
      <c r="D486" t="s">
        <v>36</v>
      </c>
      <c r="F486" t="s">
        <v>28</v>
      </c>
    </row>
    <row r="487" spans="4:6" x14ac:dyDescent="0.2">
      <c r="D487" t="s">
        <v>11</v>
      </c>
      <c r="F487" t="s">
        <v>12</v>
      </c>
    </row>
    <row r="488" spans="4:6" x14ac:dyDescent="0.2">
      <c r="D488" t="s">
        <v>26</v>
      </c>
      <c r="F488" t="s">
        <v>17</v>
      </c>
    </row>
    <row r="489" spans="4:6" x14ac:dyDescent="0.2">
      <c r="D489" t="s">
        <v>39</v>
      </c>
      <c r="F489" t="s">
        <v>34</v>
      </c>
    </row>
    <row r="490" spans="4:6" x14ac:dyDescent="0.2">
      <c r="D490" t="s">
        <v>37</v>
      </c>
      <c r="F490" t="s">
        <v>24</v>
      </c>
    </row>
    <row r="491" spans="4:6" x14ac:dyDescent="0.2">
      <c r="D491" t="s">
        <v>35</v>
      </c>
      <c r="F491" t="s">
        <v>29</v>
      </c>
    </row>
    <row r="492" spans="4:6" x14ac:dyDescent="0.2">
      <c r="D492" t="s">
        <v>31</v>
      </c>
      <c r="F492" t="s">
        <v>30</v>
      </c>
    </row>
    <row r="493" spans="4:6" x14ac:dyDescent="0.2">
      <c r="D493" t="s">
        <v>20</v>
      </c>
      <c r="F493" t="s">
        <v>27</v>
      </c>
    </row>
    <row r="494" spans="4:6" x14ac:dyDescent="0.2">
      <c r="D494" t="s">
        <v>18</v>
      </c>
      <c r="F494" t="s">
        <v>14</v>
      </c>
    </row>
    <row r="495" spans="4:6" x14ac:dyDescent="0.2">
      <c r="D495" t="s">
        <v>33</v>
      </c>
      <c r="F495" t="s">
        <v>19</v>
      </c>
    </row>
    <row r="496" spans="4:6" x14ac:dyDescent="0.2">
      <c r="D496" t="s">
        <v>23</v>
      </c>
      <c r="F496" t="s">
        <v>38</v>
      </c>
    </row>
    <row r="497" spans="4:6" x14ac:dyDescent="0.2">
      <c r="D497" t="s">
        <v>21</v>
      </c>
      <c r="F497" t="s">
        <v>40</v>
      </c>
    </row>
    <row r="498" spans="4:6" x14ac:dyDescent="0.2">
      <c r="D498" t="s">
        <v>25</v>
      </c>
      <c r="F498" t="s">
        <v>22</v>
      </c>
    </row>
    <row r="499" spans="4:6" x14ac:dyDescent="0.2">
      <c r="D499" t="s">
        <v>10</v>
      </c>
      <c r="F499" t="s">
        <v>35</v>
      </c>
    </row>
    <row r="500" spans="4:6" x14ac:dyDescent="0.2">
      <c r="D500" t="s">
        <v>32</v>
      </c>
      <c r="F500" t="s">
        <v>55</v>
      </c>
    </row>
    <row r="501" spans="4:6" x14ac:dyDescent="0.2">
      <c r="D501" t="s">
        <v>20</v>
      </c>
      <c r="F501" t="s">
        <v>28</v>
      </c>
    </row>
    <row r="502" spans="4:6" x14ac:dyDescent="0.2">
      <c r="D502" t="s">
        <v>26</v>
      </c>
      <c r="F502" t="s">
        <v>10</v>
      </c>
    </row>
    <row r="503" spans="4:6" x14ac:dyDescent="0.2">
      <c r="D503" t="s">
        <v>29</v>
      </c>
      <c r="F503" t="s">
        <v>12</v>
      </c>
    </row>
    <row r="504" spans="4:6" x14ac:dyDescent="0.2">
      <c r="D504" t="s">
        <v>11</v>
      </c>
      <c r="F504" t="s">
        <v>39</v>
      </c>
    </row>
    <row r="505" spans="4:6" x14ac:dyDescent="0.2">
      <c r="D505" t="s">
        <v>16</v>
      </c>
      <c r="F505" t="s">
        <v>13</v>
      </c>
    </row>
    <row r="506" spans="4:6" x14ac:dyDescent="0.2">
      <c r="D506" t="s">
        <v>36</v>
      </c>
      <c r="F506" t="s">
        <v>34</v>
      </c>
    </row>
    <row r="507" spans="4:6" x14ac:dyDescent="0.2">
      <c r="D507" t="s">
        <v>31</v>
      </c>
      <c r="F507" t="s">
        <v>24</v>
      </c>
    </row>
    <row r="508" spans="4:6" x14ac:dyDescent="0.2">
      <c r="D508" t="s">
        <v>37</v>
      </c>
      <c r="F508" t="s">
        <v>30</v>
      </c>
    </row>
    <row r="509" spans="4:6" x14ac:dyDescent="0.2">
      <c r="D509" t="s">
        <v>18</v>
      </c>
      <c r="F509" t="s">
        <v>15</v>
      </c>
    </row>
    <row r="510" spans="4:6" x14ac:dyDescent="0.2">
      <c r="D510" t="s">
        <v>25</v>
      </c>
      <c r="F510" t="s">
        <v>27</v>
      </c>
    </row>
    <row r="511" spans="4:6" x14ac:dyDescent="0.2">
      <c r="D511" t="s">
        <v>33</v>
      </c>
      <c r="F511" t="s">
        <v>14</v>
      </c>
    </row>
    <row r="512" spans="4:6" x14ac:dyDescent="0.2">
      <c r="D512" t="s">
        <v>17</v>
      </c>
      <c r="F512" t="s">
        <v>19</v>
      </c>
    </row>
    <row r="513" spans="4:6" x14ac:dyDescent="0.2">
      <c r="D513" t="s">
        <v>22</v>
      </c>
      <c r="F513" t="s">
        <v>40</v>
      </c>
    </row>
    <row r="514" spans="4:6" x14ac:dyDescent="0.2">
      <c r="D514" t="s">
        <v>27</v>
      </c>
      <c r="F514" t="s">
        <v>25</v>
      </c>
    </row>
    <row r="515" spans="4:6" x14ac:dyDescent="0.2">
      <c r="D515" t="s">
        <v>21</v>
      </c>
      <c r="F515" t="s">
        <v>34</v>
      </c>
    </row>
    <row r="516" spans="4:6" x14ac:dyDescent="0.2">
      <c r="D516" t="s">
        <v>17</v>
      </c>
      <c r="F516" t="s">
        <v>18</v>
      </c>
    </row>
    <row r="517" spans="4:6" x14ac:dyDescent="0.2">
      <c r="D517" t="s">
        <v>38</v>
      </c>
      <c r="F517" t="s">
        <v>24</v>
      </c>
    </row>
    <row r="518" spans="4:6" x14ac:dyDescent="0.2">
      <c r="D518" t="s">
        <v>55</v>
      </c>
      <c r="F518" t="s">
        <v>14</v>
      </c>
    </row>
    <row r="519" spans="4:6" x14ac:dyDescent="0.2">
      <c r="D519" t="s">
        <v>23</v>
      </c>
      <c r="F519" t="s">
        <v>32</v>
      </c>
    </row>
    <row r="520" spans="4:6" x14ac:dyDescent="0.2">
      <c r="D520" t="s">
        <v>13</v>
      </c>
      <c r="F520" t="s">
        <v>39</v>
      </c>
    </row>
    <row r="521" spans="4:6" x14ac:dyDescent="0.2">
      <c r="D521" t="s">
        <v>31</v>
      </c>
      <c r="F521" t="s">
        <v>15</v>
      </c>
    </row>
    <row r="522" spans="4:6" x14ac:dyDescent="0.2">
      <c r="D522" t="s">
        <v>29</v>
      </c>
      <c r="F522" t="s">
        <v>35</v>
      </c>
    </row>
    <row r="523" spans="4:6" x14ac:dyDescent="0.2">
      <c r="D523" t="s">
        <v>11</v>
      </c>
      <c r="F523" t="s">
        <v>37</v>
      </c>
    </row>
    <row r="524" spans="4:6" x14ac:dyDescent="0.2">
      <c r="D524" t="s">
        <v>36</v>
      </c>
      <c r="F524" t="s">
        <v>40</v>
      </c>
    </row>
    <row r="525" spans="4:6" x14ac:dyDescent="0.2">
      <c r="D525" t="s">
        <v>55</v>
      </c>
      <c r="F525" t="s">
        <v>21</v>
      </c>
    </row>
    <row r="526" spans="4:6" x14ac:dyDescent="0.2">
      <c r="D526" t="s">
        <v>31</v>
      </c>
      <c r="F526" t="s">
        <v>28</v>
      </c>
    </row>
    <row r="527" spans="4:6" x14ac:dyDescent="0.2">
      <c r="D527" t="s">
        <v>30</v>
      </c>
      <c r="F527" t="s">
        <v>26</v>
      </c>
    </row>
    <row r="528" spans="4:6" x14ac:dyDescent="0.2">
      <c r="D528" t="s">
        <v>22</v>
      </c>
      <c r="F528" t="s">
        <v>34</v>
      </c>
    </row>
    <row r="529" spans="4:6" x14ac:dyDescent="0.2">
      <c r="D529" t="s">
        <v>27</v>
      </c>
      <c r="F529" t="s">
        <v>18</v>
      </c>
    </row>
    <row r="530" spans="4:6" x14ac:dyDescent="0.2">
      <c r="D530" t="s">
        <v>38</v>
      </c>
      <c r="F530" t="s">
        <v>15</v>
      </c>
    </row>
    <row r="531" spans="4:6" x14ac:dyDescent="0.2">
      <c r="D531" t="s">
        <v>17</v>
      </c>
      <c r="F531" t="s">
        <v>14</v>
      </c>
    </row>
    <row r="532" spans="4:6" x14ac:dyDescent="0.2">
      <c r="D532" t="s">
        <v>12</v>
      </c>
      <c r="F532" t="s">
        <v>32</v>
      </c>
    </row>
    <row r="533" spans="4:6" x14ac:dyDescent="0.2">
      <c r="D533" t="s">
        <v>16</v>
      </c>
      <c r="F533" t="s">
        <v>33</v>
      </c>
    </row>
    <row r="534" spans="4:6" x14ac:dyDescent="0.2">
      <c r="D534" t="s">
        <v>10</v>
      </c>
      <c r="F534" t="s">
        <v>19</v>
      </c>
    </row>
    <row r="535" spans="4:6" x14ac:dyDescent="0.2">
      <c r="D535" t="s">
        <v>55</v>
      </c>
      <c r="F535" t="s">
        <v>26</v>
      </c>
    </row>
    <row r="536" spans="4:6" x14ac:dyDescent="0.2">
      <c r="D536" t="s">
        <v>13</v>
      </c>
      <c r="F536" t="s">
        <v>11</v>
      </c>
    </row>
    <row r="537" spans="4:6" x14ac:dyDescent="0.2">
      <c r="D537" t="s">
        <v>25</v>
      </c>
      <c r="F537" t="s">
        <v>29</v>
      </c>
    </row>
    <row r="538" spans="4:6" x14ac:dyDescent="0.2">
      <c r="D538" t="s">
        <v>40</v>
      </c>
      <c r="F538" t="s">
        <v>35</v>
      </c>
    </row>
    <row r="539" spans="4:6" x14ac:dyDescent="0.2">
      <c r="D539" t="s">
        <v>24</v>
      </c>
      <c r="F539" t="s">
        <v>20</v>
      </c>
    </row>
    <row r="540" spans="4:6" x14ac:dyDescent="0.2">
      <c r="D540" t="s">
        <v>17</v>
      </c>
      <c r="F540" t="s">
        <v>21</v>
      </c>
    </row>
    <row r="541" spans="4:6" x14ac:dyDescent="0.2">
      <c r="D541" t="s">
        <v>27</v>
      </c>
      <c r="F541" t="s">
        <v>23</v>
      </c>
    </row>
    <row r="542" spans="4:6" x14ac:dyDescent="0.2">
      <c r="D542" t="s">
        <v>34</v>
      </c>
      <c r="F542" t="s">
        <v>28</v>
      </c>
    </row>
    <row r="543" spans="4:6" x14ac:dyDescent="0.2">
      <c r="D543" t="s">
        <v>32</v>
      </c>
      <c r="F543" t="s">
        <v>16</v>
      </c>
    </row>
    <row r="544" spans="4:6" x14ac:dyDescent="0.2">
      <c r="D544" t="s">
        <v>10</v>
      </c>
      <c r="F544" t="s">
        <v>18</v>
      </c>
    </row>
    <row r="545" spans="4:6" x14ac:dyDescent="0.2">
      <c r="D545" t="s">
        <v>14</v>
      </c>
      <c r="F545" t="s">
        <v>36</v>
      </c>
    </row>
    <row r="546" spans="4:6" x14ac:dyDescent="0.2">
      <c r="D546" t="s">
        <v>39</v>
      </c>
      <c r="F546" t="s">
        <v>33</v>
      </c>
    </row>
    <row r="547" spans="4:6" x14ac:dyDescent="0.2">
      <c r="D547" t="s">
        <v>15</v>
      </c>
      <c r="F547" t="s">
        <v>35</v>
      </c>
    </row>
    <row r="548" spans="4:6" x14ac:dyDescent="0.2">
      <c r="D548" t="s">
        <v>13</v>
      </c>
      <c r="F548" t="s">
        <v>37</v>
      </c>
    </row>
    <row r="549" spans="4:6" x14ac:dyDescent="0.2">
      <c r="D549" t="s">
        <v>19</v>
      </c>
      <c r="F549" t="s">
        <v>22</v>
      </c>
    </row>
    <row r="550" spans="4:6" x14ac:dyDescent="0.2">
      <c r="D550" t="s">
        <v>39</v>
      </c>
      <c r="F550" t="s">
        <v>31</v>
      </c>
    </row>
    <row r="551" spans="4:6" x14ac:dyDescent="0.2">
      <c r="D551" t="s">
        <v>40</v>
      </c>
      <c r="F551" t="s">
        <v>12</v>
      </c>
    </row>
    <row r="552" spans="4:6" x14ac:dyDescent="0.2">
      <c r="D552" t="s">
        <v>25</v>
      </c>
      <c r="F552" t="s">
        <v>11</v>
      </c>
    </row>
    <row r="553" spans="4:6" x14ac:dyDescent="0.2">
      <c r="D553" t="s">
        <v>38</v>
      </c>
      <c r="F553" t="s">
        <v>30</v>
      </c>
    </row>
    <row r="554" spans="4:6" x14ac:dyDescent="0.2">
      <c r="D554" t="s">
        <v>24</v>
      </c>
      <c r="F554" t="s">
        <v>55</v>
      </c>
    </row>
    <row r="555" spans="4:6" x14ac:dyDescent="0.2">
      <c r="D555" t="s">
        <v>28</v>
      </c>
      <c r="F555" t="s">
        <v>31</v>
      </c>
    </row>
    <row r="556" spans="4:6" x14ac:dyDescent="0.2">
      <c r="D556" t="s">
        <v>38</v>
      </c>
      <c r="F556" t="s">
        <v>21</v>
      </c>
    </row>
    <row r="557" spans="4:6" x14ac:dyDescent="0.2">
      <c r="D557" t="s">
        <v>30</v>
      </c>
      <c r="F557" t="s">
        <v>23</v>
      </c>
    </row>
    <row r="558" spans="4:6" x14ac:dyDescent="0.2">
      <c r="D558" t="s">
        <v>20</v>
      </c>
      <c r="F558" t="s">
        <v>16</v>
      </c>
    </row>
    <row r="559" spans="4:6" x14ac:dyDescent="0.2">
      <c r="D559" t="s">
        <v>35</v>
      </c>
      <c r="F559" t="s">
        <v>11</v>
      </c>
    </row>
    <row r="560" spans="4:6" x14ac:dyDescent="0.2">
      <c r="D560" t="s">
        <v>17</v>
      </c>
      <c r="F560" t="s">
        <v>34</v>
      </c>
    </row>
    <row r="561" spans="4:6" x14ac:dyDescent="0.2">
      <c r="D561" t="s">
        <v>14</v>
      </c>
      <c r="F561" t="s">
        <v>18</v>
      </c>
    </row>
    <row r="562" spans="4:6" x14ac:dyDescent="0.2">
      <c r="D562" t="s">
        <v>19</v>
      </c>
      <c r="F562" t="s">
        <v>29</v>
      </c>
    </row>
    <row r="563" spans="4:6" x14ac:dyDescent="0.2">
      <c r="D563" t="s">
        <v>27</v>
      </c>
      <c r="F563" t="s">
        <v>15</v>
      </c>
    </row>
    <row r="564" spans="4:6" x14ac:dyDescent="0.2">
      <c r="D564" t="s">
        <v>10</v>
      </c>
      <c r="F564" t="s">
        <v>36</v>
      </c>
    </row>
    <row r="565" spans="4:6" x14ac:dyDescent="0.2">
      <c r="D565" t="s">
        <v>32</v>
      </c>
      <c r="F565" t="s">
        <v>33</v>
      </c>
    </row>
    <row r="566" spans="4:6" x14ac:dyDescent="0.2">
      <c r="D566" t="s">
        <v>25</v>
      </c>
      <c r="F566" t="s">
        <v>37</v>
      </c>
    </row>
    <row r="567" spans="4:6" x14ac:dyDescent="0.2">
      <c r="D567" t="s">
        <v>26</v>
      </c>
      <c r="F567" t="s">
        <v>22</v>
      </c>
    </row>
    <row r="568" spans="4:6" x14ac:dyDescent="0.2">
      <c r="D568" t="s">
        <v>36</v>
      </c>
      <c r="F568" t="s">
        <v>21</v>
      </c>
    </row>
    <row r="569" spans="4:6" x14ac:dyDescent="0.2">
      <c r="D569" t="s">
        <v>19</v>
      </c>
      <c r="F569" t="s">
        <v>39</v>
      </c>
    </row>
    <row r="570" spans="4:6" x14ac:dyDescent="0.2">
      <c r="D570" t="s">
        <v>22</v>
      </c>
      <c r="F570" t="s">
        <v>26</v>
      </c>
    </row>
    <row r="571" spans="4:6" x14ac:dyDescent="0.2">
      <c r="D571" t="s">
        <v>20</v>
      </c>
      <c r="F571" t="s">
        <v>17</v>
      </c>
    </row>
    <row r="572" spans="4:6" x14ac:dyDescent="0.2">
      <c r="D572" t="s">
        <v>12</v>
      </c>
      <c r="F572" t="s">
        <v>34</v>
      </c>
    </row>
    <row r="573" spans="4:6" x14ac:dyDescent="0.2">
      <c r="D573" t="s">
        <v>23</v>
      </c>
      <c r="F573" t="s">
        <v>24</v>
      </c>
    </row>
    <row r="574" spans="4:6" x14ac:dyDescent="0.2">
      <c r="D574" t="s">
        <v>15</v>
      </c>
      <c r="F574" t="s">
        <v>29</v>
      </c>
    </row>
    <row r="575" spans="4:6" x14ac:dyDescent="0.2">
      <c r="D575" t="s">
        <v>18</v>
      </c>
      <c r="F575" t="s">
        <v>14</v>
      </c>
    </row>
    <row r="576" spans="4:6" x14ac:dyDescent="0.2">
      <c r="D576" t="s">
        <v>40</v>
      </c>
      <c r="F576" t="s">
        <v>55</v>
      </c>
    </row>
    <row r="577" spans="4:6" x14ac:dyDescent="0.2">
      <c r="D577" t="s">
        <v>32</v>
      </c>
      <c r="F577" t="s">
        <v>31</v>
      </c>
    </row>
    <row r="578" spans="4:6" x14ac:dyDescent="0.2">
      <c r="D578" t="s">
        <v>28</v>
      </c>
      <c r="F578" t="s">
        <v>13</v>
      </c>
    </row>
    <row r="579" spans="4:6" x14ac:dyDescent="0.2">
      <c r="D579" t="s">
        <v>38</v>
      </c>
      <c r="F579" t="s">
        <v>27</v>
      </c>
    </row>
    <row r="580" spans="4:6" x14ac:dyDescent="0.2">
      <c r="D580" t="s">
        <v>35</v>
      </c>
      <c r="F580" t="s">
        <v>37</v>
      </c>
    </row>
    <row r="581" spans="4:6" x14ac:dyDescent="0.2">
      <c r="D581" t="s">
        <v>18</v>
      </c>
      <c r="F581" t="s">
        <v>21</v>
      </c>
    </row>
    <row r="582" spans="4:6" x14ac:dyDescent="0.2">
      <c r="D582" t="s">
        <v>11</v>
      </c>
      <c r="F582" t="s">
        <v>25</v>
      </c>
    </row>
    <row r="583" spans="4:6" x14ac:dyDescent="0.2">
      <c r="D583" t="s">
        <v>27</v>
      </c>
      <c r="F583" t="s">
        <v>10</v>
      </c>
    </row>
    <row r="584" spans="4:6" x14ac:dyDescent="0.2">
      <c r="D584" t="s">
        <v>55</v>
      </c>
      <c r="F584" t="s">
        <v>12</v>
      </c>
    </row>
    <row r="585" spans="4:6" x14ac:dyDescent="0.2">
      <c r="D585" t="s">
        <v>39</v>
      </c>
      <c r="F585" t="s">
        <v>26</v>
      </c>
    </row>
    <row r="586" spans="4:6" x14ac:dyDescent="0.2">
      <c r="D586" t="s">
        <v>16</v>
      </c>
      <c r="F586" t="s">
        <v>17</v>
      </c>
    </row>
    <row r="587" spans="4:6" x14ac:dyDescent="0.2">
      <c r="D587" t="s">
        <v>32</v>
      </c>
      <c r="F587" t="s">
        <v>13</v>
      </c>
    </row>
    <row r="588" spans="4:6" x14ac:dyDescent="0.2">
      <c r="D588" t="s">
        <v>29</v>
      </c>
      <c r="F588" t="s">
        <v>34</v>
      </c>
    </row>
    <row r="589" spans="4:6" x14ac:dyDescent="0.2">
      <c r="D589" t="s">
        <v>24</v>
      </c>
      <c r="F589" t="s">
        <v>30</v>
      </c>
    </row>
    <row r="590" spans="4:6" x14ac:dyDescent="0.2">
      <c r="D590" t="s">
        <v>23</v>
      </c>
      <c r="F590" t="s">
        <v>36</v>
      </c>
    </row>
    <row r="591" spans="4:6" x14ac:dyDescent="0.2">
      <c r="D591" t="s">
        <v>14</v>
      </c>
      <c r="F591" t="s">
        <v>19</v>
      </c>
    </row>
    <row r="592" spans="4:6" x14ac:dyDescent="0.2">
      <c r="D592" t="s">
        <v>33</v>
      </c>
      <c r="F592" t="s">
        <v>20</v>
      </c>
    </row>
    <row r="593" spans="4:6" x14ac:dyDescent="0.2">
      <c r="D593" t="s">
        <v>15</v>
      </c>
      <c r="F593" t="s">
        <v>22</v>
      </c>
    </row>
    <row r="594" spans="4:6" x14ac:dyDescent="0.2">
      <c r="D594" t="s">
        <v>21</v>
      </c>
      <c r="F594" t="s">
        <v>23</v>
      </c>
    </row>
    <row r="595" spans="4:6" x14ac:dyDescent="0.2">
      <c r="D595" t="s">
        <v>26</v>
      </c>
      <c r="F595" t="s">
        <v>25</v>
      </c>
    </row>
    <row r="596" spans="4:6" x14ac:dyDescent="0.2">
      <c r="D596" t="s">
        <v>17</v>
      </c>
      <c r="F596" t="s">
        <v>16</v>
      </c>
    </row>
    <row r="597" spans="4:6" x14ac:dyDescent="0.2">
      <c r="D597" t="s">
        <v>10</v>
      </c>
      <c r="F597" t="s">
        <v>39</v>
      </c>
    </row>
    <row r="598" spans="4:6" x14ac:dyDescent="0.2">
      <c r="D598" t="s">
        <v>37</v>
      </c>
      <c r="F598" t="s">
        <v>11</v>
      </c>
    </row>
    <row r="599" spans="4:6" x14ac:dyDescent="0.2">
      <c r="D599" t="s">
        <v>31</v>
      </c>
      <c r="F599" t="s">
        <v>13</v>
      </c>
    </row>
    <row r="600" spans="4:6" x14ac:dyDescent="0.2">
      <c r="D600" t="s">
        <v>22</v>
      </c>
      <c r="F600" t="s">
        <v>24</v>
      </c>
    </row>
    <row r="601" spans="4:6" x14ac:dyDescent="0.2">
      <c r="D601" t="s">
        <v>15</v>
      </c>
      <c r="F601" t="s">
        <v>30</v>
      </c>
    </row>
    <row r="602" spans="4:6" x14ac:dyDescent="0.2">
      <c r="D602" t="s">
        <v>29</v>
      </c>
      <c r="F602" t="s">
        <v>35</v>
      </c>
    </row>
    <row r="603" spans="4:6" x14ac:dyDescent="0.2">
      <c r="D603" t="s">
        <v>36</v>
      </c>
      <c r="F603" t="s">
        <v>19</v>
      </c>
    </row>
    <row r="604" spans="4:6" x14ac:dyDescent="0.2">
      <c r="D604" t="s">
        <v>33</v>
      </c>
      <c r="F604" t="s">
        <v>38</v>
      </c>
    </row>
    <row r="605" spans="4:6" x14ac:dyDescent="0.2">
      <c r="D605" t="s">
        <v>12</v>
      </c>
      <c r="F605" t="s">
        <v>20</v>
      </c>
    </row>
    <row r="606" spans="4:6" x14ac:dyDescent="0.2">
      <c r="D606" t="s">
        <v>34</v>
      </c>
      <c r="F606" t="s">
        <v>40</v>
      </c>
    </row>
    <row r="607" spans="4:6" x14ac:dyDescent="0.2">
      <c r="D607" t="s">
        <v>30</v>
      </c>
      <c r="F607" t="s">
        <v>28</v>
      </c>
    </row>
    <row r="608" spans="4:6" x14ac:dyDescent="0.2">
      <c r="D608" t="s">
        <v>14</v>
      </c>
      <c r="F608" t="s">
        <v>10</v>
      </c>
    </row>
    <row r="609" spans="4:6" x14ac:dyDescent="0.2">
      <c r="D609" t="s">
        <v>19</v>
      </c>
      <c r="F609" t="s">
        <v>26</v>
      </c>
    </row>
    <row r="610" spans="4:6" x14ac:dyDescent="0.2">
      <c r="D610" t="s">
        <v>27</v>
      </c>
      <c r="F610" t="s">
        <v>32</v>
      </c>
    </row>
    <row r="611" spans="4:6" x14ac:dyDescent="0.2">
      <c r="D611" t="s">
        <v>18</v>
      </c>
      <c r="F611" t="s">
        <v>37</v>
      </c>
    </row>
    <row r="612" spans="4:6" x14ac:dyDescent="0.2">
      <c r="D612" t="s">
        <v>33</v>
      </c>
      <c r="F612" t="s">
        <v>31</v>
      </c>
    </row>
    <row r="613" spans="4:6" x14ac:dyDescent="0.2">
      <c r="D613" t="s">
        <v>15</v>
      </c>
      <c r="F613" t="s">
        <v>25</v>
      </c>
    </row>
    <row r="614" spans="4:6" x14ac:dyDescent="0.2">
      <c r="D614" t="s">
        <v>21</v>
      </c>
      <c r="F614" t="s">
        <v>16</v>
      </c>
    </row>
    <row r="615" spans="4:6" x14ac:dyDescent="0.2">
      <c r="D615" t="s">
        <v>13</v>
      </c>
      <c r="F615" t="s">
        <v>12</v>
      </c>
    </row>
    <row r="616" spans="4:6" x14ac:dyDescent="0.2">
      <c r="D616" t="s">
        <v>22</v>
      </c>
      <c r="F616" t="s">
        <v>11</v>
      </c>
    </row>
    <row r="617" spans="4:6" x14ac:dyDescent="0.2">
      <c r="D617" t="s">
        <v>28</v>
      </c>
      <c r="F617" t="s">
        <v>36</v>
      </c>
    </row>
    <row r="618" spans="4:6" x14ac:dyDescent="0.2">
      <c r="D618" t="s">
        <v>38</v>
      </c>
      <c r="F618" t="s">
        <v>32</v>
      </c>
    </row>
    <row r="619" spans="4:6" x14ac:dyDescent="0.2">
      <c r="D619" t="s">
        <v>23</v>
      </c>
      <c r="F619" t="s">
        <v>35</v>
      </c>
    </row>
    <row r="620" spans="4:6" x14ac:dyDescent="0.2">
      <c r="D620" t="s">
        <v>29</v>
      </c>
      <c r="F620" t="s">
        <v>55</v>
      </c>
    </row>
    <row r="621" spans="4:6" x14ac:dyDescent="0.2">
      <c r="D621" t="s">
        <v>34</v>
      </c>
      <c r="F621" t="s">
        <v>20</v>
      </c>
    </row>
    <row r="622" spans="4:6" x14ac:dyDescent="0.2">
      <c r="D622" t="s">
        <v>17</v>
      </c>
      <c r="F622" t="s">
        <v>40</v>
      </c>
    </row>
    <row r="623" spans="4:6" x14ac:dyDescent="0.2">
      <c r="D623" t="s">
        <v>30</v>
      </c>
      <c r="F623" t="s">
        <v>10</v>
      </c>
    </row>
    <row r="624" spans="4:6" x14ac:dyDescent="0.2">
      <c r="D624" t="s">
        <v>18</v>
      </c>
      <c r="F624" t="s">
        <v>11</v>
      </c>
    </row>
    <row r="625" spans="4:6" x14ac:dyDescent="0.2">
      <c r="D625" t="s">
        <v>25</v>
      </c>
      <c r="F625" t="s">
        <v>14</v>
      </c>
    </row>
    <row r="626" spans="4:6" x14ac:dyDescent="0.2">
      <c r="D626" t="s">
        <v>24</v>
      </c>
      <c r="F626" t="s">
        <v>19</v>
      </c>
    </row>
    <row r="627" spans="4:6" x14ac:dyDescent="0.2">
      <c r="D627" t="s">
        <v>27</v>
      </c>
      <c r="F627" t="s">
        <v>38</v>
      </c>
    </row>
    <row r="628" spans="4:6" x14ac:dyDescent="0.2">
      <c r="D628" t="s">
        <v>37</v>
      </c>
      <c r="F628" t="s">
        <v>31</v>
      </c>
    </row>
    <row r="629" spans="4:6" x14ac:dyDescent="0.2">
      <c r="D629" t="s">
        <v>24</v>
      </c>
      <c r="F629" t="s">
        <v>28</v>
      </c>
    </row>
    <row r="630" spans="4:6" x14ac:dyDescent="0.2">
      <c r="D630" t="s">
        <v>27</v>
      </c>
      <c r="F630" t="s">
        <v>16</v>
      </c>
    </row>
    <row r="631" spans="4:6" x14ac:dyDescent="0.2">
      <c r="D631" t="s">
        <v>35</v>
      </c>
      <c r="F631" t="s">
        <v>12</v>
      </c>
    </row>
    <row r="632" spans="4:6" x14ac:dyDescent="0.2">
      <c r="D632" t="s">
        <v>23</v>
      </c>
      <c r="F632" t="s">
        <v>39</v>
      </c>
    </row>
    <row r="633" spans="4:6" x14ac:dyDescent="0.2">
      <c r="D633" t="s">
        <v>40</v>
      </c>
      <c r="F633" t="s">
        <v>26</v>
      </c>
    </row>
    <row r="634" spans="4:6" x14ac:dyDescent="0.2">
      <c r="D634" t="s">
        <v>21</v>
      </c>
      <c r="F634" t="s">
        <v>17</v>
      </c>
    </row>
    <row r="635" spans="4:6" x14ac:dyDescent="0.2">
      <c r="D635" t="s">
        <v>34</v>
      </c>
      <c r="F635" t="s">
        <v>33</v>
      </c>
    </row>
    <row r="636" spans="4:6" x14ac:dyDescent="0.2">
      <c r="D636" t="s">
        <v>29</v>
      </c>
      <c r="F636" t="s">
        <v>20</v>
      </c>
    </row>
    <row r="637" spans="4:6" x14ac:dyDescent="0.2">
      <c r="D637" t="s">
        <v>15</v>
      </c>
      <c r="F637" t="s">
        <v>22</v>
      </c>
    </row>
    <row r="638" spans="4:6" x14ac:dyDescent="0.2">
      <c r="D638" t="s">
        <v>18</v>
      </c>
      <c r="F638" t="s">
        <v>25</v>
      </c>
    </row>
    <row r="639" spans="4:6" x14ac:dyDescent="0.2">
      <c r="D639" t="s">
        <v>39</v>
      </c>
      <c r="F639" t="s">
        <v>10</v>
      </c>
    </row>
    <row r="640" spans="4:6" x14ac:dyDescent="0.2">
      <c r="D640" t="s">
        <v>37</v>
      </c>
      <c r="F640" t="s">
        <v>13</v>
      </c>
    </row>
    <row r="641" spans="4:6" x14ac:dyDescent="0.2">
      <c r="D641" t="s">
        <v>55</v>
      </c>
      <c r="F641" t="s">
        <v>30</v>
      </c>
    </row>
    <row r="642" spans="4:6" x14ac:dyDescent="0.2">
      <c r="D642" t="s">
        <v>22</v>
      </c>
      <c r="F642" t="s">
        <v>36</v>
      </c>
    </row>
    <row r="643" spans="4:6" x14ac:dyDescent="0.2">
      <c r="D643" t="s">
        <v>26</v>
      </c>
      <c r="F643" t="s">
        <v>14</v>
      </c>
    </row>
    <row r="644" spans="4:6" x14ac:dyDescent="0.2">
      <c r="D644" t="s">
        <v>29</v>
      </c>
      <c r="F644" t="s">
        <v>32</v>
      </c>
    </row>
    <row r="645" spans="4:6" x14ac:dyDescent="0.2">
      <c r="D645" t="s">
        <v>40</v>
      </c>
      <c r="F645" t="s">
        <v>19</v>
      </c>
    </row>
    <row r="646" spans="4:6" x14ac:dyDescent="0.2">
      <c r="D646" t="s">
        <v>34</v>
      </c>
      <c r="F646" t="s">
        <v>31</v>
      </c>
    </row>
    <row r="647" spans="4:6" x14ac:dyDescent="0.2">
      <c r="D647" t="s">
        <v>15</v>
      </c>
      <c r="F647" t="s">
        <v>11</v>
      </c>
    </row>
    <row r="648" spans="4:6" x14ac:dyDescent="0.2">
      <c r="D648" t="s">
        <v>20</v>
      </c>
      <c r="F648" t="s">
        <v>35</v>
      </c>
    </row>
    <row r="649" spans="4:6" x14ac:dyDescent="0.2">
      <c r="D649" t="s">
        <v>32</v>
      </c>
      <c r="F649" t="s">
        <v>38</v>
      </c>
    </row>
    <row r="650" spans="4:6" x14ac:dyDescent="0.2">
      <c r="D650" t="s">
        <v>12</v>
      </c>
      <c r="F650" t="s">
        <v>25</v>
      </c>
    </row>
    <row r="651" spans="4:6" x14ac:dyDescent="0.2">
      <c r="D651" t="s">
        <v>23</v>
      </c>
      <c r="F651" t="s">
        <v>28</v>
      </c>
    </row>
    <row r="652" spans="4:6" x14ac:dyDescent="0.2">
      <c r="D652" t="s">
        <v>29</v>
      </c>
      <c r="F652" t="s">
        <v>16</v>
      </c>
    </row>
    <row r="653" spans="4:6" x14ac:dyDescent="0.2">
      <c r="D653" t="s">
        <v>14</v>
      </c>
      <c r="F653" t="s">
        <v>26</v>
      </c>
    </row>
    <row r="654" spans="4:6" x14ac:dyDescent="0.2">
      <c r="D654" t="s">
        <v>27</v>
      </c>
      <c r="F654" t="s">
        <v>17</v>
      </c>
    </row>
    <row r="655" spans="4:6" x14ac:dyDescent="0.2">
      <c r="D655" t="s">
        <v>34</v>
      </c>
      <c r="F655" t="s">
        <v>13</v>
      </c>
    </row>
    <row r="656" spans="4:6" x14ac:dyDescent="0.2">
      <c r="D656" t="s">
        <v>55</v>
      </c>
      <c r="F656" t="s">
        <v>24</v>
      </c>
    </row>
    <row r="657" spans="4:6" x14ac:dyDescent="0.2">
      <c r="D657" t="s">
        <v>19</v>
      </c>
      <c r="F657" t="s">
        <v>30</v>
      </c>
    </row>
    <row r="658" spans="4:6" x14ac:dyDescent="0.2">
      <c r="D658" t="s">
        <v>40</v>
      </c>
      <c r="F658" t="s">
        <v>36</v>
      </c>
    </row>
    <row r="659" spans="4:6" x14ac:dyDescent="0.2">
      <c r="D659" t="s">
        <v>37</v>
      </c>
      <c r="F659" t="s">
        <v>33</v>
      </c>
    </row>
    <row r="660" spans="4:6" x14ac:dyDescent="0.2">
      <c r="D660" t="s">
        <v>18</v>
      </c>
      <c r="F660" t="s">
        <v>35</v>
      </c>
    </row>
    <row r="661" spans="4:6" x14ac:dyDescent="0.2">
      <c r="D661" t="s">
        <v>21</v>
      </c>
      <c r="F661" t="s">
        <v>38</v>
      </c>
    </row>
    <row r="662" spans="4:6" x14ac:dyDescent="0.2">
      <c r="D662" t="s">
        <v>10</v>
      </c>
      <c r="F662" t="s">
        <v>22</v>
      </c>
    </row>
    <row r="663" spans="4:6" x14ac:dyDescent="0.2">
      <c r="D663" t="s">
        <v>14</v>
      </c>
      <c r="F663" t="s">
        <v>28</v>
      </c>
    </row>
    <row r="664" spans="4:6" x14ac:dyDescent="0.2">
      <c r="D664" t="s">
        <v>20</v>
      </c>
      <c r="F664" t="s">
        <v>10</v>
      </c>
    </row>
    <row r="665" spans="4:6" x14ac:dyDescent="0.2">
      <c r="D665" t="s">
        <v>18</v>
      </c>
      <c r="F665" t="s">
        <v>39</v>
      </c>
    </row>
    <row r="666" spans="4:6" x14ac:dyDescent="0.2">
      <c r="D666" t="s">
        <v>12</v>
      </c>
      <c r="F666" t="s">
        <v>11</v>
      </c>
    </row>
    <row r="667" spans="4:6" x14ac:dyDescent="0.2">
      <c r="D667" t="s">
        <v>25</v>
      </c>
      <c r="F667" t="s">
        <v>24</v>
      </c>
    </row>
    <row r="668" spans="4:6" x14ac:dyDescent="0.2">
      <c r="D668" t="s">
        <v>32</v>
      </c>
      <c r="F668" t="s">
        <v>16</v>
      </c>
    </row>
    <row r="669" spans="4:6" x14ac:dyDescent="0.2">
      <c r="D669" t="s">
        <v>34</v>
      </c>
      <c r="F669" t="s">
        <v>13</v>
      </c>
    </row>
    <row r="670" spans="4:6" x14ac:dyDescent="0.2">
      <c r="D670" t="s">
        <v>55</v>
      </c>
      <c r="F670" t="s">
        <v>15</v>
      </c>
    </row>
    <row r="671" spans="4:6" x14ac:dyDescent="0.2">
      <c r="D671" t="s">
        <v>26</v>
      </c>
      <c r="F671" t="s">
        <v>36</v>
      </c>
    </row>
    <row r="672" spans="4:6" x14ac:dyDescent="0.2">
      <c r="D672" t="s">
        <v>31</v>
      </c>
      <c r="F672" t="s">
        <v>22</v>
      </c>
    </row>
    <row r="673" spans="4:6" x14ac:dyDescent="0.2">
      <c r="D673" t="s">
        <v>38</v>
      </c>
      <c r="F673" t="s">
        <v>23</v>
      </c>
    </row>
    <row r="674" spans="4:6" x14ac:dyDescent="0.2">
      <c r="D674" t="s">
        <v>39</v>
      </c>
      <c r="F674" t="s">
        <v>25</v>
      </c>
    </row>
    <row r="675" spans="4:6" x14ac:dyDescent="0.2">
      <c r="D675" t="s">
        <v>29</v>
      </c>
      <c r="F675" t="s">
        <v>17</v>
      </c>
    </row>
    <row r="676" spans="4:6" x14ac:dyDescent="0.2">
      <c r="D676" t="s">
        <v>24</v>
      </c>
      <c r="F676" t="s">
        <v>30</v>
      </c>
    </row>
    <row r="677" spans="4:6" x14ac:dyDescent="0.2">
      <c r="D677" t="s">
        <v>31</v>
      </c>
      <c r="F677" t="s">
        <v>27</v>
      </c>
    </row>
    <row r="678" spans="4:6" x14ac:dyDescent="0.2">
      <c r="D678" t="s">
        <v>21</v>
      </c>
      <c r="F678" t="s">
        <v>32</v>
      </c>
    </row>
    <row r="679" spans="4:6" x14ac:dyDescent="0.2">
      <c r="D679" t="s">
        <v>28</v>
      </c>
      <c r="F679" t="s">
        <v>33</v>
      </c>
    </row>
    <row r="680" spans="4:6" x14ac:dyDescent="0.2">
      <c r="D680" t="s">
        <v>12</v>
      </c>
      <c r="F680" t="s">
        <v>37</v>
      </c>
    </row>
    <row r="681" spans="4:6" x14ac:dyDescent="0.2">
      <c r="D681" t="s">
        <v>11</v>
      </c>
      <c r="F681" t="s">
        <v>19</v>
      </c>
    </row>
    <row r="682" spans="4:6" x14ac:dyDescent="0.2">
      <c r="D682" t="s">
        <v>20</v>
      </c>
      <c r="F682" t="s">
        <v>40</v>
      </c>
    </row>
    <row r="683" spans="4:6" x14ac:dyDescent="0.2">
      <c r="D683" t="s">
        <v>35</v>
      </c>
      <c r="F683" t="s">
        <v>10</v>
      </c>
    </row>
    <row r="684" spans="4:6" x14ac:dyDescent="0.2">
      <c r="D684" t="s">
        <v>33</v>
      </c>
      <c r="F684" t="s">
        <v>13</v>
      </c>
    </row>
    <row r="685" spans="4:6" x14ac:dyDescent="0.2">
      <c r="D685" t="s">
        <v>16</v>
      </c>
      <c r="F685" t="s">
        <v>18</v>
      </c>
    </row>
    <row r="686" spans="4:6" x14ac:dyDescent="0.2">
      <c r="D686" t="s">
        <v>36</v>
      </c>
      <c r="F686" t="s">
        <v>55</v>
      </c>
    </row>
    <row r="687" spans="4:6" x14ac:dyDescent="0.2">
      <c r="D687" t="s">
        <v>39</v>
      </c>
      <c r="F687" t="s">
        <v>22</v>
      </c>
    </row>
    <row r="688" spans="4:6" x14ac:dyDescent="0.2">
      <c r="D688" t="s">
        <v>16</v>
      </c>
      <c r="F688" t="s">
        <v>21</v>
      </c>
    </row>
    <row r="689" spans="4:6" x14ac:dyDescent="0.2">
      <c r="D689" t="s">
        <v>31</v>
      </c>
      <c r="F689" t="s">
        <v>25</v>
      </c>
    </row>
    <row r="690" spans="4:6" x14ac:dyDescent="0.2">
      <c r="D690" t="s">
        <v>36</v>
      </c>
      <c r="F690" t="s">
        <v>12</v>
      </c>
    </row>
    <row r="691" spans="4:6" x14ac:dyDescent="0.2">
      <c r="D691" t="s">
        <v>38</v>
      </c>
      <c r="F691" t="s">
        <v>26</v>
      </c>
    </row>
    <row r="692" spans="4:6" x14ac:dyDescent="0.2">
      <c r="D692" t="s">
        <v>11</v>
      </c>
      <c r="F692" t="s">
        <v>18</v>
      </c>
    </row>
    <row r="693" spans="4:6" x14ac:dyDescent="0.2">
      <c r="D693" t="s">
        <v>30</v>
      </c>
      <c r="F693" t="s">
        <v>29</v>
      </c>
    </row>
    <row r="694" spans="4:6" x14ac:dyDescent="0.2">
      <c r="D694" t="s">
        <v>23</v>
      </c>
      <c r="F694" t="s">
        <v>15</v>
      </c>
    </row>
    <row r="695" spans="4:6" x14ac:dyDescent="0.2">
      <c r="D695" t="s">
        <v>19</v>
      </c>
      <c r="F695" t="s">
        <v>27</v>
      </c>
    </row>
    <row r="696" spans="4:6" x14ac:dyDescent="0.2">
      <c r="D696" t="s">
        <v>24</v>
      </c>
      <c r="F696" t="s">
        <v>14</v>
      </c>
    </row>
    <row r="697" spans="4:6" x14ac:dyDescent="0.2">
      <c r="D697" t="s">
        <v>34</v>
      </c>
      <c r="F697" t="s">
        <v>32</v>
      </c>
    </row>
    <row r="698" spans="4:6" x14ac:dyDescent="0.2">
      <c r="D698" t="s">
        <v>28</v>
      </c>
      <c r="F698" t="s">
        <v>20</v>
      </c>
    </row>
    <row r="699" spans="4:6" x14ac:dyDescent="0.2">
      <c r="D699" t="s">
        <v>17</v>
      </c>
      <c r="F699" t="s">
        <v>40</v>
      </c>
    </row>
    <row r="700" spans="4:6" x14ac:dyDescent="0.2">
      <c r="D700" t="s">
        <v>22</v>
      </c>
      <c r="F700" t="s">
        <v>10</v>
      </c>
    </row>
    <row r="701" spans="4:6" x14ac:dyDescent="0.2">
      <c r="D701" t="s">
        <v>35</v>
      </c>
      <c r="F701" t="s">
        <v>55</v>
      </c>
    </row>
    <row r="702" spans="4:6" x14ac:dyDescent="0.2">
      <c r="D702" t="s">
        <v>13</v>
      </c>
      <c r="F702" t="s">
        <v>40</v>
      </c>
    </row>
    <row r="703" spans="4:6" x14ac:dyDescent="0.2">
      <c r="D703" t="s">
        <v>15</v>
      </c>
      <c r="F703" t="s">
        <v>21</v>
      </c>
    </row>
    <row r="704" spans="4:6" x14ac:dyDescent="0.2">
      <c r="D704" t="s">
        <v>31</v>
      </c>
      <c r="F704" t="s">
        <v>23</v>
      </c>
    </row>
    <row r="705" spans="4:6" x14ac:dyDescent="0.2">
      <c r="D705" t="s">
        <v>32</v>
      </c>
      <c r="F705" t="s">
        <v>25</v>
      </c>
    </row>
    <row r="706" spans="4:6" x14ac:dyDescent="0.2">
      <c r="D706" t="s">
        <v>28</v>
      </c>
      <c r="F706" t="s">
        <v>12</v>
      </c>
    </row>
    <row r="707" spans="4:6" x14ac:dyDescent="0.2">
      <c r="D707" t="s">
        <v>13</v>
      </c>
      <c r="F707" t="s">
        <v>17</v>
      </c>
    </row>
    <row r="708" spans="4:6" x14ac:dyDescent="0.2">
      <c r="D708" t="s">
        <v>30</v>
      </c>
      <c r="F708" t="s">
        <v>34</v>
      </c>
    </row>
    <row r="709" spans="4:6" x14ac:dyDescent="0.2">
      <c r="D709" t="s">
        <v>26</v>
      </c>
      <c r="F709" t="s">
        <v>18</v>
      </c>
    </row>
    <row r="710" spans="4:6" x14ac:dyDescent="0.2">
      <c r="D710" t="s">
        <v>10</v>
      </c>
      <c r="F710" t="s">
        <v>29</v>
      </c>
    </row>
    <row r="711" spans="4:6" x14ac:dyDescent="0.2">
      <c r="D711" t="s">
        <v>11</v>
      </c>
      <c r="F711" t="s">
        <v>36</v>
      </c>
    </row>
    <row r="712" spans="4:6" x14ac:dyDescent="0.2">
      <c r="D712" t="s">
        <v>37</v>
      </c>
      <c r="F712" t="s">
        <v>27</v>
      </c>
    </row>
    <row r="713" spans="4:6" x14ac:dyDescent="0.2">
      <c r="D713" t="s">
        <v>16</v>
      </c>
      <c r="F713" t="s">
        <v>14</v>
      </c>
    </row>
    <row r="714" spans="4:6" x14ac:dyDescent="0.2">
      <c r="D714" t="s">
        <v>39</v>
      </c>
      <c r="F714" t="s">
        <v>33</v>
      </c>
    </row>
    <row r="715" spans="4:6" x14ac:dyDescent="0.2">
      <c r="D715" t="s">
        <v>38</v>
      </c>
      <c r="F715" t="s">
        <v>19</v>
      </c>
    </row>
    <row r="716" spans="4:6" x14ac:dyDescent="0.2">
      <c r="D716" t="s">
        <v>35</v>
      </c>
      <c r="F716" t="s">
        <v>20</v>
      </c>
    </row>
    <row r="717" spans="4:6" x14ac:dyDescent="0.2">
      <c r="D717" t="s">
        <v>14</v>
      </c>
      <c r="F717" t="s">
        <v>21</v>
      </c>
    </row>
    <row r="718" spans="4:6" x14ac:dyDescent="0.2">
      <c r="D718" t="s">
        <v>22</v>
      </c>
      <c r="F718" t="s">
        <v>29</v>
      </c>
    </row>
    <row r="719" spans="4:6" x14ac:dyDescent="0.2">
      <c r="D719" t="s">
        <v>20</v>
      </c>
      <c r="F719" t="s">
        <v>33</v>
      </c>
    </row>
    <row r="720" spans="4:6" x14ac:dyDescent="0.2">
      <c r="D720" t="s">
        <v>28</v>
      </c>
      <c r="F720" t="s">
        <v>55</v>
      </c>
    </row>
    <row r="721" spans="4:6" x14ac:dyDescent="0.2">
      <c r="D721" t="s">
        <v>24</v>
      </c>
      <c r="F721" t="s">
        <v>40</v>
      </c>
    </row>
    <row r="722" spans="4:6" x14ac:dyDescent="0.2">
      <c r="D722" t="s">
        <v>11</v>
      </c>
      <c r="F722" t="s">
        <v>23</v>
      </c>
    </row>
    <row r="723" spans="4:6" x14ac:dyDescent="0.2">
      <c r="D723" t="s">
        <v>17</v>
      </c>
      <c r="F723" t="s">
        <v>10</v>
      </c>
    </row>
    <row r="724" spans="4:6" x14ac:dyDescent="0.2">
      <c r="D724" t="s">
        <v>19</v>
      </c>
      <c r="F724" t="s">
        <v>12</v>
      </c>
    </row>
    <row r="725" spans="4:6" x14ac:dyDescent="0.2">
      <c r="D725" t="s">
        <v>25</v>
      </c>
      <c r="F725" t="s">
        <v>26</v>
      </c>
    </row>
    <row r="726" spans="4:6" x14ac:dyDescent="0.2">
      <c r="D726" t="s">
        <v>39</v>
      </c>
      <c r="F726" t="s">
        <v>13</v>
      </c>
    </row>
    <row r="727" spans="4:6" x14ac:dyDescent="0.2">
      <c r="D727" t="s">
        <v>24</v>
      </c>
      <c r="F727" t="s">
        <v>34</v>
      </c>
    </row>
    <row r="728" spans="4:6" x14ac:dyDescent="0.2">
      <c r="D728" t="s">
        <v>38</v>
      </c>
      <c r="F728" t="s">
        <v>18</v>
      </c>
    </row>
    <row r="729" spans="4:6" x14ac:dyDescent="0.2">
      <c r="D729" t="s">
        <v>32</v>
      </c>
      <c r="F729" t="s">
        <v>15</v>
      </c>
    </row>
    <row r="730" spans="4:6" x14ac:dyDescent="0.2">
      <c r="D730" t="s">
        <v>37</v>
      </c>
      <c r="F730" t="s">
        <v>27</v>
      </c>
    </row>
    <row r="731" spans="4:6" x14ac:dyDescent="0.2">
      <c r="D731" t="s">
        <v>39</v>
      </c>
      <c r="F731" t="s">
        <v>31</v>
      </c>
    </row>
    <row r="732" spans="4:6" x14ac:dyDescent="0.2">
      <c r="D732" t="s">
        <v>26</v>
      </c>
      <c r="F732" t="s">
        <v>21</v>
      </c>
    </row>
    <row r="733" spans="4:6" x14ac:dyDescent="0.2">
      <c r="D733" t="s">
        <v>16</v>
      </c>
      <c r="F733" t="s">
        <v>28</v>
      </c>
    </row>
    <row r="734" spans="4:6" x14ac:dyDescent="0.2">
      <c r="D734" t="s">
        <v>17</v>
      </c>
      <c r="F734" t="s">
        <v>29</v>
      </c>
    </row>
    <row r="735" spans="4:6" x14ac:dyDescent="0.2">
      <c r="D735" t="s">
        <v>38</v>
      </c>
      <c r="F735" t="s">
        <v>36</v>
      </c>
    </row>
    <row r="736" spans="4:6" x14ac:dyDescent="0.2">
      <c r="D736" t="s">
        <v>37</v>
      </c>
      <c r="F736" t="s">
        <v>14</v>
      </c>
    </row>
    <row r="737" spans="4:6" x14ac:dyDescent="0.2">
      <c r="D737" t="s">
        <v>25</v>
      </c>
      <c r="F737" t="s">
        <v>35</v>
      </c>
    </row>
    <row r="738" spans="4:6" x14ac:dyDescent="0.2">
      <c r="D738" t="s">
        <v>19</v>
      </c>
      <c r="F738" t="s">
        <v>55</v>
      </c>
    </row>
    <row r="739" spans="4:6" x14ac:dyDescent="0.2">
      <c r="D739" t="s">
        <v>30</v>
      </c>
      <c r="F739" t="s">
        <v>40</v>
      </c>
    </row>
    <row r="740" spans="4:6" x14ac:dyDescent="0.2">
      <c r="D740" t="s">
        <v>18</v>
      </c>
      <c r="F740" t="s">
        <v>22</v>
      </c>
    </row>
    <row r="741" spans="4:6" x14ac:dyDescent="0.2">
      <c r="D741" t="s">
        <v>27</v>
      </c>
      <c r="F741" t="s">
        <v>23</v>
      </c>
    </row>
    <row r="742" spans="4:6" x14ac:dyDescent="0.2">
      <c r="D742" t="s">
        <v>20</v>
      </c>
      <c r="F742" t="s">
        <v>13</v>
      </c>
    </row>
    <row r="743" spans="4:6" x14ac:dyDescent="0.2">
      <c r="D743" t="s">
        <v>32</v>
      </c>
      <c r="F743" t="s">
        <v>24</v>
      </c>
    </row>
    <row r="744" spans="4:6" x14ac:dyDescent="0.2">
      <c r="D744" t="s">
        <v>36</v>
      </c>
      <c r="F744" t="s">
        <v>15</v>
      </c>
    </row>
    <row r="745" spans="4:6" x14ac:dyDescent="0.2">
      <c r="D745" t="s">
        <v>32</v>
      </c>
      <c r="F745" t="s">
        <v>21</v>
      </c>
    </row>
    <row r="746" spans="4:6" x14ac:dyDescent="0.2">
      <c r="D746" t="s">
        <v>18</v>
      </c>
      <c r="F746" t="s">
        <v>23</v>
      </c>
    </row>
    <row r="747" spans="4:6" x14ac:dyDescent="0.2">
      <c r="D747" t="s">
        <v>38</v>
      </c>
      <c r="F747" t="s">
        <v>28</v>
      </c>
    </row>
    <row r="748" spans="4:6" x14ac:dyDescent="0.2">
      <c r="D748" t="s">
        <v>16</v>
      </c>
      <c r="F748" t="s">
        <v>10</v>
      </c>
    </row>
    <row r="749" spans="4:6" x14ac:dyDescent="0.2">
      <c r="D749" t="s">
        <v>30</v>
      </c>
      <c r="F749" t="s">
        <v>17</v>
      </c>
    </row>
    <row r="750" spans="4:6" x14ac:dyDescent="0.2">
      <c r="D750" t="s">
        <v>40</v>
      </c>
      <c r="F750" t="s">
        <v>34</v>
      </c>
    </row>
    <row r="751" spans="4:6" x14ac:dyDescent="0.2">
      <c r="D751" t="s">
        <v>27</v>
      </c>
      <c r="F751" t="s">
        <v>14</v>
      </c>
    </row>
    <row r="752" spans="4:6" x14ac:dyDescent="0.2">
      <c r="D752" t="s">
        <v>39</v>
      </c>
      <c r="F752" t="s">
        <v>55</v>
      </c>
    </row>
    <row r="753" spans="4:6" x14ac:dyDescent="0.2">
      <c r="D753" t="s">
        <v>19</v>
      </c>
      <c r="F753" t="s">
        <v>20</v>
      </c>
    </row>
    <row r="754" spans="4:6" x14ac:dyDescent="0.2">
      <c r="D754" t="s">
        <v>33</v>
      </c>
      <c r="F754" t="s">
        <v>22</v>
      </c>
    </row>
    <row r="755" spans="4:6" x14ac:dyDescent="0.2">
      <c r="D755" t="s">
        <v>11</v>
      </c>
      <c r="F755" t="s">
        <v>25</v>
      </c>
    </row>
    <row r="756" spans="4:6" x14ac:dyDescent="0.2">
      <c r="D756" t="s">
        <v>29</v>
      </c>
      <c r="F756" t="s">
        <v>12</v>
      </c>
    </row>
    <row r="757" spans="4:6" x14ac:dyDescent="0.2">
      <c r="D757" t="s">
        <v>33</v>
      </c>
      <c r="F757" t="s">
        <v>26</v>
      </c>
    </row>
    <row r="758" spans="4:6" x14ac:dyDescent="0.2">
      <c r="D758" t="s">
        <v>31</v>
      </c>
      <c r="F758" t="s">
        <v>13</v>
      </c>
    </row>
    <row r="759" spans="4:6" x14ac:dyDescent="0.2">
      <c r="D759" t="s">
        <v>37</v>
      </c>
      <c r="F759" t="s">
        <v>35</v>
      </c>
    </row>
    <row r="760" spans="4:6" x14ac:dyDescent="0.2">
      <c r="D760" t="s">
        <v>13</v>
      </c>
      <c r="F760" t="s">
        <v>31</v>
      </c>
    </row>
    <row r="761" spans="4:6" x14ac:dyDescent="0.2">
      <c r="D761" t="s">
        <v>34</v>
      </c>
      <c r="F761" t="s">
        <v>23</v>
      </c>
    </row>
    <row r="762" spans="4:6" x14ac:dyDescent="0.2">
      <c r="D762" t="s">
        <v>30</v>
      </c>
      <c r="F762" t="s">
        <v>16</v>
      </c>
    </row>
    <row r="763" spans="4:6" x14ac:dyDescent="0.2">
      <c r="D763" t="s">
        <v>21</v>
      </c>
      <c r="F763" t="s">
        <v>10</v>
      </c>
    </row>
    <row r="764" spans="4:6" x14ac:dyDescent="0.2">
      <c r="D764" t="s">
        <v>25</v>
      </c>
      <c r="F764" t="s">
        <v>24</v>
      </c>
    </row>
    <row r="765" spans="4:6" x14ac:dyDescent="0.2">
      <c r="D765" t="s">
        <v>18</v>
      </c>
      <c r="F765" t="s">
        <v>36</v>
      </c>
    </row>
    <row r="766" spans="4:6" x14ac:dyDescent="0.2">
      <c r="D766" t="s">
        <v>15</v>
      </c>
      <c r="F766" t="s">
        <v>27</v>
      </c>
    </row>
    <row r="767" spans="4:6" x14ac:dyDescent="0.2">
      <c r="D767" t="s">
        <v>28</v>
      </c>
      <c r="F767" t="s">
        <v>14</v>
      </c>
    </row>
    <row r="768" spans="4:6" x14ac:dyDescent="0.2">
      <c r="D768" t="s">
        <v>32</v>
      </c>
      <c r="F768" t="s">
        <v>55</v>
      </c>
    </row>
    <row r="769" spans="4:6" x14ac:dyDescent="0.2">
      <c r="D769" t="s">
        <v>17</v>
      </c>
      <c r="F769" t="s">
        <v>38</v>
      </c>
    </row>
    <row r="770" spans="4:6" x14ac:dyDescent="0.2">
      <c r="D770" t="s">
        <v>29</v>
      </c>
      <c r="F770" t="s">
        <v>20</v>
      </c>
    </row>
    <row r="771" spans="4:6" x14ac:dyDescent="0.2">
      <c r="D771" t="s">
        <v>19</v>
      </c>
      <c r="F771" t="s">
        <v>40</v>
      </c>
    </row>
    <row r="772" spans="4:6" x14ac:dyDescent="0.2">
      <c r="D772" t="s">
        <v>11</v>
      </c>
      <c r="F772" t="s">
        <v>22</v>
      </c>
    </row>
    <row r="773" spans="4:6" x14ac:dyDescent="0.2">
      <c r="D773" t="s">
        <v>37</v>
      </c>
      <c r="F773" t="s">
        <v>39</v>
      </c>
    </row>
    <row r="774" spans="4:6" x14ac:dyDescent="0.2">
      <c r="D774" t="s">
        <v>36</v>
      </c>
      <c r="F774" t="s">
        <v>26</v>
      </c>
    </row>
    <row r="775" spans="4:6" x14ac:dyDescent="0.2">
      <c r="D775" t="s">
        <v>35</v>
      </c>
      <c r="F775" t="s">
        <v>17</v>
      </c>
    </row>
    <row r="776" spans="4:6" x14ac:dyDescent="0.2">
      <c r="D776" t="s">
        <v>15</v>
      </c>
      <c r="F776" t="s">
        <v>31</v>
      </c>
    </row>
    <row r="777" spans="4:6" x14ac:dyDescent="0.2">
      <c r="D777" t="s">
        <v>23</v>
      </c>
      <c r="F777" t="s">
        <v>25</v>
      </c>
    </row>
    <row r="778" spans="4:6" x14ac:dyDescent="0.2">
      <c r="D778" t="s">
        <v>24</v>
      </c>
      <c r="F778" t="s">
        <v>16</v>
      </c>
    </row>
    <row r="779" spans="4:6" x14ac:dyDescent="0.2">
      <c r="D779" t="s">
        <v>40</v>
      </c>
      <c r="F779" t="s">
        <v>10</v>
      </c>
    </row>
    <row r="780" spans="4:6" x14ac:dyDescent="0.2">
      <c r="D780" t="s">
        <v>22</v>
      </c>
      <c r="F780" t="s">
        <v>12</v>
      </c>
    </row>
    <row r="781" spans="4:6" x14ac:dyDescent="0.2">
      <c r="D781" t="s">
        <v>33</v>
      </c>
      <c r="F781" t="s">
        <v>11</v>
      </c>
    </row>
    <row r="782" spans="4:6" x14ac:dyDescent="0.2">
      <c r="D782" t="s">
        <v>14</v>
      </c>
      <c r="F782" t="s">
        <v>32</v>
      </c>
    </row>
    <row r="783" spans="4:6" x14ac:dyDescent="0.2">
      <c r="D783" t="s">
        <v>34</v>
      </c>
      <c r="F783" t="s">
        <v>19</v>
      </c>
    </row>
    <row r="784" spans="4:6" x14ac:dyDescent="0.2">
      <c r="D784" t="s">
        <v>30</v>
      </c>
      <c r="F784" t="s">
        <v>38</v>
      </c>
    </row>
    <row r="785" spans="4:6" x14ac:dyDescent="0.2">
      <c r="D785" t="s">
        <v>27</v>
      </c>
      <c r="F785" t="s">
        <v>20</v>
      </c>
    </row>
    <row r="786" spans="4:6" x14ac:dyDescent="0.2">
      <c r="D786" t="s">
        <v>36</v>
      </c>
      <c r="F786" t="s">
        <v>28</v>
      </c>
    </row>
    <row r="787" spans="4:6" x14ac:dyDescent="0.2">
      <c r="D787" t="s">
        <v>21</v>
      </c>
      <c r="F787" t="s">
        <v>39</v>
      </c>
    </row>
    <row r="788" spans="4:6" x14ac:dyDescent="0.2">
      <c r="D788" t="s">
        <v>24</v>
      </c>
      <c r="F788" t="s">
        <v>17</v>
      </c>
    </row>
    <row r="789" spans="4:6" x14ac:dyDescent="0.2">
      <c r="D789" t="s">
        <v>15</v>
      </c>
      <c r="F789" t="s">
        <v>13</v>
      </c>
    </row>
    <row r="790" spans="4:6" x14ac:dyDescent="0.2">
      <c r="D790" t="s">
        <v>34</v>
      </c>
      <c r="F790" t="s">
        <v>18</v>
      </c>
    </row>
    <row r="791" spans="4:6" x14ac:dyDescent="0.2">
      <c r="D791" t="s">
        <v>23</v>
      </c>
      <c r="F791" t="s">
        <v>29</v>
      </c>
    </row>
    <row r="792" spans="4:6" x14ac:dyDescent="0.2">
      <c r="D792" t="s">
        <v>33</v>
      </c>
      <c r="F792" t="s">
        <v>37</v>
      </c>
    </row>
    <row r="793" spans="4:6" x14ac:dyDescent="0.2">
      <c r="D793" t="s">
        <v>35</v>
      </c>
      <c r="F793" t="s">
        <v>40</v>
      </c>
    </row>
    <row r="794" spans="4:6" x14ac:dyDescent="0.2">
      <c r="D794" t="s">
        <v>14</v>
      </c>
      <c r="F794" t="s">
        <v>16</v>
      </c>
    </row>
    <row r="795" spans="4:6" x14ac:dyDescent="0.2">
      <c r="D795" t="s">
        <v>31</v>
      </c>
      <c r="F795" t="s">
        <v>12</v>
      </c>
    </row>
    <row r="796" spans="4:6" x14ac:dyDescent="0.2">
      <c r="D796" t="s">
        <v>30</v>
      </c>
      <c r="F796" t="s">
        <v>32</v>
      </c>
    </row>
    <row r="797" spans="4:6" x14ac:dyDescent="0.2">
      <c r="D797" t="s">
        <v>26</v>
      </c>
      <c r="F797" t="s">
        <v>19</v>
      </c>
    </row>
    <row r="798" spans="4:6" x14ac:dyDescent="0.2">
      <c r="D798" t="s">
        <v>27</v>
      </c>
      <c r="F798" t="s">
        <v>55</v>
      </c>
    </row>
    <row r="799" spans="4:6" x14ac:dyDescent="0.2">
      <c r="D799" t="s">
        <v>22</v>
      </c>
      <c r="F799" t="s">
        <v>38</v>
      </c>
    </row>
    <row r="800" spans="4:6" x14ac:dyDescent="0.2">
      <c r="D800" t="s">
        <v>20</v>
      </c>
      <c r="F800" t="s">
        <v>21</v>
      </c>
    </row>
    <row r="801" spans="4:6" x14ac:dyDescent="0.2">
      <c r="D801" t="s">
        <v>10</v>
      </c>
      <c r="F801" t="s">
        <v>25</v>
      </c>
    </row>
    <row r="802" spans="4:6" x14ac:dyDescent="0.2">
      <c r="D802" t="s">
        <v>39</v>
      </c>
      <c r="F802" t="s">
        <v>28</v>
      </c>
    </row>
    <row r="803" spans="4:6" x14ac:dyDescent="0.2">
      <c r="D803" t="s">
        <v>14</v>
      </c>
      <c r="F803" t="s">
        <v>17</v>
      </c>
    </row>
    <row r="804" spans="4:6" x14ac:dyDescent="0.2">
      <c r="D804" t="s">
        <v>26</v>
      </c>
      <c r="F804" t="s">
        <v>34</v>
      </c>
    </row>
    <row r="805" spans="4:6" x14ac:dyDescent="0.2">
      <c r="D805" t="s">
        <v>23</v>
      </c>
      <c r="F805" t="s">
        <v>18</v>
      </c>
    </row>
    <row r="806" spans="4:6" x14ac:dyDescent="0.2">
      <c r="D806" t="s">
        <v>36</v>
      </c>
      <c r="F806" t="s">
        <v>29</v>
      </c>
    </row>
    <row r="807" spans="4:6" x14ac:dyDescent="0.2">
      <c r="D807" t="s">
        <v>11</v>
      </c>
      <c r="F807" t="s">
        <v>40</v>
      </c>
    </row>
    <row r="808" spans="4:6" x14ac:dyDescent="0.2">
      <c r="D808" t="s">
        <v>22</v>
      </c>
      <c r="F808" t="s">
        <v>16</v>
      </c>
    </row>
    <row r="809" spans="4:6" x14ac:dyDescent="0.2">
      <c r="D809" t="s">
        <v>37</v>
      </c>
      <c r="F809" t="s">
        <v>10</v>
      </c>
    </row>
    <row r="810" spans="4:6" x14ac:dyDescent="0.2">
      <c r="D810" t="s">
        <v>27</v>
      </c>
      <c r="F810" t="s">
        <v>12</v>
      </c>
    </row>
    <row r="811" spans="4:6" x14ac:dyDescent="0.2">
      <c r="D811" t="s">
        <v>35</v>
      </c>
      <c r="F811" t="s">
        <v>39</v>
      </c>
    </row>
    <row r="812" spans="4:6" x14ac:dyDescent="0.2">
      <c r="D812" t="s">
        <v>31</v>
      </c>
      <c r="F812" t="s">
        <v>32</v>
      </c>
    </row>
    <row r="813" spans="4:6" x14ac:dyDescent="0.2">
      <c r="D813" t="s">
        <v>15</v>
      </c>
      <c r="F813" t="s">
        <v>33</v>
      </c>
    </row>
    <row r="814" spans="4:6" x14ac:dyDescent="0.2">
      <c r="D814" t="s">
        <v>20</v>
      </c>
      <c r="F814" t="s">
        <v>19</v>
      </c>
    </row>
    <row r="815" spans="4:6" x14ac:dyDescent="0.2">
      <c r="D815" t="s">
        <v>24</v>
      </c>
      <c r="F815" t="s">
        <v>38</v>
      </c>
    </row>
    <row r="816" spans="4:6" x14ac:dyDescent="0.2">
      <c r="D816" t="s">
        <v>18</v>
      </c>
      <c r="F816" t="s">
        <v>21</v>
      </c>
    </row>
    <row r="817" spans="4:6" x14ac:dyDescent="0.2">
      <c r="D817" t="s">
        <v>37</v>
      </c>
      <c r="F817" t="s">
        <v>28</v>
      </c>
    </row>
    <row r="818" spans="4:6" x14ac:dyDescent="0.2">
      <c r="D818" t="s">
        <v>22</v>
      </c>
      <c r="F818" t="s">
        <v>17</v>
      </c>
    </row>
    <row r="819" spans="4:6" x14ac:dyDescent="0.2">
      <c r="D819" t="s">
        <v>11</v>
      </c>
      <c r="F819" t="s">
        <v>34</v>
      </c>
    </row>
    <row r="820" spans="4:6" x14ac:dyDescent="0.2">
      <c r="D820" t="s">
        <v>55</v>
      </c>
      <c r="F820" t="s">
        <v>29</v>
      </c>
    </row>
    <row r="821" spans="4:6" x14ac:dyDescent="0.2">
      <c r="D821" t="s">
        <v>23</v>
      </c>
      <c r="F821" t="s">
        <v>30</v>
      </c>
    </row>
    <row r="822" spans="4:6" x14ac:dyDescent="0.2">
      <c r="D822" t="s">
        <v>25</v>
      </c>
      <c r="F822" t="s">
        <v>36</v>
      </c>
    </row>
    <row r="823" spans="4:6" x14ac:dyDescent="0.2">
      <c r="D823" t="s">
        <v>13</v>
      </c>
      <c r="F823" t="s">
        <v>35</v>
      </c>
    </row>
    <row r="824" spans="4:6" x14ac:dyDescent="0.2">
      <c r="D824" t="s">
        <v>26</v>
      </c>
      <c r="F824" t="s">
        <v>40</v>
      </c>
    </row>
    <row r="825" spans="4:6" x14ac:dyDescent="0.2">
      <c r="D825" t="s">
        <v>31</v>
      </c>
      <c r="F825" t="s">
        <v>16</v>
      </c>
    </row>
    <row r="826" spans="4:6" x14ac:dyDescent="0.2">
      <c r="D826" t="s">
        <v>11</v>
      </c>
      <c r="F826" t="s">
        <v>10</v>
      </c>
    </row>
    <row r="827" spans="4:6" x14ac:dyDescent="0.2">
      <c r="D827" t="s">
        <v>20</v>
      </c>
      <c r="F827" t="s">
        <v>36</v>
      </c>
    </row>
    <row r="828" spans="4:6" x14ac:dyDescent="0.2">
      <c r="D828" t="s">
        <v>24</v>
      </c>
      <c r="F828" t="s">
        <v>32</v>
      </c>
    </row>
    <row r="829" spans="4:6" x14ac:dyDescent="0.2">
      <c r="D829" t="s">
        <v>12</v>
      </c>
      <c r="F829" t="s">
        <v>19</v>
      </c>
    </row>
    <row r="830" spans="4:6" x14ac:dyDescent="0.2">
      <c r="D830" t="s">
        <v>14</v>
      </c>
      <c r="F830" t="s">
        <v>38</v>
      </c>
    </row>
    <row r="831" spans="4:6" x14ac:dyDescent="0.2">
      <c r="D831" t="s">
        <v>13</v>
      </c>
      <c r="F831" t="s">
        <v>28</v>
      </c>
    </row>
    <row r="832" spans="4:6" x14ac:dyDescent="0.2">
      <c r="D832" t="s">
        <v>31</v>
      </c>
      <c r="F832" t="s">
        <v>17</v>
      </c>
    </row>
    <row r="833" spans="4:6" x14ac:dyDescent="0.2">
      <c r="D833" t="s">
        <v>21</v>
      </c>
      <c r="F833" t="s">
        <v>15</v>
      </c>
    </row>
    <row r="834" spans="4:6" x14ac:dyDescent="0.2">
      <c r="D834" t="s">
        <v>30</v>
      </c>
      <c r="F834" t="s">
        <v>27</v>
      </c>
    </row>
    <row r="835" spans="4:6" x14ac:dyDescent="0.2">
      <c r="D835" t="s">
        <v>55</v>
      </c>
      <c r="F835" t="s">
        <v>37</v>
      </c>
    </row>
    <row r="836" spans="4:6" x14ac:dyDescent="0.2">
      <c r="D836" t="s">
        <v>29</v>
      </c>
      <c r="F836" t="s">
        <v>21</v>
      </c>
    </row>
    <row r="837" spans="4:6" x14ac:dyDescent="0.2">
      <c r="D837" t="s">
        <v>13</v>
      </c>
      <c r="F837" t="s">
        <v>26</v>
      </c>
    </row>
    <row r="838" spans="4:6" x14ac:dyDescent="0.2">
      <c r="D838" t="s">
        <v>55</v>
      </c>
      <c r="F838" t="s">
        <v>11</v>
      </c>
    </row>
    <row r="839" spans="4:6" x14ac:dyDescent="0.2">
      <c r="D839" t="s">
        <v>10</v>
      </c>
      <c r="F839" t="s">
        <v>34</v>
      </c>
    </row>
    <row r="840" spans="4:6" x14ac:dyDescent="0.2">
      <c r="D840" t="s">
        <v>20</v>
      </c>
      <c r="F840" t="s">
        <v>18</v>
      </c>
    </row>
    <row r="841" spans="4:6" x14ac:dyDescent="0.2">
      <c r="D841" t="s">
        <v>40</v>
      </c>
      <c r="F841" t="s">
        <v>24</v>
      </c>
    </row>
    <row r="842" spans="4:6" x14ac:dyDescent="0.2">
      <c r="D842" t="s">
        <v>22</v>
      </c>
      <c r="F842" t="s">
        <v>32</v>
      </c>
    </row>
    <row r="843" spans="4:6" x14ac:dyDescent="0.2">
      <c r="D843" t="s">
        <v>39</v>
      </c>
      <c r="F843" t="s">
        <v>35</v>
      </c>
    </row>
    <row r="844" spans="4:6" x14ac:dyDescent="0.2">
      <c r="D844" t="s">
        <v>23</v>
      </c>
      <c r="F844" t="s">
        <v>19</v>
      </c>
    </row>
    <row r="845" spans="4:6" x14ac:dyDescent="0.2">
      <c r="D845" t="s">
        <v>33</v>
      </c>
      <c r="F845" t="s">
        <v>38</v>
      </c>
    </row>
    <row r="846" spans="4:6" x14ac:dyDescent="0.2">
      <c r="D846" t="s">
        <v>27</v>
      </c>
      <c r="F846" t="s">
        <v>28</v>
      </c>
    </row>
    <row r="847" spans="4:6" x14ac:dyDescent="0.2">
      <c r="D847" t="s">
        <v>15</v>
      </c>
      <c r="F847" t="s">
        <v>30</v>
      </c>
    </row>
    <row r="848" spans="4:6" x14ac:dyDescent="0.2">
      <c r="D848" t="s">
        <v>12</v>
      </c>
      <c r="F848" t="s">
        <v>36</v>
      </c>
    </row>
    <row r="849" spans="4:6" x14ac:dyDescent="0.2">
      <c r="D849" t="s">
        <v>27</v>
      </c>
      <c r="F849" t="s">
        <v>21</v>
      </c>
    </row>
    <row r="850" spans="4:6" x14ac:dyDescent="0.2">
      <c r="D850" t="s">
        <v>13</v>
      </c>
      <c r="F850" t="s">
        <v>23</v>
      </c>
    </row>
    <row r="851" spans="4:6" x14ac:dyDescent="0.2">
      <c r="D851" t="s">
        <v>55</v>
      </c>
      <c r="F851" t="s">
        <v>25</v>
      </c>
    </row>
    <row r="852" spans="4:6" x14ac:dyDescent="0.2">
      <c r="D852" t="s">
        <v>22</v>
      </c>
      <c r="F852" t="s">
        <v>26</v>
      </c>
    </row>
    <row r="853" spans="4:6" x14ac:dyDescent="0.2">
      <c r="D853" t="s">
        <v>33</v>
      </c>
      <c r="F853" t="s">
        <v>17</v>
      </c>
    </row>
    <row r="854" spans="4:6" x14ac:dyDescent="0.2">
      <c r="D854" t="s">
        <v>16</v>
      </c>
      <c r="F854" t="s">
        <v>34</v>
      </c>
    </row>
    <row r="855" spans="4:6" x14ac:dyDescent="0.2">
      <c r="D855" t="s">
        <v>12</v>
      </c>
      <c r="F855" t="s">
        <v>18</v>
      </c>
    </row>
    <row r="856" spans="4:6" x14ac:dyDescent="0.2">
      <c r="D856" t="s">
        <v>29</v>
      </c>
      <c r="F856" t="s">
        <v>24</v>
      </c>
    </row>
    <row r="857" spans="4:6" x14ac:dyDescent="0.2">
      <c r="D857" t="s">
        <v>30</v>
      </c>
      <c r="F857" t="s">
        <v>15</v>
      </c>
    </row>
    <row r="858" spans="4:6" x14ac:dyDescent="0.2">
      <c r="D858" t="s">
        <v>10</v>
      </c>
      <c r="F858" t="s">
        <v>14</v>
      </c>
    </row>
    <row r="859" spans="4:6" x14ac:dyDescent="0.2">
      <c r="D859" t="s">
        <v>19</v>
      </c>
      <c r="F859" t="s">
        <v>32</v>
      </c>
    </row>
    <row r="860" spans="4:6" x14ac:dyDescent="0.2">
      <c r="D860" t="s">
        <v>11</v>
      </c>
      <c r="F860" t="s">
        <v>35</v>
      </c>
    </row>
    <row r="861" spans="4:6" x14ac:dyDescent="0.2">
      <c r="D861" t="s">
        <v>40</v>
      </c>
      <c r="F861" t="s">
        <v>37</v>
      </c>
    </row>
    <row r="862" spans="4:6" x14ac:dyDescent="0.2">
      <c r="D862" t="s">
        <v>31</v>
      </c>
      <c r="F862" t="s">
        <v>38</v>
      </c>
    </row>
    <row r="863" spans="4:6" x14ac:dyDescent="0.2">
      <c r="D863" t="s">
        <v>39</v>
      </c>
      <c r="F863" t="s">
        <v>20</v>
      </c>
    </row>
    <row r="864" spans="4:6" x14ac:dyDescent="0.2">
      <c r="D864" t="s">
        <v>28</v>
      </c>
      <c r="F864" t="s">
        <v>10</v>
      </c>
    </row>
    <row r="865" spans="4:6" x14ac:dyDescent="0.2">
      <c r="D865" t="s">
        <v>18</v>
      </c>
      <c r="F865" t="s">
        <v>23</v>
      </c>
    </row>
    <row r="866" spans="4:6" x14ac:dyDescent="0.2">
      <c r="D866" t="s">
        <v>33</v>
      </c>
      <c r="F866" t="s">
        <v>16</v>
      </c>
    </row>
    <row r="867" spans="4:6" x14ac:dyDescent="0.2">
      <c r="D867" t="s">
        <v>12</v>
      </c>
      <c r="F867" t="s">
        <v>26</v>
      </c>
    </row>
    <row r="868" spans="4:6" x14ac:dyDescent="0.2">
      <c r="D868" t="s">
        <v>34</v>
      </c>
      <c r="F868" t="s">
        <v>17</v>
      </c>
    </row>
    <row r="869" spans="4:6" x14ac:dyDescent="0.2">
      <c r="D869" t="s">
        <v>40</v>
      </c>
      <c r="F869" t="s">
        <v>11</v>
      </c>
    </row>
    <row r="870" spans="4:6" x14ac:dyDescent="0.2">
      <c r="D870" t="s">
        <v>29</v>
      </c>
      <c r="F870" t="s">
        <v>30</v>
      </c>
    </row>
    <row r="871" spans="4:6" x14ac:dyDescent="0.2">
      <c r="D871" t="s">
        <v>24</v>
      </c>
      <c r="F871" t="s">
        <v>36</v>
      </c>
    </row>
    <row r="872" spans="4:6" x14ac:dyDescent="0.2">
      <c r="D872" t="s">
        <v>13</v>
      </c>
      <c r="F872" t="s">
        <v>27</v>
      </c>
    </row>
    <row r="873" spans="4:6" x14ac:dyDescent="0.2">
      <c r="D873" t="s">
        <v>15</v>
      </c>
      <c r="F873" t="s">
        <v>14</v>
      </c>
    </row>
    <row r="874" spans="4:6" x14ac:dyDescent="0.2">
      <c r="D874" t="s">
        <v>28</v>
      </c>
      <c r="F874" t="s">
        <v>35</v>
      </c>
    </row>
    <row r="875" spans="4:6" x14ac:dyDescent="0.2">
      <c r="D875" t="s">
        <v>39</v>
      </c>
      <c r="F875" t="s">
        <v>55</v>
      </c>
    </row>
    <row r="876" spans="4:6" x14ac:dyDescent="0.2">
      <c r="D876" t="s">
        <v>19</v>
      </c>
      <c r="F876" t="s">
        <v>38</v>
      </c>
    </row>
    <row r="877" spans="4:6" x14ac:dyDescent="0.2">
      <c r="D877" t="s">
        <v>32</v>
      </c>
      <c r="F877" t="s">
        <v>20</v>
      </c>
    </row>
    <row r="878" spans="4:6" x14ac:dyDescent="0.2">
      <c r="D878" t="s">
        <v>25</v>
      </c>
      <c r="F878" t="s">
        <v>22</v>
      </c>
    </row>
    <row r="879" spans="4:6" x14ac:dyDescent="0.2">
      <c r="D879" t="s">
        <v>20</v>
      </c>
      <c r="F879" t="s">
        <v>31</v>
      </c>
    </row>
    <row r="880" spans="4:6" x14ac:dyDescent="0.2">
      <c r="D880" t="s">
        <v>13</v>
      </c>
      <c r="F880" t="s">
        <v>25</v>
      </c>
    </row>
    <row r="881" spans="4:6" x14ac:dyDescent="0.2">
      <c r="D881" t="s">
        <v>21</v>
      </c>
      <c r="F881" t="s">
        <v>37</v>
      </c>
    </row>
    <row r="882" spans="4:6" x14ac:dyDescent="0.2">
      <c r="D882" t="s">
        <v>19</v>
      </c>
      <c r="F882" t="s">
        <v>16</v>
      </c>
    </row>
    <row r="883" spans="4:6" x14ac:dyDescent="0.2">
      <c r="D883" t="s">
        <v>33</v>
      </c>
      <c r="F883" t="s">
        <v>10</v>
      </c>
    </row>
    <row r="884" spans="4:6" x14ac:dyDescent="0.2">
      <c r="D884" t="s">
        <v>26</v>
      </c>
      <c r="F884" t="s">
        <v>12</v>
      </c>
    </row>
    <row r="885" spans="4:6" x14ac:dyDescent="0.2">
      <c r="D885" t="s">
        <v>40</v>
      </c>
      <c r="F885" t="s">
        <v>39</v>
      </c>
    </row>
    <row r="886" spans="4:6" x14ac:dyDescent="0.2">
      <c r="D886" t="s">
        <v>23</v>
      </c>
      <c r="F886" t="s">
        <v>11</v>
      </c>
    </row>
    <row r="887" spans="4:6" x14ac:dyDescent="0.2">
      <c r="D887" t="s">
        <v>18</v>
      </c>
      <c r="F887" t="s">
        <v>34</v>
      </c>
    </row>
    <row r="888" spans="4:6" x14ac:dyDescent="0.2">
      <c r="D888" t="s">
        <v>35</v>
      </c>
      <c r="F888" t="s">
        <v>29</v>
      </c>
    </row>
    <row r="889" spans="4:6" x14ac:dyDescent="0.2">
      <c r="D889" t="s">
        <v>36</v>
      </c>
      <c r="F889" t="s">
        <v>14</v>
      </c>
    </row>
    <row r="890" spans="4:6" x14ac:dyDescent="0.2">
      <c r="D890" t="s">
        <v>38</v>
      </c>
      <c r="F890" t="s">
        <v>55</v>
      </c>
    </row>
    <row r="891" spans="4:6" x14ac:dyDescent="0.2">
      <c r="D891" t="s">
        <v>30</v>
      </c>
      <c r="F891" t="s">
        <v>22</v>
      </c>
    </row>
    <row r="892" spans="4:6" x14ac:dyDescent="0.2">
      <c r="D892" t="s">
        <v>32</v>
      </c>
      <c r="F892" t="s">
        <v>31</v>
      </c>
    </row>
    <row r="893" spans="4:6" x14ac:dyDescent="0.2">
      <c r="D893" t="s">
        <v>36</v>
      </c>
      <c r="F893" t="s">
        <v>25</v>
      </c>
    </row>
    <row r="894" spans="4:6" x14ac:dyDescent="0.2">
      <c r="D894" t="s">
        <v>19</v>
      </c>
      <c r="F894" t="s">
        <v>17</v>
      </c>
    </row>
    <row r="895" spans="4:6" x14ac:dyDescent="0.2">
      <c r="D895" t="s">
        <v>28</v>
      </c>
      <c r="F895" t="s">
        <v>24</v>
      </c>
    </row>
    <row r="896" spans="4:6" x14ac:dyDescent="0.2">
      <c r="D896" t="s">
        <v>14</v>
      </c>
      <c r="F896" t="s">
        <v>30</v>
      </c>
    </row>
    <row r="897" spans="4:6" x14ac:dyDescent="0.2">
      <c r="D897" t="s">
        <v>22</v>
      </c>
      <c r="F897" t="s">
        <v>27</v>
      </c>
    </row>
    <row r="898" spans="4:6" x14ac:dyDescent="0.2">
      <c r="D898" t="s">
        <v>23</v>
      </c>
      <c r="F898" t="s">
        <v>37</v>
      </c>
    </row>
    <row r="899" spans="4:6" x14ac:dyDescent="0.2">
      <c r="D899" t="s">
        <v>10</v>
      </c>
      <c r="F899" t="s">
        <v>28</v>
      </c>
    </row>
    <row r="900" spans="4:6" x14ac:dyDescent="0.2">
      <c r="D900" t="s">
        <v>17</v>
      </c>
      <c r="F900" t="s">
        <v>16</v>
      </c>
    </row>
    <row r="901" spans="4:6" x14ac:dyDescent="0.2">
      <c r="D901" t="s">
        <v>33</v>
      </c>
      <c r="F901" t="s">
        <v>12</v>
      </c>
    </row>
    <row r="902" spans="4:6" x14ac:dyDescent="0.2">
      <c r="D902" t="s">
        <v>35</v>
      </c>
      <c r="F902" t="s">
        <v>39</v>
      </c>
    </row>
    <row r="903" spans="4:6" x14ac:dyDescent="0.2">
      <c r="D903" t="s">
        <v>21</v>
      </c>
      <c r="F903" t="s">
        <v>11</v>
      </c>
    </row>
    <row r="904" spans="4:6" x14ac:dyDescent="0.2">
      <c r="D904" t="s">
        <v>32</v>
      </c>
      <c r="F904" t="s">
        <v>13</v>
      </c>
    </row>
    <row r="905" spans="4:6" x14ac:dyDescent="0.2">
      <c r="D905" t="s">
        <v>34</v>
      </c>
      <c r="F905" t="s">
        <v>29</v>
      </c>
    </row>
    <row r="906" spans="4:6" x14ac:dyDescent="0.2">
      <c r="D906" t="s">
        <v>26</v>
      </c>
      <c r="F906" t="s">
        <v>55</v>
      </c>
    </row>
    <row r="907" spans="4:6" x14ac:dyDescent="0.2">
      <c r="D907" t="s">
        <v>38</v>
      </c>
      <c r="F907" t="s">
        <v>20</v>
      </c>
    </row>
    <row r="908" spans="4:6" x14ac:dyDescent="0.2">
      <c r="D908" t="s">
        <v>18</v>
      </c>
      <c r="F908" t="s">
        <v>40</v>
      </c>
    </row>
    <row r="909" spans="4:6" x14ac:dyDescent="0.2">
      <c r="D909" t="s">
        <v>14</v>
      </c>
      <c r="F909" t="s">
        <v>23</v>
      </c>
    </row>
    <row r="910" spans="4:6" x14ac:dyDescent="0.2">
      <c r="D910" t="s">
        <v>30</v>
      </c>
      <c r="F910" t="s">
        <v>24</v>
      </c>
    </row>
    <row r="911" spans="4:6" x14ac:dyDescent="0.2">
      <c r="D911" t="s">
        <v>25</v>
      </c>
      <c r="F911" t="s">
        <v>15</v>
      </c>
    </row>
    <row r="912" spans="4:6" x14ac:dyDescent="0.2">
      <c r="D912" t="s">
        <v>36</v>
      </c>
      <c r="F912" t="s">
        <v>27</v>
      </c>
    </row>
    <row r="913" spans="4:6" x14ac:dyDescent="0.2">
      <c r="D913" t="s">
        <v>11</v>
      </c>
      <c r="F913" t="s">
        <v>37</v>
      </c>
    </row>
    <row r="914" spans="4:6" x14ac:dyDescent="0.2">
      <c r="D914" t="s">
        <v>13</v>
      </c>
      <c r="F914" t="s">
        <v>20</v>
      </c>
    </row>
    <row r="915" spans="4:6" x14ac:dyDescent="0.2">
      <c r="D915" t="s">
        <v>29</v>
      </c>
      <c r="F915" t="s">
        <v>22</v>
      </c>
    </row>
    <row r="916" spans="4:6" x14ac:dyDescent="0.2">
      <c r="D916" t="s">
        <v>17</v>
      </c>
      <c r="F916" t="s">
        <v>31</v>
      </c>
    </row>
    <row r="917" spans="4:6" x14ac:dyDescent="0.2">
      <c r="D917" t="s">
        <v>32</v>
      </c>
      <c r="F917" t="s">
        <v>39</v>
      </c>
    </row>
    <row r="918" spans="4:6" x14ac:dyDescent="0.2">
      <c r="D918" t="s">
        <v>20</v>
      </c>
      <c r="F918" t="s">
        <v>13</v>
      </c>
    </row>
    <row r="919" spans="4:6" x14ac:dyDescent="0.2">
      <c r="D919" t="s">
        <v>23</v>
      </c>
      <c r="F919" t="s">
        <v>24</v>
      </c>
    </row>
    <row r="920" spans="4:6" x14ac:dyDescent="0.2">
      <c r="D920" t="s">
        <v>19</v>
      </c>
      <c r="F920" t="s">
        <v>37</v>
      </c>
    </row>
    <row r="921" spans="4:6" x14ac:dyDescent="0.2">
      <c r="D921" t="s">
        <v>12</v>
      </c>
      <c r="F921" t="s">
        <v>55</v>
      </c>
    </row>
    <row r="922" spans="4:6" x14ac:dyDescent="0.2">
      <c r="D922" t="s">
        <v>40</v>
      </c>
      <c r="F922" t="s">
        <v>38</v>
      </c>
    </row>
    <row r="923" spans="4:6" x14ac:dyDescent="0.2">
      <c r="D923" t="s">
        <v>27</v>
      </c>
      <c r="F923" t="s">
        <v>22</v>
      </c>
    </row>
    <row r="924" spans="4:6" x14ac:dyDescent="0.2">
      <c r="D924" t="s">
        <v>28</v>
      </c>
      <c r="F924" t="s">
        <v>21</v>
      </c>
    </row>
    <row r="925" spans="4:6" x14ac:dyDescent="0.2">
      <c r="D925" t="s">
        <v>37</v>
      </c>
      <c r="F925" t="s">
        <v>25</v>
      </c>
    </row>
    <row r="926" spans="4:6" x14ac:dyDescent="0.2">
      <c r="D926" t="s">
        <v>34</v>
      </c>
      <c r="F926" t="s">
        <v>12</v>
      </c>
    </row>
    <row r="927" spans="4:6" x14ac:dyDescent="0.2">
      <c r="D927" t="s">
        <v>19</v>
      </c>
      <c r="F927" t="s">
        <v>11</v>
      </c>
    </row>
    <row r="928" spans="4:6" x14ac:dyDescent="0.2">
      <c r="D928" t="s">
        <v>17</v>
      </c>
      <c r="F928" t="s">
        <v>13</v>
      </c>
    </row>
    <row r="929" spans="4:6" x14ac:dyDescent="0.2">
      <c r="D929" t="s">
        <v>30</v>
      </c>
      <c r="F929" t="s">
        <v>18</v>
      </c>
    </row>
    <row r="930" spans="4:6" x14ac:dyDescent="0.2">
      <c r="D930" t="s">
        <v>10</v>
      </c>
      <c r="F930" t="s">
        <v>29</v>
      </c>
    </row>
    <row r="931" spans="4:6" x14ac:dyDescent="0.2">
      <c r="D931" t="s">
        <v>27</v>
      </c>
      <c r="F931" t="s">
        <v>15</v>
      </c>
    </row>
    <row r="932" spans="4:6" x14ac:dyDescent="0.2">
      <c r="D932" t="s">
        <v>26</v>
      </c>
      <c r="F932" t="s">
        <v>36</v>
      </c>
    </row>
    <row r="933" spans="4:6" x14ac:dyDescent="0.2">
      <c r="D933" t="s">
        <v>24</v>
      </c>
      <c r="F933" t="s">
        <v>14</v>
      </c>
    </row>
    <row r="934" spans="4:6" x14ac:dyDescent="0.2">
      <c r="D934" t="s">
        <v>16</v>
      </c>
      <c r="F934" t="s">
        <v>33</v>
      </c>
    </row>
    <row r="935" spans="4:6" x14ac:dyDescent="0.2">
      <c r="D935" t="s">
        <v>32</v>
      </c>
      <c r="F935" t="s">
        <v>35</v>
      </c>
    </row>
    <row r="936" spans="4:6" x14ac:dyDescent="0.2">
      <c r="D936" t="s">
        <v>40</v>
      </c>
      <c r="F936" t="s">
        <v>31</v>
      </c>
    </row>
    <row r="937" spans="4:6" x14ac:dyDescent="0.2">
      <c r="D937" t="s">
        <v>23</v>
      </c>
      <c r="F937" t="s">
        <v>11</v>
      </c>
    </row>
    <row r="938" spans="4:6" x14ac:dyDescent="0.2">
      <c r="D938" t="s">
        <v>34</v>
      </c>
      <c r="F938" t="s">
        <v>55</v>
      </c>
    </row>
    <row r="939" spans="4:6" x14ac:dyDescent="0.2">
      <c r="D939" t="s">
        <v>20</v>
      </c>
      <c r="F939" t="s">
        <v>22</v>
      </c>
    </row>
    <row r="940" spans="4:6" x14ac:dyDescent="0.2">
      <c r="D940" t="s">
        <v>26</v>
      </c>
      <c r="F940" t="s">
        <v>25</v>
      </c>
    </row>
    <row r="941" spans="4:6" x14ac:dyDescent="0.2">
      <c r="D941" t="s">
        <v>30</v>
      </c>
      <c r="F941" t="s">
        <v>28</v>
      </c>
    </row>
    <row r="942" spans="4:6" x14ac:dyDescent="0.2">
      <c r="D942" t="s">
        <v>10</v>
      </c>
      <c r="F942" t="s">
        <v>12</v>
      </c>
    </row>
    <row r="943" spans="4:6" x14ac:dyDescent="0.2">
      <c r="D943" t="s">
        <v>29</v>
      </c>
      <c r="F943" t="s">
        <v>39</v>
      </c>
    </row>
    <row r="944" spans="4:6" x14ac:dyDescent="0.2">
      <c r="D944" t="s">
        <v>16</v>
      </c>
      <c r="F944" t="s">
        <v>13</v>
      </c>
    </row>
    <row r="945" spans="4:6" x14ac:dyDescent="0.2">
      <c r="D945" t="s">
        <v>22</v>
      </c>
      <c r="F945" t="s">
        <v>18</v>
      </c>
    </row>
    <row r="946" spans="4:6" x14ac:dyDescent="0.2">
      <c r="D946" t="s">
        <v>14</v>
      </c>
      <c r="F946" t="s">
        <v>15</v>
      </c>
    </row>
    <row r="947" spans="4:6" x14ac:dyDescent="0.2">
      <c r="D947" t="s">
        <v>21</v>
      </c>
      <c r="F947" t="s">
        <v>27</v>
      </c>
    </row>
    <row r="948" spans="4:6" x14ac:dyDescent="0.2">
      <c r="D948" t="s">
        <v>38</v>
      </c>
      <c r="F948" t="s">
        <v>32</v>
      </c>
    </row>
    <row r="949" spans="4:6" x14ac:dyDescent="0.2">
      <c r="D949" t="s">
        <v>17</v>
      </c>
      <c r="F949" t="s">
        <v>33</v>
      </c>
    </row>
    <row r="950" spans="4:6" x14ac:dyDescent="0.2">
      <c r="D950" t="s">
        <v>24</v>
      </c>
      <c r="F950" t="s">
        <v>35</v>
      </c>
    </row>
    <row r="951" spans="4:6" x14ac:dyDescent="0.2">
      <c r="D951" t="s">
        <v>23</v>
      </c>
      <c r="F951" t="s">
        <v>37</v>
      </c>
    </row>
    <row r="952" spans="4:6" x14ac:dyDescent="0.2">
      <c r="D952" t="s">
        <v>36</v>
      </c>
      <c r="F952" t="s">
        <v>19</v>
      </c>
    </row>
    <row r="953" spans="4:6" x14ac:dyDescent="0.2">
      <c r="D953" t="s">
        <v>16</v>
      </c>
      <c r="F953" t="s">
        <v>31</v>
      </c>
    </row>
    <row r="954" spans="4:6" x14ac:dyDescent="0.2">
      <c r="D954" t="s">
        <v>35</v>
      </c>
      <c r="F954" t="s">
        <v>34</v>
      </c>
    </row>
    <row r="955" spans="4:6" x14ac:dyDescent="0.2">
      <c r="D955" t="s">
        <v>11</v>
      </c>
      <c r="F955" t="s">
        <v>30</v>
      </c>
    </row>
    <row r="956" spans="4:6" x14ac:dyDescent="0.2">
      <c r="D956" t="s">
        <v>20</v>
      </c>
      <c r="F956" t="s">
        <v>14</v>
      </c>
    </row>
    <row r="957" spans="4:6" x14ac:dyDescent="0.2">
      <c r="D957" t="s">
        <v>40</v>
      </c>
      <c r="F957" t="s">
        <v>33</v>
      </c>
    </row>
    <row r="958" spans="4:6" x14ac:dyDescent="0.2">
      <c r="D958" t="s">
        <v>10</v>
      </c>
      <c r="F958" t="s">
        <v>55</v>
      </c>
    </row>
    <row r="959" spans="4:6" x14ac:dyDescent="0.2">
      <c r="D959" t="s">
        <v>12</v>
      </c>
      <c r="F959" t="s">
        <v>13</v>
      </c>
    </row>
    <row r="960" spans="4:6" x14ac:dyDescent="0.2">
      <c r="D960" t="s">
        <v>26</v>
      </c>
      <c r="F960" t="s">
        <v>29</v>
      </c>
    </row>
    <row r="961" spans="4:6" x14ac:dyDescent="0.2">
      <c r="D961" t="s">
        <v>28</v>
      </c>
      <c r="F961" t="s">
        <v>15</v>
      </c>
    </row>
    <row r="962" spans="4:6" x14ac:dyDescent="0.2">
      <c r="D962" t="s">
        <v>25</v>
      </c>
      <c r="F962" t="s">
        <v>32</v>
      </c>
    </row>
    <row r="963" spans="4:6" x14ac:dyDescent="0.2">
      <c r="D963" t="s">
        <v>27</v>
      </c>
      <c r="F963" t="s">
        <v>19</v>
      </c>
    </row>
    <row r="964" spans="4:6" x14ac:dyDescent="0.2">
      <c r="D964" t="s">
        <v>39</v>
      </c>
      <c r="F964" t="s">
        <v>38</v>
      </c>
    </row>
    <row r="965" spans="4:6" x14ac:dyDescent="0.2">
      <c r="D965" t="s">
        <v>12</v>
      </c>
      <c r="F965" t="s">
        <v>31</v>
      </c>
    </row>
    <row r="966" spans="4:6" x14ac:dyDescent="0.2">
      <c r="D966" t="s">
        <v>14</v>
      </c>
      <c r="F966" t="s">
        <v>21</v>
      </c>
    </row>
    <row r="967" spans="4:6" x14ac:dyDescent="0.2">
      <c r="D967" t="s">
        <v>20</v>
      </c>
      <c r="F967" t="s">
        <v>23</v>
      </c>
    </row>
    <row r="968" spans="4:6" x14ac:dyDescent="0.2">
      <c r="D968" t="s">
        <v>29</v>
      </c>
      <c r="F968" t="s">
        <v>28</v>
      </c>
    </row>
    <row r="969" spans="4:6" x14ac:dyDescent="0.2">
      <c r="D969" t="s">
        <v>39</v>
      </c>
      <c r="F969" t="s">
        <v>16</v>
      </c>
    </row>
    <row r="970" spans="4:6" x14ac:dyDescent="0.2">
      <c r="D970" t="s">
        <v>36</v>
      </c>
      <c r="F970" t="s">
        <v>17</v>
      </c>
    </row>
    <row r="971" spans="4:6" x14ac:dyDescent="0.2">
      <c r="D971" t="s">
        <v>37</v>
      </c>
      <c r="F971" t="s">
        <v>34</v>
      </c>
    </row>
    <row r="972" spans="4:6" x14ac:dyDescent="0.2">
      <c r="D972" t="s">
        <v>11</v>
      </c>
      <c r="F972" t="s">
        <v>24</v>
      </c>
    </row>
    <row r="973" spans="4:6" x14ac:dyDescent="0.2">
      <c r="D973" t="s">
        <v>18</v>
      </c>
      <c r="F973" t="s">
        <v>33</v>
      </c>
    </row>
    <row r="974" spans="4:6" x14ac:dyDescent="0.2">
      <c r="D974" t="s">
        <v>10</v>
      </c>
      <c r="F974" t="s">
        <v>40</v>
      </c>
    </row>
    <row r="975" spans="4:6" x14ac:dyDescent="0.2">
      <c r="D975" t="s">
        <v>55</v>
      </c>
      <c r="F975" t="s">
        <v>22</v>
      </c>
    </row>
    <row r="976" spans="4:6" x14ac:dyDescent="0.2">
      <c r="D976" t="s">
        <v>30</v>
      </c>
      <c r="F976" t="s">
        <v>31</v>
      </c>
    </row>
    <row r="977" spans="4:6" x14ac:dyDescent="0.2">
      <c r="D977" t="s">
        <v>20</v>
      </c>
      <c r="F977" t="s">
        <v>26</v>
      </c>
    </row>
    <row r="978" spans="4:6" x14ac:dyDescent="0.2">
      <c r="D978" t="s">
        <v>19</v>
      </c>
      <c r="F978" t="s">
        <v>24</v>
      </c>
    </row>
    <row r="979" spans="4:6" x14ac:dyDescent="0.2">
      <c r="D979" t="s">
        <v>35</v>
      </c>
      <c r="F979" t="s">
        <v>32</v>
      </c>
    </row>
    <row r="980" spans="4:6" x14ac:dyDescent="0.2">
      <c r="D980" t="s">
        <v>25</v>
      </c>
      <c r="F980" t="s">
        <v>38</v>
      </c>
    </row>
    <row r="981" spans="4:6" x14ac:dyDescent="0.2">
      <c r="D981" t="s">
        <v>11</v>
      </c>
      <c r="F981" t="s">
        <v>28</v>
      </c>
    </row>
    <row r="982" spans="4:6" x14ac:dyDescent="0.2">
      <c r="D982" t="s">
        <v>36</v>
      </c>
      <c r="F982" t="s">
        <v>16</v>
      </c>
    </row>
    <row r="983" spans="4:6" x14ac:dyDescent="0.2">
      <c r="D983" t="s">
        <v>30</v>
      </c>
      <c r="F983" t="s">
        <v>13</v>
      </c>
    </row>
    <row r="984" spans="4:6" x14ac:dyDescent="0.2">
      <c r="D984" t="s">
        <v>21</v>
      </c>
      <c r="F984" t="s">
        <v>29</v>
      </c>
    </row>
    <row r="985" spans="4:6" x14ac:dyDescent="0.2">
      <c r="D985" t="s">
        <v>19</v>
      </c>
      <c r="F985" t="s">
        <v>15</v>
      </c>
    </row>
    <row r="986" spans="4:6" x14ac:dyDescent="0.2">
      <c r="D986" t="s">
        <v>55</v>
      </c>
      <c r="F986" t="s">
        <v>27</v>
      </c>
    </row>
    <row r="987" spans="4:6" x14ac:dyDescent="0.2">
      <c r="D987" t="s">
        <v>23</v>
      </c>
      <c r="F987" t="s">
        <v>14</v>
      </c>
    </row>
    <row r="988" spans="4:6" x14ac:dyDescent="0.2">
      <c r="D988" t="s">
        <v>37</v>
      </c>
      <c r="F988" t="s">
        <v>40</v>
      </c>
    </row>
    <row r="989" spans="4:6" x14ac:dyDescent="0.2">
      <c r="D989" t="s">
        <v>18</v>
      </c>
      <c r="F989" t="s">
        <v>31</v>
      </c>
    </row>
    <row r="990" spans="4:6" x14ac:dyDescent="0.2">
      <c r="D990" t="s">
        <v>38</v>
      </c>
      <c r="F990" t="s">
        <v>10</v>
      </c>
    </row>
    <row r="991" spans="4:6" x14ac:dyDescent="0.2">
      <c r="D991" t="s">
        <v>12</v>
      </c>
      <c r="F991" t="s">
        <v>39</v>
      </c>
    </row>
    <row r="992" spans="4:6" x14ac:dyDescent="0.2">
      <c r="D992" t="s">
        <v>11</v>
      </c>
      <c r="F992" t="s">
        <v>26</v>
      </c>
    </row>
    <row r="993" spans="4:6" x14ac:dyDescent="0.2">
      <c r="D993" t="s">
        <v>25</v>
      </c>
      <c r="F993" t="s">
        <v>17</v>
      </c>
    </row>
    <row r="994" spans="4:6" x14ac:dyDescent="0.2">
      <c r="D994" t="s">
        <v>35</v>
      </c>
      <c r="F994" t="s">
        <v>33</v>
      </c>
    </row>
    <row r="995" spans="4:6" x14ac:dyDescent="0.2">
      <c r="D995" t="s">
        <v>34</v>
      </c>
      <c r="F995" t="s">
        <v>20</v>
      </c>
    </row>
    <row r="996" spans="4:6" x14ac:dyDescent="0.2">
      <c r="D996" t="s">
        <v>22</v>
      </c>
      <c r="F996" t="s">
        <v>21</v>
      </c>
    </row>
    <row r="997" spans="4:6" x14ac:dyDescent="0.2">
      <c r="D997" t="s">
        <v>29</v>
      </c>
      <c r="F997" t="s">
        <v>23</v>
      </c>
    </row>
    <row r="998" spans="4:6" x14ac:dyDescent="0.2">
      <c r="D998" t="s">
        <v>55</v>
      </c>
      <c r="F998" t="s">
        <v>28</v>
      </c>
    </row>
    <row r="999" spans="4:6" x14ac:dyDescent="0.2">
      <c r="D999" t="s">
        <v>25</v>
      </c>
      <c r="F999" t="s">
        <v>16</v>
      </c>
    </row>
    <row r="1000" spans="4:6" x14ac:dyDescent="0.2">
      <c r="D1000" t="s">
        <v>18</v>
      </c>
      <c r="F1000" t="s">
        <v>13</v>
      </c>
    </row>
    <row r="1001" spans="4:6" x14ac:dyDescent="0.2">
      <c r="D1001" t="s">
        <v>15</v>
      </c>
      <c r="F1001" t="s">
        <v>24</v>
      </c>
    </row>
    <row r="1002" spans="4:6" x14ac:dyDescent="0.2">
      <c r="D1002" t="s">
        <v>27</v>
      </c>
      <c r="F1002" t="s">
        <v>14</v>
      </c>
    </row>
    <row r="1003" spans="4:6" x14ac:dyDescent="0.2">
      <c r="D1003" t="s">
        <v>36</v>
      </c>
      <c r="F1003" t="s">
        <v>32</v>
      </c>
    </row>
    <row r="1004" spans="4:6" x14ac:dyDescent="0.2">
      <c r="D1004" t="s">
        <v>30</v>
      </c>
      <c r="F1004" t="s">
        <v>33</v>
      </c>
    </row>
    <row r="1005" spans="4:6" x14ac:dyDescent="0.2">
      <c r="D1005" t="s">
        <v>37</v>
      </c>
      <c r="F1005" t="s">
        <v>19</v>
      </c>
    </row>
    <row r="1006" spans="4:6" x14ac:dyDescent="0.2">
      <c r="D1006" t="s">
        <v>38</v>
      </c>
      <c r="F1006" t="s">
        <v>40</v>
      </c>
    </row>
    <row r="1007" spans="4:6" x14ac:dyDescent="0.2">
      <c r="D1007" t="s">
        <v>35</v>
      </c>
      <c r="F1007" t="s">
        <v>31</v>
      </c>
    </row>
    <row r="1008" spans="4:6" x14ac:dyDescent="0.2">
      <c r="D1008" t="s">
        <v>37</v>
      </c>
      <c r="F1008" t="s">
        <v>23</v>
      </c>
    </row>
    <row r="1009" spans="4:6" x14ac:dyDescent="0.2">
      <c r="D1009" t="s">
        <v>34</v>
      </c>
      <c r="F1009" t="s">
        <v>12</v>
      </c>
    </row>
    <row r="1010" spans="4:6" x14ac:dyDescent="0.2">
      <c r="D1010" t="s">
        <v>10</v>
      </c>
      <c r="F1010" t="s">
        <v>39</v>
      </c>
    </row>
    <row r="1011" spans="4:6" x14ac:dyDescent="0.2">
      <c r="D1011" t="s">
        <v>26</v>
      </c>
      <c r="F1011" t="s">
        <v>24</v>
      </c>
    </row>
    <row r="1012" spans="4:6" x14ac:dyDescent="0.2">
      <c r="D1012" t="s">
        <v>21</v>
      </c>
      <c r="F1012" t="s">
        <v>14</v>
      </c>
    </row>
    <row r="1013" spans="4:6" x14ac:dyDescent="0.2">
      <c r="D1013" t="s">
        <v>17</v>
      </c>
      <c r="F1013" t="s">
        <v>20</v>
      </c>
    </row>
    <row r="1014" spans="4:6" x14ac:dyDescent="0.2">
      <c r="D1014" t="s">
        <v>55</v>
      </c>
      <c r="F1014" t="s">
        <v>10</v>
      </c>
    </row>
    <row r="1015" spans="4:6" x14ac:dyDescent="0.2">
      <c r="D1015" t="s">
        <v>15</v>
      </c>
      <c r="F1015" t="s">
        <v>27</v>
      </c>
    </row>
    <row r="1016" spans="4:6" x14ac:dyDescent="0.2">
      <c r="D1016" t="s">
        <v>36</v>
      </c>
      <c r="F1016" t="s">
        <v>38</v>
      </c>
    </row>
    <row r="1017" spans="4:6" x14ac:dyDescent="0.2">
      <c r="D1017" t="s">
        <v>16</v>
      </c>
      <c r="F1017" t="s">
        <v>22</v>
      </c>
    </row>
    <row r="1018" spans="4:6" x14ac:dyDescent="0.2">
      <c r="D1018" t="s">
        <v>13</v>
      </c>
      <c r="F1018" t="s">
        <v>21</v>
      </c>
    </row>
    <row r="1019" spans="4:6" x14ac:dyDescent="0.2">
      <c r="D1019" t="s">
        <v>33</v>
      </c>
      <c r="F1019" t="s">
        <v>23</v>
      </c>
    </row>
    <row r="1020" spans="4:6" x14ac:dyDescent="0.2">
      <c r="D1020" t="s">
        <v>14</v>
      </c>
      <c r="F1020" t="s">
        <v>25</v>
      </c>
    </row>
    <row r="1021" spans="4:6" x14ac:dyDescent="0.2">
      <c r="D1021" t="s">
        <v>17</v>
      </c>
      <c r="F1021" t="s">
        <v>12</v>
      </c>
    </row>
    <row r="1022" spans="4:6" x14ac:dyDescent="0.2">
      <c r="D1022" t="s">
        <v>20</v>
      </c>
      <c r="F1022" t="s">
        <v>39</v>
      </c>
    </row>
    <row r="1023" spans="4:6" x14ac:dyDescent="0.2">
      <c r="D1023" t="s">
        <v>26</v>
      </c>
      <c r="F1023" t="s">
        <v>11</v>
      </c>
    </row>
    <row r="1024" spans="4:6" x14ac:dyDescent="0.2">
      <c r="D1024" t="s">
        <v>55</v>
      </c>
      <c r="F1024" t="s">
        <v>34</v>
      </c>
    </row>
    <row r="1025" spans="4:6" x14ac:dyDescent="0.2">
      <c r="D1025" t="s">
        <v>19</v>
      </c>
      <c r="F1025" t="s">
        <v>18</v>
      </c>
    </row>
    <row r="1026" spans="4:6" x14ac:dyDescent="0.2">
      <c r="D1026" t="s">
        <v>16</v>
      </c>
      <c r="F1026" t="s">
        <v>15</v>
      </c>
    </row>
    <row r="1027" spans="4:6" x14ac:dyDescent="0.2">
      <c r="D1027" t="s">
        <v>29</v>
      </c>
      <c r="F1027" t="s">
        <v>32</v>
      </c>
    </row>
    <row r="1028" spans="4:6" x14ac:dyDescent="0.2">
      <c r="D1028" t="s">
        <v>30</v>
      </c>
      <c r="F1028" t="s">
        <v>35</v>
      </c>
    </row>
    <row r="1029" spans="4:6" x14ac:dyDescent="0.2">
      <c r="D1029" t="s">
        <v>28</v>
      </c>
      <c r="F1029" t="s">
        <v>37</v>
      </c>
    </row>
    <row r="1030" spans="4:6" x14ac:dyDescent="0.2">
      <c r="D1030" t="s">
        <v>31</v>
      </c>
      <c r="F1030" t="s">
        <v>40</v>
      </c>
    </row>
    <row r="1031" spans="4:6" x14ac:dyDescent="0.2">
      <c r="D1031" t="s">
        <v>18</v>
      </c>
      <c r="F1031" t="s">
        <v>36</v>
      </c>
    </row>
    <row r="1032" spans="4:6" x14ac:dyDescent="0.2">
      <c r="D1032" t="s">
        <v>22</v>
      </c>
      <c r="F1032" t="s">
        <v>27</v>
      </c>
    </row>
    <row r="1033" spans="4:6" x14ac:dyDescent="0.2">
      <c r="D1033" t="s">
        <v>33</v>
      </c>
      <c r="F1033" t="s">
        <v>21</v>
      </c>
    </row>
    <row r="1034" spans="4:6" x14ac:dyDescent="0.2">
      <c r="D1034" t="s">
        <v>22</v>
      </c>
      <c r="F1034" t="s">
        <v>23</v>
      </c>
    </row>
    <row r="1035" spans="4:6" x14ac:dyDescent="0.2">
      <c r="D1035" t="s">
        <v>35</v>
      </c>
      <c r="F1035" t="s">
        <v>25</v>
      </c>
    </row>
    <row r="1036" spans="4:6" x14ac:dyDescent="0.2">
      <c r="D1036" t="s">
        <v>17</v>
      </c>
      <c r="F1036" t="s">
        <v>39</v>
      </c>
    </row>
    <row r="1037" spans="4:6" x14ac:dyDescent="0.2">
      <c r="D1037" t="s">
        <v>28</v>
      </c>
      <c r="F1037" t="s">
        <v>11</v>
      </c>
    </row>
    <row r="1038" spans="4:6" x14ac:dyDescent="0.2">
      <c r="D1038" t="s">
        <v>27</v>
      </c>
      <c r="F1038" t="s">
        <v>34</v>
      </c>
    </row>
    <row r="1039" spans="4:6" x14ac:dyDescent="0.2">
      <c r="D1039" t="s">
        <v>16</v>
      </c>
      <c r="F1039" t="s">
        <v>24</v>
      </c>
    </row>
    <row r="1040" spans="4:6" x14ac:dyDescent="0.2">
      <c r="D1040" t="s">
        <v>12</v>
      </c>
      <c r="F1040" t="s">
        <v>32</v>
      </c>
    </row>
    <row r="1041" spans="4:6" x14ac:dyDescent="0.2">
      <c r="D1041" t="s">
        <v>26</v>
      </c>
      <c r="F1041" t="s">
        <v>37</v>
      </c>
    </row>
    <row r="1042" spans="4:6" x14ac:dyDescent="0.2">
      <c r="D1042" t="s">
        <v>31</v>
      </c>
      <c r="F1042" t="s">
        <v>19</v>
      </c>
    </row>
    <row r="1043" spans="4:6" x14ac:dyDescent="0.2">
      <c r="D1043" t="s">
        <v>10</v>
      </c>
      <c r="F1043" t="s">
        <v>55</v>
      </c>
    </row>
    <row r="1044" spans="4:6" x14ac:dyDescent="0.2">
      <c r="D1044" t="s">
        <v>29</v>
      </c>
      <c r="F1044" t="s">
        <v>38</v>
      </c>
    </row>
    <row r="1045" spans="4:6" x14ac:dyDescent="0.2">
      <c r="D1045" t="s">
        <v>14</v>
      </c>
      <c r="F1045" t="s">
        <v>20</v>
      </c>
    </row>
    <row r="1046" spans="4:6" x14ac:dyDescent="0.2">
      <c r="D1046" t="s">
        <v>15</v>
      </c>
      <c r="F1046" t="s">
        <v>40</v>
      </c>
    </row>
    <row r="1047" spans="4:6" x14ac:dyDescent="0.2">
      <c r="D1047" t="s">
        <v>13</v>
      </c>
      <c r="F1047" t="s">
        <v>30</v>
      </c>
    </row>
    <row r="1048" spans="4:6" x14ac:dyDescent="0.2">
      <c r="D1048" t="s">
        <v>17</v>
      </c>
      <c r="F1048" t="s">
        <v>35</v>
      </c>
    </row>
    <row r="1049" spans="4:6" x14ac:dyDescent="0.2">
      <c r="D1049" t="s">
        <v>19</v>
      </c>
      <c r="F1049" t="s">
        <v>23</v>
      </c>
    </row>
    <row r="1050" spans="4:6" x14ac:dyDescent="0.2">
      <c r="D1050" t="s">
        <v>26</v>
      </c>
      <c r="F1050" t="s">
        <v>39</v>
      </c>
    </row>
    <row r="1051" spans="4:6" x14ac:dyDescent="0.2">
      <c r="D1051" t="s">
        <v>15</v>
      </c>
      <c r="F1051" t="s">
        <v>34</v>
      </c>
    </row>
    <row r="1052" spans="4:6" x14ac:dyDescent="0.2">
      <c r="D1052" t="s">
        <v>33</v>
      </c>
      <c r="F1052" t="s">
        <v>18</v>
      </c>
    </row>
    <row r="1053" spans="4:6" x14ac:dyDescent="0.2">
      <c r="D1053" t="s">
        <v>13</v>
      </c>
      <c r="F1053" t="s">
        <v>24</v>
      </c>
    </row>
    <row r="1054" spans="4:6" x14ac:dyDescent="0.2">
      <c r="D1054" t="s">
        <v>16</v>
      </c>
      <c r="F1054" t="s">
        <v>30</v>
      </c>
    </row>
    <row r="1055" spans="4:6" x14ac:dyDescent="0.2">
      <c r="D1055" t="s">
        <v>31</v>
      </c>
      <c r="F1055" t="s">
        <v>36</v>
      </c>
    </row>
    <row r="1056" spans="4:6" x14ac:dyDescent="0.2">
      <c r="D1056" t="s">
        <v>28</v>
      </c>
      <c r="F1056" t="s">
        <v>27</v>
      </c>
    </row>
    <row r="1057" spans="4:6" x14ac:dyDescent="0.2">
      <c r="D1057" t="s">
        <v>25</v>
      </c>
      <c r="F1057" t="s">
        <v>37</v>
      </c>
    </row>
    <row r="1058" spans="4:6" x14ac:dyDescent="0.2">
      <c r="D1058" t="s">
        <v>14</v>
      </c>
      <c r="F1058" t="s">
        <v>55</v>
      </c>
    </row>
    <row r="1059" spans="4:6" x14ac:dyDescent="0.2">
      <c r="D1059" t="s">
        <v>32</v>
      </c>
      <c r="F1059" t="s">
        <v>38</v>
      </c>
    </row>
    <row r="1060" spans="4:6" x14ac:dyDescent="0.2">
      <c r="D1060" t="s">
        <v>10</v>
      </c>
      <c r="F1060" t="s">
        <v>20</v>
      </c>
    </row>
    <row r="1061" spans="4:6" x14ac:dyDescent="0.2">
      <c r="D1061" t="s">
        <v>12</v>
      </c>
      <c r="F1061" t="s">
        <v>40</v>
      </c>
    </row>
    <row r="1062" spans="4:6" x14ac:dyDescent="0.2">
      <c r="D1062" t="s">
        <v>21</v>
      </c>
      <c r="F1062" t="s">
        <v>22</v>
      </c>
    </row>
    <row r="1063" spans="4:6" x14ac:dyDescent="0.2">
      <c r="D1063" t="s">
        <v>29</v>
      </c>
      <c r="F1063" t="s">
        <v>17</v>
      </c>
    </row>
    <row r="1064" spans="4:6" x14ac:dyDescent="0.2">
      <c r="D1064" t="s">
        <v>19</v>
      </c>
      <c r="F1064" t="s">
        <v>34</v>
      </c>
    </row>
    <row r="1065" spans="4:6" x14ac:dyDescent="0.2">
      <c r="D1065" t="s">
        <v>31</v>
      </c>
      <c r="F1065" t="s">
        <v>18</v>
      </c>
    </row>
    <row r="1066" spans="4:6" x14ac:dyDescent="0.2">
      <c r="D1066" t="s">
        <v>33</v>
      </c>
      <c r="F1066" t="s">
        <v>36</v>
      </c>
    </row>
    <row r="1067" spans="4:6" x14ac:dyDescent="0.2">
      <c r="D1067" t="s">
        <v>11</v>
      </c>
      <c r="F1067" t="s">
        <v>32</v>
      </c>
    </row>
    <row r="1068" spans="4:6" x14ac:dyDescent="0.2">
      <c r="D1068" t="s">
        <v>35</v>
      </c>
      <c r="F1068" t="s">
        <v>40</v>
      </c>
    </row>
    <row r="1069" spans="4:6" x14ac:dyDescent="0.2">
      <c r="D1069" t="s">
        <v>14</v>
      </c>
      <c r="F1069" t="s">
        <v>12</v>
      </c>
    </row>
    <row r="1070" spans="4:6" x14ac:dyDescent="0.2">
      <c r="D1070" t="s">
        <v>55</v>
      </c>
      <c r="F1070" t="s">
        <v>39</v>
      </c>
    </row>
    <row r="1071" spans="4:6" x14ac:dyDescent="0.2">
      <c r="D1071" t="s">
        <v>16</v>
      </c>
      <c r="F1071" t="s">
        <v>26</v>
      </c>
    </row>
    <row r="1072" spans="4:6" x14ac:dyDescent="0.2">
      <c r="D1072" t="s">
        <v>21</v>
      </c>
      <c r="F1072" t="s">
        <v>24</v>
      </c>
    </row>
    <row r="1073" spans="4:6" x14ac:dyDescent="0.2">
      <c r="D1073" t="s">
        <v>13</v>
      </c>
      <c r="F1073" t="s">
        <v>15</v>
      </c>
    </row>
    <row r="1074" spans="4:6" x14ac:dyDescent="0.2">
      <c r="D1074" t="s">
        <v>25</v>
      </c>
      <c r="F1074" t="s">
        <v>28</v>
      </c>
    </row>
    <row r="1075" spans="4:6" x14ac:dyDescent="0.2">
      <c r="D1075" t="s">
        <v>34</v>
      </c>
      <c r="F1075" t="s">
        <v>10</v>
      </c>
    </row>
    <row r="1076" spans="4:6" x14ac:dyDescent="0.2">
      <c r="D1076" t="s">
        <v>33</v>
      </c>
      <c r="F1076" t="s">
        <v>17</v>
      </c>
    </row>
    <row r="1077" spans="4:6" x14ac:dyDescent="0.2">
      <c r="D1077" t="s">
        <v>21</v>
      </c>
      <c r="F1077" t="s">
        <v>18</v>
      </c>
    </row>
    <row r="1078" spans="4:6" x14ac:dyDescent="0.2">
      <c r="D1078" t="s">
        <v>37</v>
      </c>
      <c r="F1078" t="s">
        <v>32</v>
      </c>
    </row>
    <row r="1079" spans="4:6" x14ac:dyDescent="0.2">
      <c r="D1079" t="s">
        <v>30</v>
      </c>
      <c r="F1079" t="s">
        <v>19</v>
      </c>
    </row>
    <row r="1080" spans="4:6" x14ac:dyDescent="0.2">
      <c r="D1080" t="s">
        <v>11</v>
      </c>
      <c r="F1080" t="s">
        <v>38</v>
      </c>
    </row>
    <row r="1081" spans="4:6" x14ac:dyDescent="0.2">
      <c r="D1081" t="s">
        <v>23</v>
      </c>
      <c r="F1081" t="s">
        <v>20</v>
      </c>
    </row>
    <row r="1082" spans="4:6" x14ac:dyDescent="0.2">
      <c r="D1082" t="s">
        <v>29</v>
      </c>
      <c r="F1082" t="s">
        <v>40</v>
      </c>
    </row>
    <row r="1083" spans="4:6" x14ac:dyDescent="0.2">
      <c r="D1083" t="s">
        <v>27</v>
      </c>
      <c r="F1083" t="s">
        <v>31</v>
      </c>
    </row>
    <row r="1084" spans="4:6" x14ac:dyDescent="0.2">
      <c r="D1084" t="s">
        <v>14</v>
      </c>
      <c r="F1084" t="s">
        <v>25</v>
      </c>
    </row>
    <row r="1085" spans="4:6" x14ac:dyDescent="0.2">
      <c r="D1085" t="s">
        <v>35</v>
      </c>
      <c r="F1085" t="s">
        <v>16</v>
      </c>
    </row>
    <row r="1086" spans="4:6" x14ac:dyDescent="0.2">
      <c r="D1086" t="s">
        <v>39</v>
      </c>
      <c r="F1086" t="s">
        <v>12</v>
      </c>
    </row>
    <row r="1087" spans="4:6" x14ac:dyDescent="0.2">
      <c r="D1087" t="s">
        <v>24</v>
      </c>
      <c r="F1087" t="s">
        <v>15</v>
      </c>
    </row>
    <row r="1088" spans="4:6" x14ac:dyDescent="0.2">
      <c r="D1088" t="s">
        <v>36</v>
      </c>
      <c r="F1088" t="s">
        <v>22</v>
      </c>
    </row>
    <row r="1089" spans="4:6" x14ac:dyDescent="0.2">
      <c r="D1089" t="s">
        <v>40</v>
      </c>
      <c r="F1089" t="s">
        <v>21</v>
      </c>
    </row>
    <row r="1090" spans="4:6" x14ac:dyDescent="0.2">
      <c r="D1090" t="s">
        <v>15</v>
      </c>
      <c r="F1090" t="s">
        <v>28</v>
      </c>
    </row>
    <row r="1091" spans="4:6" x14ac:dyDescent="0.2">
      <c r="D1091" t="s">
        <v>18</v>
      </c>
      <c r="F1091" t="s">
        <v>26</v>
      </c>
    </row>
    <row r="1092" spans="4:6" x14ac:dyDescent="0.2">
      <c r="D1092" t="s">
        <v>11</v>
      </c>
      <c r="F1092" t="s">
        <v>17</v>
      </c>
    </row>
    <row r="1093" spans="4:6" x14ac:dyDescent="0.2">
      <c r="D1093" t="s">
        <v>27</v>
      </c>
      <c r="F1093" t="s">
        <v>13</v>
      </c>
    </row>
    <row r="1094" spans="4:6" x14ac:dyDescent="0.2">
      <c r="D1094" t="s">
        <v>10</v>
      </c>
      <c r="F1094" t="s">
        <v>34</v>
      </c>
    </row>
    <row r="1095" spans="4:6" x14ac:dyDescent="0.2">
      <c r="D1095" t="s">
        <v>32</v>
      </c>
      <c r="F1095" t="s">
        <v>29</v>
      </c>
    </row>
    <row r="1096" spans="4:6" x14ac:dyDescent="0.2">
      <c r="D1096" t="s">
        <v>30</v>
      </c>
      <c r="F1096" t="s">
        <v>36</v>
      </c>
    </row>
    <row r="1097" spans="4:6" x14ac:dyDescent="0.2">
      <c r="D1097" t="s">
        <v>23</v>
      </c>
      <c r="F1097" t="s">
        <v>33</v>
      </c>
    </row>
    <row r="1098" spans="4:6" x14ac:dyDescent="0.2">
      <c r="D1098" t="s">
        <v>37</v>
      </c>
      <c r="F1098" t="s">
        <v>38</v>
      </c>
    </row>
    <row r="1099" spans="4:6" x14ac:dyDescent="0.2">
      <c r="D1099" t="s">
        <v>55</v>
      </c>
      <c r="F1099" t="s">
        <v>20</v>
      </c>
    </row>
    <row r="1100" spans="4:6" x14ac:dyDescent="0.2">
      <c r="D1100" t="s">
        <v>11</v>
      </c>
      <c r="F1100" t="s">
        <v>16</v>
      </c>
    </row>
    <row r="1101" spans="4:6" x14ac:dyDescent="0.2">
      <c r="D1101" t="s">
        <v>12</v>
      </c>
      <c r="F1101" t="s">
        <v>10</v>
      </c>
    </row>
    <row r="1102" spans="4:6" x14ac:dyDescent="0.2">
      <c r="D1102" t="s">
        <v>25</v>
      </c>
      <c r="F1102" t="s">
        <v>19</v>
      </c>
    </row>
    <row r="1103" spans="4:6" x14ac:dyDescent="0.2">
      <c r="D1103" t="s">
        <v>31</v>
      </c>
      <c r="F1103" t="s">
        <v>55</v>
      </c>
    </row>
    <row r="1104" spans="4:6" x14ac:dyDescent="0.2">
      <c r="D1104" t="s">
        <v>24</v>
      </c>
      <c r="F1104" t="s">
        <v>22</v>
      </c>
    </row>
    <row r="1105" spans="4:6" x14ac:dyDescent="0.2">
      <c r="D1105" t="s">
        <v>32</v>
      </c>
      <c r="F1105" t="s">
        <v>28</v>
      </c>
    </row>
    <row r="1106" spans="4:6" x14ac:dyDescent="0.2">
      <c r="D1106" t="s">
        <v>21</v>
      </c>
      <c r="F1106" t="s">
        <v>26</v>
      </c>
    </row>
    <row r="1107" spans="4:6" x14ac:dyDescent="0.2">
      <c r="D1107" t="s">
        <v>37</v>
      </c>
      <c r="F1107" t="s">
        <v>17</v>
      </c>
    </row>
    <row r="1108" spans="4:6" x14ac:dyDescent="0.2">
      <c r="D1108" t="s">
        <v>23</v>
      </c>
      <c r="F1108" t="s">
        <v>13</v>
      </c>
    </row>
    <row r="1109" spans="4:6" x14ac:dyDescent="0.2">
      <c r="D1109" t="s">
        <v>39</v>
      </c>
      <c r="F1109" t="s">
        <v>34</v>
      </c>
    </row>
    <row r="1110" spans="4:6" x14ac:dyDescent="0.2">
      <c r="D1110" t="s">
        <v>30</v>
      </c>
      <c r="F1110" t="s">
        <v>18</v>
      </c>
    </row>
    <row r="1111" spans="4:6" x14ac:dyDescent="0.2">
      <c r="D1111" t="s">
        <v>20</v>
      </c>
      <c r="F1111" t="s">
        <v>29</v>
      </c>
    </row>
    <row r="1112" spans="4:6" x14ac:dyDescent="0.2">
      <c r="D1112" t="s">
        <v>19</v>
      </c>
      <c r="F1112" t="s">
        <v>36</v>
      </c>
    </row>
    <row r="1113" spans="4:6" x14ac:dyDescent="0.2">
      <c r="D1113" t="s">
        <v>40</v>
      </c>
      <c r="F1113" t="s">
        <v>14</v>
      </c>
    </row>
    <row r="1114" spans="4:6" x14ac:dyDescent="0.2">
      <c r="D1114" t="s">
        <v>27</v>
      </c>
      <c r="F1114" t="s">
        <v>33</v>
      </c>
    </row>
    <row r="1115" spans="4:6" x14ac:dyDescent="0.2">
      <c r="D1115" t="s">
        <v>35</v>
      </c>
      <c r="F1115" t="s">
        <v>38</v>
      </c>
    </row>
    <row r="1116" spans="4:6" x14ac:dyDescent="0.2">
      <c r="D1116" t="s">
        <v>23</v>
      </c>
      <c r="F1116" t="s">
        <v>31</v>
      </c>
    </row>
    <row r="1117" spans="4:6" x14ac:dyDescent="0.2">
      <c r="D1117" t="s">
        <v>37</v>
      </c>
      <c r="F1117" t="s">
        <v>16</v>
      </c>
    </row>
    <row r="1118" spans="4:6" x14ac:dyDescent="0.2">
      <c r="D1118" t="s">
        <v>29</v>
      </c>
      <c r="F1118" t="s">
        <v>10</v>
      </c>
    </row>
    <row r="1119" spans="4:6" x14ac:dyDescent="0.2">
      <c r="D1119" t="s">
        <v>20</v>
      </c>
      <c r="F1119" t="s">
        <v>39</v>
      </c>
    </row>
    <row r="1120" spans="4:6" x14ac:dyDescent="0.2">
      <c r="D1120" t="s">
        <v>28</v>
      </c>
      <c r="F1120" t="s">
        <v>30</v>
      </c>
    </row>
    <row r="1121" spans="4:6" x14ac:dyDescent="0.2">
      <c r="D1121" t="s">
        <v>40</v>
      </c>
      <c r="F1121" t="s">
        <v>15</v>
      </c>
    </row>
    <row r="1122" spans="4:6" x14ac:dyDescent="0.2">
      <c r="D1122" t="s">
        <v>25</v>
      </c>
      <c r="F1122" t="s">
        <v>14</v>
      </c>
    </row>
    <row r="1123" spans="4:6" x14ac:dyDescent="0.2">
      <c r="D1123" t="s">
        <v>13</v>
      </c>
      <c r="F1123" t="s">
        <v>55</v>
      </c>
    </row>
    <row r="1124" spans="4:6" x14ac:dyDescent="0.2">
      <c r="D1124" t="s">
        <v>12</v>
      </c>
      <c r="F1124" t="s">
        <v>22</v>
      </c>
    </row>
    <row r="1125" spans="4:6" x14ac:dyDescent="0.2">
      <c r="D1125" t="s">
        <v>36</v>
      </c>
      <c r="F1125" t="s">
        <v>15</v>
      </c>
    </row>
    <row r="1126" spans="4:6" x14ac:dyDescent="0.2">
      <c r="D1126" t="s">
        <v>19</v>
      </c>
      <c r="F1126" t="s">
        <v>21</v>
      </c>
    </row>
    <row r="1127" spans="4:6" x14ac:dyDescent="0.2">
      <c r="D1127" t="s">
        <v>13</v>
      </c>
      <c r="F1127" t="s">
        <v>16</v>
      </c>
    </row>
    <row r="1128" spans="4:6" x14ac:dyDescent="0.2">
      <c r="D1128" t="s">
        <v>24</v>
      </c>
      <c r="F1128" t="s">
        <v>39</v>
      </c>
    </row>
    <row r="1129" spans="4:6" x14ac:dyDescent="0.2">
      <c r="D1129" t="s">
        <v>36</v>
      </c>
      <c r="F1129" t="s">
        <v>26</v>
      </c>
    </row>
    <row r="1130" spans="4:6" x14ac:dyDescent="0.2">
      <c r="D1130" t="s">
        <v>32</v>
      </c>
      <c r="F1130" t="s">
        <v>11</v>
      </c>
    </row>
    <row r="1131" spans="4:6" x14ac:dyDescent="0.2">
      <c r="D1131" t="s">
        <v>25</v>
      </c>
      <c r="F1131" t="s">
        <v>18</v>
      </c>
    </row>
    <row r="1132" spans="4:6" x14ac:dyDescent="0.2">
      <c r="D1132" t="s">
        <v>33</v>
      </c>
      <c r="F1132" t="s">
        <v>29</v>
      </c>
    </row>
    <row r="1133" spans="4:6" x14ac:dyDescent="0.2">
      <c r="D1133" t="s">
        <v>10</v>
      </c>
      <c r="F1133" t="s">
        <v>30</v>
      </c>
    </row>
    <row r="1134" spans="4:6" x14ac:dyDescent="0.2">
      <c r="D1134" t="s">
        <v>28</v>
      </c>
      <c r="F1134" t="s">
        <v>27</v>
      </c>
    </row>
    <row r="1135" spans="4:6" x14ac:dyDescent="0.2">
      <c r="D1135" t="s">
        <v>12</v>
      </c>
      <c r="F1135" t="s">
        <v>14</v>
      </c>
    </row>
    <row r="1136" spans="4:6" x14ac:dyDescent="0.2">
      <c r="D1136" t="s">
        <v>22</v>
      </c>
      <c r="F1136" t="s">
        <v>35</v>
      </c>
    </row>
    <row r="1137" spans="4:6" x14ac:dyDescent="0.2">
      <c r="D1137" t="s">
        <v>34</v>
      </c>
      <c r="F1137" t="s">
        <v>37</v>
      </c>
    </row>
    <row r="1138" spans="4:6" x14ac:dyDescent="0.2">
      <c r="D1138" t="s">
        <v>17</v>
      </c>
      <c r="F1138" t="s">
        <v>55</v>
      </c>
    </row>
    <row r="1139" spans="4:6" x14ac:dyDescent="0.2">
      <c r="D1139" t="s">
        <v>31</v>
      </c>
      <c r="F1139" t="s">
        <v>38</v>
      </c>
    </row>
    <row r="1140" spans="4:6" x14ac:dyDescent="0.2">
      <c r="D1140" t="s">
        <v>20</v>
      </c>
      <c r="F1140" t="s">
        <v>40</v>
      </c>
    </row>
    <row r="1141" spans="4:6" x14ac:dyDescent="0.2">
      <c r="D1141" t="s">
        <v>21</v>
      </c>
      <c r="F1141" t="s">
        <v>23</v>
      </c>
    </row>
    <row r="1142" spans="4:6" x14ac:dyDescent="0.2">
      <c r="D1142" t="s">
        <v>15</v>
      </c>
      <c r="F1142" t="s">
        <v>19</v>
      </c>
    </row>
    <row r="1143" spans="4:6" x14ac:dyDescent="0.2">
      <c r="D1143" t="s">
        <v>31</v>
      </c>
      <c r="F1143" t="s">
        <v>16</v>
      </c>
    </row>
    <row r="1144" spans="4:6" x14ac:dyDescent="0.2">
      <c r="D1144" t="s">
        <v>34</v>
      </c>
      <c r="F1144" t="s">
        <v>11</v>
      </c>
    </row>
    <row r="1145" spans="4:6" x14ac:dyDescent="0.2">
      <c r="D1145" t="s">
        <v>28</v>
      </c>
      <c r="F1145" t="s">
        <v>18</v>
      </c>
    </row>
    <row r="1146" spans="4:6" x14ac:dyDescent="0.2">
      <c r="D1146" t="s">
        <v>24</v>
      </c>
      <c r="F1146" t="s">
        <v>29</v>
      </c>
    </row>
    <row r="1147" spans="4:6" x14ac:dyDescent="0.2">
      <c r="D1147" t="s">
        <v>39</v>
      </c>
      <c r="F1147" t="s">
        <v>30</v>
      </c>
    </row>
    <row r="1148" spans="4:6" x14ac:dyDescent="0.2">
      <c r="D1148" t="s">
        <v>14</v>
      </c>
      <c r="F1148" t="s">
        <v>36</v>
      </c>
    </row>
    <row r="1149" spans="4:6" x14ac:dyDescent="0.2">
      <c r="D1149" t="s">
        <v>10</v>
      </c>
      <c r="F1149" t="s">
        <v>27</v>
      </c>
    </row>
    <row r="1150" spans="4:6" x14ac:dyDescent="0.2">
      <c r="D1150" t="s">
        <v>33</v>
      </c>
      <c r="F1150" t="s">
        <v>35</v>
      </c>
    </row>
    <row r="1151" spans="4:6" x14ac:dyDescent="0.2">
      <c r="D1151" t="s">
        <v>32</v>
      </c>
      <c r="F1151" t="s">
        <v>37</v>
      </c>
    </row>
    <row r="1152" spans="4:6" x14ac:dyDescent="0.2">
      <c r="D1152" t="s">
        <v>22</v>
      </c>
      <c r="F1152" t="s">
        <v>55</v>
      </c>
    </row>
    <row r="1153" spans="4:6" x14ac:dyDescent="0.2">
      <c r="D1153" t="s">
        <v>13</v>
      </c>
      <c r="F1153" t="s">
        <v>38</v>
      </c>
    </row>
    <row r="1154" spans="4:6" x14ac:dyDescent="0.2">
      <c r="D1154" t="s">
        <v>17</v>
      </c>
      <c r="F1154" t="s">
        <v>20</v>
      </c>
    </row>
    <row r="1155" spans="4:6" x14ac:dyDescent="0.2">
      <c r="D1155" t="s">
        <v>12</v>
      </c>
      <c r="F1155" t="s">
        <v>40</v>
      </c>
    </row>
    <row r="1156" spans="4:6" x14ac:dyDescent="0.2">
      <c r="D1156" t="s">
        <v>26</v>
      </c>
      <c r="F1156" t="s">
        <v>23</v>
      </c>
    </row>
    <row r="1157" spans="4:6" x14ac:dyDescent="0.2">
      <c r="D1157" t="s">
        <v>10</v>
      </c>
      <c r="F1157" t="s">
        <v>15</v>
      </c>
    </row>
    <row r="1158" spans="4:6" x14ac:dyDescent="0.2">
      <c r="D1158" t="s">
        <v>34</v>
      </c>
      <c r="F1158" t="s">
        <v>21</v>
      </c>
    </row>
    <row r="1159" spans="4:6" x14ac:dyDescent="0.2">
      <c r="D1159" t="s">
        <v>32</v>
      </c>
      <c r="F1159" t="s">
        <v>23</v>
      </c>
    </row>
    <row r="1160" spans="4:6" x14ac:dyDescent="0.2">
      <c r="D1160" t="s">
        <v>24</v>
      </c>
      <c r="F1160" t="s">
        <v>25</v>
      </c>
    </row>
    <row r="1161" spans="4:6" x14ac:dyDescent="0.2">
      <c r="D1161" t="s">
        <v>33</v>
      </c>
      <c r="F1161" t="s">
        <v>28</v>
      </c>
    </row>
    <row r="1162" spans="4:6" x14ac:dyDescent="0.2">
      <c r="D1162" t="s">
        <v>38</v>
      </c>
      <c r="F1162" t="s">
        <v>16</v>
      </c>
    </row>
    <row r="1163" spans="4:6" x14ac:dyDescent="0.2">
      <c r="D1163" t="s">
        <v>40</v>
      </c>
      <c r="F1163" t="s">
        <v>12</v>
      </c>
    </row>
    <row r="1164" spans="4:6" x14ac:dyDescent="0.2">
      <c r="D1164" t="s">
        <v>27</v>
      </c>
      <c r="F1164" t="s">
        <v>26</v>
      </c>
    </row>
    <row r="1165" spans="4:6" x14ac:dyDescent="0.2">
      <c r="D1165" t="s">
        <v>31</v>
      </c>
      <c r="F1165" t="s">
        <v>17</v>
      </c>
    </row>
    <row r="1166" spans="4:6" x14ac:dyDescent="0.2">
      <c r="D1166" t="s">
        <v>55</v>
      </c>
      <c r="F1166" t="s">
        <v>13</v>
      </c>
    </row>
    <row r="1167" spans="4:6" x14ac:dyDescent="0.2">
      <c r="D1167" t="s">
        <v>18</v>
      </c>
      <c r="F1167" t="s">
        <v>29</v>
      </c>
    </row>
    <row r="1168" spans="4:6" x14ac:dyDescent="0.2">
      <c r="D1168" t="s">
        <v>11</v>
      </c>
      <c r="F1168" t="s">
        <v>30</v>
      </c>
    </row>
    <row r="1169" spans="4:6" x14ac:dyDescent="0.2">
      <c r="D1169" t="s">
        <v>39</v>
      </c>
      <c r="F1169" t="s">
        <v>14</v>
      </c>
    </row>
    <row r="1170" spans="4:6" x14ac:dyDescent="0.2">
      <c r="D1170" t="s">
        <v>19</v>
      </c>
      <c r="F1170" t="s">
        <v>35</v>
      </c>
    </row>
    <row r="1171" spans="4:6" x14ac:dyDescent="0.2">
      <c r="D1171" t="s">
        <v>36</v>
      </c>
      <c r="F1171" t="s">
        <v>37</v>
      </c>
    </row>
    <row r="1172" spans="4:6" x14ac:dyDescent="0.2">
      <c r="D1172" t="s">
        <v>22</v>
      </c>
      <c r="F1172" t="s">
        <v>20</v>
      </c>
    </row>
    <row r="1173" spans="4:6" x14ac:dyDescent="0.2">
      <c r="D1173" t="s">
        <v>18</v>
      </c>
      <c r="F1173" t="s">
        <v>25</v>
      </c>
    </row>
    <row r="1174" spans="4:6" x14ac:dyDescent="0.2">
      <c r="D1174" t="s">
        <v>21</v>
      </c>
      <c r="F1174" t="s">
        <v>28</v>
      </c>
    </row>
    <row r="1175" spans="4:6" x14ac:dyDescent="0.2">
      <c r="D1175" t="s">
        <v>10</v>
      </c>
      <c r="F1175" t="s">
        <v>24</v>
      </c>
    </row>
    <row r="1176" spans="4:6" x14ac:dyDescent="0.2">
      <c r="D1176" t="s">
        <v>11</v>
      </c>
      <c r="F1176" t="s">
        <v>15</v>
      </c>
    </row>
    <row r="1177" spans="4:6" x14ac:dyDescent="0.2">
      <c r="D1177" t="s">
        <v>39</v>
      </c>
      <c r="F1177" t="s">
        <v>27</v>
      </c>
    </row>
    <row r="1178" spans="4:6" x14ac:dyDescent="0.2">
      <c r="D1178" t="s">
        <v>29</v>
      </c>
      <c r="F1178" t="s">
        <v>37</v>
      </c>
    </row>
    <row r="1179" spans="4:6" x14ac:dyDescent="0.2">
      <c r="D1179" t="s">
        <v>19</v>
      </c>
      <c r="F1179" t="s">
        <v>31</v>
      </c>
    </row>
    <row r="1180" spans="4:6" x14ac:dyDescent="0.2">
      <c r="D1180" t="s">
        <v>16</v>
      </c>
      <c r="F1180" t="s">
        <v>12</v>
      </c>
    </row>
    <row r="1181" spans="4:6" x14ac:dyDescent="0.2">
      <c r="D1181" t="s">
        <v>14</v>
      </c>
      <c r="F1181" t="s">
        <v>30</v>
      </c>
    </row>
    <row r="1182" spans="4:6" x14ac:dyDescent="0.2">
      <c r="D1182" t="s">
        <v>35</v>
      </c>
      <c r="F1182" t="s">
        <v>33</v>
      </c>
    </row>
    <row r="1183" spans="4:6" x14ac:dyDescent="0.2">
      <c r="D1183" t="s">
        <v>38</v>
      </c>
      <c r="F1183" t="s">
        <v>20</v>
      </c>
    </row>
    <row r="1184" spans="4:6" x14ac:dyDescent="0.2">
      <c r="D1184" t="s">
        <v>39</v>
      </c>
      <c r="F1184" t="s">
        <v>21</v>
      </c>
    </row>
    <row r="1185" spans="4:6" x14ac:dyDescent="0.2">
      <c r="D1185" t="s">
        <v>30</v>
      </c>
      <c r="F1185" t="s">
        <v>23</v>
      </c>
    </row>
    <row r="1186" spans="4:6" x14ac:dyDescent="0.2">
      <c r="D1186" t="s">
        <v>25</v>
      </c>
      <c r="F1186" t="s">
        <v>28</v>
      </c>
    </row>
    <row r="1187" spans="4:6" x14ac:dyDescent="0.2">
      <c r="D1187" t="s">
        <v>40</v>
      </c>
      <c r="F1187" t="s">
        <v>10</v>
      </c>
    </row>
    <row r="1188" spans="4:6" x14ac:dyDescent="0.2">
      <c r="D1188" t="s">
        <v>32</v>
      </c>
      <c r="F1188" t="s">
        <v>17</v>
      </c>
    </row>
    <row r="1189" spans="4:6" x14ac:dyDescent="0.2">
      <c r="D1189" t="s">
        <v>36</v>
      </c>
      <c r="F1189" t="s">
        <v>11</v>
      </c>
    </row>
    <row r="1190" spans="4:6" x14ac:dyDescent="0.2">
      <c r="D1190" t="s">
        <v>24</v>
      </c>
      <c r="F1190" t="s">
        <v>15</v>
      </c>
    </row>
    <row r="1191" spans="4:6" x14ac:dyDescent="0.2">
      <c r="D1191" t="s">
        <v>26</v>
      </c>
      <c r="F1191" t="s">
        <v>14</v>
      </c>
    </row>
    <row r="1192" spans="4:6" x14ac:dyDescent="0.2">
      <c r="D1192" t="s">
        <v>18</v>
      </c>
      <c r="F1192" t="s">
        <v>37</v>
      </c>
    </row>
    <row r="1193" spans="4:6" x14ac:dyDescent="0.2">
      <c r="D1193" t="s">
        <v>27</v>
      </c>
      <c r="F1193" t="s">
        <v>22</v>
      </c>
    </row>
    <row r="1194" spans="4:6" x14ac:dyDescent="0.2">
      <c r="D1194" t="s">
        <v>38</v>
      </c>
      <c r="F1194" t="s">
        <v>12</v>
      </c>
    </row>
    <row r="1195" spans="4:6" x14ac:dyDescent="0.2">
      <c r="D1195" t="s">
        <v>35</v>
      </c>
      <c r="F1195" t="s">
        <v>13</v>
      </c>
    </row>
    <row r="1196" spans="4:6" x14ac:dyDescent="0.2">
      <c r="D1196" t="s">
        <v>31</v>
      </c>
      <c r="F1196" t="s">
        <v>33</v>
      </c>
    </row>
    <row r="1197" spans="4:6" x14ac:dyDescent="0.2">
      <c r="D1197" t="s">
        <v>28</v>
      </c>
      <c r="F1197" t="s">
        <v>25</v>
      </c>
    </row>
    <row r="1198" spans="4:6" x14ac:dyDescent="0.2">
      <c r="D1198" t="s">
        <v>40</v>
      </c>
      <c r="F1198" t="s">
        <v>39</v>
      </c>
    </row>
    <row r="1199" spans="4:6" x14ac:dyDescent="0.2">
      <c r="D1199" t="s">
        <v>10</v>
      </c>
      <c r="F1199" t="s">
        <v>17</v>
      </c>
    </row>
    <row r="1200" spans="4:6" x14ac:dyDescent="0.2">
      <c r="D1200" t="s">
        <v>21</v>
      </c>
      <c r="F1200" t="s">
        <v>11</v>
      </c>
    </row>
    <row r="1201" spans="4:6" x14ac:dyDescent="0.2">
      <c r="D1201" t="s">
        <v>29</v>
      </c>
      <c r="F1201" t="s">
        <v>13</v>
      </c>
    </row>
    <row r="1202" spans="4:6" x14ac:dyDescent="0.2">
      <c r="D1202" t="s">
        <v>38</v>
      </c>
      <c r="F1202" t="s">
        <v>34</v>
      </c>
    </row>
    <row r="1203" spans="4:6" x14ac:dyDescent="0.2">
      <c r="D1203" t="s">
        <v>22</v>
      </c>
      <c r="F1203" t="s">
        <v>24</v>
      </c>
    </row>
    <row r="1204" spans="4:6" x14ac:dyDescent="0.2">
      <c r="D1204" t="s">
        <v>18</v>
      </c>
      <c r="F1204" t="s">
        <v>15</v>
      </c>
    </row>
    <row r="1205" spans="4:6" x14ac:dyDescent="0.2">
      <c r="D1205" t="s">
        <v>23</v>
      </c>
      <c r="F1205" t="s">
        <v>36</v>
      </c>
    </row>
    <row r="1206" spans="4:6" x14ac:dyDescent="0.2">
      <c r="D1206" t="s">
        <v>26</v>
      </c>
      <c r="F1206" t="s">
        <v>27</v>
      </c>
    </row>
    <row r="1207" spans="4:6" x14ac:dyDescent="0.2">
      <c r="D1207" t="s">
        <v>55</v>
      </c>
      <c r="F1207" t="s">
        <v>32</v>
      </c>
    </row>
    <row r="1208" spans="4:6" x14ac:dyDescent="0.2">
      <c r="D1208" t="s">
        <v>19</v>
      </c>
      <c r="F1208" t="s">
        <v>33</v>
      </c>
    </row>
    <row r="1209" spans="4:6" x14ac:dyDescent="0.2">
      <c r="D1209" t="s">
        <v>14</v>
      </c>
      <c r="F1209" t="s">
        <v>37</v>
      </c>
    </row>
    <row r="1210" spans="4:6" x14ac:dyDescent="0.2">
      <c r="D1210" t="s">
        <v>16</v>
      </c>
      <c r="F1210" t="s">
        <v>20</v>
      </c>
    </row>
    <row r="1211" spans="4:6" x14ac:dyDescent="0.2">
      <c r="D1211" t="s">
        <v>35</v>
      </c>
      <c r="F1211" t="s">
        <v>31</v>
      </c>
    </row>
    <row r="1212" spans="4:6" x14ac:dyDescent="0.2">
      <c r="D1212" t="s">
        <v>27</v>
      </c>
      <c r="F1212" t="s">
        <v>30</v>
      </c>
    </row>
    <row r="1213" spans="4:6" x14ac:dyDescent="0.2">
      <c r="D1213" t="s">
        <v>16</v>
      </c>
      <c r="F1213" t="s">
        <v>31</v>
      </c>
    </row>
    <row r="1214" spans="4:6" x14ac:dyDescent="0.2">
      <c r="D1214" t="s">
        <v>30</v>
      </c>
      <c r="F1214" t="s">
        <v>25</v>
      </c>
    </row>
    <row r="1215" spans="4:6" x14ac:dyDescent="0.2">
      <c r="D1215" t="s">
        <v>40</v>
      </c>
      <c r="F1215" t="s">
        <v>28</v>
      </c>
    </row>
    <row r="1216" spans="4:6" x14ac:dyDescent="0.2">
      <c r="D1216" t="s">
        <v>12</v>
      </c>
      <c r="F1216" t="s">
        <v>39</v>
      </c>
    </row>
    <row r="1217" spans="4:6" x14ac:dyDescent="0.2">
      <c r="D1217" t="s">
        <v>20</v>
      </c>
      <c r="F1217" t="s">
        <v>17</v>
      </c>
    </row>
    <row r="1218" spans="4:6" x14ac:dyDescent="0.2">
      <c r="D1218" t="s">
        <v>19</v>
      </c>
      <c r="F1218" t="s">
        <v>13</v>
      </c>
    </row>
    <row r="1219" spans="4:6" x14ac:dyDescent="0.2">
      <c r="D1219" t="s">
        <v>18</v>
      </c>
      <c r="F1219" t="s">
        <v>24</v>
      </c>
    </row>
    <row r="1220" spans="4:6" x14ac:dyDescent="0.2">
      <c r="D1220" t="s">
        <v>26</v>
      </c>
      <c r="F1220" t="s">
        <v>15</v>
      </c>
    </row>
    <row r="1221" spans="4:6" x14ac:dyDescent="0.2">
      <c r="D1221" t="s">
        <v>34</v>
      </c>
      <c r="F1221" t="s">
        <v>36</v>
      </c>
    </row>
    <row r="1222" spans="4:6" x14ac:dyDescent="0.2">
      <c r="D1222" t="s">
        <v>11</v>
      </c>
      <c r="F1222" t="s">
        <v>14</v>
      </c>
    </row>
    <row r="1223" spans="4:6" x14ac:dyDescent="0.2">
      <c r="D1223" t="s">
        <v>10</v>
      </c>
      <c r="F1223" t="s">
        <v>32</v>
      </c>
    </row>
    <row r="1224" spans="4:6" x14ac:dyDescent="0.2">
      <c r="D1224" t="s">
        <v>29</v>
      </c>
      <c r="F1224" t="s">
        <v>33</v>
      </c>
    </row>
    <row r="1225" spans="4:6" x14ac:dyDescent="0.2">
      <c r="D1225" t="s">
        <v>21</v>
      </c>
      <c r="F1225" t="s">
        <v>37</v>
      </c>
    </row>
    <row r="1226" spans="4:6" x14ac:dyDescent="0.2">
      <c r="D1226" t="s">
        <v>55</v>
      </c>
      <c r="F1226" t="s">
        <v>38</v>
      </c>
    </row>
    <row r="1227" spans="4:6" x14ac:dyDescent="0.2">
      <c r="D1227" t="s">
        <v>23</v>
      </c>
      <c r="F1227" t="s">
        <v>22</v>
      </c>
    </row>
    <row r="1228" spans="4:6" x14ac:dyDescent="0.2">
      <c r="D1228" t="s">
        <v>35</v>
      </c>
      <c r="F1228" t="s">
        <v>12</v>
      </c>
    </row>
    <row r="1229" spans="4:6" x14ac:dyDescent="0.2">
      <c r="D1229" t="s">
        <v>34</v>
      </c>
      <c r="F1229" t="s">
        <v>26</v>
      </c>
    </row>
    <row r="1230" spans="4:6" x14ac:dyDescent="0.2">
      <c r="D1230" t="s">
        <v>24</v>
      </c>
      <c r="F1230" t="s">
        <v>18</v>
      </c>
    </row>
    <row r="1231" spans="4:6" x14ac:dyDescent="0.2">
      <c r="D1231" t="s">
        <v>22</v>
      </c>
      <c r="F1231" t="s">
        <v>15</v>
      </c>
    </row>
    <row r="1232" spans="4:6" x14ac:dyDescent="0.2">
      <c r="D1232" t="s">
        <v>25</v>
      </c>
      <c r="F1232" t="s">
        <v>36</v>
      </c>
    </row>
    <row r="1233" spans="4:6" x14ac:dyDescent="0.2">
      <c r="D1233" t="s">
        <v>21</v>
      </c>
      <c r="F1233" t="s">
        <v>27</v>
      </c>
    </row>
    <row r="1234" spans="4:6" x14ac:dyDescent="0.2">
      <c r="D1234" t="s">
        <v>11</v>
      </c>
      <c r="F1234" t="s">
        <v>14</v>
      </c>
    </row>
    <row r="1235" spans="4:6" x14ac:dyDescent="0.2">
      <c r="D1235" t="s">
        <v>37</v>
      </c>
      <c r="F1235" t="s">
        <v>23</v>
      </c>
    </row>
    <row r="1236" spans="4:6" x14ac:dyDescent="0.2">
      <c r="D1236" t="s">
        <v>29</v>
      </c>
      <c r="F1236" t="s">
        <v>13</v>
      </c>
    </row>
    <row r="1237" spans="4:6" x14ac:dyDescent="0.2">
      <c r="D1237" t="s">
        <v>10</v>
      </c>
      <c r="F1237" t="s">
        <v>33</v>
      </c>
    </row>
    <row r="1238" spans="4:6" x14ac:dyDescent="0.2">
      <c r="D1238" t="s">
        <v>32</v>
      </c>
      <c r="F1238" t="s">
        <v>40</v>
      </c>
    </row>
    <row r="1239" spans="4:6" x14ac:dyDescent="0.2">
      <c r="D1239" t="s">
        <v>29</v>
      </c>
      <c r="F1239" t="s">
        <v>31</v>
      </c>
    </row>
    <row r="1240" spans="4:6" x14ac:dyDescent="0.2">
      <c r="D1240" t="s">
        <v>21</v>
      </c>
      <c r="F1240" t="s">
        <v>25</v>
      </c>
    </row>
    <row r="1241" spans="4:6" x14ac:dyDescent="0.2">
      <c r="D1241" t="s">
        <v>16</v>
      </c>
      <c r="F1241" t="s">
        <v>39</v>
      </c>
    </row>
    <row r="1242" spans="4:6" x14ac:dyDescent="0.2">
      <c r="D1242" t="s">
        <v>28</v>
      </c>
      <c r="F1242" t="s">
        <v>26</v>
      </c>
    </row>
    <row r="1243" spans="4:6" x14ac:dyDescent="0.2">
      <c r="D1243" t="s">
        <v>32</v>
      </c>
      <c r="F1243" t="s">
        <v>34</v>
      </c>
    </row>
    <row r="1244" spans="4:6" x14ac:dyDescent="0.2">
      <c r="D1244" t="s">
        <v>11</v>
      </c>
      <c r="F1244" t="s">
        <v>18</v>
      </c>
    </row>
    <row r="1245" spans="4:6" x14ac:dyDescent="0.2">
      <c r="D1245" t="s">
        <v>27</v>
      </c>
      <c r="F1245" t="s">
        <v>24</v>
      </c>
    </row>
    <row r="1246" spans="4:6" x14ac:dyDescent="0.2">
      <c r="D1246" t="s">
        <v>37</v>
      </c>
      <c r="F1246" t="s">
        <v>36</v>
      </c>
    </row>
    <row r="1247" spans="4:6" x14ac:dyDescent="0.2">
      <c r="D1247" t="s">
        <v>12</v>
      </c>
      <c r="F1247" t="s">
        <v>35</v>
      </c>
    </row>
    <row r="1248" spans="4:6" x14ac:dyDescent="0.2">
      <c r="D1248" t="s">
        <v>17</v>
      </c>
      <c r="F1248" t="s">
        <v>55</v>
      </c>
    </row>
    <row r="1249" spans="4:6" x14ac:dyDescent="0.2">
      <c r="D1249" t="s">
        <v>20</v>
      </c>
      <c r="F1249" t="s">
        <v>38</v>
      </c>
    </row>
    <row r="1250" spans="4:6" x14ac:dyDescent="0.2">
      <c r="D1250" t="s">
        <v>23</v>
      </c>
      <c r="F1250" t="s">
        <v>15</v>
      </c>
    </row>
    <row r="1251" spans="4:6" x14ac:dyDescent="0.2">
      <c r="D1251" t="s">
        <v>17</v>
      </c>
      <c r="F1251" t="s">
        <v>33</v>
      </c>
    </row>
    <row r="1252" spans="4:6" x14ac:dyDescent="0.2">
      <c r="D1252" t="s">
        <v>22</v>
      </c>
      <c r="F1252" t="s">
        <v>19</v>
      </c>
    </row>
    <row r="1253" spans="4:6" x14ac:dyDescent="0.2">
      <c r="D1253" t="s">
        <v>33</v>
      </c>
      <c r="F1253" t="s">
        <v>31</v>
      </c>
    </row>
    <row r="1254" spans="4:6" x14ac:dyDescent="0.2">
      <c r="D1254" t="s">
        <v>28</v>
      </c>
      <c r="F1254" t="s">
        <v>23</v>
      </c>
    </row>
    <row r="1255" spans="4:6" x14ac:dyDescent="0.2">
      <c r="D1255" t="s">
        <v>25</v>
      </c>
      <c r="F1255" t="s">
        <v>10</v>
      </c>
    </row>
    <row r="1256" spans="4:6" x14ac:dyDescent="0.2">
      <c r="D1256" t="s">
        <v>16</v>
      </c>
      <c r="F1256" t="s">
        <v>12</v>
      </c>
    </row>
    <row r="1257" spans="4:6" x14ac:dyDescent="0.2">
      <c r="D1257" t="s">
        <v>34</v>
      </c>
      <c r="F1257" t="s">
        <v>39</v>
      </c>
    </row>
    <row r="1258" spans="4:6" x14ac:dyDescent="0.2">
      <c r="D1258" t="s">
        <v>27</v>
      </c>
      <c r="F1258" t="s">
        <v>26</v>
      </c>
    </row>
    <row r="1259" spans="4:6" x14ac:dyDescent="0.2">
      <c r="D1259" t="s">
        <v>38</v>
      </c>
      <c r="F1259" t="s">
        <v>13</v>
      </c>
    </row>
    <row r="1260" spans="4:6" x14ac:dyDescent="0.2">
      <c r="D1260" t="s">
        <v>37</v>
      </c>
      <c r="F1260" t="s">
        <v>18</v>
      </c>
    </row>
    <row r="1261" spans="4:6" x14ac:dyDescent="0.2">
      <c r="D1261" t="s">
        <v>14</v>
      </c>
      <c r="F1261" t="s">
        <v>24</v>
      </c>
    </row>
    <row r="1262" spans="4:6" x14ac:dyDescent="0.2">
      <c r="D1262" t="s">
        <v>19</v>
      </c>
      <c r="F1262" t="s">
        <v>30</v>
      </c>
    </row>
    <row r="1263" spans="4:6" x14ac:dyDescent="0.2">
      <c r="D1263" t="s">
        <v>11</v>
      </c>
      <c r="F1263" t="s">
        <v>36</v>
      </c>
    </row>
    <row r="1264" spans="4:6" x14ac:dyDescent="0.2">
      <c r="D1264" t="s">
        <v>20</v>
      </c>
      <c r="F1264" t="s">
        <v>32</v>
      </c>
    </row>
    <row r="1265" spans="4:6" x14ac:dyDescent="0.2">
      <c r="D1265" t="s">
        <v>40</v>
      </c>
      <c r="F1265" t="s">
        <v>35</v>
      </c>
    </row>
    <row r="1266" spans="4:6" x14ac:dyDescent="0.2">
      <c r="D1266" t="s">
        <v>29</v>
      </c>
      <c r="F1266" t="s">
        <v>55</v>
      </c>
    </row>
    <row r="1267" spans="4:6" x14ac:dyDescent="0.2">
      <c r="D1267" t="s">
        <v>37</v>
      </c>
      <c r="F1267" t="s">
        <v>21</v>
      </c>
    </row>
    <row r="1268" spans="4:6" x14ac:dyDescent="0.2">
      <c r="D1268" t="s">
        <v>35</v>
      </c>
      <c r="F1268" t="s">
        <v>10</v>
      </c>
    </row>
    <row r="1269" spans="4:6" x14ac:dyDescent="0.2">
      <c r="D1269" t="s">
        <v>20</v>
      </c>
      <c r="F1269" t="s">
        <v>12</v>
      </c>
    </row>
    <row r="1270" spans="4:6" x14ac:dyDescent="0.2">
      <c r="D1270" t="s">
        <v>15</v>
      </c>
      <c r="F1270" t="s">
        <v>39</v>
      </c>
    </row>
    <row r="1271" spans="4:6" x14ac:dyDescent="0.2">
      <c r="D1271" t="s">
        <v>24</v>
      </c>
      <c r="F1271" t="s">
        <v>26</v>
      </c>
    </row>
    <row r="1272" spans="4:6" x14ac:dyDescent="0.2">
      <c r="D1272" t="s">
        <v>17</v>
      </c>
      <c r="F1272" t="s">
        <v>13</v>
      </c>
    </row>
    <row r="1273" spans="4:6" x14ac:dyDescent="0.2">
      <c r="D1273" t="s">
        <v>28</v>
      </c>
      <c r="F1273" t="s">
        <v>18</v>
      </c>
    </row>
    <row r="1274" spans="4:6" x14ac:dyDescent="0.2">
      <c r="D1274" t="s">
        <v>34</v>
      </c>
      <c r="F1274" t="s">
        <v>29</v>
      </c>
    </row>
    <row r="1275" spans="4:6" x14ac:dyDescent="0.2">
      <c r="D1275" t="s">
        <v>36</v>
      </c>
      <c r="F1275" t="s">
        <v>30</v>
      </c>
    </row>
    <row r="1276" spans="4:6" x14ac:dyDescent="0.2">
      <c r="D1276" t="s">
        <v>22</v>
      </c>
      <c r="F1276" t="s">
        <v>14</v>
      </c>
    </row>
    <row r="1277" spans="4:6" x14ac:dyDescent="0.2">
      <c r="D1277" t="s">
        <v>16</v>
      </c>
      <c r="F1277" t="s">
        <v>32</v>
      </c>
    </row>
    <row r="1278" spans="4:6" x14ac:dyDescent="0.2">
      <c r="D1278" t="s">
        <v>38</v>
      </c>
      <c r="F1278" t="s">
        <v>33</v>
      </c>
    </row>
    <row r="1279" spans="4:6" x14ac:dyDescent="0.2">
      <c r="D1279" t="s">
        <v>11</v>
      </c>
      <c r="F1279" t="s">
        <v>19</v>
      </c>
    </row>
    <row r="1280" spans="4:6" x14ac:dyDescent="0.2">
      <c r="D1280" t="s">
        <v>25</v>
      </c>
      <c r="F1280" t="s">
        <v>55</v>
      </c>
    </row>
    <row r="1281" spans="4:6" x14ac:dyDescent="0.2">
      <c r="D1281" t="s">
        <v>27</v>
      </c>
      <c r="F1281" t="s">
        <v>40</v>
      </c>
    </row>
    <row r="1282" spans="4:6" x14ac:dyDescent="0.2">
      <c r="D1282" t="s">
        <v>38</v>
      </c>
      <c r="F1282" t="s">
        <v>31</v>
      </c>
    </row>
    <row r="1283" spans="4:6" x14ac:dyDescent="0.2">
      <c r="D1283" t="s">
        <v>21</v>
      </c>
      <c r="F1283" t="s">
        <v>28</v>
      </c>
    </row>
    <row r="1284" spans="4:6" x14ac:dyDescent="0.2">
      <c r="D1284" t="s">
        <v>55</v>
      </c>
      <c r="F1284" t="s">
        <v>16</v>
      </c>
    </row>
    <row r="1285" spans="4:6" x14ac:dyDescent="0.2">
      <c r="D1285" t="s">
        <v>36</v>
      </c>
      <c r="F1285" t="s">
        <v>24</v>
      </c>
    </row>
    <row r="1286" spans="4:6" x14ac:dyDescent="0.2">
      <c r="D1286" t="s">
        <v>18</v>
      </c>
      <c r="F1286" t="s">
        <v>30</v>
      </c>
    </row>
    <row r="1287" spans="4:6" x14ac:dyDescent="0.2">
      <c r="D1287" t="s">
        <v>14</v>
      </c>
      <c r="F1287" t="s">
        <v>22</v>
      </c>
    </row>
    <row r="1288" spans="4:6" x14ac:dyDescent="0.2">
      <c r="D1288" t="s">
        <v>23</v>
      </c>
      <c r="F1288" t="s">
        <v>10</v>
      </c>
    </row>
    <row r="1289" spans="4:6" x14ac:dyDescent="0.2">
      <c r="D1289" t="s">
        <v>12</v>
      </c>
      <c r="F1289" t="s">
        <v>17</v>
      </c>
    </row>
    <row r="1290" spans="4:6" x14ac:dyDescent="0.2">
      <c r="D1290" t="s">
        <v>15</v>
      </c>
      <c r="F1290" t="s">
        <v>11</v>
      </c>
    </row>
    <row r="1291" spans="4:6" x14ac:dyDescent="0.2">
      <c r="D1291" t="s">
        <v>33</v>
      </c>
      <c r="F1291" t="s">
        <v>29</v>
      </c>
    </row>
    <row r="1292" spans="4:6" x14ac:dyDescent="0.2">
      <c r="D1292" t="s">
        <v>25</v>
      </c>
      <c r="F1292" t="s">
        <v>27</v>
      </c>
    </row>
    <row r="1293" spans="4:6" x14ac:dyDescent="0.2">
      <c r="D1293" t="s">
        <v>13</v>
      </c>
      <c r="F1293" t="s">
        <v>32</v>
      </c>
    </row>
    <row r="1294" spans="4:6" x14ac:dyDescent="0.2">
      <c r="D1294" t="s">
        <v>34</v>
      </c>
      <c r="F1294" t="s">
        <v>35</v>
      </c>
    </row>
    <row r="1295" spans="4:6" x14ac:dyDescent="0.2">
      <c r="D1295" t="s">
        <v>26</v>
      </c>
      <c r="F1295" t="s">
        <v>37</v>
      </c>
    </row>
    <row r="1296" spans="4:6" x14ac:dyDescent="0.2">
      <c r="D1296" t="s">
        <v>39</v>
      </c>
      <c r="F1296" t="s">
        <v>19</v>
      </c>
    </row>
    <row r="1297" spans="4:6" x14ac:dyDescent="0.2">
      <c r="D1297" t="s">
        <v>40</v>
      </c>
      <c r="F1297" t="s">
        <v>20</v>
      </c>
    </row>
    <row r="1298" spans="4:6" x14ac:dyDescent="0.2">
      <c r="D1298" t="s">
        <v>24</v>
      </c>
      <c r="F1298" t="s">
        <v>21</v>
      </c>
    </row>
    <row r="1299" spans="4:6" x14ac:dyDescent="0.2">
      <c r="D1299" t="s">
        <v>22</v>
      </c>
      <c r="F1299" t="s">
        <v>28</v>
      </c>
    </row>
    <row r="1300" spans="4:6" x14ac:dyDescent="0.2">
      <c r="D1300" t="s">
        <v>12</v>
      </c>
      <c r="F1300" t="s">
        <v>16</v>
      </c>
    </row>
    <row r="1301" spans="4:6" x14ac:dyDescent="0.2">
      <c r="D1301" t="s">
        <v>31</v>
      </c>
      <c r="F1301" t="s">
        <v>34</v>
      </c>
    </row>
    <row r="1302" spans="4:6" x14ac:dyDescent="0.2">
      <c r="D1302" t="s">
        <v>25</v>
      </c>
      <c r="F1302" t="s">
        <v>30</v>
      </c>
    </row>
    <row r="1303" spans="4:6" x14ac:dyDescent="0.2">
      <c r="D1303" t="s">
        <v>18</v>
      </c>
      <c r="F1303" t="s">
        <v>27</v>
      </c>
    </row>
    <row r="1304" spans="4:6" x14ac:dyDescent="0.2">
      <c r="D1304" t="s">
        <v>14</v>
      </c>
      <c r="F1304" t="s">
        <v>35</v>
      </c>
    </row>
    <row r="1305" spans="4:6" x14ac:dyDescent="0.2">
      <c r="D1305" t="s">
        <v>40</v>
      </c>
      <c r="F1305" t="s">
        <v>55</v>
      </c>
    </row>
    <row r="1306" spans="4:6" x14ac:dyDescent="0.2">
      <c r="D1306" t="s">
        <v>13</v>
      </c>
      <c r="F1306" t="s">
        <v>38</v>
      </c>
    </row>
    <row r="1307" spans="4:6" x14ac:dyDescent="0.2">
      <c r="D1307" t="s">
        <v>39</v>
      </c>
      <c r="F1307" t="s">
        <v>23</v>
      </c>
    </row>
    <row r="1308" spans="4:6" x14ac:dyDescent="0.2">
      <c r="D1308" t="s">
        <v>33</v>
      </c>
      <c r="F1308" t="s">
        <v>10</v>
      </c>
    </row>
    <row r="1309" spans="4:6" x14ac:dyDescent="0.2">
      <c r="D1309" t="s">
        <v>26</v>
      </c>
      <c r="F1309" t="s">
        <v>11</v>
      </c>
    </row>
    <row r="1310" spans="4:6" x14ac:dyDescent="0.2">
      <c r="D1310" t="s">
        <v>19</v>
      </c>
      <c r="F1310" t="s">
        <v>36</v>
      </c>
    </row>
    <row r="1311" spans="4:6" x14ac:dyDescent="0.2">
      <c r="D1311" t="s">
        <v>15</v>
      </c>
      <c r="F1311" t="s">
        <v>37</v>
      </c>
    </row>
    <row r="1312" spans="4:6" x14ac:dyDescent="0.2">
      <c r="D1312" t="s">
        <v>32</v>
      </c>
      <c r="F1312" t="s">
        <v>20</v>
      </c>
    </row>
    <row r="1313" spans="4:6" x14ac:dyDescent="0.2">
      <c r="D1313" t="s">
        <v>13</v>
      </c>
      <c r="F1313" t="s">
        <v>16</v>
      </c>
    </row>
    <row r="1314" spans="4:6" x14ac:dyDescent="0.2">
      <c r="D1314" t="s">
        <v>32</v>
      </c>
      <c r="F1314" t="s">
        <v>12</v>
      </c>
    </row>
    <row r="1315" spans="4:6" x14ac:dyDescent="0.2">
      <c r="D1315" t="s">
        <v>38</v>
      </c>
      <c r="F1315" t="s">
        <v>17</v>
      </c>
    </row>
    <row r="1316" spans="4:6" x14ac:dyDescent="0.2">
      <c r="D1316" t="s">
        <v>31</v>
      </c>
      <c r="F1316" t="s">
        <v>29</v>
      </c>
    </row>
    <row r="1317" spans="4:6" x14ac:dyDescent="0.2">
      <c r="D1317" t="s">
        <v>35</v>
      </c>
      <c r="F1317" t="s">
        <v>55</v>
      </c>
    </row>
    <row r="1318" spans="4:6" x14ac:dyDescent="0.2">
      <c r="D1318" t="s">
        <v>33</v>
      </c>
      <c r="F1318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D1" zoomScale="85" zoomScaleNormal="70" workbookViewId="0">
      <pane ySplit="1" topLeftCell="A333" activePane="bottomLeft" state="frozen"/>
      <selection activeCell="I1" sqref="I1"/>
      <selection pane="bottomLeft" activeCell="K3" sqref="K3"/>
    </sheetView>
  </sheetViews>
  <sheetFormatPr baseColWidth="10" defaultColWidth="10.83203125" defaultRowHeight="16" x14ac:dyDescent="0.2"/>
  <cols>
    <col min="1" max="1" width="19.83203125" bestFit="1" customWidth="1"/>
    <col min="2" max="2" width="12.83203125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0.13754338897241636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-0.37836939589441088</v>
      </c>
      <c r="H2" t="s">
        <v>10</v>
      </c>
      <c r="I2">
        <f>VLOOKUP(Table4[[#This Row],[Visitor]],'NHL Model'!$A$6:$B$38,2,FALSE)</f>
        <v>-0.15263505358797036</v>
      </c>
      <c r="J2">
        <f>($B$1+Table4[[#This Row],[Home Differential]])-Table4[[#This Row],[Away Differential]]</f>
        <v>-8.8190953334024158E-2</v>
      </c>
      <c r="K2" t="str">
        <f>IF(Table4[[#This Row],[HomeIce Differential]]&gt;0,Table4[[#This Row],[Home]],Table4[[#This Row],[Visitor]])</f>
        <v>Chicago Blackhawks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0.42004677697472775</v>
      </c>
      <c r="M2" t="str">
        <f>IF(OR((NHL2025_26Results[[#This Row],[Winning Team]]="")),"-",IF(Table4[[#This Row],[Predicted Winner]]=NHL2025_26Results[[#This Row],[Winning Team]],"YES","NO"))</f>
        <v>NO</v>
      </c>
      <c r="N2">
        <f>IF(Table4[[#This Row],[Adjusted Correct]]="-", "",IF(Table4[[#This Row],[Adjusted Correct]]="YES",(Table4[[#This Row],[Strength of Win]]-1)^2,(Table4[[#This Row],[Strength of Win]]-0)^2))</f>
        <v>0.17643929484685666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-0.36134162888396865</v>
      </c>
      <c r="H3" t="s">
        <v>12</v>
      </c>
      <c r="I3">
        <f>VLOOKUP(Table4[[#This Row],[Visitor]],'NHL Model'!$A$6:$B$38,2,FALSE)</f>
        <v>1.4458345276269271</v>
      </c>
      <c r="J3">
        <f>($B$1+Table4[[#This Row],[Home Differential]])-Table4[[#This Row],[Away Differential]]</f>
        <v>-1.6696327675384794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0.77517885204559311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5.054454856753731E-2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199</v>
      </c>
      <c r="V3">
        <f>COUNTIF(Table4[Locked Correct],"YES")</f>
        <v>214</v>
      </c>
    </row>
    <row r="4" spans="1:22" x14ac:dyDescent="0.2">
      <c r="A4" s="4" t="s">
        <v>31</v>
      </c>
      <c r="B4">
        <v>0.51775546328552802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-0.49835870184734621</v>
      </c>
      <c r="H4" t="s">
        <v>14</v>
      </c>
      <c r="I4">
        <f>VLOOKUP(Table4[[#This Row],[Visitor]],'NHL Model'!$A$6:$B$38,2,FALSE)</f>
        <v>-0.2090057419115289</v>
      </c>
      <c r="J4">
        <f>($B$1+Table4[[#This Row],[Home Differential]])-Table4[[#This Row],[Away Differential]]</f>
        <v>-0.15180957096340095</v>
      </c>
      <c r="K4" t="str">
        <f>IF(Table4[[#This Row],[HomeIce Differential]]&gt;0,Table4[[#This Row],[Home]],Table4[[#This Row],[Visitor]])</f>
        <v>Pittsburgh Penguins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0.48024809195544466</v>
      </c>
      <c r="M4" t="str">
        <f>IF(OR((NHL2025_26Results[[#This Row],[Winning Team]]="")),"-",IF(Table4[[#This Row],[Predicted Winner]]=NHL2025_26Results[[#This Row],[Winning Team]],"YES","NO"))</f>
        <v>YES</v>
      </c>
      <c r="N4">
        <f>IF(Table4[[#This Row],[Adjusted Correct]]="-", "",IF(Table4[[#This Row],[Adjusted Correct]]="YES",(Table4[[#This Row],[Strength of Win]]-1)^2,(Table4[[#This Row],[Strength of Win]]-0)^2))</f>
        <v>0.27014204591595598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153</v>
      </c>
      <c r="V4">
        <f>COUNTIF(Table4[Locked Correct],"NO")</f>
        <v>138</v>
      </c>
    </row>
    <row r="5" spans="1:22" x14ac:dyDescent="0.2">
      <c r="A5" s="4" t="s">
        <v>21</v>
      </c>
      <c r="B5">
        <v>4.029141914856392E-2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-0.87263145033954281</v>
      </c>
      <c r="H5" t="s">
        <v>16</v>
      </c>
      <c r="I5">
        <f>VLOOKUP(Table4[[#This Row],[Visitor]],'NHL Model'!$A$6:$B$38,2,FALSE)</f>
        <v>-1.0952038865534519</v>
      </c>
      <c r="J5">
        <f>($B$1+Table4[[#This Row],[Home Differential]])-Table4[[#This Row],[Away Differential]]</f>
        <v>0.36011582518632546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0.6240684779153578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0.38946146512759144</v>
      </c>
      <c r="O5">
        <v>-4.1674767740132361E-3</v>
      </c>
      <c r="P5" s="11"/>
      <c r="Q5" t="s">
        <v>16</v>
      </c>
      <c r="R5" t="s">
        <v>248</v>
      </c>
      <c r="T5">
        <f>SUM(T3:T4)</f>
        <v>352</v>
      </c>
      <c r="V5">
        <f>SUM(V3:V4)</f>
        <v>352</v>
      </c>
    </row>
    <row r="6" spans="1:22" x14ac:dyDescent="0.2">
      <c r="A6" s="4" t="s">
        <v>23</v>
      </c>
      <c r="B6">
        <v>-0.8683412362501769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-0.93520311342823803</v>
      </c>
      <c r="H6" t="s">
        <v>18</v>
      </c>
      <c r="I6">
        <f>VLOOKUP(Table4[[#This Row],[Visitor]],'NHL Model'!$A$6:$B$38,2,FALSE)</f>
        <v>-0.74754136228530599</v>
      </c>
      <c r="J6">
        <f>($B$1+Table4[[#This Row],[Home Differential]])-Table4[[#This Row],[Away Differential]]</f>
        <v>-5.0118362170515685E-2</v>
      </c>
      <c r="K6" t="str">
        <f>IF(Table4[[#This Row],[HomeIce Differential]]&gt;0,Table4[[#This Row],[Home]],Table4[[#This Row],[Visitor]])</f>
        <v>Montreal Canadiens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0.51378408994502889</v>
      </c>
      <c r="M6" t="str">
        <f>IF(OR((NHL2025_26Results[[#This Row],[Winning Team]]="")),"-",IF(Table4[[#This Row],[Predicted Winner]]=NHL2025_26Results[[#This Row],[Winning Team]],"YES","NO"))</f>
        <v>NO</v>
      </c>
      <c r="N6">
        <f>IF(Table4[[#This Row],[Adjusted Correct]]="-", "",IF(Table4[[#This Row],[Adjusted Correct]]="YES",(Table4[[#This Row],[Strength of Win]]-1)^2,(Table4[[#This Row],[Strength of Win]]-0)^2))</f>
        <v>0.26397409108064152</v>
      </c>
      <c r="O6">
        <v>-4.4363714293103977E-3</v>
      </c>
      <c r="P6" s="11"/>
      <c r="Q6" t="s">
        <v>18</v>
      </c>
      <c r="R6" t="s">
        <v>249</v>
      </c>
      <c r="T6" s="13">
        <f>T3/T5</f>
        <v>0.56534090909090906</v>
      </c>
      <c r="V6" s="13">
        <f>V3/V5</f>
        <v>0.60795454545454541</v>
      </c>
    </row>
    <row r="7" spans="1:22" x14ac:dyDescent="0.2">
      <c r="A7" s="4" t="s">
        <v>16</v>
      </c>
      <c r="B7">
        <v>-1.3903684122795328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0.12073374225454764</v>
      </c>
      <c r="H7" t="s">
        <v>13</v>
      </c>
      <c r="I7">
        <f>VLOOKUP(Table4[[#This Row],[Visitor]],'NHL Model'!$A$6:$B$38,2,FALSE)</f>
        <v>-0.36134162888396865</v>
      </c>
      <c r="J7">
        <f>($B$1+Table4[[#This Row],[Home Differential]])-Table4[[#This Row],[Away Differential]]</f>
        <v>0.61961876011093264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0.53916539296876509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0.29069932097516288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0.67193921242367816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6.4811420118814619E-2</v>
      </c>
      <c r="H8" t="s">
        <v>21</v>
      </c>
      <c r="I8">
        <f>VLOOKUP(Table4[[#This Row],[Visitor]],'NHL Model'!$A$6:$B$38,2,FALSE)</f>
        <v>-0.14464931395309213</v>
      </c>
      <c r="J8">
        <f>($B$1+Table4[[#This Row],[Home Differential]])-Table4[[#This Row],[Away Differential]]</f>
        <v>0.34700412304432315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0.58628279592472987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0.34372751679731844</v>
      </c>
      <c r="O8">
        <v>-4.9858230986448791E-3</v>
      </c>
      <c r="P8" s="11"/>
      <c r="Q8" t="s">
        <v>21</v>
      </c>
      <c r="R8" t="s">
        <v>248</v>
      </c>
      <c r="T8">
        <f>SUM(Table4[Error])</f>
        <v>79.427393347791295</v>
      </c>
      <c r="V8">
        <f>COUNTIF(Table4[Locked Correct],"")</f>
        <v>960</v>
      </c>
    </row>
    <row r="9" spans="1:22" x14ac:dyDescent="0.2">
      <c r="A9" s="4" t="s">
        <v>10</v>
      </c>
      <c r="B9">
        <v>0.30570968833820172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-0.14464931395309213</v>
      </c>
      <c r="H9" t="s">
        <v>10</v>
      </c>
      <c r="I9">
        <f>VLOOKUP(Table4[[#This Row],[Visitor]],'NHL Model'!$A$6:$B$38,2,FALSE)</f>
        <v>-0.15263505358797036</v>
      </c>
      <c r="J9">
        <f>($B$1+Table4[[#This Row],[Home Differential]])-Table4[[#This Row],[Away Differential]]</f>
        <v>0.14552912860729458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0.61112639399828539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0.15122268144477677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1.5475013591489768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-0.51535072045188635</v>
      </c>
      <c r="H10" t="s">
        <v>15</v>
      </c>
      <c r="I10">
        <f>VLOOKUP(Table4[[#This Row],[Visitor]],'NHL Model'!$A$6:$B$38,2,FALSE)</f>
        <v>-0.49835870184734621</v>
      </c>
      <c r="J10">
        <f>($B$1+Table4[[#This Row],[Home Differential]])-Table4[[#This Row],[Away Differential]]</f>
        <v>0.12055137036787622</v>
      </c>
      <c r="K10" t="str">
        <f>IF(Table4[[#This Row],[HomeIce Differential]]&gt;0,Table4[[#This Row],[Home]],Table4[[#This Row],[Visitor]])</f>
        <v>Buffalo Sabres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0.4866671637639971</v>
      </c>
      <c r="M10" t="str">
        <f>IF(OR((NHL2025_26Results[[#This Row],[Winning Team]]="")),"-",IF(Table4[[#This Row],[Predicted Winner]]=NHL2025_26Results[[#This Row],[Winning Team]],"YES","NO"))</f>
        <v>NO</v>
      </c>
      <c r="N10">
        <f>IF(Table4[[#This Row],[Adjusted Correct]]="-", "",IF(Table4[[#This Row],[Adjusted Correct]]="YES",(Table4[[#This Row],[Strength of Win]]-1)^2,(Table4[[#This Row],[Strength of Win]]-0)^2))</f>
        <v>0.23684492828609319</v>
      </c>
      <c r="O10">
        <v>2.893763878885032E-2</v>
      </c>
      <c r="P10" s="11"/>
      <c r="Q10" t="s">
        <v>23</v>
      </c>
      <c r="R10" t="s">
        <v>249</v>
      </c>
      <c r="T10">
        <v>0.13337823054862685</v>
      </c>
    </row>
    <row r="11" spans="1:22" x14ac:dyDescent="0.2">
      <c r="A11" s="4" t="s">
        <v>28</v>
      </c>
      <c r="B11">
        <v>-0.40822279081308277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0.42515174825138019</v>
      </c>
      <c r="H11" t="s">
        <v>24</v>
      </c>
      <c r="I11">
        <f>VLOOKUP(Table4[[#This Row],[Visitor]],'NHL Model'!$A$6:$B$38,2,FALSE)</f>
        <v>-1.8032585202533785E-2</v>
      </c>
      <c r="J11">
        <f>($B$1+Table4[[#This Row],[Home Differential]])-Table4[[#This Row],[Away Differential]]</f>
        <v>0.58072772242633031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0.66836552695684892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0.1099814237106085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0.19809534061227302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1.4458345276269271</v>
      </c>
      <c r="H12" t="s">
        <v>55</v>
      </c>
      <c r="I12">
        <f>VLOOKUP(Table4[[#This Row],[Visitor]],'NHL Model'!$A$6:$B$38,2,FALSE)</f>
        <v>-0.30969050963205513</v>
      </c>
      <c r="J12">
        <f>($B$1+Table4[[#This Row],[Home Differential]])-Table4[[#This Row],[Away Differential]]</f>
        <v>1.8930684262313986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0.88741475191885266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1.267543808549349E-2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-0.513643833119658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-0.66335717753705836</v>
      </c>
      <c r="H13" t="s">
        <v>18</v>
      </c>
      <c r="I13">
        <f>VLOOKUP(Table4[[#This Row],[Visitor]],'NHL Model'!$A$6:$B$38,2,FALSE)</f>
        <v>-0.74754136228530599</v>
      </c>
      <c r="J13">
        <f>($B$1+Table4[[#This Row],[Home Differential]])-Table4[[#This Row],[Away Differential]]</f>
        <v>0.22172757372066398</v>
      </c>
      <c r="K13" t="str">
        <f>IF(Table4[[#This Row],[HomeIce Differential]]&gt;0,Table4[[#This Row],[Home]],Table4[[#This Row],[Visitor]])</f>
        <v>Detroit Red Wings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0.55512107670217681</v>
      </c>
      <c r="M13" t="str">
        <f>IF(OR((NHL2025_26Results[[#This Row],[Winning Team]]="")),"-",IF(Table4[[#This Row],[Predicted Winner]]=NHL2025_26Results[[#This Row],[Winning Team]],"YES","NO"))</f>
        <v>NO</v>
      </c>
      <c r="N13">
        <f>IF(Table4[[#This Row],[Adjusted Correct]]="-", "",IF(Table4[[#This Row],[Adjusted Correct]]="YES",(Table4[[#This Row],[Strength of Win]]-1)^2,(Table4[[#This Row],[Strength of Win]]-0)^2))</f>
        <v>0.30815940979898404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-0.61980804137564283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-0.37836939589441088</v>
      </c>
      <c r="H14" t="s">
        <v>27</v>
      </c>
      <c r="I14">
        <f>VLOOKUP(Table4[[#This Row],[Visitor]],'NHL Model'!$A$6:$B$38,2,FALSE)</f>
        <v>-0.42203126246971279</v>
      </c>
      <c r="J14">
        <f>($B$1+Table4[[#This Row],[Home Differential]])-Table4[[#This Row],[Away Differential]]</f>
        <v>0.18120525554771827</v>
      </c>
      <c r="K14" t="str">
        <f>IF(Table4[[#This Row],[HomeIce Differential]]&gt;0,Table4[[#This Row],[Home]],Table4[[#This Row],[Visitor]])</f>
        <v>Florida Panthers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0.61588481268242723</v>
      </c>
      <c r="M14" t="str">
        <f>IF(OR((NHL2025_26Results[[#This Row],[Winning Team]]="")),"-",IF(Table4[[#This Row],[Predicted Winner]]=NHL2025_26Results[[#This Row],[Winning Team]],"YES","NO"))</f>
        <v>YES</v>
      </c>
      <c r="N14">
        <f>IF(Table4[[#This Row],[Adjusted Correct]]="-", "",IF(Table4[[#This Row],[Adjusted Correct]]="YES",(Table4[[#This Row],[Strength of Win]]-1)^2,(Table4[[#This Row],[Strength of Win]]-0)^2))</f>
        <v>0.14754447712801402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-0.28105923893144158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-1.4957350924899622</v>
      </c>
      <c r="H15" t="s">
        <v>28</v>
      </c>
      <c r="I15">
        <f>VLOOKUP(Table4[[#This Row],[Visitor]],'NHL Model'!$A$6:$B$38,2,FALSE)</f>
        <v>-0.59418600019583889</v>
      </c>
      <c r="J15">
        <f>($B$1+Table4[[#This Row],[Home Differential]])-Table4[[#This Row],[Away Differential]]</f>
        <v>-0.76400570332170681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0.56273122192566594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0.3166664281299531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-7.5459708298993802E-2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-0.2090057419115289</v>
      </c>
      <c r="H16" t="s">
        <v>30</v>
      </c>
      <c r="I16">
        <f>VLOOKUP(Table4[[#This Row],[Visitor]],'NHL Model'!$A$6:$B$38,2,FALSE)</f>
        <v>3.838472305373858E-3</v>
      </c>
      <c r="J16">
        <f>($B$1+Table4[[#This Row],[Home Differential]])-Table4[[#This Row],[Away Differential]]</f>
        <v>-7.5300825244486405E-2</v>
      </c>
      <c r="K16" t="str">
        <f>IF(Table4[[#This Row],[HomeIce Differential]]&gt;0,Table4[[#This Row],[Home]],Table4[[#This Row],[Visitor]])</f>
        <v>New York Islanders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0.54266665993781715</v>
      </c>
      <c r="M16" t="str">
        <f>IF(OR((NHL2025_26Results[[#This Row],[Winning Team]]="")),"-",IF(Table4[[#This Row],[Predicted Winner]]=NHL2025_26Results[[#This Row],[Winning Team]],"YES","NO"))</f>
        <v>NO</v>
      </c>
      <c r="N16">
        <f>IF(Table4[[#This Row],[Adjusted Correct]]="-", "",IF(Table4[[#This Row],[Adjusted Correct]]="YES",(Table4[[#This Row],[Strength of Win]]-1)^2,(Table4[[#This Row],[Strength of Win]]-0)^2))</f>
        <v>0.29448710380806647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-0.53650300840565446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-0.45007023285116615</v>
      </c>
      <c r="H17" t="s">
        <v>31</v>
      </c>
      <c r="I17">
        <f>VLOOKUP(Table4[[#This Row],[Visitor]],'NHL Model'!$A$6:$B$38,2,FALSE)</f>
        <v>0.34329638981067145</v>
      </c>
      <c r="J17">
        <f>($B$1+Table4[[#This Row],[Home Differential]])-Table4[[#This Row],[Away Differential]]</f>
        <v>-0.65582323368942119</v>
      </c>
      <c r="K17" t="str">
        <f>IF(Table4[[#This Row],[HomeIce Differential]]&gt;0,Table4[[#This Row],[Home]],Table4[[#This Row],[Visitor]])</f>
        <v>Anaheim Ducks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0.54201799700762809</v>
      </c>
      <c r="M17" t="str">
        <f>IF(OR((NHL2025_26Results[[#This Row],[Winning Team]]="")),"-",IF(Table4[[#This Row],[Predicted Winner]]=NHL2025_26Results[[#This Row],[Winning Team]],"YES","NO"))</f>
        <v>NO</v>
      </c>
      <c r="N17">
        <f>IF(Table4[[#This Row],[Adjusted Correct]]="-", "",IF(Table4[[#This Row],[Adjusted Correct]]="YES",(Table4[[#This Row],[Strength of Win]]-1)^2,(Table4[[#This Row],[Strength of Win]]-0)^2))</f>
        <v>0.29378350908016115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-0.52437726201848234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-0.36178381286707545</v>
      </c>
      <c r="H18" t="s">
        <v>20</v>
      </c>
      <c r="I18">
        <f>VLOOKUP(Table4[[#This Row],[Visitor]],'NHL Model'!$A$6:$B$38,2,FALSE)</f>
        <v>0.12073374225454764</v>
      </c>
      <c r="J18">
        <f>($B$1+Table4[[#This Row],[Home Differential]])-Table4[[#This Row],[Away Differential]]</f>
        <v>-0.34497416614920673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0.52678127463519997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0.22393596203588603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-1.3516250707060606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-1.5569791149906038</v>
      </c>
      <c r="H19" t="s">
        <v>34</v>
      </c>
      <c r="I19">
        <f>VLOOKUP(Table4[[#This Row],[Visitor]],'NHL Model'!$A$6:$B$38,2,FALSE)</f>
        <v>-0.16358905079701039</v>
      </c>
      <c r="J19">
        <f>($B$1+Table4[[#This Row],[Home Differential]])-Table4[[#This Row],[Away Differential]]</f>
        <v>-1.255846675221177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0.6482718381506074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0.12371269983795251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0.559441163373953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7.1667377873261273E-2</v>
      </c>
      <c r="H20" t="s">
        <v>36</v>
      </c>
      <c r="I20">
        <f>VLOOKUP(Table4[[#This Row],[Visitor]],'NHL Model'!$A$6:$B$38,2,FALSE)</f>
        <v>-0.31751962084606655</v>
      </c>
      <c r="J20">
        <f>($B$1+Table4[[#This Row],[Home Differential]])-Table4[[#This Row],[Away Differential]]</f>
        <v>0.52673038769174418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0.59199349752129971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0.35045630110750109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-6.4729560818359025E-2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-1.1236485959014608</v>
      </c>
      <c r="H21" t="s">
        <v>16</v>
      </c>
      <c r="I21">
        <f>VLOOKUP(Table4[[#This Row],[Visitor]],'NHL Model'!$A$6:$B$38,2,FALSE)</f>
        <v>-1.0952038865534519</v>
      </c>
      <c r="J21">
        <f>($B$1+Table4[[#This Row],[Home Differential]])-Table4[[#This Row],[Away Differential]]</f>
        <v>0.10909867962440745</v>
      </c>
      <c r="K21" t="str">
        <f>IF(Table4[[#This Row],[HomeIce Differential]]&gt;0,Table4[[#This Row],[Home]],Table4[[#This Row],[Visitor]])</f>
        <v>Vancouver Canucks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0.55455138884349497</v>
      </c>
      <c r="M21" t="str">
        <f>IF(OR((NHL2025_26Results[[#This Row],[Winning Team]]="")),"-",IF(Table4[[#This Row],[Predicted Winner]]=NHL2025_26Results[[#This Row],[Winning Team]],"YES","NO"))</f>
        <v>YES</v>
      </c>
      <c r="N21">
        <f>IF(Table4[[#This Row],[Adjusted Correct]]="-", "",IF(Table4[[#This Row],[Adjusted Correct]]="YES",(Table4[[#This Row],[Strength of Win]]-1)^2,(Table4[[#This Row],[Strength of Win]]-0)^2))</f>
        <v>0.19842446518125922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-0.30719665303039001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-6.0247860940930854E-2</v>
      </c>
      <c r="H22" t="s">
        <v>39</v>
      </c>
      <c r="I22">
        <f>VLOOKUP(Table4[[#This Row],[Visitor]],'NHL Model'!$A$6:$B$38,2,FALSE)</f>
        <v>4.3828122498436855E-3</v>
      </c>
      <c r="J22">
        <f>($B$1+Table4[[#This Row],[Home Differential]])-Table4[[#This Row],[Away Differential]]</f>
        <v>7.2912715781641824E-2</v>
      </c>
      <c r="K22" t="str">
        <f>IF(Table4[[#This Row],[HomeIce Differential]]&gt;0,Table4[[#This Row],[Home]],Table4[[#This Row],[Visitor]])</f>
        <v>Winnipeg Jets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0.4712634305539119</v>
      </c>
      <c r="M22" t="str">
        <f>IF(OR((NHL2025_26Results[[#This Row],[Winning Team]]="")),"-",IF(Table4[[#This Row],[Predicted Winner]]=NHL2025_26Results[[#This Row],[Winning Team]],"YES","NO"))</f>
        <v>NO</v>
      </c>
      <c r="N22">
        <f>IF(Table4[[#This Row],[Adjusted Correct]]="-", "",IF(Table4[[#This Row],[Adjusted Correct]]="YES",(Table4[[#This Row],[Strength of Win]]-1)^2,(Table4[[#This Row],[Strength of Win]]-0)^2))</f>
        <v>0.22208922097744174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-0.40651947573390851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-0.14464931395309213</v>
      </c>
      <c r="H23" t="s">
        <v>23</v>
      </c>
      <c r="I23">
        <f>VLOOKUP(Table4[[#This Row],[Visitor]],'NHL Model'!$A$6:$B$38,2,FALSE)</f>
        <v>-0.51535072045188635</v>
      </c>
      <c r="J23">
        <f>($B$1+Table4[[#This Row],[Home Differential]])-Table4[[#This Row],[Away Differential]]</f>
        <v>0.5082447954712106</v>
      </c>
      <c r="K23" t="str">
        <f>IF(Table4[[#This Row],[HomeIce Differential]]&gt;0,Table4[[#This Row],[Home]],Table4[[#This Row],[Visitor]])</f>
        <v>Boston Bruins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0.65950476783685974</v>
      </c>
      <c r="M23" t="str">
        <f>IF(OR((NHL2025_26Results[[#This Row],[Winning Team]]="")),"-",IF(Table4[[#This Row],[Predicted Winner]]=NHL2025_26Results[[#This Row],[Winning Team]],"YES","NO"))</f>
        <v>YES</v>
      </c>
      <c r="N23">
        <f>IF(Table4[[#This Row],[Adjusted Correct]]="-", "",IF(Table4[[#This Row],[Adjusted Correct]]="YES",(Table4[[#This Row],[Strength of Win]]-1)^2,(Table4[[#This Row],[Strength of Win]]-0)^2))</f>
        <v>0.11593700312583079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-0.51358590497437617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0.42515174825138019</v>
      </c>
      <c r="H24" t="s">
        <v>27</v>
      </c>
      <c r="I24">
        <f>VLOOKUP(Table4[[#This Row],[Visitor]],'NHL Model'!$A$6:$B$38,2,FALSE)</f>
        <v>-0.42203126246971279</v>
      </c>
      <c r="J24">
        <f>($B$1+Table4[[#This Row],[Home Differential]])-Table4[[#This Row],[Away Differential]]</f>
        <v>0.98472639969350928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0.72305704109700097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7.669740248594821E-2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0.26289091192875702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-1.0952038865534519</v>
      </c>
      <c r="H25" t="s">
        <v>35</v>
      </c>
      <c r="I25">
        <f>VLOOKUP(Table4[[#This Row],[Visitor]],'NHL Model'!$A$6:$B$38,2,FALSE)</f>
        <v>-1.5569791149906038</v>
      </c>
      <c r="J25">
        <f>($B$1+Table4[[#This Row],[Home Differential]])-Table4[[#This Row],[Away Differential]]</f>
        <v>0.59931861740956827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0.61993605672493768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0.38432071442766513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-0.39418177254008485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-0.15263505358797036</v>
      </c>
      <c r="H26" t="s">
        <v>18</v>
      </c>
      <c r="I26">
        <f>VLOOKUP(Table4[[#This Row],[Visitor]],'NHL Model'!$A$6:$B$38,2,FALSE)</f>
        <v>-0.74754136228530599</v>
      </c>
      <c r="J26">
        <f>($B$1+Table4[[#This Row],[Home Differential]])-Table4[[#This Row],[Away Differential]]</f>
        <v>0.73244969766975199</v>
      </c>
      <c r="K26" t="str">
        <f>IF(Table4[[#This Row],[HomeIce Differential]]&gt;0,Table4[[#This Row],[Home]],Table4[[#This Row],[Visitor]])</f>
        <v>Chicago Blackhawks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0.59059345316033796</v>
      </c>
      <c r="M26" t="str">
        <f>IF(OR((NHL2025_26Results[[#This Row],[Winning Team]]="")),"-",IF(Table4[[#This Row],[Predicted Winner]]=NHL2025_26Results[[#This Row],[Winning Team]],"YES","NO"))</f>
        <v>NO</v>
      </c>
      <c r="N26">
        <f>IF(Table4[[#This Row],[Adjusted Correct]]="-", "",IF(Table4[[#This Row],[Adjusted Correct]]="YES",(Table4[[#This Row],[Strength of Win]]-1)^2,(Table4[[#This Row],[Strength of Win]]-0)^2))</f>
        <v>0.34880062691585229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-0.361361309178443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1.4458345276269271</v>
      </c>
      <c r="H27" t="s">
        <v>39</v>
      </c>
      <c r="I27">
        <f>VLOOKUP(Table4[[#This Row],[Visitor]],'NHL Model'!$A$6:$B$38,2,FALSE)</f>
        <v>4.3828122498436855E-3</v>
      </c>
      <c r="J27">
        <f>($B$1+Table4[[#This Row],[Home Differential]])-Table4[[#This Row],[Away Differential]]</f>
        <v>1.5789951043494999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0.76756559837953642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0.5891569478157358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-1.6211574240381006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-0.66335717753705836</v>
      </c>
      <c r="H28" t="s">
        <v>19</v>
      </c>
      <c r="I28">
        <f>VLOOKUP(Table4[[#This Row],[Visitor]],'NHL Model'!$A$6:$B$38,2,FALSE)</f>
        <v>-0.93520311342823803</v>
      </c>
      <c r="J28">
        <f>($B$1+Table4[[#This Row],[Home Differential]])-Table4[[#This Row],[Away Differential]]</f>
        <v>0.40938932486359603</v>
      </c>
      <c r="K28" t="str">
        <f>IF(Table4[[#This Row],[HomeIce Differential]]&gt;0,Table4[[#This Row],[Home]],Table4[[#This Row],[Visitor]])</f>
        <v>Detroit Red Wings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0.62684968956410103</v>
      </c>
      <c r="M28" t="str">
        <f>IF(OR((NHL2025_26Results[[#This Row],[Winning Team]]="")),"-",IF(Table4[[#This Row],[Predicted Winner]]=NHL2025_26Results[[#This Row],[Winning Team]],"YES","NO"))</f>
        <v>YES</v>
      </c>
      <c r="N28">
        <f>IF(Table4[[#This Row],[Adjusted Correct]]="-", "",IF(Table4[[#This Row],[Adjusted Correct]]="YES",(Table4[[#This Row],[Strength of Win]]-1)^2,(Table4[[#This Row],[Strength of Win]]-0)^2))</f>
        <v>0.13924115417840777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-0.11309445867623392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-0.87263145033954281</v>
      </c>
      <c r="H29" t="s">
        <v>38</v>
      </c>
      <c r="I29">
        <f>VLOOKUP(Table4[[#This Row],[Visitor]],'NHL Model'!$A$6:$B$38,2,FALSE)</f>
        <v>-1.1236485959014608</v>
      </c>
      <c r="J29">
        <f>($B$1+Table4[[#This Row],[Home Differential]])-Table4[[#This Row],[Away Differential]]</f>
        <v>0.38856053453433437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0.6073810721127737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0.154149622535315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-0.635565543477981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-0.37836939589441088</v>
      </c>
      <c r="H30" t="s">
        <v>36</v>
      </c>
      <c r="I30">
        <f>VLOOKUP(Table4[[#This Row],[Visitor]],'NHL Model'!$A$6:$B$38,2,FALSE)</f>
        <v>-0.31751962084606655</v>
      </c>
      <c r="J30">
        <f>($B$1+Table4[[#This Row],[Home Differential]])-Table4[[#This Row],[Away Differential]]</f>
        <v>7.6693613924072035E-2</v>
      </c>
      <c r="K30" t="str">
        <f>IF(Table4[[#This Row],[HomeIce Differential]]&gt;0,Table4[[#This Row],[Home]],Table4[[#This Row],[Visitor]])</f>
        <v>Florida Panthers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0.58165782994814375</v>
      </c>
      <c r="M30" t="str">
        <f>IF(OR((NHL2025_26Results[[#This Row],[Winning Team]]="")),"-",IF(Table4[[#This Row],[Predicted Winner]]=NHL2025_26Results[[#This Row],[Winning Team]],"YES","NO"))</f>
        <v>YES</v>
      </c>
      <c r="N30">
        <f>IF(Table4[[#This Row],[Adjusted Correct]]="-", "",IF(Table4[[#This Row],[Adjusted Correct]]="YES",(Table4[[#This Row],[Strength of Win]]-1)^2,(Table4[[#This Row],[Strength of Win]]-0)^2))</f>
        <v>0.17501017124369622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-0.12212311954851815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-0.16358905079701039</v>
      </c>
      <c r="H31" t="s">
        <v>28</v>
      </c>
      <c r="I31">
        <f>VLOOKUP(Table4[[#This Row],[Visitor]],'NHL Model'!$A$6:$B$38,2,FALSE)</f>
        <v>-0.59418600019583889</v>
      </c>
      <c r="J31">
        <f>($B$1+Table4[[#This Row],[Home Differential]])-Table4[[#This Row],[Away Differential]]</f>
        <v>0.56814033837124489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0.61494805994769719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0.37816111643343658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-0.6902088310934803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-1.4957350924899622</v>
      </c>
      <c r="H32" t="s">
        <v>55</v>
      </c>
      <c r="I32">
        <f>VLOOKUP(Table4[[#This Row],[Visitor]],'NHL Model'!$A$6:$B$38,2,FALSE)</f>
        <v>-0.30969050963205513</v>
      </c>
      <c r="J32">
        <f>($B$1+Table4[[#This Row],[Home Differential]])-Table4[[#This Row],[Away Differential]]</f>
        <v>-1.0485011938854907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0.59984723396856954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0.16012223616260474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-6.3745791019188943E-4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3.838472305373858E-3</v>
      </c>
      <c r="H33" t="s">
        <v>22</v>
      </c>
      <c r="I33">
        <f>VLOOKUP(Table4[[#This Row],[Visitor]],'NHL Model'!$A$6:$B$38,2,FALSE)</f>
        <v>6.4811420118814619E-2</v>
      </c>
      <c r="J33">
        <f>($B$1+Table4[[#This Row],[Home Differential]])-Table4[[#This Row],[Away Differential]]</f>
        <v>7.6570441158975586E-2</v>
      </c>
      <c r="K33" t="str">
        <f>IF(Table4[[#This Row],[HomeIce Differential]]&gt;0,Table4[[#This Row],[Home]],Table4[[#This Row],[Visitor]])</f>
        <v>New York Islanders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0.52944359918488115</v>
      </c>
      <c r="M33" t="str">
        <f>IF(OR((NHL2025_26Results[[#This Row],[Winning Team]]="")),"-",IF(Table4[[#This Row],[Predicted Winner]]=NHL2025_26Results[[#This Row],[Winning Team]],"YES","NO"))</f>
        <v>NO</v>
      </c>
      <c r="N33">
        <f>IF(Table4[[#This Row],[Adjusted Correct]]="-", "",IF(Table4[[#This Row],[Adjusted Correct]]="YES",(Table4[[#This Row],[Strength of Win]]-1)^2,(Table4[[#This Row],[Strength of Win]]-0)^2))</f>
        <v>0.28031052471784107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-6.1308839486784707E-2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-0.2090057419115289</v>
      </c>
      <c r="H34" t="s">
        <v>15</v>
      </c>
      <c r="I34">
        <f>VLOOKUP(Table4[[#This Row],[Visitor]],'NHL Model'!$A$6:$B$38,2,FALSE)</f>
        <v>-0.49835870184734621</v>
      </c>
      <c r="J34">
        <f>($B$1+Table4[[#This Row],[Home Differential]])-Table4[[#This Row],[Away Differential]]</f>
        <v>0.42689634890823369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0.51346041877548421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0.26364160164909561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0.105105258369765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-0.45007023285116615</v>
      </c>
      <c r="H35" t="s">
        <v>20</v>
      </c>
      <c r="I35">
        <f>VLOOKUP(Table4[[#This Row],[Visitor]],'NHL Model'!$A$6:$B$38,2,FALSE)</f>
        <v>0.12073374225454764</v>
      </c>
      <c r="J35">
        <f>($B$1+Table4[[#This Row],[Home Differential]])-Table4[[#This Row],[Away Differential]]</f>
        <v>-0.43326058613329743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0.51233298489037471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0.26248508740668092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-7.6523491360758822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-0.36178381286707545</v>
      </c>
      <c r="H36" t="s">
        <v>31</v>
      </c>
      <c r="I36">
        <f>VLOOKUP(Table4[[#This Row],[Visitor]],'NHL Model'!$A$6:$B$38,2,FALSE)</f>
        <v>0.34329638981067145</v>
      </c>
      <c r="J36">
        <f>($B$1+Table4[[#This Row],[Home Differential]])-Table4[[#This Row],[Away Differential]]</f>
        <v>-0.56753681370533049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0.55646628675245335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0.19672215478715693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7.1667377873261273E-2</v>
      </c>
      <c r="H37" t="s">
        <v>24</v>
      </c>
      <c r="I37">
        <f>VLOOKUP(Table4[[#This Row],[Visitor]],'NHL Model'!$A$6:$B$38,2,FALSE)</f>
        <v>-1.8032585202533785E-2</v>
      </c>
      <c r="J37">
        <f>($B$1+Table4[[#This Row],[Home Differential]])-Table4[[#This Row],[Away Differential]]</f>
        <v>0.22724335204821142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0.57197598286679574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0.32715652497643699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-6.0247860940930854E-2</v>
      </c>
      <c r="H38" t="s">
        <v>13</v>
      </c>
      <c r="I38">
        <f>VLOOKUP(Table4[[#This Row],[Visitor]],'NHL Model'!$A$6:$B$38,2,FALSE)</f>
        <v>-0.36134162888396865</v>
      </c>
      <c r="J38">
        <f>($B$1+Table4[[#This Row],[Home Differential]])-Table4[[#This Row],[Away Differential]]</f>
        <v>0.43863715691545413</v>
      </c>
      <c r="K38" t="str">
        <f>IF(Table4[[#This Row],[HomeIce Differential]]&gt;0,Table4[[#This Row],[Home]],Table4[[#This Row],[Visitor]])</f>
        <v>Winnipeg Jets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0.51752104128488663</v>
      </c>
      <c r="M38" t="str">
        <f>IF(OR((NHL2025_26Results[[#This Row],[Winning Team]]="")),"-",IF(Table4[[#This Row],[Predicted Winner]]=NHL2025_26Results[[#This Row],[Winning Team]],"YES","NO"))</f>
        <v>YES</v>
      </c>
      <c r="N38">
        <f>IF(Table4[[#This Row],[Adjusted Correct]]="-", "",IF(Table4[[#This Row],[Adjusted Correct]]="YES",(Table4[[#This Row],[Strength of Win]]-1)^2,(Table4[[#This Row],[Strength of Win]]-0)^2))</f>
        <v>0.23278594560282007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-0.49835870184734621</v>
      </c>
      <c r="H39" t="s">
        <v>22</v>
      </c>
      <c r="I39">
        <f>VLOOKUP(Table4[[#This Row],[Visitor]],'NHL Model'!$A$6:$B$38,2,FALSE)</f>
        <v>6.4811420118814619E-2</v>
      </c>
      <c r="J39">
        <f>($B$1+Table4[[#This Row],[Home Differential]])-Table4[[#This Row],[Away Differential]]</f>
        <v>-0.42562673299374448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0.53753857129012927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0.21387057304437485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0.7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-0.14464931395309213</v>
      </c>
      <c r="H40" t="s">
        <v>37</v>
      </c>
      <c r="I40">
        <f>VLOOKUP(Table4[[#This Row],[Visitor]],'NHL Model'!$A$6:$B$38,2,FALSE)</f>
        <v>7.1667377873261273E-2</v>
      </c>
      <c r="J40">
        <f>($B$1+Table4[[#This Row],[Home Differential]])-Table4[[#This Row],[Away Differential]]</f>
        <v>-7.8773302853937049E-2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0.48419085427544506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0.26605907481309515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-0.51535072045188635</v>
      </c>
      <c r="H41" t="s">
        <v>12</v>
      </c>
      <c r="I41">
        <f>VLOOKUP(Table4[[#This Row],[Visitor]],'NHL Model'!$A$6:$B$38,2,FALSE)</f>
        <v>1.4458345276269271</v>
      </c>
      <c r="J41">
        <f>($B$1+Table4[[#This Row],[Home Differential]])-Table4[[#This Row],[Away Differential]]</f>
        <v>-1.823641859106397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0.78169566278355795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4.7656783647510047E-2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0.2857142857142857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-0.59418600019583889</v>
      </c>
      <c r="H42" t="s">
        <v>24</v>
      </c>
      <c r="I42">
        <f>VLOOKUP(Table4[[#This Row],[Visitor]],'NHL Model'!$A$6:$B$38,2,FALSE)</f>
        <v>-1.8032585202533785E-2</v>
      </c>
      <c r="J42">
        <f>($B$1+Table4[[#This Row],[Home Differential]])-Table4[[#This Row],[Away Differential]]</f>
        <v>-0.43861002602088872</v>
      </c>
      <c r="K42" t="str">
        <f>IF(Table4[[#This Row],[HomeIce Differential]]&gt;0,Table4[[#This Row],[Home]],Table4[[#This Row],[Visitor]])</f>
        <v>New Jersey Devils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0.51228254177659538</v>
      </c>
      <c r="M42" t="str">
        <f>IF(OR((NHL2025_26Results[[#This Row],[Winning Team]]="")),"-",IF(Table4[[#This Row],[Predicted Winner]]=NHL2025_26Results[[#This Row],[Winning Team]],"YES","NO"))</f>
        <v>YES</v>
      </c>
      <c r="N42">
        <f>IF(Table4[[#This Row],[Adjusted Correct]]="-", "",IF(Table4[[#This Row],[Adjusted Correct]]="YES",(Table4[[#This Row],[Strength of Win]]-1)^2,(Table4[[#This Row],[Strength of Win]]-0)^2))</f>
        <v>0.23786831905589842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0.8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-0.15263505358797036</v>
      </c>
      <c r="H43" t="s">
        <v>55</v>
      </c>
      <c r="I43">
        <f>VLOOKUP(Table4[[#This Row],[Visitor]],'NHL Model'!$A$6:$B$38,2,FALSE)</f>
        <v>-0.30969050963205513</v>
      </c>
      <c r="J43">
        <f>($B$1+Table4[[#This Row],[Home Differential]])-Table4[[#This Row],[Away Differential]]</f>
        <v>0.29459884501650113</v>
      </c>
      <c r="K43" t="str">
        <f>IF(Table4[[#This Row],[HomeIce Differential]]&gt;0,Table4[[#This Row],[Home]],Table4[[#This Row],[Visitor]])</f>
        <v>Chicago Blackhawks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0.5792930726699701</v>
      </c>
      <c r="M43" t="str">
        <f>IF(OR((NHL2025_26Results[[#This Row],[Winning Team]]="")),"-",IF(Table4[[#This Row],[Predicted Winner]]=NHL2025_26Results[[#This Row],[Winning Team]],"YES","NO"))</f>
        <v>YES</v>
      </c>
      <c r="N43">
        <f>IF(Table4[[#This Row],[Adjusted Correct]]="-", "",IF(Table4[[#This Row],[Adjusted Correct]]="YES",(Table4[[#This Row],[Strength of Win]]-1)^2,(Table4[[#This Row],[Strength of Win]]-0)^2))</f>
        <v>0.17699431870347507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-0.16358905079701039</v>
      </c>
      <c r="H44" t="s">
        <v>13</v>
      </c>
      <c r="I44">
        <f>VLOOKUP(Table4[[#This Row],[Visitor]],'NHL Model'!$A$6:$B$38,2,FALSE)</f>
        <v>-0.36134162888396865</v>
      </c>
      <c r="J44">
        <f>($B$1+Table4[[#This Row],[Home Differential]])-Table4[[#This Row],[Away Differential]]</f>
        <v>0.33529596705937459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0.50124292192690489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0.24875862292801149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0.66666666666666663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3.838472305373858E-3</v>
      </c>
      <c r="H45" t="s">
        <v>40</v>
      </c>
      <c r="I45">
        <f>VLOOKUP(Table4[[#This Row],[Visitor]],'NHL Model'!$A$6:$B$38,2,FALSE)</f>
        <v>-6.0247860940930854E-2</v>
      </c>
      <c r="J45">
        <f>($B$1+Table4[[#This Row],[Home Differential]])-Table4[[#This Row],[Away Differential]]</f>
        <v>0.20162972221872105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0.50057722610185995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0.25057755929183262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-0.31751962084606655</v>
      </c>
      <c r="H46" t="s">
        <v>29</v>
      </c>
      <c r="I46">
        <f>VLOOKUP(Table4[[#This Row],[Visitor]],'NHL Model'!$A$6:$B$38,2,FALSE)</f>
        <v>-1.4957350924899622</v>
      </c>
      <c r="J46">
        <f>($B$1+Table4[[#This Row],[Home Differential]])-Table4[[#This Row],[Away Differential]]</f>
        <v>1.315758860616312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0.71798906786202099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0.51550830156937377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0.5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-0.42203126246971279</v>
      </c>
      <c r="H47" t="s">
        <v>11</v>
      </c>
      <c r="I47">
        <f>VLOOKUP(Table4[[#This Row],[Visitor]],'NHL Model'!$A$6:$B$38,2,FALSE)</f>
        <v>-0.37836939589441088</v>
      </c>
      <c r="J47">
        <f>($B$1+Table4[[#This Row],[Home Differential]])-Table4[[#This Row],[Away Differential]]</f>
        <v>9.3881522397114447E-2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0.58476781714683601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0.17241776567700343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0.7142857142857143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-0.93520311342823803</v>
      </c>
      <c r="H48" t="s">
        <v>26</v>
      </c>
      <c r="I48">
        <f>VLOOKUP(Table4[[#This Row],[Visitor]],'NHL Model'!$A$6:$B$38,2,FALSE)</f>
        <v>-0.66335717753705836</v>
      </c>
      <c r="J48">
        <f>($B$1+Table4[[#This Row],[Home Differential]])-Table4[[#This Row],[Away Differential]]</f>
        <v>-0.13430254691876331</v>
      </c>
      <c r="K48" t="str">
        <f>IF(Table4[[#This Row],[HomeIce Differential]]&gt;0,Table4[[#This Row],[Home]],Table4[[#This Row],[Visitor]])</f>
        <v>Detroit Red Wings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0.52501242754692878</v>
      </c>
      <c r="M48" t="str">
        <f>IF(OR((NHL2025_26Results[[#This Row],[Winning Team]]="")),"-",IF(Table4[[#This Row],[Predicted Winner]]=NHL2025_26Results[[#This Row],[Winning Team]],"YES","NO"))</f>
        <v>YES</v>
      </c>
      <c r="N48">
        <f>IF(Table4[[#This Row],[Adjusted Correct]]="-", "",IF(Table4[[#This Row],[Adjusted Correct]]="YES",(Table4[[#This Row],[Strength of Win]]-1)^2,(Table4[[#This Row],[Strength of Win]]-0)^2))</f>
        <v>0.22561319398486157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0.66666666666666663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-1.1236485959014608</v>
      </c>
      <c r="H49" t="s">
        <v>35</v>
      </c>
      <c r="I49">
        <f>VLOOKUP(Table4[[#This Row],[Visitor]],'NHL Model'!$A$6:$B$38,2,FALSE)</f>
        <v>-1.5569791149906038</v>
      </c>
      <c r="J49">
        <f>($B$1+Table4[[#This Row],[Home Differential]])-Table4[[#This Row],[Away Differential]]</f>
        <v>0.57087390806155935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0.61614215172363029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0.37963115113062507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0.7142857142857143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0.34329638981067145</v>
      </c>
      <c r="H50" t="s">
        <v>14</v>
      </c>
      <c r="I50">
        <f>VLOOKUP(Table4[[#This Row],[Visitor]],'NHL Model'!$A$6:$B$38,2,FALSE)</f>
        <v>-0.2090057419115289</v>
      </c>
      <c r="J50">
        <f>($B$1+Table4[[#This Row],[Home Differential]])-Table4[[#This Row],[Away Differential]]</f>
        <v>0.68984552069461669</v>
      </c>
      <c r="K50" t="str">
        <f>IF(Table4[[#This Row],[HomeIce Differential]]&gt;0,Table4[[#This Row],[Home]],Table4[[#This Row],[Visitor]])</f>
        <v>Anaheim Ducks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0.72693100982277914</v>
      </c>
      <c r="M50" t="str">
        <f>IF(OR((NHL2025_26Results[[#This Row],[Winning Team]]="")),"-",IF(Table4[[#This Row],[Predicted Winner]]=NHL2025_26Results[[#This Row],[Winning Team]],"YES","NO"))</f>
        <v>YES</v>
      </c>
      <c r="N50">
        <f>IF(Table4[[#This Row],[Adjusted Correct]]="-", "",IF(Table4[[#This Row],[Adjusted Correct]]="YES",(Table4[[#This Row],[Strength of Win]]-1)^2,(Table4[[#This Row],[Strength of Win]]-0)^2))</f>
        <v>7.4566673396407143E-2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0.14285714285714285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-1.0952038865534519</v>
      </c>
      <c r="H51" t="s">
        <v>20</v>
      </c>
      <c r="I51">
        <f>VLOOKUP(Table4[[#This Row],[Visitor]],'NHL Model'!$A$6:$B$38,2,FALSE)</f>
        <v>0.12073374225454764</v>
      </c>
      <c r="J51">
        <f>($B$1+Table4[[#This Row],[Home Differential]])-Table4[[#This Row],[Away Differential]]</f>
        <v>-1.0783942398355832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0.62460354631233228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0.14092249744127724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0.375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4.3828122498436855E-3</v>
      </c>
      <c r="H52" t="s">
        <v>34</v>
      </c>
      <c r="I52">
        <f>VLOOKUP(Table4[[#This Row],[Visitor]],'NHL Model'!$A$6:$B$38,2,FALSE)</f>
        <v>-0.16358905079701039</v>
      </c>
      <c r="J52">
        <f>($B$1+Table4[[#This Row],[Home Differential]])-Table4[[#This Row],[Away Differential]]</f>
        <v>0.30551525201927043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0.56248821415473071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0.19141656275351676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0.66666666666666663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-0.74754136228530599</v>
      </c>
      <c r="H53" t="s">
        <v>32</v>
      </c>
      <c r="I53">
        <f>VLOOKUP(Table4[[#This Row],[Visitor]],'NHL Model'!$A$6:$B$38,2,FALSE)</f>
        <v>-0.45007023285116615</v>
      </c>
      <c r="J53">
        <f>($B$1+Table4[[#This Row],[Home Differential]])-Table4[[#This Row],[Away Differential]]</f>
        <v>-0.15992774046172348</v>
      </c>
      <c r="K53" t="str">
        <f>IF(Table4[[#This Row],[HomeIce Differential]]&gt;0,Table4[[#This Row],[Home]],Table4[[#This Row],[Visitor]])</f>
        <v>Seattle Kraken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0.48133087903842475</v>
      </c>
      <c r="M53" t="str">
        <f>IF(OR((NHL2025_26Results[[#This Row],[Winning Team]]="")),"-",IF(Table4[[#This Row],[Predicted Winner]]=NHL2025_26Results[[#This Row],[Winning Team]],"YES","NO"))</f>
        <v>NO</v>
      </c>
      <c r="N53">
        <f>IF(Table4[[#This Row],[Adjusted Correct]]="-", "",IF(Table4[[#This Row],[Adjusted Correct]]="YES",(Table4[[#This Row],[Strength of Win]]-1)^2,(Table4[[#This Row],[Strength of Win]]-0)^2))</f>
        <v>0.23167941511590268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0.4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-0.49835870184734621</v>
      </c>
      <c r="H54" t="s">
        <v>17</v>
      </c>
      <c r="I54">
        <f>VLOOKUP(Table4[[#This Row],[Visitor]],'NHL Model'!$A$6:$B$38,2,FALSE)</f>
        <v>-0.87263145033954281</v>
      </c>
      <c r="J54">
        <f>($B$1+Table4[[#This Row],[Home Differential]])-Table4[[#This Row],[Away Differential]]</f>
        <v>0.51181613746461296</v>
      </c>
      <c r="K54" t="str">
        <f>IF(Table4[[#This Row],[HomeIce Differential]]&gt;0,Table4[[#This Row],[Home]],Table4[[#This Row],[Visitor]])</f>
        <v>New York Rangers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0.60826513078126287</v>
      </c>
      <c r="M54" t="str">
        <f>IF(OR((NHL2025_26Results[[#This Row],[Winning Team]]="")),"-",IF(Table4[[#This Row],[Predicted Winner]]=NHL2025_26Results[[#This Row],[Winning Team]],"YES","NO"))</f>
        <v>NO</v>
      </c>
      <c r="N54">
        <f>IF(Table4[[#This Row],[Adjusted Correct]]="-", "",IF(Table4[[#This Row],[Adjusted Correct]]="YES",(Table4[[#This Row],[Strength of Win]]-1)^2,(Table4[[#This Row],[Strength of Win]]-0)^2))</f>
        <v>0.36998646932434681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1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-0.36178381286707545</v>
      </c>
      <c r="H55" t="s">
        <v>25</v>
      </c>
      <c r="I55">
        <f>VLOOKUP(Table4[[#This Row],[Visitor]],'NHL Model'!$A$6:$B$38,2,FALSE)</f>
        <v>0.42515174825138019</v>
      </c>
      <c r="J55">
        <f>($B$1+Table4[[#This Row],[Home Differential]])-Table4[[#This Row],[Away Differential]]</f>
        <v>-0.64939217214603928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0.61923794796082421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0.14497974027308402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0.5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-0.93520311342823803</v>
      </c>
      <c r="H56" t="s">
        <v>29</v>
      </c>
      <c r="I56">
        <f>VLOOKUP(Table4[[#This Row],[Visitor]],'NHL Model'!$A$6:$B$38,2,FALSE)</f>
        <v>-1.4957350924899622</v>
      </c>
      <c r="J56">
        <f>($B$1+Table4[[#This Row],[Home Differential]])-Table4[[#This Row],[Away Differential]]</f>
        <v>0.6980753680341405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0.63310805737797515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0.13460969756096317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6.4811420118814619E-2</v>
      </c>
      <c r="H57" t="s">
        <v>37</v>
      </c>
      <c r="I57">
        <f>VLOOKUP(Table4[[#This Row],[Visitor]],'NHL Model'!$A$6:$B$38,2,FALSE)</f>
        <v>7.1667377873261273E-2</v>
      </c>
      <c r="J57">
        <f>($B$1+Table4[[#This Row],[Home Differential]])-Table4[[#This Row],[Away Differential]]</f>
        <v>0.13068743121796972</v>
      </c>
      <c r="K57" t="str">
        <f>IF(Table4[[#This Row],[HomeIce Differential]]&gt;0,Table4[[#This Row],[Home]],Table4[[#This Row],[Visitor]])</f>
        <v>Washington Capitals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0.49111506885711392</v>
      </c>
      <c r="M57" t="str">
        <f>IF(OR((NHL2025_26Results[[#This Row],[Winning Team]]="")),"-",IF(Table4[[#This Row],[Predicted Winner]]=NHL2025_26Results[[#This Row],[Winning Team]],"YES","NO"))</f>
        <v>YES</v>
      </c>
      <c r="N57">
        <f>IF(Table4[[#This Row],[Adjusted Correct]]="-", "",IF(Table4[[#This Row],[Adjusted Correct]]="YES",(Table4[[#This Row],[Strength of Win]]-1)^2,(Table4[[#This Row],[Strength of Win]]-0)^2))</f>
        <v>0.25896387314429986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0.5714285714285714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-0.51535072045188635</v>
      </c>
      <c r="H58" t="s">
        <v>36</v>
      </c>
      <c r="I58">
        <f>VLOOKUP(Table4[[#This Row],[Visitor]],'NHL Model'!$A$6:$B$38,2,FALSE)</f>
        <v>-0.31751962084606655</v>
      </c>
      <c r="J58">
        <f>($B$1+Table4[[#This Row],[Home Differential]])-Table4[[#This Row],[Away Differential]]</f>
        <v>-6.0287710633403435E-2</v>
      </c>
      <c r="K58" t="str">
        <f>IF(Table4[[#This Row],[HomeIce Differential]]&gt;0,Table4[[#This Row],[Home]],Table4[[#This Row],[Visitor]])</f>
        <v>Ottawa Senators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0.47470773483477768</v>
      </c>
      <c r="M58" t="str">
        <f>IF(OR((NHL2025_26Results[[#This Row],[Winning Team]]="")),"-",IF(Table4[[#This Row],[Predicted Winner]]=NHL2025_26Results[[#This Row],[Winning Team]],"YES","NO"))</f>
        <v>NO</v>
      </c>
      <c r="N58">
        <f>IF(Table4[[#This Row],[Adjusted Correct]]="-", "",IF(Table4[[#This Row],[Adjusted Correct]]="YES",(Table4[[#This Row],[Strength of Win]]-1)^2,(Table4[[#This Row],[Strength of Win]]-0)^2))</f>
        <v>0.22534743351196559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0.66666666666666663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-0.66335717753705836</v>
      </c>
      <c r="H59" t="s">
        <v>11</v>
      </c>
      <c r="I59">
        <f>VLOOKUP(Table4[[#This Row],[Visitor]],'NHL Model'!$A$6:$B$38,2,FALSE)</f>
        <v>-0.37836939589441088</v>
      </c>
      <c r="J59">
        <f>($B$1+Table4[[#This Row],[Home Differential]])-Table4[[#This Row],[Away Differential]]</f>
        <v>-0.14744439267023113</v>
      </c>
      <c r="K59" t="str">
        <f>IF(Table4[[#This Row],[HomeIce Differential]]&gt;0,Table4[[#This Row],[Home]],Table4[[#This Row],[Visitor]])</f>
        <v>Florida Panthers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0.44741980639037476</v>
      </c>
      <c r="M59" t="str">
        <f>IF(OR((NHL2025_26Results[[#This Row],[Winning Team]]="")),"-",IF(Table4[[#This Row],[Predicted Winner]]=NHL2025_26Results[[#This Row],[Winning Team]],"YES","NO"))</f>
        <v>NO</v>
      </c>
      <c r="N59">
        <f>IF(Table4[[#This Row],[Adjusted Correct]]="-", "",IF(Table4[[#This Row],[Adjusted Correct]]="YES",(Table4[[#This Row],[Strength of Win]]-1)^2,(Table4[[#This Row],[Strength of Win]]-0)^2))</f>
        <v>0.20018448315040044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0.66666666666666663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-1.5569791149906038</v>
      </c>
      <c r="H60" t="s">
        <v>10</v>
      </c>
      <c r="I60">
        <f>VLOOKUP(Table4[[#This Row],[Visitor]],'NHL Model'!$A$6:$B$38,2,FALSE)</f>
        <v>-0.15263505358797036</v>
      </c>
      <c r="J60">
        <f>($B$1+Table4[[#This Row],[Home Differential]])-Table4[[#This Row],[Away Differential]]</f>
        <v>-1.266800672430217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0.62896363214655304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0.13766798626987842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0.33333333333333331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-0.30969050963205513</v>
      </c>
      <c r="H61" t="s">
        <v>16</v>
      </c>
      <c r="I61">
        <f>VLOOKUP(Table4[[#This Row],[Visitor]],'NHL Model'!$A$6:$B$38,2,FALSE)</f>
        <v>-1.0952038865534519</v>
      </c>
      <c r="J61">
        <f>($B$1+Table4[[#This Row],[Home Differential]])-Table4[[#This Row],[Away Differential]]</f>
        <v>0.92305676589381314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0.71483165446221575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8.1320985296757117E-2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0.5714285714285714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0.34329638981067145</v>
      </c>
      <c r="H62" t="s">
        <v>25</v>
      </c>
      <c r="I62">
        <f>VLOOKUP(Table4[[#This Row],[Visitor]],'NHL Model'!$A$6:$B$38,2,FALSE)</f>
        <v>0.42515174825138019</v>
      </c>
      <c r="J62">
        <f>($B$1+Table4[[#This Row],[Home Differential]])-Table4[[#This Row],[Away Differential]]</f>
        <v>5.5688030531707622E-2</v>
      </c>
      <c r="K62" t="str">
        <f>IF(Table4[[#This Row],[HomeIce Differential]]&gt;0,Table4[[#This Row],[Home]],Table4[[#This Row],[Visitor]])</f>
        <v>Anaheim Ducks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0.57264496227940487</v>
      </c>
      <c r="M62" t="str">
        <f>IF(OR((NHL2025_26Results[[#This Row],[Winning Team]]="")),"-",IF(Table4[[#This Row],[Predicted Winner]]=NHL2025_26Results[[#This Row],[Winning Team]],"YES","NO"))</f>
        <v>NO</v>
      </c>
      <c r="N62">
        <f>IF(Table4[[#This Row],[Adjusted Correct]]="-", "",IF(Table4[[#This Row],[Adjusted Correct]]="YES",(Table4[[#This Row],[Strength of Win]]-1)^2,(Table4[[#This Row],[Strength of Win]]-0)^2))</f>
        <v>0.32792225282398102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0.25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-0.59418600019583889</v>
      </c>
      <c r="H63" t="s">
        <v>12</v>
      </c>
      <c r="I63">
        <f>VLOOKUP(Table4[[#This Row],[Visitor]],'NHL Model'!$A$6:$B$38,2,FALSE)</f>
        <v>1.4458345276269271</v>
      </c>
      <c r="J63">
        <f>($B$1+Table4[[#This Row],[Home Differential]])-Table4[[#This Row],[Away Differential]]</f>
        <v>-1.9024771388503496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0.79920357989361934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4.0319202327538113E-2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4.3828122498436855E-3</v>
      </c>
      <c r="H64" t="s">
        <v>38</v>
      </c>
      <c r="I64">
        <f>VLOOKUP(Table4[[#This Row],[Visitor]],'NHL Model'!$A$6:$B$38,2,FALSE)</f>
        <v>-1.1236485959014608</v>
      </c>
      <c r="J64">
        <f>($B$1+Table4[[#This Row],[Home Differential]])-Table4[[#This Row],[Away Differential]]</f>
        <v>1.2655747971237208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0.69053925750208189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0.47684446615152659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0.7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-0.36134162888396865</v>
      </c>
      <c r="H65" t="s">
        <v>14</v>
      </c>
      <c r="I65">
        <f>VLOOKUP(Table4[[#This Row],[Visitor]],'NHL Model'!$A$6:$B$38,2,FALSE)</f>
        <v>-0.2090057419115289</v>
      </c>
      <c r="J65">
        <f>($B$1+Table4[[#This Row],[Home Differential]])-Table4[[#This Row],[Away Differential]]</f>
        <v>-1.4792498000023385E-2</v>
      </c>
      <c r="K65" t="str">
        <f>IF(Table4[[#This Row],[HomeIce Differential]]&gt;0,Table4[[#This Row],[Home]],Table4[[#This Row],[Visitor]])</f>
        <v>Pittsburgh Penguins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0.46197299720863721</v>
      </c>
      <c r="M65" t="str">
        <f>IF(OR((NHL2025_26Results[[#This Row],[Winning Team]]="")),"-",IF(Table4[[#This Row],[Predicted Winner]]=NHL2025_26Results[[#This Row],[Winning Team]],"YES","NO"))</f>
        <v>YES</v>
      </c>
      <c r="N65">
        <f>IF(Table4[[#This Row],[Adjusted Correct]]="-", "",IF(Table4[[#This Row],[Adjusted Correct]]="YES",(Table4[[#This Row],[Strength of Win]]-1)^2,(Table4[[#This Row],[Strength of Win]]-0)^2))</f>
        <v>0.28947305573265703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0.8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-0.74754136228530599</v>
      </c>
      <c r="H66" t="s">
        <v>29</v>
      </c>
      <c r="I66">
        <f>VLOOKUP(Table4[[#This Row],[Visitor]],'NHL Model'!$A$6:$B$38,2,FALSE)</f>
        <v>-1.4957350924899622</v>
      </c>
      <c r="J66">
        <f>($B$1+Table4[[#This Row],[Home Differential]])-Table4[[#This Row],[Away Differential]]</f>
        <v>0.88573711917707254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0.65813804968707623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0.11686959307175596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0.33333333333333331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-1.8032585202533785E-2</v>
      </c>
      <c r="H67" t="s">
        <v>11</v>
      </c>
      <c r="I67">
        <f>VLOOKUP(Table4[[#This Row],[Visitor]],'NHL Model'!$A$6:$B$38,2,FALSE)</f>
        <v>-0.37836939589441088</v>
      </c>
      <c r="J67">
        <f>($B$1+Table4[[#This Row],[Home Differential]])-Table4[[#This Row],[Away Differential]]</f>
        <v>0.49788019966429342</v>
      </c>
      <c r="K67" t="str">
        <f>IF(Table4[[#This Row],[HomeIce Differential]]&gt;0,Table4[[#This Row],[Home]],Table4[[#This Row],[Visitor]])</f>
        <v>New Jersey Devils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0.72183709166690746</v>
      </c>
      <c r="M67" t="str">
        <f>IF(OR((NHL2025_26Results[[#This Row],[Winning Team]]="")),"-",IF(Table4[[#This Row],[Predicted Winner]]=NHL2025_26Results[[#This Row],[Winning Team]],"YES","NO"))</f>
        <v>YES</v>
      </c>
      <c r="N67">
        <f>IF(Table4[[#This Row],[Adjusted Correct]]="-", "",IF(Table4[[#This Row],[Adjusted Correct]]="YES",(Table4[[#This Row],[Strength of Win]]-1)^2,(Table4[[#This Row],[Strength of Win]]-0)^2))</f>
        <v>7.7374603572324438E-2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0.5714285714285714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3.838472305373858E-3</v>
      </c>
      <c r="H68" t="s">
        <v>17</v>
      </c>
      <c r="I68">
        <f>VLOOKUP(Table4[[#This Row],[Visitor]],'NHL Model'!$A$6:$B$38,2,FALSE)</f>
        <v>-0.87263145033954281</v>
      </c>
      <c r="J68">
        <f>($B$1+Table4[[#This Row],[Home Differential]])-Table4[[#This Row],[Away Differential]]</f>
        <v>1.0140133116173331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0.6752473012562733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0.10546431534133371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-0.31751962084606655</v>
      </c>
      <c r="H69" t="s">
        <v>32</v>
      </c>
      <c r="I69">
        <f>VLOOKUP(Table4[[#This Row],[Visitor]],'NHL Model'!$A$6:$B$38,2,FALSE)</f>
        <v>-0.45007023285116615</v>
      </c>
      <c r="J69">
        <f>($B$1+Table4[[#This Row],[Home Differential]])-Table4[[#This Row],[Away Differential]]</f>
        <v>0.27009400097751596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0.57852013913652012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0.17764527311349837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0.625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-0.42203126246971279</v>
      </c>
      <c r="H70" t="s">
        <v>40</v>
      </c>
      <c r="I70">
        <f>VLOOKUP(Table4[[#This Row],[Visitor]],'NHL Model'!$A$6:$B$38,2,FALSE)</f>
        <v>-6.0247860940930854E-2</v>
      </c>
      <c r="J70">
        <f>($B$1+Table4[[#This Row],[Home Differential]])-Table4[[#This Row],[Away Differential]]</f>
        <v>-0.22424001255636558</v>
      </c>
      <c r="K70" t="str">
        <f>IF(Table4[[#This Row],[HomeIce Differential]]&gt;0,Table4[[#This Row],[Home]],Table4[[#This Row],[Visitor]])</f>
        <v>Winnipeg Jets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0.52357962216891918</v>
      </c>
      <c r="M70" t="str">
        <f>IF(OR((NHL2025_26Results[[#This Row],[Winning Team]]="")),"-",IF(Table4[[#This Row],[Predicted Winner]]=NHL2025_26Results[[#This Row],[Winning Team]],"YES","NO"))</f>
        <v>YES</v>
      </c>
      <c r="N70">
        <f>IF(Table4[[#This Row],[Adjusted Correct]]="-", "",IF(Table4[[#This Row],[Adjusted Correct]]="YES",(Table4[[#This Row],[Strength of Win]]-1)^2,(Table4[[#This Row],[Strength of Win]]-0)^2))</f>
        <v>0.22697637641270982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17.521428571428572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-0.93520311342823803</v>
      </c>
      <c r="H71" t="s">
        <v>15</v>
      </c>
      <c r="I71">
        <f>VLOOKUP(Table4[[#This Row],[Visitor]],'NHL Model'!$A$6:$B$38,2,FALSE)</f>
        <v>-0.49835870184734621</v>
      </c>
      <c r="J71">
        <f>($B$1+Table4[[#This Row],[Home Differential]])-Table4[[#This Row],[Away Differential]]</f>
        <v>-0.29930102260847546</v>
      </c>
      <c r="K71" t="str">
        <f>IF(Table4[[#This Row],[HomeIce Differential]]&gt;0,Table4[[#This Row],[Home]],Table4[[#This Row],[Visitor]])</f>
        <v>New York Rangers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0.58339850166647833</v>
      </c>
      <c r="M71" t="str">
        <f>IF(OR((NHL2025_26Results[[#This Row],[Winning Team]]="")),"-",IF(Table4[[#This Row],[Predicted Winner]]=NHL2025_26Results[[#This Row],[Winning Team]],"YES","NO"))</f>
        <v>NO</v>
      </c>
      <c r="N71">
        <f>IF(Table4[[#This Row],[Adjusted Correct]]="-", "",IF(Table4[[#This Row],[Adjusted Correct]]="YES",(Table4[[#This Row],[Strength of Win]]-1)^2,(Table4[[#This Row],[Strength of Win]]-0)^2))</f>
        <v>0.34035381174669194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0.12073374225454764</v>
      </c>
      <c r="H72" t="s">
        <v>21</v>
      </c>
      <c r="I72">
        <f>VLOOKUP(Table4[[#This Row],[Visitor]],'NHL Model'!$A$6:$B$38,2,FALSE)</f>
        <v>-0.14464931395309213</v>
      </c>
      <c r="J72">
        <f>($B$1+Table4[[#This Row],[Home Differential]])-Table4[[#This Row],[Away Differential]]</f>
        <v>0.40292644518005616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0.59374161629936428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0.16504587432705295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-0.15263505358797036</v>
      </c>
      <c r="H73" t="s">
        <v>38</v>
      </c>
      <c r="I73">
        <f>VLOOKUP(Table4[[#This Row],[Visitor]],'NHL Model'!$A$6:$B$38,2,FALSE)</f>
        <v>-1.1236485959014608</v>
      </c>
      <c r="J73">
        <f>($B$1+Table4[[#This Row],[Home Differential]])-Table4[[#This Row],[Away Differential]]</f>
        <v>1.1085569312859067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0.66708813118809918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0.44500657477203059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-0.66335717753705836</v>
      </c>
      <c r="H74" t="s">
        <v>37</v>
      </c>
      <c r="I74">
        <f>VLOOKUP(Table4[[#This Row],[Visitor]],'NHL Model'!$A$6:$B$38,2,FALSE)</f>
        <v>7.1667377873261273E-2</v>
      </c>
      <c r="J74">
        <f>($B$1+Table4[[#This Row],[Home Differential]])-Table4[[#This Row],[Away Differential]]</f>
        <v>-0.59748116643790328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0.57336186684156643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0.32874383034804616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-0.30969050963205513</v>
      </c>
      <c r="H75" t="s">
        <v>33</v>
      </c>
      <c r="I75">
        <f>VLOOKUP(Table4[[#This Row],[Visitor]],'NHL Model'!$A$6:$B$38,2,FALSE)</f>
        <v>-0.36178381286707545</v>
      </c>
      <c r="J75">
        <f>($B$1+Table4[[#This Row],[Home Differential]])-Table4[[#This Row],[Away Differential]]</f>
        <v>0.18963669220743667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0.61700938278508333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0.14668181287466284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6.4811420118814619E-2</v>
      </c>
      <c r="H76" t="s">
        <v>34</v>
      </c>
      <c r="I76">
        <f>VLOOKUP(Table4[[#This Row],[Visitor]],'NHL Model'!$A$6:$B$38,2,FALSE)</f>
        <v>-0.16358905079701039</v>
      </c>
      <c r="J76">
        <f>($B$1+Table4[[#This Row],[Home Differential]])-Table4[[#This Row],[Away Differential]]</f>
        <v>0.36594385988824141</v>
      </c>
      <c r="K76" t="str">
        <f>IF(Table4[[#This Row],[HomeIce Differential]]&gt;0,Table4[[#This Row],[Home]],Table4[[#This Row],[Visitor]])</f>
        <v>Washington Capitals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0.56803971374279749</v>
      </c>
      <c r="M76" t="str">
        <f>IF(OR((NHL2025_26Results[[#This Row],[Winning Team]]="")),"-",IF(Table4[[#This Row],[Predicted Winner]]=NHL2025_26Results[[#This Row],[Winning Team]],"YES","NO"))</f>
        <v>YES</v>
      </c>
      <c r="N76">
        <f>IF(Table4[[#This Row],[Adjusted Correct]]="-", "",IF(Table4[[#This Row],[Adjusted Correct]]="YES",(Table4[[#This Row],[Strength of Win]]-1)^2,(Table4[[#This Row],[Strength of Win]]-0)^2))</f>
        <v>0.18658968890340433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-0.51535072045188635</v>
      </c>
      <c r="H77" t="s">
        <v>11</v>
      </c>
      <c r="I77">
        <f>VLOOKUP(Table4[[#This Row],[Visitor]],'NHL Model'!$A$6:$B$38,2,FALSE)</f>
        <v>-0.37836939589441088</v>
      </c>
      <c r="J77">
        <f>($B$1+Table4[[#This Row],[Home Differential]])-Table4[[#This Row],[Away Differential]]</f>
        <v>5.6206441494088821E-4</v>
      </c>
      <c r="K77" t="str">
        <f>IF(Table4[[#This Row],[HomeIce Differential]]&gt;0,Table4[[#This Row],[Home]],Table4[[#This Row],[Visitor]])</f>
        <v>Buffalo Sabres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0.55409158765573419</v>
      </c>
      <c r="M77" t="str">
        <f>IF(OR((NHL2025_26Results[[#This Row],[Winning Team]]="")),"-",IF(Table4[[#This Row],[Predicted Winner]]=NHL2025_26Results[[#This Row],[Winning Team]],"YES","NO"))</f>
        <v>YES</v>
      </c>
      <c r="N77">
        <f>IF(Table4[[#This Row],[Adjusted Correct]]="-", "",IF(Table4[[#This Row],[Adjusted Correct]]="YES",(Table4[[#This Row],[Strength of Win]]-1)^2,(Table4[[#This Row],[Strength of Win]]-0)^2))</f>
        <v>0.1988343121993838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-0.59418600019583889</v>
      </c>
      <c r="H78" t="s">
        <v>37</v>
      </c>
      <c r="I78">
        <f>VLOOKUP(Table4[[#This Row],[Visitor]],'NHL Model'!$A$6:$B$38,2,FALSE)</f>
        <v>7.1667377873261273E-2</v>
      </c>
      <c r="J78">
        <f>($B$1+Table4[[#This Row],[Home Differential]])-Table4[[#This Row],[Away Differential]]</f>
        <v>-0.52830998909668381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0.58969582075764926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0.34774116101903763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1.4458345276269271</v>
      </c>
      <c r="H79" t="s">
        <v>21</v>
      </c>
      <c r="I79">
        <f>VLOOKUP(Table4[[#This Row],[Visitor]],'NHL Model'!$A$6:$B$38,2,FALSE)</f>
        <v>-0.14464931395309213</v>
      </c>
      <c r="J79">
        <f>($B$1+Table4[[#This Row],[Home Differential]])-Table4[[#This Row],[Away Differential]]</f>
        <v>1.7280272305524358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0.86540184927156294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1.8116662179515061E-2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-0.36134162888396865</v>
      </c>
      <c r="H80" t="s">
        <v>25</v>
      </c>
      <c r="I80">
        <f>VLOOKUP(Table4[[#This Row],[Visitor]],'NHL Model'!$A$6:$B$38,2,FALSE)</f>
        <v>0.42515174825138019</v>
      </c>
      <c r="J80">
        <f>($B$1+Table4[[#This Row],[Home Differential]])-Table4[[#This Row],[Away Differential]]</f>
        <v>-0.64894998816293248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0.61917897024358048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0.14502465670473977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-0.74754136228530599</v>
      </c>
      <c r="H81" t="s">
        <v>15</v>
      </c>
      <c r="I81">
        <f>VLOOKUP(Table4[[#This Row],[Visitor]],'NHL Model'!$A$6:$B$38,2,FALSE)</f>
        <v>-0.49835870184734621</v>
      </c>
      <c r="J81">
        <f>($B$1+Table4[[#This Row],[Home Differential]])-Table4[[#This Row],[Away Differential]]</f>
        <v>-0.11163927146554342</v>
      </c>
      <c r="K81" t="str">
        <f>IF(Table4[[#This Row],[HomeIce Differential]]&gt;0,Table4[[#This Row],[Home]],Table4[[#This Row],[Visitor]])</f>
        <v>New York Rangers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0.55836850935737725</v>
      </c>
      <c r="M81" t="str">
        <f>IF(OR((NHL2025_26Results[[#This Row],[Winning Team]]="")),"-",IF(Table4[[#This Row],[Predicted Winner]]=NHL2025_26Results[[#This Row],[Winning Team]],"YES","NO"))</f>
        <v>YES</v>
      </c>
      <c r="N81">
        <f>IF(Table4[[#This Row],[Adjusted Correct]]="-", "",IF(Table4[[#This Row],[Adjusted Correct]]="YES",(Table4[[#This Row],[Strength of Win]]-1)^2,(Table4[[#This Row],[Strength of Win]]-0)^2))</f>
        <v>0.19503837352722497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-1.8032585202533785E-2</v>
      </c>
      <c r="H82" t="s">
        <v>17</v>
      </c>
      <c r="I82">
        <f>VLOOKUP(Table4[[#This Row],[Visitor]],'NHL Model'!$A$6:$B$38,2,FALSE)</f>
        <v>-0.87263145033954281</v>
      </c>
      <c r="J82">
        <f>($B$1+Table4[[#This Row],[Home Differential]])-Table4[[#This Row],[Away Differential]]</f>
        <v>0.99214225410942536</v>
      </c>
      <c r="K82" t="str">
        <f>IF(Table4[[#This Row],[HomeIce Differential]]&gt;0,Table4[[#This Row],[Home]],Table4[[#This Row],[Visitor]])</f>
        <v>New Jersey Devils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0.78776088991612814</v>
      </c>
      <c r="M82" t="str">
        <f>IF(OR((NHL2025_26Results[[#This Row],[Winning Team]]="")),"-",IF(Table4[[#This Row],[Predicted Winner]]=NHL2025_26Results[[#This Row],[Winning Team]],"YES","NO"))</f>
        <v>YES</v>
      </c>
      <c r="N82">
        <f>IF(Table4[[#This Row],[Adjusted Correct]]="-", "",IF(Table4[[#This Row],[Adjusted Correct]]="YES",(Table4[[#This Row],[Strength of Win]]-1)^2,(Table4[[#This Row],[Strength of Win]]-0)^2))</f>
        <v>4.5045439849193881E-2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-0.31751962084606655</v>
      </c>
      <c r="H83" t="s">
        <v>30</v>
      </c>
      <c r="I83">
        <f>VLOOKUP(Table4[[#This Row],[Visitor]],'NHL Model'!$A$6:$B$38,2,FALSE)</f>
        <v>3.838472305373858E-3</v>
      </c>
      <c r="J83">
        <f>($B$1+Table4[[#This Row],[Home Differential]])-Table4[[#This Row],[Away Differential]]</f>
        <v>-0.18381470417902404</v>
      </c>
      <c r="K83" t="str">
        <f>IF(Table4[[#This Row],[HomeIce Differential]]&gt;0,Table4[[#This Row],[Home]],Table4[[#This Row],[Visitor]])</f>
        <v>New York Islanders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0.55463736191992841</v>
      </c>
      <c r="M83" t="str">
        <f>IF(OR((NHL2025_26Results[[#This Row],[Winning Team]]="")),"-",IF(Table4[[#This Row],[Predicted Winner]]=NHL2025_26Results[[#This Row],[Winning Team]],"YES","NO"))</f>
        <v>YES</v>
      </c>
      <c r="N83">
        <f>IF(Table4[[#This Row],[Adjusted Correct]]="-", "",IF(Table4[[#This Row],[Adjusted Correct]]="YES",(Table4[[#This Row],[Strength of Win]]-1)^2,(Table4[[#This Row],[Strength of Win]]-0)^2))</f>
        <v>0.19834787939764084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-0.42203126246971279</v>
      </c>
      <c r="H84" t="s">
        <v>34</v>
      </c>
      <c r="I84">
        <f>VLOOKUP(Table4[[#This Row],[Visitor]],'NHL Model'!$A$6:$B$38,2,FALSE)</f>
        <v>-0.16358905079701039</v>
      </c>
      <c r="J84">
        <f>($B$1+Table4[[#This Row],[Home Differential]])-Table4[[#This Row],[Away Differential]]</f>
        <v>-0.12089882270028604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0.46440113311614184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0.21566841243955651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-0.36178381286707545</v>
      </c>
      <c r="H85" t="s">
        <v>14</v>
      </c>
      <c r="I85">
        <f>VLOOKUP(Table4[[#This Row],[Visitor]],'NHL Model'!$A$6:$B$38,2,FALSE)</f>
        <v>-0.2090057419115289</v>
      </c>
      <c r="J85">
        <f>($B$1+Table4[[#This Row],[Home Differential]])-Table4[[#This Row],[Away Differential]]</f>
        <v>-1.5234681983130188E-2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0.46203197492588099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0.28940959600214794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-1.5569791149906038</v>
      </c>
      <c r="H86" t="s">
        <v>39</v>
      </c>
      <c r="I86">
        <f>VLOOKUP(Table4[[#This Row],[Visitor]],'NHL Model'!$A$6:$B$38,2,FALSE)</f>
        <v>4.3828122498436855E-3</v>
      </c>
      <c r="J86">
        <f>($B$1+Table4[[#This Row],[Home Differential]])-Table4[[#This Row],[Away Differential]]</f>
        <v>-1.4238185382680311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0.73086466619006185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0.53416316028511057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-0.93520311342823803</v>
      </c>
      <c r="H87" t="s">
        <v>32</v>
      </c>
      <c r="I87">
        <f>VLOOKUP(Table4[[#This Row],[Visitor]],'NHL Model'!$A$6:$B$38,2,FALSE)</f>
        <v>-0.45007023285116615</v>
      </c>
      <c r="J87">
        <f>($B$1+Table4[[#This Row],[Home Differential]])-Table4[[#This Row],[Away Differential]]</f>
        <v>-0.34758949160465552</v>
      </c>
      <c r="K87" t="str">
        <f>IF(Table4[[#This Row],[HomeIce Differential]]&gt;0,Table4[[#This Row],[Home]],Table4[[#This Row],[Visitor]])</f>
        <v>Seattle Kraken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0.50636087134752572</v>
      </c>
      <c r="M87" t="str">
        <f>IF(OR((NHL2025_26Results[[#This Row],[Winning Team]]="")),"-",IF(Table4[[#This Row],[Predicted Winner]]=NHL2025_26Results[[#This Row],[Winning Team]],"YES","NO"))</f>
        <v>YES</v>
      </c>
      <c r="N87">
        <f>IF(Table4[[#This Row],[Adjusted Correct]]="-", "",IF(Table4[[#This Row],[Adjusted Correct]]="YES",(Table4[[#This Row],[Strength of Win]]-1)^2,(Table4[[#This Row],[Strength of Win]]-0)^2))</f>
        <v>0.24367958933677406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0.12073374225454764</v>
      </c>
      <c r="H88" t="s">
        <v>16</v>
      </c>
      <c r="I88">
        <f>VLOOKUP(Table4[[#This Row],[Visitor]],'NHL Model'!$A$6:$B$38,2,FALSE)</f>
        <v>-1.0952038865534519</v>
      </c>
      <c r="J88">
        <f>($B$1+Table4[[#This Row],[Home Differential]])-Table4[[#This Row],[Away Differential]]</f>
        <v>1.353481017780416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0.72052490323270646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7.8106329713088091E-2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-6.0247860940930854E-2</v>
      </c>
      <c r="H89" t="s">
        <v>29</v>
      </c>
      <c r="I89">
        <f>VLOOKUP(Table4[[#This Row],[Visitor]],'NHL Model'!$A$6:$B$38,2,FALSE)</f>
        <v>-1.4957350924899622</v>
      </c>
      <c r="J89">
        <f>($B$1+Table4[[#This Row],[Home Differential]])-Table4[[#This Row],[Away Differential]]</f>
        <v>1.5730306205214477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0.75230351996829914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6.1353546220094785E-2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-0.15263505358797036</v>
      </c>
      <c r="H90" t="s">
        <v>31</v>
      </c>
      <c r="I90">
        <f>VLOOKUP(Table4[[#This Row],[Visitor]],'NHL Model'!$A$6:$B$38,2,FALSE)</f>
        <v>0.34329638981067145</v>
      </c>
      <c r="J90">
        <f>($B$1+Table4[[#This Row],[Home Differential]])-Table4[[#This Row],[Away Differential]]</f>
        <v>-0.35838805442622546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0.52857039531836569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0.27938666280701341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-0.66335717753705836</v>
      </c>
      <c r="H91" t="s">
        <v>17</v>
      </c>
      <c r="I91">
        <f>VLOOKUP(Table4[[#This Row],[Visitor]],'NHL Model'!$A$6:$B$38,2,FALSE)</f>
        <v>-0.87263145033954281</v>
      </c>
      <c r="J91">
        <f>($B$1+Table4[[#This Row],[Home Differential]])-Table4[[#This Row],[Away Differential]]</f>
        <v>0.34681766177490081</v>
      </c>
      <c r="K91" t="str">
        <f>IF(Table4[[#This Row],[HomeIce Differential]]&gt;0,Table4[[#This Row],[Home]],Table4[[#This Row],[Visitor]])</f>
        <v>Detroit Red Wings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0.61850399185884608</v>
      </c>
      <c r="M91" t="str">
        <f>IF(OR((NHL2025_26Results[[#This Row],[Winning Team]]="")),"-",IF(Table4[[#This Row],[Predicted Winner]]=NHL2025_26Results[[#This Row],[Winning Team]],"YES","NO"))</f>
        <v>YES</v>
      </c>
      <c r="N91">
        <f>IF(Table4[[#This Row],[Adjusted Correct]]="-", "",IF(Table4[[#This Row],[Adjusted Correct]]="YES",(Table4[[#This Row],[Strength of Win]]-1)^2,(Table4[[#This Row],[Strength of Win]]-0)^2))</f>
        <v>0.14553920422763539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-0.30969050963205513</v>
      </c>
      <c r="H92" t="s">
        <v>21</v>
      </c>
      <c r="I92">
        <f>VLOOKUP(Table4[[#This Row],[Visitor]],'NHL Model'!$A$6:$B$38,2,FALSE)</f>
        <v>-0.14464931395309213</v>
      </c>
      <c r="J92">
        <f>($B$1+Table4[[#This Row],[Home Differential]])-Table4[[#This Row],[Away Differential]]</f>
        <v>-2.749780670654664E-2</v>
      </c>
      <c r="K92" t="str">
        <f>IF(Table4[[#This Row],[HomeIce Differential]]&gt;0,Table4[[#This Row],[Home]],Table4[[#This Row],[Visitor]])</f>
        <v>Boston Bruins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0.41195163247112643</v>
      </c>
      <c r="M92" t="str">
        <f>IF(OR((NHL2025_26Results[[#This Row],[Winning Team]]="")),"-",IF(Table4[[#This Row],[Predicted Winner]]=NHL2025_26Results[[#This Row],[Winning Team]],"YES","NO"))</f>
        <v>NO</v>
      </c>
      <c r="N92">
        <f>IF(Table4[[#This Row],[Adjusted Correct]]="-", "",IF(Table4[[#This Row],[Adjusted Correct]]="YES",(Table4[[#This Row],[Strength of Win]]-1)^2,(Table4[[#This Row],[Strength of Win]]-0)^2))</f>
        <v>0.16970414749562601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6.4811420118814619E-2</v>
      </c>
      <c r="H93" t="s">
        <v>38</v>
      </c>
      <c r="I93">
        <f>VLOOKUP(Table4[[#This Row],[Visitor]],'NHL Model'!$A$6:$B$38,2,FALSE)</f>
        <v>-1.1236485959014608</v>
      </c>
      <c r="J93">
        <f>($B$1+Table4[[#This Row],[Home Differential]])-Table4[[#This Row],[Away Differential]]</f>
        <v>1.3260034049926919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0.69609075709014878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0.48454234210633651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-1.0952038865534519</v>
      </c>
      <c r="H94" t="s">
        <v>40</v>
      </c>
      <c r="I94">
        <f>VLOOKUP(Table4[[#This Row],[Visitor]],'NHL Model'!$A$6:$B$38,2,FALSE)</f>
        <v>-6.0247860940930854E-2</v>
      </c>
      <c r="J94">
        <f>($B$1+Table4[[#This Row],[Home Differential]])-Table4[[#This Row],[Away Differential]]</f>
        <v>-0.89741263664010473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0.64601109902071918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0.12530814201651908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-0.74754136228530599</v>
      </c>
      <c r="H95" t="s">
        <v>23</v>
      </c>
      <c r="I95">
        <f>VLOOKUP(Table4[[#This Row],[Visitor]],'NHL Model'!$A$6:$B$38,2,FALSE)</f>
        <v>-0.51535072045188635</v>
      </c>
      <c r="J95">
        <f>($B$1+Table4[[#This Row],[Home Differential]])-Table4[[#This Row],[Away Differential]]</f>
        <v>-9.4647252861003284E-2</v>
      </c>
      <c r="K95" t="str">
        <f>IF(Table4[[#This Row],[HomeIce Differential]]&gt;0,Table4[[#This Row],[Home]],Table4[[#This Row],[Visitor]])</f>
        <v>Buffalo Sabres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0.47262388311288911</v>
      </c>
      <c r="M95" t="str">
        <f>IF(OR((NHL2025_26Results[[#This Row],[Winning Team]]="")),"-",IF(Table4[[#This Row],[Predicted Winner]]=NHL2025_26Results[[#This Row],[Winning Team]],"YES","NO"))</f>
        <v>NO</v>
      </c>
      <c r="N95">
        <f>IF(Table4[[#This Row],[Adjusted Correct]]="-", "",IF(Table4[[#This Row],[Adjusted Correct]]="YES",(Table4[[#This Row],[Strength of Win]]-1)^2,(Table4[[#This Row],[Strength of Win]]-0)^2))</f>
        <v>0.22337333488870587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-0.49835870184734621</v>
      </c>
      <c r="H96" t="s">
        <v>34</v>
      </c>
      <c r="I96">
        <f>VLOOKUP(Table4[[#This Row],[Visitor]],'NHL Model'!$A$6:$B$38,2,FALSE)</f>
        <v>-0.16358905079701039</v>
      </c>
      <c r="J96">
        <f>($B$1+Table4[[#This Row],[Home Differential]])-Table4[[#This Row],[Away Differential]]</f>
        <v>-0.19722626207791946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0.50707492062290338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0.242975133878917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-0.42203126246971279</v>
      </c>
      <c r="H97" t="s">
        <v>32</v>
      </c>
      <c r="I97">
        <f>VLOOKUP(Table4[[#This Row],[Visitor]],'NHL Model'!$A$6:$B$38,2,FALSE)</f>
        <v>-0.45007023285116615</v>
      </c>
      <c r="J97">
        <f>($B$1+Table4[[#This Row],[Home Differential]])-Table4[[#This Row],[Away Differential]]</f>
        <v>0.16558235935386972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0.59433114790898367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0.16456721755684289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0.12073374225454764</v>
      </c>
      <c r="H98" t="s">
        <v>25</v>
      </c>
      <c r="I98">
        <f>VLOOKUP(Table4[[#This Row],[Visitor]],'NHL Model'!$A$6:$B$38,2,FALSE)</f>
        <v>0.42515174825138019</v>
      </c>
      <c r="J98">
        <f>($B$1+Table4[[#This Row],[Home Differential]])-Table4[[#This Row],[Away Differential]]</f>
        <v>-0.16687461702441619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0.55488061025005264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0.30789249163147081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-0.14464931395309213</v>
      </c>
      <c r="H99" t="s">
        <v>11</v>
      </c>
      <c r="I99">
        <f>VLOOKUP(Table4[[#This Row],[Visitor]],'NHL Model'!$A$6:$B$38,2,FALSE)</f>
        <v>-0.37836939589441088</v>
      </c>
      <c r="J99">
        <f>($B$1+Table4[[#This Row],[Home Differential]])-Table4[[#This Row],[Away Differential]]</f>
        <v>0.37126347091373513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0.64123444114917649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0.41118160851589669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4.3828122498436855E-3</v>
      </c>
      <c r="H100" t="s">
        <v>28</v>
      </c>
      <c r="I100">
        <f>VLOOKUP(Table4[[#This Row],[Visitor]],'NHL Model'!$A$6:$B$38,2,FALSE)</f>
        <v>-0.59418600019583889</v>
      </c>
      <c r="J100">
        <f>($B$1+Table4[[#This Row],[Home Differential]])-Table4[[#This Row],[Away Differential]]</f>
        <v>0.73611220141809897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0.63984800957706711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0.40940547535973454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-1.4957350924899622</v>
      </c>
      <c r="H101" t="s">
        <v>31</v>
      </c>
      <c r="I101">
        <f>VLOOKUP(Table4[[#This Row],[Visitor]],'NHL Model'!$A$6:$B$38,2,FALSE)</f>
        <v>0.34329638981067145</v>
      </c>
      <c r="J101">
        <f>($B$1+Table4[[#This Row],[Home Differential]])-Table4[[#This Row],[Away Differential]]</f>
        <v>-1.701488093328217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0.70771070195690522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8.5433033750525092E-2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3.838472305373858E-3</v>
      </c>
      <c r="H102" t="s">
        <v>33</v>
      </c>
      <c r="I102">
        <f>VLOOKUP(Table4[[#This Row],[Visitor]],'NHL Model'!$A$6:$B$38,2,FALSE)</f>
        <v>-0.36178381286707545</v>
      </c>
      <c r="J102">
        <f>($B$1+Table4[[#This Row],[Home Differential]])-Table4[[#This Row],[Away Differential]]</f>
        <v>0.50316567414486568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0.60711134729024918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0.1543614934280832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-0.31751962084606655</v>
      </c>
      <c r="H103" t="s">
        <v>17</v>
      </c>
      <c r="I103">
        <f>VLOOKUP(Table4[[#This Row],[Visitor]],'NHL Model'!$A$6:$B$38,2,FALSE)</f>
        <v>-0.87263145033954281</v>
      </c>
      <c r="J103">
        <f>($B$1+Table4[[#This Row],[Home Differential]])-Table4[[#This Row],[Away Differential]]</f>
        <v>0.69265521846589262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0.63488060662359325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0.40307338466674175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-0.2090057419115289</v>
      </c>
      <c r="H104" t="s">
        <v>38</v>
      </c>
      <c r="I104">
        <f>VLOOKUP(Table4[[#This Row],[Visitor]],'NHL Model'!$A$6:$B$38,2,FALSE)</f>
        <v>-1.1236485959014608</v>
      </c>
      <c r="J104">
        <f>($B$1+Table4[[#This Row],[Home Differential]])-Table4[[#This Row],[Away Differential]]</f>
        <v>1.0521862429623483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0.65956950852469487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0.1158929195261178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-1.5569791149906038</v>
      </c>
      <c r="H105" t="s">
        <v>13</v>
      </c>
      <c r="I105">
        <f>VLOOKUP(Table4[[#This Row],[Visitor]],'NHL Model'!$A$6:$B$38,2,FALSE)</f>
        <v>-0.36134162888396865</v>
      </c>
      <c r="J105">
        <f>($B$1+Table4[[#This Row],[Home Differential]])-Table4[[#This Row],[Away Differential]]</f>
        <v>-1.0580940971342188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0.68460497929927433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9.9474019082811171E-2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-0.93520311342823803</v>
      </c>
      <c r="H106" t="s">
        <v>24</v>
      </c>
      <c r="I106">
        <f>VLOOKUP(Table4[[#This Row],[Visitor]],'NHL Model'!$A$6:$B$38,2,FALSE)</f>
        <v>-1.8032585202533785E-2</v>
      </c>
      <c r="J106">
        <f>($B$1+Table4[[#This Row],[Home Differential]])-Table4[[#This Row],[Away Differential]]</f>
        <v>-0.77962713925328786</v>
      </c>
      <c r="K106" t="str">
        <f>IF(Table4[[#This Row],[HomeIce Differential]]&gt;0,Table4[[#This Row],[Home]],Table4[[#This Row],[Visitor]])</f>
        <v>New Jersey Devils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0.564814781408849</v>
      </c>
      <c r="M106" t="str">
        <f>IF(OR((NHL2025_26Results[[#This Row],[Winning Team]]="")),"-",IF(Table4[[#This Row],[Predicted Winner]]=NHL2025_26Results[[#This Row],[Winning Team]],"YES","NO"))</f>
        <v>YES</v>
      </c>
      <c r="N106">
        <f>IF(Table4[[#This Row],[Adjusted Correct]]="-", "",IF(Table4[[#This Row],[Adjusted Correct]]="YES",(Table4[[#This Row],[Strength of Win]]-1)^2,(Table4[[#This Row],[Strength of Win]]-0)^2))</f>
        <v>0.18938617448022788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-0.30969050963205513</v>
      </c>
      <c r="H107" t="s">
        <v>12</v>
      </c>
      <c r="I107">
        <f>VLOOKUP(Table4[[#This Row],[Visitor]],'NHL Model'!$A$6:$B$38,2,FALSE)</f>
        <v>1.4458345276269271</v>
      </c>
      <c r="J107">
        <f>($B$1+Table4[[#This Row],[Home Differential]])-Table4[[#This Row],[Away Differential]]</f>
        <v>-1.6179816482865659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0.71580352930861291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0.51237469257066626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6.4811420118814619E-2</v>
      </c>
      <c r="H108" t="s">
        <v>32</v>
      </c>
      <c r="I108">
        <f>VLOOKUP(Table4[[#This Row],[Visitor]],'NHL Model'!$A$6:$B$38,2,FALSE)</f>
        <v>-0.45007023285116615</v>
      </c>
      <c r="J108">
        <f>($B$1+Table4[[#This Row],[Home Differential]])-Table4[[#This Row],[Away Differential]]</f>
        <v>0.65242504194239714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0.62701929765989062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0.13911460431812128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-0.51535072045188635</v>
      </c>
      <c r="H109" t="s">
        <v>26</v>
      </c>
      <c r="I109">
        <f>VLOOKUP(Table4[[#This Row],[Visitor]],'NHL Model'!$A$6:$B$38,2,FALSE)</f>
        <v>-0.66335717753705836</v>
      </c>
      <c r="J109">
        <f>($B$1+Table4[[#This Row],[Home Differential]])-Table4[[#This Row],[Away Differential]]</f>
        <v>0.28554984605758837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0.5451283867217207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0.20690818456638446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-1.0952038865534519</v>
      </c>
      <c r="H110" t="s">
        <v>18</v>
      </c>
      <c r="I110">
        <f>VLOOKUP(Table4[[#This Row],[Visitor]],'NHL Model'!$A$6:$B$38,2,FALSE)</f>
        <v>-0.74754136228530599</v>
      </c>
      <c r="J110">
        <f>($B$1+Table4[[#This Row],[Home Differential]])-Table4[[#This Row],[Away Differential]]</f>
        <v>-0.21011913529572956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0.53512470995088213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0.21610903529825148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-1.8032585202533785E-2</v>
      </c>
      <c r="H111" t="s">
        <v>34</v>
      </c>
      <c r="I111">
        <f>VLOOKUP(Table4[[#This Row],[Visitor]],'NHL Model'!$A$6:$B$38,2,FALSE)</f>
        <v>-0.16358905079701039</v>
      </c>
      <c r="J111">
        <f>($B$1+Table4[[#This Row],[Home Differential]])-Table4[[#This Row],[Away Differential]]</f>
        <v>0.28309985456689296</v>
      </c>
      <c r="K111" t="str">
        <f>IF(Table4[[#This Row],[HomeIce Differential]]&gt;0,Table4[[#This Row],[Home]],Table4[[#This Row],[Visitor]])</f>
        <v>New Jersey Devils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0.67412299403434217</v>
      </c>
      <c r="M111" t="str">
        <f>IF(OR((NHL2025_26Results[[#This Row],[Winning Team]]="")),"-",IF(Table4[[#This Row],[Predicted Winner]]=NHL2025_26Results[[#This Row],[Winning Team]],"YES","NO"))</f>
        <v>YES</v>
      </c>
      <c r="N111">
        <f>IF(Table4[[#This Row],[Adjusted Correct]]="-", "",IF(Table4[[#This Row],[Adjusted Correct]]="YES",(Table4[[#This Row],[Strength of Win]]-1)^2,(Table4[[#This Row],[Strength of Win]]-0)^2))</f>
        <v>0.10619582301714139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-0.14464931395309213</v>
      </c>
      <c r="H112" t="s">
        <v>31</v>
      </c>
      <c r="I112">
        <f>VLOOKUP(Table4[[#This Row],[Visitor]],'NHL Model'!$A$6:$B$38,2,FALSE)</f>
        <v>0.34329638981067145</v>
      </c>
      <c r="J112">
        <f>($B$1+Table4[[#This Row],[Home Differential]])-Table4[[#This Row],[Away Differential]]</f>
        <v>-0.3504023147913472</v>
      </c>
      <c r="K112" t="str">
        <f>IF(Table4[[#This Row],[HomeIce Differential]]&gt;0,Table4[[#This Row],[Home]],Table4[[#This Row],[Visitor]])</f>
        <v>Anaheim Ducks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0.47530746929844142</v>
      </c>
      <c r="M112" t="str">
        <f>IF(OR((NHL2025_26Results[[#This Row],[Winning Team]]="")),"-",IF(Table4[[#This Row],[Predicted Winner]]=NHL2025_26Results[[#This Row],[Winning Team]],"YES","NO"))</f>
        <v>YES</v>
      </c>
      <c r="N112">
        <f>IF(Table4[[#This Row],[Adjusted Correct]]="-", "",IF(Table4[[#This Row],[Adjusted Correct]]="YES",(Table4[[#This Row],[Strength of Win]]-1)^2,(Table4[[#This Row],[Strength of Win]]-0)^2))</f>
        <v>0.27530225177400602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1.4458345276269271</v>
      </c>
      <c r="H113" t="s">
        <v>25</v>
      </c>
      <c r="I113">
        <f>VLOOKUP(Table4[[#This Row],[Visitor]],'NHL Model'!$A$6:$B$38,2,FALSE)</f>
        <v>0.42515174825138019</v>
      </c>
      <c r="J113">
        <f>($B$1+Table4[[#This Row],[Home Differential]])-Table4[[#This Row],[Away Differential]]</f>
        <v>1.1582261683479633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0.71969954821371518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0.5179674396990257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4.3828122498436855E-3</v>
      </c>
      <c r="H114" t="s">
        <v>13</v>
      </c>
      <c r="I114">
        <f>VLOOKUP(Table4[[#This Row],[Visitor]],'NHL Model'!$A$6:$B$38,2,FALSE)</f>
        <v>-0.36134162888396865</v>
      </c>
      <c r="J114">
        <f>($B$1+Table4[[#This Row],[Home Differential]])-Table4[[#This Row],[Away Differential]]</f>
        <v>0.50326783010622866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0.52614136611423867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0.27682473713655736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-0.87263145033954281</v>
      </c>
      <c r="H115" t="s">
        <v>18</v>
      </c>
      <c r="I115">
        <f>VLOOKUP(Table4[[#This Row],[Visitor]],'NHL Model'!$A$6:$B$38,2,FALSE)</f>
        <v>-0.74754136228530599</v>
      </c>
      <c r="J115">
        <f>($B$1+Table4[[#This Row],[Home Differential]])-Table4[[#This Row],[Away Differential]]</f>
        <v>1.2453300918179533E-2</v>
      </c>
      <c r="K115" t="str">
        <f>IF(Table4[[#This Row],[HomeIce Differential]]&gt;0,Table4[[#This Row],[Home]],Table4[[#This Row],[Visitor]])</f>
        <v>Edmonton Oilers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0.53107276394683878</v>
      </c>
      <c r="M115" t="str">
        <f>IF(OR((NHL2025_26Results[[#This Row],[Winning Team]]="")),"-",IF(Table4[[#This Row],[Predicted Winner]]=NHL2025_26Results[[#This Row],[Winning Team]],"YES","NO"))</f>
        <v>YES</v>
      </c>
      <c r="N115">
        <f>IF(Table4[[#This Row],[Adjusted Correct]]="-", "",IF(Table4[[#This Row],[Adjusted Correct]]="YES",(Table4[[#This Row],[Strength of Win]]-1)^2,(Table4[[#This Row],[Strength of Win]]-0)^2))</f>
        <v>0.21989275271245717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-0.37836939589441088</v>
      </c>
      <c r="H116" t="s">
        <v>14</v>
      </c>
      <c r="I116">
        <f>VLOOKUP(Table4[[#This Row],[Visitor]],'NHL Model'!$A$6:$B$38,2,FALSE)</f>
        <v>-0.2090057419115289</v>
      </c>
      <c r="J116">
        <f>($B$1+Table4[[#This Row],[Home Differential]])-Table4[[#This Row],[Away Differential]]</f>
        <v>-3.1820265010465615E-2</v>
      </c>
      <c r="K116" t="str">
        <f>IF(Table4[[#This Row],[HomeIce Differential]]&gt;0,Table4[[#This Row],[Home]],Table4[[#This Row],[Visitor]])</f>
        <v>Pittsburgh Penguins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0.41252815431132339</v>
      </c>
      <c r="M116" t="str">
        <f>IF(OR((NHL2025_26Results[[#This Row],[Winning Team]]="")),"-",IF(Table4[[#This Row],[Predicted Winner]]=NHL2025_26Results[[#This Row],[Winning Team]],"YES","NO"))</f>
        <v>YES</v>
      </c>
      <c r="N116">
        <f>IF(Table4[[#This Row],[Adjusted Correct]]="-", "",IF(Table4[[#This Row],[Adjusted Correct]]="YES",(Table4[[#This Row],[Strength of Win]]-1)^2,(Table4[[#This Row],[Strength of Win]]-0)^2))</f>
        <v>0.34512316947686028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-1.4957350924899622</v>
      </c>
      <c r="H117" t="s">
        <v>38</v>
      </c>
      <c r="I117">
        <f>VLOOKUP(Table4[[#This Row],[Visitor]],'NHL Model'!$A$6:$B$38,2,FALSE)</f>
        <v>-1.1236485959014608</v>
      </c>
      <c r="J117">
        <f>($B$1+Table4[[#This Row],[Home Differential]])-Table4[[#This Row],[Away Differential]]</f>
        <v>-0.23454310761608488</v>
      </c>
      <c r="K117" t="str">
        <f>IF(Table4[[#This Row],[HomeIce Differential]]&gt;0,Table4[[#This Row],[Home]],Table4[[#This Row],[Visitor]])</f>
        <v>Vancouver Canucks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0.51205217545044035</v>
      </c>
      <c r="M117" t="str">
        <f>IF(OR((NHL2025_26Results[[#This Row],[Winning Team]]="")),"-",IF(Table4[[#This Row],[Predicted Winner]]=NHL2025_26Results[[#This Row],[Winning Team]],"YES","NO"))</f>
        <v>NO</v>
      </c>
      <c r="N117">
        <f>IF(Table4[[#This Row],[Adjusted Correct]]="-", "",IF(Table4[[#This Row],[Adjusted Correct]]="YES",(Table4[[#This Row],[Strength of Win]]-1)^2,(Table4[[#This Row],[Strength of Win]]-0)^2))</f>
        <v>0.26219743038352855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3.838472305373858E-3</v>
      </c>
      <c r="H118" t="s">
        <v>26</v>
      </c>
      <c r="I118">
        <f>VLOOKUP(Table4[[#This Row],[Visitor]],'NHL Model'!$A$6:$B$38,2,FALSE)</f>
        <v>-0.66335717753705836</v>
      </c>
      <c r="J118">
        <f>($B$1+Table4[[#This Row],[Home Differential]])-Table4[[#This Row],[Away Differential]]</f>
        <v>0.80473903881484854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0.600235277569797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0.15981183329969725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-0.49835870184734621</v>
      </c>
      <c r="H119" t="s">
        <v>33</v>
      </c>
      <c r="I119">
        <f>VLOOKUP(Table4[[#This Row],[Visitor]],'NHL Model'!$A$6:$B$38,2,FALSE)</f>
        <v>-0.36178381286707545</v>
      </c>
      <c r="J119">
        <f>($B$1+Table4[[#This Row],[Home Differential]])-Table4[[#This Row],[Away Differential]]</f>
        <v>9.6849999214559945E-4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0.54012917681523875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0.29173952764710748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-0.31751962084606655</v>
      </c>
      <c r="H120" t="s">
        <v>27</v>
      </c>
      <c r="I120">
        <f>VLOOKUP(Table4[[#This Row],[Visitor]],'NHL Model'!$A$6:$B$38,2,FALSE)</f>
        <v>-0.42203126246971279</v>
      </c>
      <c r="J120">
        <f>($B$1+Table4[[#This Row],[Home Differential]])-Table4[[#This Row],[Away Differential]]</f>
        <v>0.24205503059606259</v>
      </c>
      <c r="K120" t="str">
        <f>IF(Table4[[#This Row],[HomeIce Differential]]&gt;0,Table4[[#This Row],[Home]],Table4[[#This Row],[Visitor]])</f>
        <v>Ottawa Senators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0.5747803508806365</v>
      </c>
      <c r="M120" t="str">
        <f>IF(OR((NHL2025_26Results[[#This Row],[Winning Team]]="")),"-",IF(Table4[[#This Row],[Predicted Winner]]=NHL2025_26Results[[#This Row],[Winning Team]],"YES","NO"))</f>
        <v>YES</v>
      </c>
      <c r="N120">
        <f>IF(Table4[[#This Row],[Adjusted Correct]]="-", "",IF(Table4[[#This Row],[Adjusted Correct]]="YES",(Table4[[#This Row],[Strength of Win]]-1)^2,(Table4[[#This Row],[Strength of Win]]-0)^2))</f>
        <v>0.1808117499971946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-1.5569791149906038</v>
      </c>
      <c r="H121" t="s">
        <v>55</v>
      </c>
      <c r="I121">
        <f>VLOOKUP(Table4[[#This Row],[Visitor]],'NHL Model'!$A$6:$B$38,2,FALSE)</f>
        <v>-0.30969050963205513</v>
      </c>
      <c r="J121">
        <f>($B$1+Table4[[#This Row],[Home Differential]])-Table4[[#This Row],[Away Differential]]</f>
        <v>-1.1097452163861323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0.60801585332138541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0.15365157124736165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7.1667377873261273E-2</v>
      </c>
      <c r="H122" t="s">
        <v>10</v>
      </c>
      <c r="I122">
        <f>VLOOKUP(Table4[[#This Row],[Visitor]],'NHL Model'!$A$6:$B$38,2,FALSE)</f>
        <v>-0.15263505358797036</v>
      </c>
      <c r="J122">
        <f>($B$1+Table4[[#This Row],[Home Differential]])-Table4[[#This Row],[Away Differential]]</f>
        <v>0.36184582043364799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0.59075783446519603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0.34899481898200796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-6.0247860940930854E-2</v>
      </c>
      <c r="H123" t="s">
        <v>32</v>
      </c>
      <c r="I123">
        <f>VLOOKUP(Table4[[#This Row],[Visitor]],'NHL Model'!$A$6:$B$38,2,FALSE)</f>
        <v>-0.45007023285116615</v>
      </c>
      <c r="J123">
        <f>($B$1+Table4[[#This Row],[Home Differential]])-Table4[[#This Row],[Away Differential]]</f>
        <v>0.52736576088265164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0.61283459124279827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0.37556623622372765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-0.51535072045188635</v>
      </c>
      <c r="H124" t="s">
        <v>19</v>
      </c>
      <c r="I124">
        <f>VLOOKUP(Table4[[#This Row],[Visitor]],'NHL Model'!$A$6:$B$38,2,FALSE)</f>
        <v>-0.93520311342823803</v>
      </c>
      <c r="J124">
        <f>($B$1+Table4[[#This Row],[Home Differential]])-Table4[[#This Row],[Away Differential]]</f>
        <v>0.55739578194876804</v>
      </c>
      <c r="K124" t="str">
        <f>IF(Table4[[#This Row],[HomeIce Differential]]&gt;0,Table4[[#This Row],[Home]],Table4[[#This Row],[Visitor]])</f>
        <v>Buffalo Sabres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0.62836108361020993</v>
      </c>
      <c r="M124" t="str">
        <f>IF(OR((NHL2025_26Results[[#This Row],[Winning Team]]="")),"-",IF(Table4[[#This Row],[Predicted Winner]]=NHL2025_26Results[[#This Row],[Winning Team]],"YES","NO"))</f>
        <v>YES</v>
      </c>
      <c r="N124">
        <f>IF(Table4[[#This Row],[Adjusted Correct]]="-", "",IF(Table4[[#This Row],[Adjusted Correct]]="YES",(Table4[[#This Row],[Strength of Win]]-1)^2,(Table4[[#This Row],[Strength of Win]]-0)^2))</f>
        <v>0.13811548417537739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-0.59418600019583889</v>
      </c>
      <c r="H125" t="s">
        <v>22</v>
      </c>
      <c r="I125">
        <f>VLOOKUP(Table4[[#This Row],[Visitor]],'NHL Model'!$A$6:$B$38,2,FALSE)</f>
        <v>6.4811420118814619E-2</v>
      </c>
      <c r="J125">
        <f>($B$1+Table4[[#This Row],[Home Differential]])-Table4[[#This Row],[Away Differential]]</f>
        <v>-0.52145403134223711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0.54323482653919153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0.20863442368668245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-1.8032585202533785E-2</v>
      </c>
      <c r="H126" t="s">
        <v>33</v>
      </c>
      <c r="I126">
        <f>VLOOKUP(Table4[[#This Row],[Visitor]],'NHL Model'!$A$6:$B$38,2,FALSE)</f>
        <v>-0.36178381286707545</v>
      </c>
      <c r="J126">
        <f>($B$1+Table4[[#This Row],[Home Differential]])-Table4[[#This Row],[Away Differential]]</f>
        <v>0.48129461663695805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0.71962493595010413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7.8610176540983207E-2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-6.0247860940930854E-2</v>
      </c>
      <c r="H127" t="s">
        <v>16</v>
      </c>
      <c r="I127">
        <f>VLOOKUP(Table4[[#This Row],[Visitor]],'NHL Model'!$A$6:$B$38,2,FALSE)</f>
        <v>-1.0952038865534519</v>
      </c>
      <c r="J127">
        <f>($B$1+Table4[[#This Row],[Home Differential]])-Table4[[#This Row],[Away Differential]]</f>
        <v>1.1724994145849374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0.69888137644097981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9.0672425454078914E-2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-0.14464931395309213</v>
      </c>
      <c r="H128" t="s">
        <v>12</v>
      </c>
      <c r="I128">
        <f>VLOOKUP(Table4[[#This Row],[Visitor]],'NHL Model'!$A$6:$B$38,2,FALSE)</f>
        <v>1.4458345276269271</v>
      </c>
      <c r="J128">
        <f>($B$1+Table4[[#This Row],[Home Differential]])-Table4[[#This Row],[Away Differential]]</f>
        <v>-1.4529404526076029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0.69379062666132307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0.48134543364311139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4.3828122498436855E-3</v>
      </c>
      <c r="H129" t="s">
        <v>25</v>
      </c>
      <c r="I129">
        <f>VLOOKUP(Table4[[#This Row],[Visitor]],'NHL Model'!$A$6:$B$38,2,FALSE)</f>
        <v>0.42515174825138019</v>
      </c>
      <c r="J129">
        <f>($B$1+Table4[[#This Row],[Home Differential]])-Table4[[#This Row],[Away Differential]]</f>
        <v>-0.28322554702912017</v>
      </c>
      <c r="K129" t="str">
        <f>IF(Table4[[#This Row],[HomeIce Differential]]&gt;0,Table4[[#This Row],[Home]],Table4[[#This Row],[Visitor]])</f>
        <v>Carolina Hurricanes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0.5678966042366218</v>
      </c>
      <c r="M129" t="str">
        <f>IF(OR((NHL2025_26Results[[#This Row],[Winning Team]]="")),"-",IF(Table4[[#This Row],[Predicted Winner]]=NHL2025_26Results[[#This Row],[Winning Team]],"YES","NO"))</f>
        <v>NO</v>
      </c>
      <c r="N129">
        <f>IF(Table4[[#This Row],[Adjusted Correct]]="-", "",IF(Table4[[#This Row],[Adjusted Correct]]="YES",(Table4[[#This Row],[Strength of Win]]-1)^2,(Table4[[#This Row],[Strength of Win]]-0)^2))</f>
        <v>0.32250655310348625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-0.66335717753705836</v>
      </c>
      <c r="H130" t="s">
        <v>35</v>
      </c>
      <c r="I130">
        <f>VLOOKUP(Table4[[#This Row],[Visitor]],'NHL Model'!$A$6:$B$38,2,FALSE)</f>
        <v>-1.5569791149906038</v>
      </c>
      <c r="J130">
        <f>($B$1+Table4[[#This Row],[Home Differential]])-Table4[[#This Row],[Away Differential]]</f>
        <v>1.0311653264259619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0.7097810724500897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8.422702590822008E-2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-0.37836939589441088</v>
      </c>
      <c r="H131" t="s">
        <v>20</v>
      </c>
      <c r="I131">
        <f>VLOOKUP(Table4[[#This Row],[Visitor]],'NHL Model'!$A$6:$B$38,2,FALSE)</f>
        <v>0.12073374225454764</v>
      </c>
      <c r="J131">
        <f>($B$1+Table4[[#This Row],[Home Differential]])-Table4[[#This Row],[Away Differential]]</f>
        <v>-0.36155974917654216</v>
      </c>
      <c r="K131" t="str">
        <f>IF(Table4[[#This Row],[HomeIce Differential]]&gt;0,Table4[[#This Row],[Home]],Table4[[#This Row],[Visitor]])</f>
        <v>Vegas Golden Knights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0.47679562815420112</v>
      </c>
      <c r="M131" t="str">
        <f>IF(OR((NHL2025_26Results[[#This Row],[Winning Team]]="")),"-",IF(Table4[[#This Row],[Predicted Winner]]=NHL2025_26Results[[#This Row],[Winning Team]],"YES","NO"))</f>
        <v>NO</v>
      </c>
      <c r="N131">
        <f>IF(Table4[[#This Row],[Adjusted Correct]]="-", "",IF(Table4[[#This Row],[Adjusted Correct]]="YES",(Table4[[#This Row],[Strength of Win]]-1)^2,(Table4[[#This Row],[Strength of Win]]-0)^2))</f>
        <v>0.22733407102695924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-0.16358905079701039</v>
      </c>
      <c r="H132" t="s">
        <v>55</v>
      </c>
      <c r="I132">
        <f>VLOOKUP(Table4[[#This Row],[Visitor]],'NHL Model'!$A$6:$B$38,2,FALSE)</f>
        <v>-0.30969050963205513</v>
      </c>
      <c r="J132">
        <f>($B$1+Table4[[#This Row],[Home Differential]])-Table4[[#This Row],[Away Differential]]</f>
        <v>0.28364484780746113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0.57783204790479381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0.33388987558584793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-1.4957350924899622</v>
      </c>
      <c r="H133" t="s">
        <v>13</v>
      </c>
      <c r="I133">
        <f>VLOOKUP(Table4[[#This Row],[Visitor]],'NHL Model'!$A$6:$B$38,2,FALSE)</f>
        <v>-0.36134162888396865</v>
      </c>
      <c r="J133">
        <f>($B$1+Table4[[#This Row],[Home Differential]])-Table4[[#This Row],[Away Differential]]</f>
        <v>-0.99685007463357711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0.67643635994645845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0.45756614905761472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-0.42203126246971279</v>
      </c>
      <c r="H134" t="s">
        <v>30</v>
      </c>
      <c r="I134">
        <f>VLOOKUP(Table4[[#This Row],[Visitor]],'NHL Model'!$A$6:$B$38,2,FALSE)</f>
        <v>3.838472305373858E-3</v>
      </c>
      <c r="J134">
        <f>($B$1+Table4[[#This Row],[Home Differential]])-Table4[[#This Row],[Away Differential]]</f>
        <v>-0.2883263458026703</v>
      </c>
      <c r="K134" t="str">
        <f>IF(Table4[[#This Row],[HomeIce Differential]]&gt;0,Table4[[#This Row],[Home]],Table4[[#This Row],[Visitor]])</f>
        <v>New York Islanders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0.53845645782371165</v>
      </c>
      <c r="M134" t="str">
        <f>IF(OR((NHL2025_26Results[[#This Row],[Winning Team]]="")),"-",IF(Table4[[#This Row],[Predicted Winner]]=NHL2025_26Results[[#This Row],[Winning Team]],"YES","NO"))</f>
        <v>NO</v>
      </c>
      <c r="N134">
        <f>IF(Table4[[#This Row],[Adjusted Correct]]="-", "",IF(Table4[[#This Row],[Adjusted Correct]]="YES",(Table4[[#This Row],[Strength of Win]]-1)^2,(Table4[[#This Row],[Strength of Win]]-0)^2))</f>
        <v>0.28993535697205858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-0.2090057419115289</v>
      </c>
      <c r="H135" t="s">
        <v>28</v>
      </c>
      <c r="I135">
        <f>VLOOKUP(Table4[[#This Row],[Visitor]],'NHL Model'!$A$6:$B$38,2,FALSE)</f>
        <v>-0.59418600019583889</v>
      </c>
      <c r="J135">
        <f>($B$1+Table4[[#This Row],[Home Differential]])-Table4[[#This Row],[Away Differential]]</f>
        <v>0.52272364725672638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0.60889046204946917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0.37074759477481606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-0.45007023285116615</v>
      </c>
      <c r="H136" t="s">
        <v>17</v>
      </c>
      <c r="I136">
        <f>VLOOKUP(Table4[[#This Row],[Visitor]],'NHL Model'!$A$6:$B$38,2,FALSE)</f>
        <v>-0.87263145033954281</v>
      </c>
      <c r="J136">
        <f>($B$1+Table4[[#This Row],[Home Differential]])-Table4[[#This Row],[Away Differential]]</f>
        <v>0.56010460646079308</v>
      </c>
      <c r="K136" t="str">
        <f>IF(Table4[[#This Row],[HomeIce Differential]]&gt;0,Table4[[#This Row],[Home]],Table4[[#This Row],[Visitor]])</f>
        <v>Seattle Kraken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0.64074349718093215</v>
      </c>
      <c r="M136" t="str">
        <f>IF(OR((NHL2025_26Results[[#This Row],[Winning Team]]="")),"-",IF(Table4[[#This Row],[Predicted Winner]]=NHL2025_26Results[[#This Row],[Winning Team]],"YES","NO"))</f>
        <v>YES</v>
      </c>
      <c r="N136">
        <f>IF(Table4[[#This Row],[Adjusted Correct]]="-", "",IF(Table4[[#This Row],[Adjusted Correct]]="YES",(Table4[[#This Row],[Strength of Win]]-1)^2,(Table4[[#This Row],[Strength of Win]]-0)^2))</f>
        <v>0.12906523481778689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7.1667377873261273E-2</v>
      </c>
      <c r="H137" t="s">
        <v>31</v>
      </c>
      <c r="I137">
        <f>VLOOKUP(Table4[[#This Row],[Visitor]],'NHL Model'!$A$6:$B$38,2,FALSE)</f>
        <v>0.34329638981067145</v>
      </c>
      <c r="J137">
        <f>($B$1+Table4[[#This Row],[Home Differential]])-Table4[[#This Row],[Away Differential]]</f>
        <v>-0.13408562296499382</v>
      </c>
      <c r="K137" t="str">
        <f>IF(Table4[[#This Row],[HomeIce Differential]]&gt;0,Table4[[#This Row],[Home]],Table4[[#This Row],[Visitor]])</f>
        <v>Anaheim Ducks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0.4961449726982986</v>
      </c>
      <c r="M137" t="str">
        <f>IF(OR((NHL2025_26Results[[#This Row],[Winning Team]]="")),"-",IF(Table4[[#This Row],[Predicted Winner]]=NHL2025_26Results[[#This Row],[Winning Team]],"YES","NO"))</f>
        <v>NO</v>
      </c>
      <c r="N137">
        <f>IF(Table4[[#This Row],[Adjusted Correct]]="-", "",IF(Table4[[#This Row],[Adjusted Correct]]="YES",(Table4[[#This Row],[Strength of Win]]-1)^2,(Table4[[#This Row],[Strength of Win]]-0)^2))</f>
        <v>0.24615983393379548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-0.93520311342823803</v>
      </c>
      <c r="H138" t="s">
        <v>23</v>
      </c>
      <c r="I138">
        <f>VLOOKUP(Table4[[#This Row],[Visitor]],'NHL Model'!$A$6:$B$38,2,FALSE)</f>
        <v>-0.51535072045188635</v>
      </c>
      <c r="J138">
        <f>($B$1+Table4[[#This Row],[Home Differential]])-Table4[[#This Row],[Away Differential]]</f>
        <v>-0.28230900400393533</v>
      </c>
      <c r="K138" t="str">
        <f>IF(Table4[[#This Row],[HomeIce Differential]]&gt;0,Table4[[#This Row],[Home]],Table4[[#This Row],[Visitor]])</f>
        <v>Buffalo Sabres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0.49765387542199013</v>
      </c>
      <c r="M138" t="str">
        <f>IF(OR((NHL2025_26Results[[#This Row],[Winning Team]]="")),"-",IF(Table4[[#This Row],[Predicted Winner]]=NHL2025_26Results[[#This Row],[Winning Team]],"YES","NO"))</f>
        <v>NO</v>
      </c>
      <c r="N138">
        <f>IF(Table4[[#This Row],[Adjusted Correct]]="-", "",IF(Table4[[#This Row],[Adjusted Correct]]="YES",(Table4[[#This Row],[Strength of Win]]-1)^2,(Table4[[#This Row],[Strength of Win]]-0)^2))</f>
        <v>0.24765937972252566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-1.1236485959014608</v>
      </c>
      <c r="H139" t="s">
        <v>18</v>
      </c>
      <c r="I139">
        <f>VLOOKUP(Table4[[#This Row],[Visitor]],'NHL Model'!$A$6:$B$38,2,FALSE)</f>
        <v>-0.74754136228530599</v>
      </c>
      <c r="J139">
        <f>($B$1+Table4[[#This Row],[Home Differential]])-Table4[[#This Row],[Away Differential]]</f>
        <v>-0.23856384464373848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0.53891861495218962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0.21259604363760717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6.4811420118814619E-2</v>
      </c>
      <c r="H140" t="s">
        <v>36</v>
      </c>
      <c r="I140">
        <f>VLOOKUP(Table4[[#This Row],[Visitor]],'NHL Model'!$A$6:$B$38,2,FALSE)</f>
        <v>-0.31751962084606655</v>
      </c>
      <c r="J140">
        <f>($B$1+Table4[[#This Row],[Home Differential]])-Table4[[#This Row],[Away Differential]]</f>
        <v>0.51987442993729749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0.58857070080328211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0.34641546984406663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-1.0952038865534519</v>
      </c>
      <c r="H141" t="s">
        <v>15</v>
      </c>
      <c r="I141">
        <f>VLOOKUP(Table4[[#This Row],[Visitor]],'NHL Model'!$A$6:$B$38,2,FALSE)</f>
        <v>-0.49835870184734621</v>
      </c>
      <c r="J141">
        <f>($B$1+Table4[[#This Row],[Home Differential]])-Table4[[#This Row],[Away Differential]]</f>
        <v>-0.45930179573368934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0.60473912167233168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0.36570940528102319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-0.15263505358797036</v>
      </c>
      <c r="H142" t="s">
        <v>13</v>
      </c>
      <c r="I142">
        <f>VLOOKUP(Table4[[#This Row],[Visitor]],'NHL Model'!$A$6:$B$38,2,FALSE)</f>
        <v>-0.36134162888396865</v>
      </c>
      <c r="J142">
        <f>($B$1+Table4[[#This Row],[Home Differential]])-Table4[[#This Row],[Away Differential]]</f>
        <v>0.34624996426841465</v>
      </c>
      <c r="K142" t="str">
        <f>IF(Table4[[#This Row],[HomeIce Differential]]&gt;0,Table4[[#This Row],[Home]],Table4[[#This Row],[Visitor]])</f>
        <v>Chicago Blackhawks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0.50270394669208118</v>
      </c>
      <c r="M142" t="str">
        <f>IF(OR((NHL2025_26Results[[#This Row],[Winning Team]]="")),"-",IF(Table4[[#This Row],[Predicted Winner]]=NHL2025_26Results[[#This Row],[Winning Team]],"YES","NO"))</f>
        <v>NO</v>
      </c>
      <c r="N142">
        <f>IF(Table4[[#This Row],[Adjusted Correct]]="-", "",IF(Table4[[#This Row],[Adjusted Correct]]="YES",(Table4[[#This Row],[Strength of Win]]-1)^2,(Table4[[#This Row],[Strength of Win]]-0)^2))</f>
        <v>0.25271125801979483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-0.16358905079701039</v>
      </c>
      <c r="H143" t="s">
        <v>33</v>
      </c>
      <c r="I143">
        <f>VLOOKUP(Table4[[#This Row],[Visitor]],'NHL Model'!$A$6:$B$38,2,FALSE)</f>
        <v>-0.36178381286707545</v>
      </c>
      <c r="J143">
        <f>($B$1+Table4[[#This Row],[Home Differential]])-Table4[[#This Row],[Away Differential]]</f>
        <v>0.33573815104248139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0.58478016051371384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0.3419678361304449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-1.8032585202533785E-2</v>
      </c>
      <c r="H144" t="s">
        <v>12</v>
      </c>
      <c r="I144">
        <f>VLOOKUP(Table4[[#This Row],[Visitor]],'NHL Model'!$A$6:$B$38,2,FALSE)</f>
        <v>1.4458345276269271</v>
      </c>
      <c r="J144">
        <f>($B$1+Table4[[#This Row],[Home Differential]])-Table4[[#This Row],[Away Differential]]</f>
        <v>-1.3263237238570444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0.60933514385515064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0.37128931753697714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-1.4957350924899622</v>
      </c>
      <c r="H145" t="s">
        <v>39</v>
      </c>
      <c r="I145">
        <f>VLOOKUP(Table4[[#This Row],[Visitor]],'NHL Model'!$A$6:$B$38,2,FALSE)</f>
        <v>4.3828122498436855E-3</v>
      </c>
      <c r="J145">
        <f>($B$1+Table4[[#This Row],[Home Differential]])-Table4[[#This Row],[Away Differential]]</f>
        <v>-1.3625745157673894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0.72269604683724598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7.6897482439690884E-2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7.1667377873261273E-2</v>
      </c>
      <c r="H146" t="s">
        <v>20</v>
      </c>
      <c r="I146">
        <f>VLOOKUP(Table4[[#This Row],[Visitor]],'NHL Model'!$A$6:$B$38,2,FALSE)</f>
        <v>0.12073374225454764</v>
      </c>
      <c r="J146">
        <f>($B$1+Table4[[#This Row],[Home Differential]])-Table4[[#This Row],[Away Differential]]</f>
        <v>8.8477024591129994E-2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0.53354003941895489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0.21758489482527016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-1.1236485959014608</v>
      </c>
      <c r="H147" t="s">
        <v>17</v>
      </c>
      <c r="I147">
        <f>VLOOKUP(Table4[[#This Row],[Visitor]],'NHL Model'!$A$6:$B$38,2,FALSE)</f>
        <v>-0.87263145033954281</v>
      </c>
      <c r="J147">
        <f>($B$1+Table4[[#This Row],[Home Differential]])-Table4[[#This Row],[Away Differential]]</f>
        <v>-0.11347375658950165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0.47513492886761333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0.22575320063003199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-6.0247860940930854E-2</v>
      </c>
      <c r="H148" t="s">
        <v>55</v>
      </c>
      <c r="I148">
        <f>VLOOKUP(Table4[[#This Row],[Visitor]],'NHL Model'!$A$6:$B$38,2,FALSE)</f>
        <v>-0.30969050963205513</v>
      </c>
      <c r="J148">
        <f>($B$1+Table4[[#This Row],[Home Differential]])-Table4[[#This Row],[Away Differential]]</f>
        <v>0.38698603766354067</v>
      </c>
      <c r="K148" t="str">
        <f>IF(Table4[[#This Row],[HomeIce Differential]]&gt;0,Table4[[#This Row],[Home]],Table4[[#This Row],[Visitor]])</f>
        <v>Winnipeg Jets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0.59411099215492724</v>
      </c>
      <c r="M148" t="str">
        <f>IF(OR((NHL2025_26Results[[#This Row],[Winning Team]]="")),"-",IF(Table4[[#This Row],[Predicted Winner]]=NHL2025_26Results[[#This Row],[Winning Team]],"YES","NO"))</f>
        <v>NO</v>
      </c>
      <c r="N148">
        <f>IF(Table4[[#This Row],[Adjusted Correct]]="-", "",IF(Table4[[#This Row],[Adjusted Correct]]="YES",(Table4[[#This Row],[Strength of Win]]-1)^2,(Table4[[#This Row],[Strength of Win]]-0)^2))</f>
        <v>0.35296787099931204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-0.31751962084606655</v>
      </c>
      <c r="H149" t="s">
        <v>21</v>
      </c>
      <c r="I149">
        <f>VLOOKUP(Table4[[#This Row],[Visitor]],'NHL Model'!$A$6:$B$38,2,FALSE)</f>
        <v>-0.14464931395309213</v>
      </c>
      <c r="J149">
        <f>($B$1+Table4[[#This Row],[Home Differential]])-Table4[[#This Row],[Away Differential]]</f>
        <v>-3.532691792055806E-2</v>
      </c>
      <c r="K149" t="str">
        <f>IF(Table4[[#This Row],[HomeIce Differential]]&gt;0,Table4[[#This Row],[Home]],Table4[[#This Row],[Visitor]])</f>
        <v>Boston Bruins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0.46221636259864068</v>
      </c>
      <c r="M149" t="str">
        <f>IF(OR((NHL2025_26Results[[#This Row],[Winning Team]]="")),"-",IF(Table4[[#This Row],[Predicted Winner]]=NHL2025_26Results[[#This Row],[Winning Team]],"YES","NO"))</f>
        <v>NO</v>
      </c>
      <c r="N149">
        <f>IF(Table4[[#This Row],[Adjusted Correct]]="-", "",IF(Table4[[#This Row],[Adjusted Correct]]="YES",(Table4[[#This Row],[Strength of Win]]-1)^2,(Table4[[#This Row],[Strength of Win]]-0)^2))</f>
        <v>0.21364396585391809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-0.2090057419115289</v>
      </c>
      <c r="H150" t="s">
        <v>35</v>
      </c>
      <c r="I150">
        <f>VLOOKUP(Table4[[#This Row],[Visitor]],'NHL Model'!$A$6:$B$38,2,FALSE)</f>
        <v>-1.5569791149906038</v>
      </c>
      <c r="J150">
        <f>($B$1+Table4[[#This Row],[Home Differential]])-Table4[[#This Row],[Away Differential]]</f>
        <v>1.4855167620514913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0.73813559717275345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6.8572965468070443E-2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-0.14464931395309213</v>
      </c>
      <c r="H151" t="s">
        <v>30</v>
      </c>
      <c r="I151">
        <f>VLOOKUP(Table4[[#This Row],[Visitor]],'NHL Model'!$A$6:$B$38,2,FALSE)</f>
        <v>3.838472305373858E-3</v>
      </c>
      <c r="J151">
        <f>($B$1+Table4[[#This Row],[Home Differential]])-Table4[[#This Row],[Away Differential]]</f>
        <v>-1.0944397286049633E-2</v>
      </c>
      <c r="K151" t="str">
        <f>IF(Table4[[#This Row],[HomeIce Differential]]&gt;0,Table4[[#This Row],[Home]],Table4[[#This Row],[Visitor]])</f>
        <v>New York Islanders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0.48145974434443461</v>
      </c>
      <c r="M151" t="str">
        <f>IF(OR((NHL2025_26Results[[#This Row],[Winning Team]]="")),"-",IF(Table4[[#This Row],[Predicted Winner]]=NHL2025_26Results[[#This Row],[Winning Team]],"YES","NO"))</f>
        <v>NO</v>
      </c>
      <c r="N151">
        <f>IF(Table4[[#This Row],[Adjusted Correct]]="-", "",IF(Table4[[#This Row],[Adjusted Correct]]="YES",(Table4[[#This Row],[Strength of Win]]-1)^2,(Table4[[#This Row],[Strength of Win]]-0)^2))</f>
        <v>0.23180348542420834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-0.51535072045188635</v>
      </c>
      <c r="H152" t="s">
        <v>28</v>
      </c>
      <c r="I152">
        <f>VLOOKUP(Table4[[#This Row],[Visitor]],'NHL Model'!$A$6:$B$38,2,FALSE)</f>
        <v>-0.59418600019583889</v>
      </c>
      <c r="J152">
        <f>($B$1+Table4[[#This Row],[Home Differential]])-Table4[[#This Row],[Away Differential]]</f>
        <v>0.2163786687163689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0.58205169332355899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0.33878417370082237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0.42515174825138019</v>
      </c>
      <c r="H153" t="s">
        <v>20</v>
      </c>
      <c r="I153">
        <f>VLOOKUP(Table4[[#This Row],[Visitor]],'NHL Model'!$A$6:$B$38,2,FALSE)</f>
        <v>0.12073374225454764</v>
      </c>
      <c r="J153">
        <f>($B$1+Table4[[#This Row],[Home Differential]])-Table4[[#This Row],[Away Differential]]</f>
        <v>0.44196139496924886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0.63037660026037268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0.39737465815582568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-0.15263505358797036</v>
      </c>
      <c r="H154" t="s">
        <v>36</v>
      </c>
      <c r="I154">
        <f>VLOOKUP(Table4[[#This Row],[Visitor]],'NHL Model'!$A$6:$B$38,2,FALSE)</f>
        <v>-0.31751962084606655</v>
      </c>
      <c r="J154">
        <f>($B$1+Table4[[#This Row],[Home Differential]])-Table4[[#This Row],[Away Differential]]</f>
        <v>0.30242795623051255</v>
      </c>
      <c r="K154" t="str">
        <f>IF(Table4[[#This Row],[HomeIce Differential]]&gt;0,Table4[[#This Row],[Home]],Table4[[#This Row],[Visitor]])</f>
        <v>Chicago Blackhawks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0.55956807490123261</v>
      </c>
      <c r="M154" t="str">
        <f>IF(OR((NHL2025_26Results[[#This Row],[Winning Team]]="")),"-",IF(Table4[[#This Row],[Predicted Winner]]=NHL2025_26Results[[#This Row],[Winning Team]],"YES","NO"))</f>
        <v>YES</v>
      </c>
      <c r="N154">
        <f>IF(Table4[[#This Row],[Adjusted Correct]]="-", "",IF(Table4[[#This Row],[Adjusted Correct]]="YES",(Table4[[#This Row],[Strength of Win]]-1)^2,(Table4[[#This Row],[Strength of Win]]-0)^2))</f>
        <v>0.19398028064620623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1.4458345276269271</v>
      </c>
      <c r="H155" t="s">
        <v>24</v>
      </c>
      <c r="I155">
        <f>VLOOKUP(Table4[[#This Row],[Visitor]],'NHL Model'!$A$6:$B$38,2,FALSE)</f>
        <v>-1.8032585202533785E-2</v>
      </c>
      <c r="J155">
        <f>($B$1+Table4[[#This Row],[Home Differential]])-Table4[[#This Row],[Away Differential]]</f>
        <v>1.6014105018018774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0.8477396405757377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2.3183217052005541E-2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4.3828122498436855E-3</v>
      </c>
      <c r="H156" t="s">
        <v>22</v>
      </c>
      <c r="I156">
        <f>VLOOKUP(Table4[[#This Row],[Visitor]],'NHL Model'!$A$6:$B$38,2,FALSE)</f>
        <v>6.4811420118814619E-2</v>
      </c>
      <c r="J156">
        <f>($B$1+Table4[[#This Row],[Home Differential]])-Table4[[#This Row],[Away Differential]]</f>
        <v>7.7114781103445426E-2</v>
      </c>
      <c r="K156" t="str">
        <f>IF(Table4[[#This Row],[HomeIce Differential]]&gt;0,Table4[[#This Row],[Home]],Table4[[#This Row],[Visitor]])</f>
        <v>Dallas Stars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0.53202456348750482</v>
      </c>
      <c r="M156" t="str">
        <f>IF(OR((NHL2025_26Results[[#This Row],[Winning Team]]="")),"-",IF(Table4[[#This Row],[Predicted Winner]]=NHL2025_26Results[[#This Row],[Winning Team]],"YES","NO"))</f>
        <v>YES</v>
      </c>
      <c r="N156">
        <f>IF(Table4[[#This Row],[Adjusted Correct]]="-", "",IF(Table4[[#This Row],[Adjusted Correct]]="YES",(Table4[[#This Row],[Strength of Win]]-1)^2,(Table4[[#This Row],[Strength of Win]]-0)^2))</f>
        <v>0.2190010091790604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-0.87263145033954281</v>
      </c>
      <c r="H157" t="s">
        <v>55</v>
      </c>
      <c r="I157">
        <f>VLOOKUP(Table4[[#This Row],[Visitor]],'NHL Model'!$A$6:$B$38,2,FALSE)</f>
        <v>-0.30969050963205513</v>
      </c>
      <c r="J157">
        <f>($B$1+Table4[[#This Row],[Home Differential]])-Table4[[#This Row],[Away Differential]]</f>
        <v>-0.42539755173507132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0.48070190637069482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0.23107432278842024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-0.37836939589441088</v>
      </c>
      <c r="H158" t="s">
        <v>31</v>
      </c>
      <c r="I158">
        <f>VLOOKUP(Table4[[#This Row],[Visitor]],'NHL Model'!$A$6:$B$38,2,FALSE)</f>
        <v>0.34329638981067145</v>
      </c>
      <c r="J158">
        <f>($B$1+Table4[[#This Row],[Home Differential]])-Table4[[#This Row],[Away Differential]]</f>
        <v>-0.58412239673266597</v>
      </c>
      <c r="K158" t="str">
        <f>IF(Table4[[#This Row],[HomeIce Differential]]&gt;0,Table4[[#This Row],[Home]],Table4[[#This Row],[Visitor]])</f>
        <v>Anaheim Ducks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0.50648064027145456</v>
      </c>
      <c r="M158" t="str">
        <f>IF(OR((NHL2025_26Results[[#This Row],[Winning Team]]="")),"-",IF(Table4[[#This Row],[Predicted Winner]]=NHL2025_26Results[[#This Row],[Winning Team]],"YES","NO"))</f>
        <v>YES</v>
      </c>
      <c r="N158">
        <f>IF(Table4[[#This Row],[Adjusted Correct]]="-", "",IF(Table4[[#This Row],[Adjusted Correct]]="YES",(Table4[[#This Row],[Strength of Win]]-1)^2,(Table4[[#This Row],[Strength of Win]]-0)^2))</f>
        <v>0.24356135842687343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-0.16358905079701039</v>
      </c>
      <c r="H159" t="s">
        <v>40</v>
      </c>
      <c r="I159">
        <f>VLOOKUP(Table4[[#This Row],[Visitor]],'NHL Model'!$A$6:$B$38,2,FALSE)</f>
        <v>-6.0247860940930854E-2</v>
      </c>
      <c r="J159">
        <f>($B$1+Table4[[#This Row],[Home Differential]])-Table4[[#This Row],[Away Differential]]</f>
        <v>3.4202199116336825E-2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0.47824603932532456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0.22871927413035989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-1.4957350924899622</v>
      </c>
      <c r="H160" t="s">
        <v>37</v>
      </c>
      <c r="I160">
        <f>VLOOKUP(Table4[[#This Row],[Visitor]],'NHL Model'!$A$6:$B$38,2,FALSE)</f>
        <v>7.1667377873261273E-2</v>
      </c>
      <c r="J160">
        <f>($B$1+Table4[[#This Row],[Home Differential]])-Table4[[#This Row],[Away Differential]]</f>
        <v>-1.429859081390807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0.71702786368347504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8.0073229931537981E-2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-0.42203126246971279</v>
      </c>
      <c r="H161" t="s">
        <v>14</v>
      </c>
      <c r="I161">
        <f>VLOOKUP(Table4[[#This Row],[Visitor]],'NHL Model'!$A$6:$B$38,2,FALSE)</f>
        <v>-0.2090057419115289</v>
      </c>
      <c r="J161">
        <f>($B$1+Table4[[#This Row],[Home Differential]])-Table4[[#This Row],[Away Differential]]</f>
        <v>-7.5482131585767526E-2</v>
      </c>
      <c r="K161" t="str">
        <f>IF(Table4[[#This Row],[HomeIce Differential]]&gt;0,Table4[[#This Row],[Home]],Table4[[#This Row],[Visitor]])</f>
        <v>Pittsburgh Penguins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0.43782160734065073</v>
      </c>
      <c r="M161" t="str">
        <f>IF(OR((NHL2025_26Results[[#This Row],[Winning Team]]="")),"-",IF(Table4[[#This Row],[Predicted Winner]]=NHL2025_26Results[[#This Row],[Winning Team]],"YES","NO"))</f>
        <v>NO</v>
      </c>
      <c r="N161">
        <f>IF(Table4[[#This Row],[Adjusted Correct]]="-", "",IF(Table4[[#This Row],[Adjusted Correct]]="YES",(Table4[[#This Row],[Strength of Win]]-1)^2,(Table4[[#This Row],[Strength of Win]]-0)^2))</f>
        <v>0.19168775985435096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-0.45007023285116615</v>
      </c>
      <c r="H162" t="s">
        <v>18</v>
      </c>
      <c r="I162">
        <f>VLOOKUP(Table4[[#This Row],[Visitor]],'NHL Model'!$A$6:$B$38,2,FALSE)</f>
        <v>-0.74754136228530599</v>
      </c>
      <c r="J162">
        <f>($B$1+Table4[[#This Row],[Home Differential]])-Table4[[#This Row],[Away Differential]]</f>
        <v>0.43501451840655619</v>
      </c>
      <c r="K162" t="str">
        <f>IF(Table4[[#This Row],[HomeIce Differential]]&gt;0,Table4[[#This Row],[Home]],Table4[[#This Row],[Visitor]])</f>
        <v>Seattle Kraken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0.57725223595879882</v>
      </c>
      <c r="M162" t="str">
        <f>IF(OR((NHL2025_26Results[[#This Row],[Winning Team]]="")),"-",IF(Table4[[#This Row],[Predicted Winner]]=NHL2025_26Results[[#This Row],[Winning Team]],"YES","NO"))</f>
        <v>NO</v>
      </c>
      <c r="N162">
        <f>IF(Table4[[#This Row],[Adjusted Correct]]="-", "",IF(Table4[[#This Row],[Adjusted Correct]]="YES",(Table4[[#This Row],[Strength of Win]]-1)^2,(Table4[[#This Row],[Strength of Win]]-0)^2))</f>
        <v>0.33322014391943278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-0.36178381286707545</v>
      </c>
      <c r="H163" t="s">
        <v>13</v>
      </c>
      <c r="I163">
        <f>VLOOKUP(Table4[[#This Row],[Visitor]],'NHL Model'!$A$6:$B$38,2,FALSE)</f>
        <v>-0.36134162888396865</v>
      </c>
      <c r="J163">
        <f>($B$1+Table4[[#This Row],[Home Differential]])-Table4[[#This Row],[Away Differential]]</f>
        <v>0.13710120498930956</v>
      </c>
      <c r="K163" t="str">
        <f>IF(Table4[[#This Row],[HomeIce Differential]]&gt;0,Table4[[#This Row],[Home]],Table4[[#This Row],[Visitor]])</f>
        <v>San Jose Sharks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0.47480805525799347</v>
      </c>
      <c r="M163" t="str">
        <f>IF(OR((NHL2025_26Results[[#This Row],[Winning Team]]="")),"-",IF(Table4[[#This Row],[Predicted Winner]]=NHL2025_26Results[[#This Row],[Winning Team]],"YES","NO"))</f>
        <v>NO</v>
      </c>
      <c r="N163">
        <f>IF(Table4[[#This Row],[Adjusted Correct]]="-", "",IF(Table4[[#This Row],[Adjusted Correct]]="YES",(Table4[[#This Row],[Strength of Win]]-1)^2,(Table4[[#This Row],[Strength of Win]]-0)^2))</f>
        <v>0.22544268933787778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-1.5569791149906038</v>
      </c>
      <c r="H164" t="s">
        <v>26</v>
      </c>
      <c r="I164">
        <f>VLOOKUP(Table4[[#This Row],[Visitor]],'NHL Model'!$A$6:$B$38,2,FALSE)</f>
        <v>-0.66335717753705836</v>
      </c>
      <c r="J164">
        <f>($B$1+Table4[[#This Row],[Home Differential]])-Table4[[#This Row],[Away Differential]]</f>
        <v>-0.75607854848112899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0.60794381043291745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0.15370805577786018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-0.93520311342823803</v>
      </c>
      <c r="H165" t="s">
        <v>16</v>
      </c>
      <c r="I165">
        <f>VLOOKUP(Table4[[#This Row],[Visitor]],'NHL Model'!$A$6:$B$38,2,FALSE)</f>
        <v>-1.0952038865534519</v>
      </c>
      <c r="J165">
        <f>($B$1+Table4[[#This Row],[Home Differential]])-Table4[[#This Row],[Away Differential]]</f>
        <v>0.29754416209763024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0.57968591385065571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0.17666393101555841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-1.1236485959014608</v>
      </c>
      <c r="H166" t="s">
        <v>15</v>
      </c>
      <c r="I166">
        <f>VLOOKUP(Table4[[#This Row],[Visitor]],'NHL Model'!$A$6:$B$38,2,FALSE)</f>
        <v>-0.49835870184734621</v>
      </c>
      <c r="J166">
        <f>($B$1+Table4[[#This Row],[Home Differential]])-Table4[[#This Row],[Away Differential]]</f>
        <v>-0.48774650508169826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0.60853302667363907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0.15324639120530179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-0.59418600019583889</v>
      </c>
      <c r="H167" t="s">
        <v>19</v>
      </c>
      <c r="I167">
        <f>VLOOKUP(Table4[[#This Row],[Visitor]],'NHL Model'!$A$6:$B$38,2,FALSE)</f>
        <v>-0.93520311342823803</v>
      </c>
      <c r="J167">
        <f>($B$1+Table4[[#This Row],[Home Differential]])-Table4[[#This Row],[Away Differential]]</f>
        <v>0.4785605022048155</v>
      </c>
      <c r="K167" t="str">
        <f>IF(Table4[[#This Row],[HomeIce Differential]]&gt;0,Table4[[#This Row],[Home]],Table4[[#This Row],[Visitor]])</f>
        <v>Columbus Blue Jackets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0.61087550485449682</v>
      </c>
      <c r="M167" t="str">
        <f>IF(OR((NHL2025_26Results[[#This Row],[Winning Team]]="")),"-",IF(Table4[[#This Row],[Predicted Winner]]=NHL2025_26Results[[#This Row],[Winning Team]],"YES","NO"))</f>
        <v>YES</v>
      </c>
      <c r="N167">
        <f>IF(Table4[[#This Row],[Adjusted Correct]]="-", "",IF(Table4[[#This Row],[Adjusted Correct]]="YES",(Table4[[#This Row],[Strength of Win]]-1)^2,(Table4[[#This Row],[Strength of Win]]-0)^2))</f>
        <v>0.15141787272224272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-0.14464931395309213</v>
      </c>
      <c r="H168" t="s">
        <v>23</v>
      </c>
      <c r="I168">
        <f>VLOOKUP(Table4[[#This Row],[Visitor]],'NHL Model'!$A$6:$B$38,2,FALSE)</f>
        <v>-0.51535072045188635</v>
      </c>
      <c r="J168">
        <f>($B$1+Table4[[#This Row],[Home Differential]])-Table4[[#This Row],[Away Differential]]</f>
        <v>0.5082447954712106</v>
      </c>
      <c r="K168" t="str">
        <f>IF(Table4[[#This Row],[HomeIce Differential]]&gt;0,Table4[[#This Row],[Home]],Table4[[#This Row],[Visitor]])</f>
        <v>Boston Bruins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0.65950476783685974</v>
      </c>
      <c r="M168" t="str">
        <f>IF(OR((NHL2025_26Results[[#This Row],[Winning Team]]="")),"-",IF(Table4[[#This Row],[Predicted Winner]]=NHL2025_26Results[[#This Row],[Winning Team]],"YES","NO"))</f>
        <v>YES</v>
      </c>
      <c r="N168">
        <f>IF(Table4[[#This Row],[Adjusted Correct]]="-", "",IF(Table4[[#This Row],[Adjusted Correct]]="YES",(Table4[[#This Row],[Strength of Win]]-1)^2,(Table4[[#This Row],[Strength of Win]]-0)^2))</f>
        <v>0.11593700312583079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0.42515174825138019</v>
      </c>
      <c r="H169" t="s">
        <v>30</v>
      </c>
      <c r="I169">
        <f>VLOOKUP(Table4[[#This Row],[Visitor]],'NHL Model'!$A$6:$B$38,2,FALSE)</f>
        <v>3.838472305373858E-3</v>
      </c>
      <c r="J169">
        <f>($B$1+Table4[[#This Row],[Home Differential]])-Table4[[#This Row],[Away Differential]]</f>
        <v>0.55885666491842267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0.59453931309712615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0.16439836862375029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-0.87263145033954281</v>
      </c>
      <c r="H170" t="s">
        <v>15</v>
      </c>
      <c r="I170">
        <f>VLOOKUP(Table4[[#This Row],[Visitor]],'NHL Model'!$A$6:$B$38,2,FALSE)</f>
        <v>-0.49835870184734621</v>
      </c>
      <c r="J170">
        <f>($B$1+Table4[[#This Row],[Home Differential]])-Table4[[#This Row],[Away Differential]]</f>
        <v>-0.23672935951978025</v>
      </c>
      <c r="K170" t="str">
        <f>IF(Table4[[#This Row],[HomeIce Differential]]&gt;0,Table4[[#This Row],[Home]],Table4[[#This Row],[Visitor]])</f>
        <v>New York Rangers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0.53861679661278483</v>
      </c>
      <c r="M170" t="str">
        <f>IF(OR((NHL2025_26Results[[#This Row],[Winning Team]]="")),"-",IF(Table4[[#This Row],[Predicted Winner]]=NHL2025_26Results[[#This Row],[Winning Team]],"YES","NO"))</f>
        <v>YES</v>
      </c>
      <c r="N170">
        <f>IF(Table4[[#This Row],[Adjusted Correct]]="-", "",IF(Table4[[#This Row],[Adjusted Correct]]="YES",(Table4[[#This Row],[Strength of Win]]-1)^2,(Table4[[#This Row],[Strength of Win]]-0)^2))</f>
        <v>0.21287446036784835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-0.36134162888396865</v>
      </c>
      <c r="H171" t="s">
        <v>26</v>
      </c>
      <c r="I171">
        <f>VLOOKUP(Table4[[#This Row],[Visitor]],'NHL Model'!$A$6:$B$38,2,FALSE)</f>
        <v>-0.66335717753705836</v>
      </c>
      <c r="J171">
        <f>($B$1+Table4[[#This Row],[Home Differential]])-Table4[[#This Row],[Away Differential]]</f>
        <v>0.43955893762550607</v>
      </c>
      <c r="K171" t="str">
        <f>IF(Table4[[#This Row],[HomeIce Differential]]&gt;0,Table4[[#This Row],[Home]],Table4[[#This Row],[Visitor]])</f>
        <v>Los Angeles Kings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0.55152820184159401</v>
      </c>
      <c r="M171" t="str">
        <f>IF(OR((NHL2025_26Results[[#This Row],[Winning Team]]="")),"-",IF(Table4[[#This Row],[Predicted Winner]]=NHL2025_26Results[[#This Row],[Winning Team]],"YES","NO"))</f>
        <v>NO</v>
      </c>
      <c r="N171">
        <f>IF(Table4[[#This Row],[Adjusted Correct]]="-", "",IF(Table4[[#This Row],[Adjusted Correct]]="YES",(Table4[[#This Row],[Strength of Win]]-1)^2,(Table4[[#This Row],[Strength of Win]]-0)^2))</f>
        <v>0.30418335742662206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-0.16358905079701039</v>
      </c>
      <c r="H172" t="s">
        <v>14</v>
      </c>
      <c r="I172">
        <f>VLOOKUP(Table4[[#This Row],[Visitor]],'NHL Model'!$A$6:$B$38,2,FALSE)</f>
        <v>-0.2090057419115289</v>
      </c>
      <c r="J172">
        <f>($B$1+Table4[[#This Row],[Home Differential]])-Table4[[#This Row],[Away Differential]]</f>
        <v>0.18296008008693487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0.56440289174303049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0.31855062420789498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-0.31751962084606655</v>
      </c>
      <c r="H173" t="s">
        <v>16</v>
      </c>
      <c r="I173">
        <f>VLOOKUP(Table4[[#This Row],[Visitor]],'NHL Model'!$A$6:$B$38,2,FALSE)</f>
        <v>-1.0952038865534519</v>
      </c>
      <c r="J173">
        <f>($B$1+Table4[[#This Row],[Home Differential]])-Table4[[#This Row],[Away Differential]]</f>
        <v>0.91522765467980172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0.66456692433470155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0.11251534825028184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-0.42203126246971279</v>
      </c>
      <c r="H174" t="s">
        <v>29</v>
      </c>
      <c r="I174">
        <f>VLOOKUP(Table4[[#This Row],[Visitor]],'NHL Model'!$A$6:$B$38,2,FALSE)</f>
        <v>-1.4957350924899622</v>
      </c>
      <c r="J174">
        <f>($B$1+Table4[[#This Row],[Home Differential]])-Table4[[#This Row],[Away Differential]]</f>
        <v>1.2112472189926657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0.73380007663448454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7.0862399199806303E-2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-0.36178381286707545</v>
      </c>
      <c r="H175" t="s">
        <v>24</v>
      </c>
      <c r="I175">
        <f>VLOOKUP(Table4[[#This Row],[Visitor]],'NHL Model'!$A$6:$B$38,2,FALSE)</f>
        <v>-1.8032585202533785E-2</v>
      </c>
      <c r="J175">
        <f>($B$1+Table4[[#This Row],[Home Differential]])-Table4[[#This Row],[Away Differential]]</f>
        <v>-0.20620783869212531</v>
      </c>
      <c r="K175" t="str">
        <f>IF(Table4[[#This Row],[HomeIce Differential]]&gt;0,Table4[[#This Row],[Home]],Table4[[#This Row],[Visitor]])</f>
        <v>New Jersey Devils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0.48833312973756993</v>
      </c>
      <c r="M175" t="str">
        <f>IF(OR((NHL2025_26Results[[#This Row],[Winning Team]]="")),"-",IF(Table4[[#This Row],[Predicted Winner]]=NHL2025_26Results[[#This Row],[Winning Team]],"YES","NO"))</f>
        <v>NO</v>
      </c>
      <c r="N175">
        <f>IF(Table4[[#This Row],[Adjusted Correct]]="-", "",IF(Table4[[#This Row],[Adjusted Correct]]="YES",(Table4[[#This Row],[Strength of Win]]-1)^2,(Table4[[#This Row],[Strength of Win]]-0)^2))</f>
        <v>0.23846924559929031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-1.5569791149906038</v>
      </c>
      <c r="H176" t="s">
        <v>38</v>
      </c>
      <c r="I176">
        <f>VLOOKUP(Table4[[#This Row],[Visitor]],'NHL Model'!$A$6:$B$38,2,FALSE)</f>
        <v>-1.1236485959014608</v>
      </c>
      <c r="J176">
        <f>($B$1+Table4[[#This Row],[Home Differential]])-Table4[[#This Row],[Away Differential]]</f>
        <v>-0.29578713011672653</v>
      </c>
      <c r="K176" t="str">
        <f>IF(Table4[[#This Row],[HomeIce Differential]]&gt;0,Table4[[#This Row],[Home]],Table4[[#This Row],[Visitor]])</f>
        <v>Vancouver Canucks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0.52022079480325611</v>
      </c>
      <c r="M176" t="str">
        <f>IF(OR((NHL2025_26Results[[#This Row],[Winning Team]]="")),"-",IF(Table4[[#This Row],[Predicted Winner]]=NHL2025_26Results[[#This Row],[Winning Team]],"YES","NO"))</f>
        <v>YES</v>
      </c>
      <c r="N176">
        <f>IF(Table4[[#This Row],[Adjusted Correct]]="-", "",IF(Table4[[#This Row],[Adjusted Correct]]="YES",(Table4[[#This Row],[Strength of Win]]-1)^2,(Table4[[#This Row],[Strength of Win]]-0)^2))</f>
        <v>0.23018808573921928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7.1667377873261273E-2</v>
      </c>
      <c r="H177" t="s">
        <v>39</v>
      </c>
      <c r="I177">
        <f>VLOOKUP(Table4[[#This Row],[Visitor]],'NHL Model'!$A$6:$B$38,2,FALSE)</f>
        <v>4.3828122498436855E-3</v>
      </c>
      <c r="J177">
        <f>($B$1+Table4[[#This Row],[Home Differential]])-Table4[[#This Row],[Away Differential]]</f>
        <v>0.20482795459583394</v>
      </c>
      <c r="K177" t="str">
        <f>IF(Table4[[#This Row],[HomeIce Differential]]&gt;0,Table4[[#This Row],[Home]],Table4[[#This Row],[Visitor]])</f>
        <v>Tampa Bay Lightning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0.48885805168934837</v>
      </c>
      <c r="M177" t="str">
        <f>IF(OR((NHL2025_26Results[[#This Row],[Winning Team]]="")),"-",IF(Table4[[#This Row],[Predicted Winner]]=NHL2025_26Results[[#This Row],[Winning Team]],"YES","NO"))</f>
        <v>YES</v>
      </c>
      <c r="N177">
        <f>IF(Table4[[#This Row],[Adjusted Correct]]="-", "",IF(Table4[[#This Row],[Adjusted Correct]]="YES",(Table4[[#This Row],[Strength of Win]]-1)^2,(Table4[[#This Row],[Strength of Win]]-0)^2))</f>
        <v>0.26126609132280887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-6.0247860940930854E-2</v>
      </c>
      <c r="H178" t="s">
        <v>10</v>
      </c>
      <c r="I178">
        <f>VLOOKUP(Table4[[#This Row],[Visitor]],'NHL Model'!$A$6:$B$38,2,FALSE)</f>
        <v>-0.15263505358797036</v>
      </c>
      <c r="J178">
        <f>($B$1+Table4[[#This Row],[Home Differential]])-Table4[[#This Row],[Away Differential]]</f>
        <v>0.22993058161945587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0.57316321332975961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0.18218964245497629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0.34329638981067145</v>
      </c>
      <c r="H179" t="s">
        <v>26</v>
      </c>
      <c r="I179">
        <f>VLOOKUP(Table4[[#This Row],[Visitor]],'NHL Model'!$A$6:$B$38,2,FALSE)</f>
        <v>-0.66335717753705836</v>
      </c>
      <c r="J179">
        <f>($B$1+Table4[[#This Row],[Home Differential]])-Table4[[#This Row],[Away Differential]]</f>
        <v>1.1441969563201462</v>
      </c>
      <c r="K179" t="str">
        <f>IF(Table4[[#This Row],[HomeIce Differential]]&gt;0,Table4[[#This Row],[Home]],Table4[[#This Row],[Visitor]])</f>
        <v>Anaheim Ducks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0.74277489985933509</v>
      </c>
      <c r="M179" t="str">
        <f>IF(OR((NHL2025_26Results[[#This Row],[Winning Team]]="")),"-",IF(Table4[[#This Row],[Predicted Winner]]=NHL2025_26Results[[#This Row],[Winning Team]],"YES","NO"))</f>
        <v>YES</v>
      </c>
      <c r="N179">
        <f>IF(Table4[[#This Row],[Adjusted Correct]]="-", "",IF(Table4[[#This Row],[Adjusted Correct]]="YES",(Table4[[#This Row],[Strength of Win]]-1)^2,(Table4[[#This Row],[Strength of Win]]-0)^2))</f>
        <v>6.6164752142375091E-2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0.12073374225454764</v>
      </c>
      <c r="H180" t="s">
        <v>12</v>
      </c>
      <c r="I180">
        <f>VLOOKUP(Table4[[#This Row],[Visitor]],'NHL Model'!$A$6:$B$38,2,FALSE)</f>
        <v>1.4458345276269271</v>
      </c>
      <c r="J180">
        <f>($B$1+Table4[[#This Row],[Home Differential]])-Table4[[#This Row],[Away Differential]]</f>
        <v>-1.1875573963999631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0.71088049205206527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8.3590089876055887E-2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6.4811420118814619E-2</v>
      </c>
      <c r="H181" t="s">
        <v>30</v>
      </c>
      <c r="I181">
        <f>VLOOKUP(Table4[[#This Row],[Visitor]],'NHL Model'!$A$6:$B$38,2,FALSE)</f>
        <v>3.838472305373858E-3</v>
      </c>
      <c r="J181">
        <f>($B$1+Table4[[#This Row],[Home Differential]])-Table4[[#This Row],[Away Differential]]</f>
        <v>0.19851633678585714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0.49385458862763676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0.24389235470857232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-0.14464931395309213</v>
      </c>
      <c r="H182" t="s">
        <v>25</v>
      </c>
      <c r="I182">
        <f>VLOOKUP(Table4[[#This Row],[Visitor]],'NHL Model'!$A$6:$B$38,2,FALSE)</f>
        <v>0.42515174825138019</v>
      </c>
      <c r="J182">
        <f>($B$1+Table4[[#This Row],[Home Differential]])-Table4[[#This Row],[Away Differential]]</f>
        <v>-0.43225767323205599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0.53765376359675832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0.28907156950975887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-0.51535072045188635</v>
      </c>
      <c r="H183" t="s">
        <v>22</v>
      </c>
      <c r="I183">
        <f>VLOOKUP(Table4[[#This Row],[Visitor]],'NHL Model'!$A$6:$B$38,2,FALSE)</f>
        <v>6.4811420118814619E-2</v>
      </c>
      <c r="J183">
        <f>($B$1+Table4[[#This Row],[Home Differential]])-Table4[[#This Row],[Away Differential]]</f>
        <v>-0.44261875159828462</v>
      </c>
      <c r="K183" t="str">
        <f>IF(Table4[[#This Row],[HomeIce Differential]]&gt;0,Table4[[#This Row],[Home]],Table4[[#This Row],[Visitor]])</f>
        <v>Washington Capitals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0.52570237256248808</v>
      </c>
      <c r="M183" t="str">
        <f>IF(OR((NHL2025_26Results[[#This Row],[Winning Team]]="")),"-",IF(Table4[[#This Row],[Predicted Winner]]=NHL2025_26Results[[#This Row],[Winning Team]],"YES","NO"))</f>
        <v>NO</v>
      </c>
      <c r="N183">
        <f>IF(Table4[[#This Row],[Adjusted Correct]]="-", "",IF(Table4[[#This Row],[Adjusted Correct]]="YES",(Table4[[#This Row],[Strength of Win]]-1)^2,(Table4[[#This Row],[Strength of Win]]-0)^2))</f>
        <v>0.27636298451782904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-0.59418600019583889</v>
      </c>
      <c r="H184" t="s">
        <v>35</v>
      </c>
      <c r="I184">
        <f>VLOOKUP(Table4[[#This Row],[Visitor]],'NHL Model'!$A$6:$B$38,2,FALSE)</f>
        <v>-1.5569791149906038</v>
      </c>
      <c r="J184">
        <f>($B$1+Table4[[#This Row],[Home Differential]])-Table4[[#This Row],[Away Differential]]</f>
        <v>1.1003365037671813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0.69380688774048549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9.3754221995167655E-2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-0.87263145033954281</v>
      </c>
      <c r="H185" t="s">
        <v>10</v>
      </c>
      <c r="I185">
        <f>VLOOKUP(Table4[[#This Row],[Visitor]],'NHL Model'!$A$6:$B$38,2,FALSE)</f>
        <v>-0.15263505358797036</v>
      </c>
      <c r="J185">
        <f>($B$1+Table4[[#This Row],[Home Differential]])-Table4[[#This Row],[Away Differential]]</f>
        <v>-0.5824530077791561</v>
      </c>
      <c r="K185" t="str">
        <f>IF(Table4[[#This Row],[HomeIce Differential]]&gt;0,Table4[[#This Row],[Home]],Table4[[#This Row],[Visitor]])</f>
        <v>Chicago Blackhawks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0.5016496851958625</v>
      </c>
      <c r="M185" t="str">
        <f>IF(OR((NHL2025_26Results[[#This Row],[Winning Team]]="")),"-",IF(Table4[[#This Row],[Predicted Winner]]=NHL2025_26Results[[#This Row],[Winning Team]],"YES","NO"))</f>
        <v>NO</v>
      </c>
      <c r="N185">
        <f>IF(Table4[[#This Row],[Adjusted Correct]]="-", "",IF(Table4[[#This Row],[Adjusted Correct]]="YES",(Table4[[#This Row],[Strength of Win]]-1)^2,(Table4[[#This Row],[Strength of Win]]-0)^2))</f>
        <v>0.25165240665710797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-0.37836939589441088</v>
      </c>
      <c r="H186" t="s">
        <v>39</v>
      </c>
      <c r="I186">
        <f>VLOOKUP(Table4[[#This Row],[Visitor]],'NHL Model'!$A$6:$B$38,2,FALSE)</f>
        <v>4.3828122498436855E-3</v>
      </c>
      <c r="J186">
        <f>($B$1+Table4[[#This Row],[Home Differential]])-Table4[[#This Row],[Away Differential]]</f>
        <v>-0.2452088191718382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0.52107761143931386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0.27152187714330056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-0.36134162888396865</v>
      </c>
      <c r="H187" t="s">
        <v>24</v>
      </c>
      <c r="I187">
        <f>VLOOKUP(Table4[[#This Row],[Visitor]],'NHL Model'!$A$6:$B$38,2,FALSE)</f>
        <v>-1.8032585202533785E-2</v>
      </c>
      <c r="J187">
        <f>($B$1+Table4[[#This Row],[Home Differential]])-Table4[[#This Row],[Away Differential]]</f>
        <v>-0.2057656547090185</v>
      </c>
      <c r="K187" t="str">
        <f>IF(Table4[[#This Row],[HomeIce Differential]]&gt;0,Table4[[#This Row],[Home]],Table4[[#This Row],[Visitor]])</f>
        <v>New Jersey Devils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0.48827415202032615</v>
      </c>
      <c r="M187" t="str">
        <f>IF(OR((NHL2025_26Results[[#This Row],[Winning Team]]="")),"-",IF(Table4[[#This Row],[Predicted Winner]]=NHL2025_26Results[[#This Row],[Winning Team]],"YES","NO"))</f>
        <v>YES</v>
      </c>
      <c r="N187">
        <f>IF(Table4[[#This Row],[Adjusted Correct]]="-", "",IF(Table4[[#This Row],[Adjusted Correct]]="YES",(Table4[[#This Row],[Strength of Win]]-1)^2,(Table4[[#This Row],[Strength of Win]]-0)^2))</f>
        <v>0.26186334349051621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-0.16358905079701039</v>
      </c>
      <c r="H188" t="s">
        <v>38</v>
      </c>
      <c r="I188">
        <f>VLOOKUP(Table4[[#This Row],[Visitor]],'NHL Model'!$A$6:$B$38,2,FALSE)</f>
        <v>-1.1236485959014608</v>
      </c>
      <c r="J188">
        <f>($B$1+Table4[[#This Row],[Home Differential]])-Table4[[#This Row],[Away Differential]]</f>
        <v>1.0976029340768667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0.66562710642292289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0.11180523195910734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-0.74754136228530599</v>
      </c>
      <c r="H189" t="s">
        <v>36</v>
      </c>
      <c r="I189">
        <f>VLOOKUP(Table4[[#This Row],[Visitor]],'NHL Model'!$A$6:$B$38,2,FALSE)</f>
        <v>-0.31751962084606655</v>
      </c>
      <c r="J189">
        <f>($B$1+Table4[[#This Row],[Home Differential]])-Table4[[#This Row],[Away Differential]]</f>
        <v>-0.29247835246682308</v>
      </c>
      <c r="K189" t="str">
        <f>IF(Table4[[#This Row],[HomeIce Differential]]&gt;0,Table4[[#This Row],[Home]],Table4[[#This Row],[Visitor]])</f>
        <v>Ottawa Senators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0.51977947589503315</v>
      </c>
      <c r="M189" t="str">
        <f>IF(OR((NHL2025_26Results[[#This Row],[Winning Team]]="")),"-",IF(Table4[[#This Row],[Predicted Winner]]=NHL2025_26Results[[#This Row],[Winning Team]],"YES","NO"))</f>
        <v>NO</v>
      </c>
      <c r="N189">
        <f>IF(Table4[[#This Row],[Adjusted Correct]]="-", "",IF(Table4[[#This Row],[Adjusted Correct]]="YES",(Table4[[#This Row],[Strength of Win]]-1)^2,(Table4[[#This Row],[Strength of Win]]-0)^2))</f>
        <v>0.27017070356171535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-1.4957350924899622</v>
      </c>
      <c r="H190" t="s">
        <v>16</v>
      </c>
      <c r="I190">
        <f>VLOOKUP(Table4[[#This Row],[Visitor]],'NHL Model'!$A$6:$B$38,2,FALSE)</f>
        <v>-1.0952038865534519</v>
      </c>
      <c r="J190">
        <f>($B$1+Table4[[#This Row],[Home Differential]])-Table4[[#This Row],[Away Differential]]</f>
        <v>-0.26298781696409379</v>
      </c>
      <c r="K190" t="str">
        <f>IF(Table4[[#This Row],[HomeIce Differential]]&gt;0,Table4[[#This Row],[Home]],Table4[[#This Row],[Visitor]])</f>
        <v>Calgary Flames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0.49507684968251697</v>
      </c>
      <c r="M190" t="str">
        <f>IF(OR((NHL2025_26Results[[#This Row],[Winning Team]]="")),"-",IF(Table4[[#This Row],[Predicted Winner]]=NHL2025_26Results[[#This Row],[Winning Team]],"YES","NO"))</f>
        <v>NO</v>
      </c>
      <c r="N190">
        <f>IF(Table4[[#This Row],[Adjusted Correct]]="-", "",IF(Table4[[#This Row],[Adjusted Correct]]="YES",(Table4[[#This Row],[Strength of Win]]-1)^2,(Table4[[#This Row],[Strength of Win]]-0)^2))</f>
        <v>0.2451010870915655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-0.42203126246971279</v>
      </c>
      <c r="H191" t="s">
        <v>19</v>
      </c>
      <c r="I191">
        <f>VLOOKUP(Table4[[#This Row],[Visitor]],'NHL Model'!$A$6:$B$38,2,FALSE)</f>
        <v>-0.93520311342823803</v>
      </c>
      <c r="J191">
        <f>($B$1+Table4[[#This Row],[Home Differential]])-Table4[[#This Row],[Away Differential]]</f>
        <v>0.6507152399309416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0.65903731310131175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0.4343301800597964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-0.45007023285116615</v>
      </c>
      <c r="H192" t="s">
        <v>15</v>
      </c>
      <c r="I192">
        <f>VLOOKUP(Table4[[#This Row],[Visitor]],'NHL Model'!$A$6:$B$38,2,FALSE)</f>
        <v>-0.49835870184734621</v>
      </c>
      <c r="J192">
        <f>($B$1+Table4[[#This Row],[Home Differential]])-Table4[[#This Row],[Away Differential]]</f>
        <v>0.18583185796859641</v>
      </c>
      <c r="K192" t="str">
        <f>IF(Table4[[#This Row],[HomeIce Differential]]&gt;0,Table4[[#This Row],[Home]],Table4[[#This Row],[Visitor]])</f>
        <v>Seattle Kraken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0.5075445450850703</v>
      </c>
      <c r="M192" t="str">
        <f>IF(OR((NHL2025_26Results[[#This Row],[Winning Team]]="")),"-",IF(Table4[[#This Row],[Predicted Winner]]=NHL2025_26Results[[#This Row],[Winning Team]],"YES","NO"))</f>
        <v>NO</v>
      </c>
      <c r="N192">
        <f>IF(Table4[[#This Row],[Adjusted Correct]]="-", "",IF(Table4[[#This Row],[Adjusted Correct]]="YES",(Table4[[#This Row],[Strength of Win]]-1)^2,(Table4[[#This Row],[Strength of Win]]-0)^2))</f>
        <v>0.25760146524561095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-0.36178381286707545</v>
      </c>
      <c r="H193" t="s">
        <v>12</v>
      </c>
      <c r="I193">
        <f>VLOOKUP(Table4[[#This Row],[Visitor]],'NHL Model'!$A$6:$B$38,2,FALSE)</f>
        <v>1.4458345276269271</v>
      </c>
      <c r="J193">
        <f>($B$1+Table4[[#This Row],[Home Differential]])-Table4[[#This Row],[Away Differential]]</f>
        <v>-1.6700749515215862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0.77523782976283684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0.60099369269539316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-6.0247860940930854E-2</v>
      </c>
      <c r="H194" t="s">
        <v>14</v>
      </c>
      <c r="I194">
        <f>VLOOKUP(Table4[[#This Row],[Visitor]],'NHL Model'!$A$6:$B$38,2,FALSE)</f>
        <v>-0.2090057419115289</v>
      </c>
      <c r="J194">
        <f>($B$1+Table4[[#This Row],[Home Differential]])-Table4[[#This Row],[Away Differential]]</f>
        <v>0.28630126994301441</v>
      </c>
      <c r="K194" t="str">
        <f>IF(Table4[[#This Row],[HomeIce Differential]]&gt;0,Table4[[#This Row],[Home]],Table4[[#This Row],[Visitor]])</f>
        <v>Winnipeg Jets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0.58068183599316392</v>
      </c>
      <c r="M194" t="str">
        <f>IF(OR((NHL2025_26Results[[#This Row],[Winning Team]]="")),"-",IF(Table4[[#This Row],[Predicted Winner]]=NHL2025_26Results[[#This Row],[Winning Team]],"YES","NO"))</f>
        <v>YES</v>
      </c>
      <c r="N194">
        <f>IF(Table4[[#This Row],[Adjusted Correct]]="-", "",IF(Table4[[#This Row],[Adjusted Correct]]="YES",(Table4[[#This Row],[Strength of Win]]-1)^2,(Table4[[#This Row],[Strength of Win]]-0)^2))</f>
        <v>0.17582772266606389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0.34329638981067145</v>
      </c>
      <c r="H195" t="s">
        <v>24</v>
      </c>
      <c r="I195">
        <f>VLOOKUP(Table4[[#This Row],[Visitor]],'NHL Model'!$A$6:$B$38,2,FALSE)</f>
        <v>-1.8032585202533785E-2</v>
      </c>
      <c r="J195">
        <f>($B$1+Table4[[#This Row],[Home Differential]])-Table4[[#This Row],[Away Differential]]</f>
        <v>0.49887236398562163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0.70068505464142739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8.9589436515005311E-2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3.838472305373858E-3</v>
      </c>
      <c r="H196" t="s">
        <v>28</v>
      </c>
      <c r="I196">
        <f>VLOOKUP(Table4[[#This Row],[Visitor]],'NHL Model'!$A$6:$B$38,2,FALSE)</f>
        <v>-0.59418600019583889</v>
      </c>
      <c r="J196">
        <f>($B$1+Table4[[#This Row],[Home Differential]])-Table4[[#This Row],[Away Differential]]</f>
        <v>0.73556786147362907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0.63727924672423253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0.13156634485694019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-0.42203126246971279</v>
      </c>
      <c r="H197" t="s">
        <v>16</v>
      </c>
      <c r="I197">
        <f>VLOOKUP(Table4[[#This Row],[Visitor]],'NHL Model'!$A$6:$B$38,2,FALSE)</f>
        <v>-1.0952038865534519</v>
      </c>
      <c r="J197">
        <f>($B$1+Table4[[#This Row],[Home Differential]])-Table4[[#This Row],[Away Differential]]</f>
        <v>0.81071601305615548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0.6803779331071651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0.46291413185917801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-0.36178381286707545</v>
      </c>
      <c r="H198" t="s">
        <v>26</v>
      </c>
      <c r="I198">
        <f>VLOOKUP(Table4[[#This Row],[Visitor]],'NHL Model'!$A$6:$B$38,2,FALSE)</f>
        <v>-0.66335717753705836</v>
      </c>
      <c r="J198">
        <f>($B$1+Table4[[#This Row],[Home Differential]])-Table4[[#This Row],[Away Differential]]</f>
        <v>0.43911675364239927</v>
      </c>
      <c r="K198" t="str">
        <f>IF(Table4[[#This Row],[HomeIce Differential]]&gt;0,Table4[[#This Row],[Home]],Table4[[#This Row],[Visitor]])</f>
        <v>San Jose Sharks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0.55146922412435029</v>
      </c>
      <c r="M198" t="str">
        <f>IF(OR((NHL2025_26Results[[#This Row],[Winning Team]]="")),"-",IF(Table4[[#This Row],[Predicted Winner]]=NHL2025_26Results[[#This Row],[Winning Team]],"YES","NO"))</f>
        <v>NO</v>
      </c>
      <c r="N198">
        <f>IF(Table4[[#This Row],[Adjusted Correct]]="-", "",IF(Table4[[#This Row],[Adjusted Correct]]="YES",(Table4[[#This Row],[Strength of Win]]-1)^2,(Table4[[#This Row],[Strength of Win]]-0)^2))</f>
        <v>0.30411830515631288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-0.30969050963205513</v>
      </c>
      <c r="H199" t="s">
        <v>37</v>
      </c>
      <c r="I199">
        <f>VLOOKUP(Table4[[#This Row],[Visitor]],'NHL Model'!$A$6:$B$38,2,FALSE)</f>
        <v>7.1667377873261273E-2</v>
      </c>
      <c r="J199">
        <f>($B$1+Table4[[#This Row],[Home Differential]])-Table4[[#This Row],[Away Differential]]</f>
        <v>-0.24381449853290005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0.50620375692273478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0.24383472967722158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-1.4957350924899622</v>
      </c>
      <c r="H200" t="s">
        <v>38</v>
      </c>
      <c r="I200">
        <f>VLOOKUP(Table4[[#This Row],[Visitor]],'NHL Model'!$A$6:$B$38,2,FALSE)</f>
        <v>-1.1236485959014608</v>
      </c>
      <c r="J200">
        <f>($B$1+Table4[[#This Row],[Home Differential]])-Table4[[#This Row],[Away Differential]]</f>
        <v>-0.23454310761608488</v>
      </c>
      <c r="K200" t="str">
        <f>IF(Table4[[#This Row],[HomeIce Differential]]&gt;0,Table4[[#This Row],[Home]],Table4[[#This Row],[Visitor]])</f>
        <v>Vancouver Canucks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0.51205217545044035</v>
      </c>
      <c r="M200" t="str">
        <f>IF(OR((NHL2025_26Results[[#This Row],[Winning Team]]="")),"-",IF(Table4[[#This Row],[Predicted Winner]]=NHL2025_26Results[[#This Row],[Winning Team]],"YES","NO"))</f>
        <v>YES</v>
      </c>
      <c r="N200">
        <f>IF(Table4[[#This Row],[Adjusted Correct]]="-", "",IF(Table4[[#This Row],[Adjusted Correct]]="YES",(Table4[[#This Row],[Strength of Win]]-1)^2,(Table4[[#This Row],[Strength of Win]]-0)^2))</f>
        <v>0.23809307948264785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-0.45007023285116615</v>
      </c>
      <c r="H201" t="s">
        <v>10</v>
      </c>
      <c r="I201">
        <f>VLOOKUP(Table4[[#This Row],[Visitor]],'NHL Model'!$A$6:$B$38,2,FALSE)</f>
        <v>-0.15263505358797036</v>
      </c>
      <c r="J201">
        <f>($B$1+Table4[[#This Row],[Home Differential]])-Table4[[#This Row],[Away Differential]]</f>
        <v>-0.15989179029077943</v>
      </c>
      <c r="K201" t="str">
        <f>IF(Table4[[#This Row],[HomeIce Differential]]&gt;0,Table4[[#This Row],[Home]],Table4[[#This Row],[Visitor]])</f>
        <v>Chicago Blackhawks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0.45528834821917968</v>
      </c>
      <c r="M201" t="str">
        <f>IF(OR((NHL2025_26Results[[#This Row],[Winning Team]]="")),"-",IF(Table4[[#This Row],[Predicted Winner]]=NHL2025_26Results[[#This Row],[Winning Team]],"YES","NO"))</f>
        <v>NO</v>
      </c>
      <c r="N201">
        <f>IF(Table4[[#This Row],[Adjusted Correct]]="-", "",IF(Table4[[#This Row],[Adjusted Correct]]="YES",(Table4[[#This Row],[Strength of Win]]-1)^2,(Table4[[#This Row],[Strength of Win]]-0)^2))</f>
        <v>0.20728748002414901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-1.5569791149906038</v>
      </c>
      <c r="H202" t="s">
        <v>17</v>
      </c>
      <c r="I202">
        <f>VLOOKUP(Table4[[#This Row],[Visitor]],'NHL Model'!$A$6:$B$38,2,FALSE)</f>
        <v>-0.87263145033954281</v>
      </c>
      <c r="J202">
        <f>($B$1+Table4[[#This Row],[Home Differential]])-Table4[[#This Row],[Away Differential]]</f>
        <v>-0.54680427567864454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0.53293178674644115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0.2840162893247542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-0.93520311342823803</v>
      </c>
      <c r="H203" t="s">
        <v>14</v>
      </c>
      <c r="I203">
        <f>VLOOKUP(Table4[[#This Row],[Visitor]],'NHL Model'!$A$6:$B$38,2,FALSE)</f>
        <v>-0.2090057419115289</v>
      </c>
      <c r="J203">
        <f>($B$1+Table4[[#This Row],[Home Differential]])-Table4[[#This Row],[Away Differential]]</f>
        <v>-0.5886539825442928</v>
      </c>
      <c r="K203" t="str">
        <f>IF(Table4[[#This Row],[HomeIce Differential]]&gt;0,Table4[[#This Row],[Home]],Table4[[#This Row],[Visitor]])</f>
        <v>Pittsburgh Penguins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0.53851362659716007</v>
      </c>
      <c r="M203" t="str">
        <f>IF(OR((NHL2025_26Results[[#This Row],[Winning Team]]="")),"-",IF(Table4[[#This Row],[Predicted Winner]]=NHL2025_26Results[[#This Row],[Winning Team]],"YES","NO"))</f>
        <v>NO</v>
      </c>
      <c r="N203">
        <f>IF(Table4[[#This Row],[Adjusted Correct]]="-", "",IF(Table4[[#This Row],[Adjusted Correct]]="YES",(Table4[[#This Row],[Strength of Win]]-1)^2,(Table4[[#This Row],[Strength of Win]]-0)^2))</f>
        <v>0.28999692603082555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0.34329638981067145</v>
      </c>
      <c r="H204" t="s">
        <v>11</v>
      </c>
      <c r="I204">
        <f>VLOOKUP(Table4[[#This Row],[Visitor]],'NHL Model'!$A$6:$B$38,2,FALSE)</f>
        <v>-0.37836939589441088</v>
      </c>
      <c r="J204">
        <f>($B$1+Table4[[#This Row],[Home Differential]])-Table4[[#This Row],[Away Differential]]</f>
        <v>0.85920917467749869</v>
      </c>
      <c r="K204" t="str">
        <f>IF(Table4[[#This Row],[HomeIce Differential]]&gt;0,Table4[[#This Row],[Home]],Table4[[#This Row],[Visitor]])</f>
        <v>Anaheim Ducks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0.74952043431026583</v>
      </c>
      <c r="M204" t="str">
        <f>IF(OR((NHL2025_26Results[[#This Row],[Winning Team]]="")),"-",IF(Table4[[#This Row],[Predicted Winner]]=NHL2025_26Results[[#This Row],[Winning Team]],"YES","NO"))</f>
        <v>YES</v>
      </c>
      <c r="N204">
        <f>IF(Table4[[#This Row],[Adjusted Correct]]="-", "",IF(Table4[[#This Row],[Adjusted Correct]]="YES",(Table4[[#This Row],[Strength of Win]]-1)^2,(Table4[[#This Row],[Strength of Win]]-0)^2))</f>
        <v>6.2740012828117864E-2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-0.51535072045188635</v>
      </c>
      <c r="H205" t="s">
        <v>55</v>
      </c>
      <c r="I205">
        <f>VLOOKUP(Table4[[#This Row],[Visitor]],'NHL Model'!$A$6:$B$38,2,FALSE)</f>
        <v>-0.30969050963205513</v>
      </c>
      <c r="J205">
        <f>($B$1+Table4[[#This Row],[Home Differential]])-Table4[[#This Row],[Away Differential]]</f>
        <v>-6.8116821847414855E-2</v>
      </c>
      <c r="K205" t="str">
        <f>IF(Table4[[#This Row],[HomeIce Differential]]&gt;0,Table4[[#This Row],[Home]],Table4[[#This Row],[Visitor]])</f>
        <v>Utah Mammoth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0.45506868066998934</v>
      </c>
      <c r="M205" t="str">
        <f>IF(OR((NHL2025_26Results[[#This Row],[Winning Team]]="")),"-",IF(Table4[[#This Row],[Predicted Winner]]=NHL2025_26Results[[#This Row],[Winning Team]],"YES","NO"))</f>
        <v>YES</v>
      </c>
      <c r="N205">
        <f>IF(Table4[[#This Row],[Adjusted Correct]]="-", "",IF(Table4[[#This Row],[Adjusted Correct]]="YES",(Table4[[#This Row],[Strength of Win]]-1)^2,(Table4[[#This Row],[Strength of Win]]-0)^2))</f>
        <v>0.29695014278674609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1.4458345276269271</v>
      </c>
      <c r="H206" t="s">
        <v>37</v>
      </c>
      <c r="I206">
        <f>VLOOKUP(Table4[[#This Row],[Visitor]],'NHL Model'!$A$6:$B$38,2,FALSE)</f>
        <v>7.1667377873261273E-2</v>
      </c>
      <c r="J206">
        <f>($B$1+Table4[[#This Row],[Home Differential]])-Table4[[#This Row],[Away Differential]]</f>
        <v>1.5117105387260823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0.77305784818556778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5.1502740270164805E-2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4.3828122498436855E-3</v>
      </c>
      <c r="H207" t="s">
        <v>17</v>
      </c>
      <c r="I207">
        <f>VLOOKUP(Table4[[#This Row],[Visitor]],'NHL Model'!$A$6:$B$38,2,FALSE)</f>
        <v>-0.87263145033954281</v>
      </c>
      <c r="J207">
        <f>($B$1+Table4[[#This Row],[Home Differential]])-Table4[[#This Row],[Away Differential]]</f>
        <v>1.0145576515618029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0.67781538355922355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0.10380292707109023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-0.36134162888396865</v>
      </c>
      <c r="H208" t="s">
        <v>40</v>
      </c>
      <c r="I208">
        <f>VLOOKUP(Table4[[#This Row],[Visitor]],'NHL Model'!$A$6:$B$38,2,FALSE)</f>
        <v>-6.0247860940930854E-2</v>
      </c>
      <c r="J208">
        <f>($B$1+Table4[[#This Row],[Home Differential]])-Table4[[#This Row],[Away Differential]]</f>
        <v>-0.16355037897062144</v>
      </c>
      <c r="K208" t="str">
        <f>IF(Table4[[#This Row],[HomeIce Differential]]&gt;0,Table4[[#This Row],[Home]],Table4[[#This Row],[Visitor]])</f>
        <v>Winnipeg Jets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0.54812984962634304</v>
      </c>
      <c r="M208" t="str">
        <f>IF(OR((NHL2025_26Results[[#This Row],[Winning Team]]="")),"-",IF(Table4[[#This Row],[Predicted Winner]]=NHL2025_26Results[[#This Row],[Winning Team]],"YES","NO"))</f>
        <v>NO</v>
      </c>
      <c r="N208">
        <f>IF(Table4[[#This Row],[Adjusted Correct]]="-", "",IF(Table4[[#This Row],[Adjusted Correct]]="YES",(Table4[[#This Row],[Strength of Win]]-1)^2,(Table4[[#This Row],[Strength of Win]]-0)^2))</f>
        <v>0.30044633205139742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-0.16358905079701039</v>
      </c>
      <c r="H209" t="s">
        <v>29</v>
      </c>
      <c r="I209">
        <f>VLOOKUP(Table4[[#This Row],[Visitor]],'NHL Model'!$A$6:$B$38,2,FALSE)</f>
        <v>-1.4957350924899622</v>
      </c>
      <c r="J209">
        <f>($B$1+Table4[[#This Row],[Home Differential]])-Table4[[#This Row],[Away Differential]]</f>
        <v>1.4696894306653681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0.7360245757181656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6.9683024624774492E-2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-0.74754136228530599</v>
      </c>
      <c r="H210" t="s">
        <v>27</v>
      </c>
      <c r="I210">
        <f>VLOOKUP(Table4[[#This Row],[Visitor]],'NHL Model'!$A$6:$B$38,2,FALSE)</f>
        <v>-0.42203126246971279</v>
      </c>
      <c r="J210">
        <f>($B$1+Table4[[#This Row],[Home Differential]])-Table4[[#This Row],[Away Differential]]</f>
        <v>-0.18796671084317684</v>
      </c>
      <c r="K210" t="str">
        <f>IF(Table4[[#This Row],[HomeIce Differential]]&gt;0,Table4[[#This Row],[Home]],Table4[[#This Row],[Visitor]])</f>
        <v>Philadelphia Flyers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0.48507066729430837</v>
      </c>
      <c r="M210" t="str">
        <f>IF(OR((NHL2025_26Results[[#This Row],[Winning Team]]="")),"-",IF(Table4[[#This Row],[Predicted Winner]]=NHL2025_26Results[[#This Row],[Winning Team]],"YES","NO"))</f>
        <v>YES</v>
      </c>
      <c r="N210">
        <f>IF(Table4[[#This Row],[Adjusted Correct]]="-", "",IF(Table4[[#This Row],[Adjusted Correct]]="YES",(Table4[[#This Row],[Strength of Win]]-1)^2,(Table4[[#This Row],[Strength of Win]]-0)^2))</f>
        <v>0.26515221768072889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3.838472305373858E-3</v>
      </c>
      <c r="H211" t="s">
        <v>21</v>
      </c>
      <c r="I211">
        <f>VLOOKUP(Table4[[#This Row],[Visitor]],'NHL Model'!$A$6:$B$38,2,FALSE)</f>
        <v>-0.14464931395309213</v>
      </c>
      <c r="J211">
        <f>($B$1+Table4[[#This Row],[Home Differential]])-Table4[[#This Row],[Away Differential]]</f>
        <v>0.28603117523088234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0.57815033203403932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0.33425780643106989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-0.49835870184734621</v>
      </c>
      <c r="H212" t="s">
        <v>25</v>
      </c>
      <c r="I212">
        <f>VLOOKUP(Table4[[#This Row],[Visitor]],'NHL Model'!$A$6:$B$38,2,FALSE)</f>
        <v>0.42515174825138019</v>
      </c>
      <c r="J212">
        <f>($B$1+Table4[[#This Row],[Home Differential]])-Table4[[#This Row],[Away Differential]]</f>
        <v>-0.7859670611263101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0.63745406499038793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0.13143955499199386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0.12073374225454764</v>
      </c>
      <c r="H213" t="s">
        <v>26</v>
      </c>
      <c r="I213">
        <f>VLOOKUP(Table4[[#This Row],[Visitor]],'NHL Model'!$A$6:$B$38,2,FALSE)</f>
        <v>-0.66335717753705836</v>
      </c>
      <c r="J213">
        <f>($B$1+Table4[[#This Row],[Home Differential]])-Table4[[#This Row],[Away Differential]]</f>
        <v>0.92163430876402241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0.61582656183512186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0.14758923059142345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-1.0952038865534519</v>
      </c>
      <c r="H214" t="s">
        <v>28</v>
      </c>
      <c r="I214">
        <f>VLOOKUP(Table4[[#This Row],[Visitor]],'NHL Model'!$A$6:$B$38,2,FALSE)</f>
        <v>-0.59418600019583889</v>
      </c>
      <c r="J214">
        <f>($B$1+Table4[[#This Row],[Home Differential]])-Table4[[#This Row],[Away Differential]]</f>
        <v>-0.36347449738519666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0.5093090783983466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0.25939573733897314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-0.45007023285116615</v>
      </c>
      <c r="H215" t="s">
        <v>33</v>
      </c>
      <c r="I215">
        <f>VLOOKUP(Table4[[#This Row],[Visitor]],'NHL Model'!$A$6:$B$38,2,FALSE)</f>
        <v>-0.36178381286707545</v>
      </c>
      <c r="J215">
        <f>($B$1+Table4[[#This Row],[Home Differential]])-Table4[[#This Row],[Away Differential]]</f>
        <v>4.9256968988325656E-2</v>
      </c>
      <c r="K215" t="str">
        <f>IF(Table4[[#This Row],[HomeIce Differential]]&gt;0,Table4[[#This Row],[Home]],Table4[[#This Row],[Visitor]])</f>
        <v>Seattle Kraken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0.57260754321490803</v>
      </c>
      <c r="M215" t="str">
        <f>IF(OR((NHL2025_26Results[[#This Row],[Winning Team]]="")),"-",IF(Table4[[#This Row],[Predicted Winner]]=NHL2025_26Results[[#This Row],[Winning Team]],"YES","NO"))</f>
        <v>NO</v>
      </c>
      <c r="N215">
        <f>IF(Table4[[#This Row],[Adjusted Correct]]="-", "",IF(Table4[[#This Row],[Adjusted Correct]]="YES",(Table4[[#This Row],[Strength of Win]]-1)^2,(Table4[[#This Row],[Strength of Win]]-0)^2))</f>
        <v>0.32787939854661274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-0.93520311342823803</v>
      </c>
      <c r="H216" t="s">
        <v>55</v>
      </c>
      <c r="I216">
        <f>VLOOKUP(Table4[[#This Row],[Visitor]],'NHL Model'!$A$6:$B$38,2,FALSE)</f>
        <v>-0.30969050963205513</v>
      </c>
      <c r="J216">
        <f>($B$1+Table4[[#This Row],[Home Differential]])-Table4[[#This Row],[Away Differential]]</f>
        <v>-0.48796921482376654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0.52508447043539674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0.27571370109242105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-1.1236485959014608</v>
      </c>
      <c r="H217" t="s">
        <v>10</v>
      </c>
      <c r="I217">
        <f>VLOOKUP(Table4[[#This Row],[Visitor]],'NHL Model'!$A$6:$B$38,2,FALSE)</f>
        <v>-0.15263505358797036</v>
      </c>
      <c r="J217">
        <f>($B$1+Table4[[#This Row],[Home Differential]])-Table4[[#This Row],[Away Differential]]</f>
        <v>-0.8334701533410741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0.57116677426772522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0.18389793549194813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6.4811420118814619E-2</v>
      </c>
      <c r="H218" t="s">
        <v>35</v>
      </c>
      <c r="I218">
        <f>VLOOKUP(Table4[[#This Row],[Visitor]],'NHL Model'!$A$6:$B$38,2,FALSE)</f>
        <v>-1.5569791149906038</v>
      </c>
      <c r="J218">
        <f>($B$1+Table4[[#This Row],[Home Differential]])-Table4[[#This Row],[Away Differential]]</f>
        <v>1.7593339240818349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0.77465684573820737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5.0779537172654071E-2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-0.14464931395309213</v>
      </c>
      <c r="H219" t="s">
        <v>36</v>
      </c>
      <c r="I219">
        <f>VLOOKUP(Table4[[#This Row],[Visitor]],'NHL Model'!$A$6:$B$38,2,FALSE)</f>
        <v>-0.31751962084606655</v>
      </c>
      <c r="J219">
        <f>($B$1+Table4[[#This Row],[Home Differential]])-Table4[[#This Row],[Away Differential]]</f>
        <v>0.3104136958653908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0.61283100092115694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0.14989983384771319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-0.51535072045188635</v>
      </c>
      <c r="H220" t="s">
        <v>35</v>
      </c>
      <c r="I220">
        <f>VLOOKUP(Table4[[#This Row],[Visitor]],'NHL Model'!$A$6:$B$38,2,FALSE)</f>
        <v>-1.5569791149906038</v>
      </c>
      <c r="J220">
        <f>($B$1+Table4[[#This Row],[Home Differential]])-Table4[[#This Row],[Away Differential]]</f>
        <v>1.1791717835111339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0.71129246649619859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0.50593697289424577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0.42515174825138019</v>
      </c>
      <c r="H221" t="s">
        <v>34</v>
      </c>
      <c r="I221">
        <f>VLOOKUP(Table4[[#This Row],[Visitor]],'NHL Model'!$A$6:$B$38,2,FALSE)</f>
        <v>-0.16358905079701039</v>
      </c>
      <c r="J221">
        <f>($B$1+Table4[[#This Row],[Home Differential]])-Table4[[#This Row],[Away Differential]]</f>
        <v>0.72628418802080685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0.66829907130223298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0.11002550609896111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4.3828122498436855E-3</v>
      </c>
      <c r="H222" t="s">
        <v>31</v>
      </c>
      <c r="I222">
        <f>VLOOKUP(Table4[[#This Row],[Visitor]],'NHL Model'!$A$6:$B$38,2,FALSE)</f>
        <v>0.34329638981067145</v>
      </c>
      <c r="J222">
        <f>($B$1+Table4[[#This Row],[Home Differential]])-Table4[[#This Row],[Away Differential]]</f>
        <v>-0.20137018858841141</v>
      </c>
      <c r="K222" t="str">
        <f>IF(Table4[[#This Row],[HomeIce Differential]]&gt;0,Table4[[#This Row],[Home]],Table4[[#This Row],[Visitor]])</f>
        <v>Anaheim Ducks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0.50511926900438298</v>
      </c>
      <c r="M222" t="str">
        <f>IF(OR((NHL2025_26Results[[#This Row],[Winning Team]]="")),"-",IF(Table4[[#This Row],[Predicted Winner]]=NHL2025_26Results[[#This Row],[Winning Team]],"YES","NO"))</f>
        <v>YES</v>
      </c>
      <c r="N222">
        <f>IF(Table4[[#This Row],[Adjusted Correct]]="-", "",IF(Table4[[#This Row],[Adjusted Correct]]="YES",(Table4[[#This Row],[Strength of Win]]-1)^2,(Table4[[#This Row],[Strength of Win]]-0)^2))</f>
        <v>0.24490693791075627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-0.36134162888396865</v>
      </c>
      <c r="H223" t="s">
        <v>11</v>
      </c>
      <c r="I223">
        <f>VLOOKUP(Table4[[#This Row],[Visitor]],'NHL Model'!$A$6:$B$38,2,FALSE)</f>
        <v>-0.37836939589441088</v>
      </c>
      <c r="J223">
        <f>($B$1+Table4[[#This Row],[Home Differential]])-Table4[[#This Row],[Away Differential]]</f>
        <v>0.15457115598285859</v>
      </c>
      <c r="K223" t="str">
        <f>IF(Table4[[#This Row],[HomeIce Differential]]&gt;0,Table4[[#This Row],[Home]],Table4[[#This Row],[Visitor]])</f>
        <v>Los Angeles Kings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0.56061642727884953</v>
      </c>
      <c r="M223" t="str">
        <f>IF(OR((NHL2025_26Results[[#This Row],[Winning Team]]="")),"-",IF(Table4[[#This Row],[Predicted Winner]]=NHL2025_26Results[[#This Row],[Winning Team]],"YES","NO"))</f>
        <v>NO</v>
      </c>
      <c r="N223">
        <f>IF(Table4[[#This Row],[Adjusted Correct]]="-", "",IF(Table4[[#This Row],[Adjusted Correct]]="YES",(Table4[[#This Row],[Strength of Win]]-1)^2,(Table4[[#This Row],[Strength of Win]]-0)^2))</f>
        <v>0.31429077853490156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-1.8032585202533785E-2</v>
      </c>
      <c r="H224" t="s">
        <v>18</v>
      </c>
      <c r="I224">
        <f>VLOOKUP(Table4[[#This Row],[Visitor]],'NHL Model'!$A$6:$B$38,2,FALSE)</f>
        <v>-0.74754136228530599</v>
      </c>
      <c r="J224">
        <f>($B$1+Table4[[#This Row],[Home Differential]])-Table4[[#This Row],[Away Differential]]</f>
        <v>0.86705216605518853</v>
      </c>
      <c r="K224" t="str">
        <f>IF(Table4[[#This Row],[HomeIce Differential]]&gt;0,Table4[[#This Row],[Home]],Table4[[#This Row],[Visitor]])</f>
        <v>New Jersey Devils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0.72729636913868834</v>
      </c>
      <c r="M224" t="str">
        <f>IF(OR((NHL2025_26Results[[#This Row],[Winning Team]]="")),"-",IF(Table4[[#This Row],[Predicted Winner]]=NHL2025_26Results[[#This Row],[Winning Team]],"YES","NO"))</f>
        <v>YES</v>
      </c>
      <c r="N224">
        <f>IF(Table4[[#This Row],[Adjusted Correct]]="-", "",IF(Table4[[#This Row],[Adjusted Correct]]="YES",(Table4[[#This Row],[Strength of Win]]-1)^2,(Table4[[#This Row],[Strength of Win]]-0)^2))</f>
        <v>7.4367270284942541E-2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-1.4957350924899622</v>
      </c>
      <c r="H225" t="s">
        <v>27</v>
      </c>
      <c r="I225">
        <f>VLOOKUP(Table4[[#This Row],[Visitor]],'NHL Model'!$A$6:$B$38,2,FALSE)</f>
        <v>-0.42203126246971279</v>
      </c>
      <c r="J225">
        <f>($B$1+Table4[[#This Row],[Home Differential]])-Table4[[#This Row],[Away Differential]]</f>
        <v>-0.93616044104783291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0.58486342313658213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0.17233837744987646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-0.2090057419115289</v>
      </c>
      <c r="H226" t="s">
        <v>22</v>
      </c>
      <c r="I226">
        <f>VLOOKUP(Table4[[#This Row],[Visitor]],'NHL Model'!$A$6:$B$38,2,FALSE)</f>
        <v>6.4811420118814619E-2</v>
      </c>
      <c r="J226">
        <f>($B$1+Table4[[#This Row],[Home Differential]])-Table4[[#This Row],[Away Differential]]</f>
        <v>-0.13627377305792715</v>
      </c>
      <c r="K226" t="str">
        <f>IF(Table4[[#This Row],[HomeIce Differential]]&gt;0,Table4[[#This Row],[Home]],Table4[[#This Row],[Visitor]])</f>
        <v>Washington Capitals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0.4989451854898822</v>
      </c>
      <c r="M226" t="str">
        <f>IF(OR((NHL2025_26Results[[#This Row],[Winning Team]]="")),"-",IF(Table4[[#This Row],[Predicted Winner]]=NHL2025_26Results[[#This Row],[Winning Team]],"YES","NO"))</f>
        <v>NO</v>
      </c>
      <c r="N226">
        <f>IF(Table4[[#This Row],[Adjusted Correct]]="-", "",IF(Table4[[#This Row],[Adjusted Correct]]="YES",(Table4[[#This Row],[Strength of Win]]-1)^2,(Table4[[#This Row],[Strength of Win]]-0)^2))</f>
        <v>0.24894629812353297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0.12073374225454764</v>
      </c>
      <c r="H227" t="s">
        <v>37</v>
      </c>
      <c r="I227">
        <f>VLOOKUP(Table4[[#This Row],[Visitor]],'NHL Model'!$A$6:$B$38,2,FALSE)</f>
        <v>7.1667377873261273E-2</v>
      </c>
      <c r="J227">
        <f>($B$1+Table4[[#This Row],[Home Differential]])-Table4[[#This Row],[Away Differential]]</f>
        <v>0.18660975335370272</v>
      </c>
      <c r="K227" t="str">
        <f>IF(Table4[[#This Row],[HomeIce Differential]]&gt;0,Table4[[#This Row],[Home]],Table4[[#This Row],[Visitor]])</f>
        <v>Vegas Golden Knights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0.49857388923174834</v>
      </c>
      <c r="M227" t="str">
        <f>IF(OR((NHL2025_26Results[[#This Row],[Winning Team]]="")),"-",IF(Table4[[#This Row],[Predicted Winner]]=NHL2025_26Results[[#This Row],[Winning Team]],"YES","NO"))</f>
        <v>NO</v>
      </c>
      <c r="N227">
        <f>IF(Table4[[#This Row],[Adjusted Correct]]="-", "",IF(Table4[[#This Row],[Adjusted Correct]]="YES",(Table4[[#This Row],[Strength of Win]]-1)^2,(Table4[[#This Row],[Strength of Win]]-0)^2))</f>
        <v>0.24857592302367165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-1.0952038865534519</v>
      </c>
      <c r="H228" t="s">
        <v>10</v>
      </c>
      <c r="I228">
        <f>VLOOKUP(Table4[[#This Row],[Visitor]],'NHL Model'!$A$6:$B$38,2,FALSE)</f>
        <v>-0.15263505358797036</v>
      </c>
      <c r="J228">
        <f>($B$1+Table4[[#This Row],[Home Differential]])-Table4[[#This Row],[Away Differential]]</f>
        <v>-0.80502544399306519</v>
      </c>
      <c r="K228" t="str">
        <f>IF(Table4[[#This Row],[HomeIce Differential]]&gt;0,Table4[[#This Row],[Home]],Table4[[#This Row],[Visitor]])</f>
        <v>Chicago Blackhawks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0.56737286926641772</v>
      </c>
      <c r="M228" t="str">
        <f>IF(OR((NHL2025_26Results[[#This Row],[Winning Team]]="")),"-",IF(Table4[[#This Row],[Predicted Winner]]=NHL2025_26Results[[#This Row],[Winning Team]],"YES","NO"))</f>
        <v>YES</v>
      </c>
      <c r="N228">
        <f>IF(Table4[[#This Row],[Adjusted Correct]]="-", "",IF(Table4[[#This Row],[Adjusted Correct]]="YES",(Table4[[#This Row],[Strength of Win]]-1)^2,(Table4[[#This Row],[Strength of Win]]-0)^2))</f>
        <v>0.18716623424677209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-0.66335717753705836</v>
      </c>
      <c r="H229" t="s">
        <v>15</v>
      </c>
      <c r="I229">
        <f>VLOOKUP(Table4[[#This Row],[Visitor]],'NHL Model'!$A$6:$B$38,2,FALSE)</f>
        <v>-0.49835870184734621</v>
      </c>
      <c r="J229">
        <f>($B$1+Table4[[#This Row],[Home Differential]])-Table4[[#This Row],[Away Differential]]</f>
        <v>-2.7455086717295796E-2</v>
      </c>
      <c r="K229" t="str">
        <f>IF(Table4[[#This Row],[HomeIce Differential]]&gt;0,Table4[[#This Row],[Home]],Table4[[#This Row],[Visitor]])</f>
        <v>New York Rangers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0.51457894145359773</v>
      </c>
      <c r="M229" t="str">
        <f>IF(OR((NHL2025_26Results[[#This Row],[Winning Team]]="")),"-",IF(Table4[[#This Row],[Predicted Winner]]=NHL2025_26Results[[#This Row],[Winning Team]],"YES","NO"))</f>
        <v>YES</v>
      </c>
      <c r="N229">
        <f>IF(Table4[[#This Row],[Adjusted Correct]]="-", "",IF(Table4[[#This Row],[Adjusted Correct]]="YES",(Table4[[#This Row],[Strength of Win]]-1)^2,(Table4[[#This Row],[Strength of Win]]-0)^2))</f>
        <v>0.2356336040803097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3.838472305373858E-3</v>
      </c>
      <c r="H230" t="s">
        <v>34</v>
      </c>
      <c r="I230">
        <f>VLOOKUP(Table4[[#This Row],[Visitor]],'NHL Model'!$A$6:$B$38,2,FALSE)</f>
        <v>-0.16358905079701039</v>
      </c>
      <c r="J230">
        <f>($B$1+Table4[[#This Row],[Home Differential]])-Table4[[#This Row],[Away Differential]]</f>
        <v>0.30497091207480059</v>
      </c>
      <c r="K230" t="str">
        <f>IF(Table4[[#This Row],[HomeIce Differential]]&gt;0,Table4[[#This Row],[Home]],Table4[[#This Row],[Visitor]])</f>
        <v>New York Islanders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0.55990724985210705</v>
      </c>
      <c r="M230" t="str">
        <f>IF(OR((NHL2025_26Results[[#This Row],[Winning Team]]="")),"-",IF(Table4[[#This Row],[Predicted Winner]]=NHL2025_26Results[[#This Row],[Winning Team]],"YES","NO"))</f>
        <v>NO</v>
      </c>
      <c r="N230">
        <f>IF(Table4[[#This Row],[Adjusted Correct]]="-", "",IF(Table4[[#This Row],[Adjusted Correct]]="YES",(Table4[[#This Row],[Strength of Win]]-1)^2,(Table4[[#This Row],[Strength of Win]]-0)^2))</f>
        <v>0.31349612843694985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-0.36178381286707545</v>
      </c>
      <c r="H231" t="s">
        <v>40</v>
      </c>
      <c r="I231">
        <f>VLOOKUP(Table4[[#This Row],[Visitor]],'NHL Model'!$A$6:$B$38,2,FALSE)</f>
        <v>-6.0247860940930854E-2</v>
      </c>
      <c r="J231">
        <f>($B$1+Table4[[#This Row],[Home Differential]])-Table4[[#This Row],[Away Differential]]</f>
        <v>-0.16399256295372824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0.54818882734358676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0.30051099042433677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0.42515174825138019</v>
      </c>
      <c r="H232" t="s">
        <v>23</v>
      </c>
      <c r="I232">
        <f>VLOOKUP(Table4[[#This Row],[Visitor]],'NHL Model'!$A$6:$B$38,2,FALSE)</f>
        <v>-0.51535072045188635</v>
      </c>
      <c r="J232">
        <f>($B$1+Table4[[#This Row],[Home Differential]])-Table4[[#This Row],[Away Differential]]</f>
        <v>1.0780458576756828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0.73550382527842029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6.995822644234842E-2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-0.87263145033954281</v>
      </c>
      <c r="H233" t="s">
        <v>12</v>
      </c>
      <c r="I233">
        <f>VLOOKUP(Table4[[#This Row],[Visitor]],'NHL Model'!$A$6:$B$38,2,FALSE)</f>
        <v>1.4458345276269271</v>
      </c>
      <c r="J233">
        <f>($B$1+Table4[[#This Row],[Home Differential]])-Table4[[#This Row],[Away Differential]]</f>
        <v>-2.1809225889940533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0.80701662814162156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3.7242581813829174E-2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-0.74754136228530599</v>
      </c>
      <c r="H234" t="s">
        <v>55</v>
      </c>
      <c r="I234">
        <f>VLOOKUP(Table4[[#This Row],[Visitor]],'NHL Model'!$A$6:$B$38,2,FALSE)</f>
        <v>-0.30969050963205513</v>
      </c>
      <c r="J234">
        <f>($B$1+Table4[[#This Row],[Home Differential]])-Table4[[#This Row],[Away Differential]]</f>
        <v>-0.3003074636808345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0.50005447812629578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0.25005448109416201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-1.8032585202533785E-2</v>
      </c>
      <c r="H235" t="s">
        <v>14</v>
      </c>
      <c r="I235">
        <f>VLOOKUP(Table4[[#This Row],[Visitor]],'NHL Model'!$A$6:$B$38,2,FALSE)</f>
        <v>-0.2090057419115289</v>
      </c>
      <c r="J235">
        <f>($B$1+Table4[[#This Row],[Home Differential]])-Table4[[#This Row],[Away Differential]]</f>
        <v>0.32851654568141148</v>
      </c>
      <c r="K235" t="str">
        <f>IF(Table4[[#This Row],[HomeIce Differential]]&gt;0,Table4[[#This Row],[Home]],Table4[[#This Row],[Visitor]])</f>
        <v>New Jersey Devils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0.69924766717942077</v>
      </c>
      <c r="M235" t="str">
        <f>IF(OR((NHL2025_26Results[[#This Row],[Winning Team]]="")),"-",IF(Table4[[#This Row],[Predicted Winner]]=NHL2025_26Results[[#This Row],[Winning Team]],"YES","NO"))</f>
        <v>YES</v>
      </c>
      <c r="N235">
        <f>IF(Table4[[#This Row],[Adjusted Correct]]="-", "",IF(Table4[[#This Row],[Adjusted Correct]]="YES",(Table4[[#This Row],[Strength of Win]]-1)^2,(Table4[[#This Row],[Strength of Win]]-0)^2))</f>
        <v>9.0451965697020451E-2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New Jersey Devils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-1.4957350924899622</v>
      </c>
      <c r="H236" t="s">
        <v>39</v>
      </c>
      <c r="I236">
        <f>VLOOKUP(Table4[[#This Row],[Visitor]],'NHL Model'!$A$6:$B$38,2,FALSE)</f>
        <v>4.3828122498436855E-3</v>
      </c>
      <c r="J236">
        <f>($B$1+Table4[[#This Row],[Home Differential]])-Table4[[#This Row],[Away Differential]]</f>
        <v>-1.3625745157673894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0.72269604683724598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7.6897482439690884E-2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-0.49835870184734621</v>
      </c>
      <c r="H237" t="s">
        <v>30</v>
      </c>
      <c r="I237">
        <f>VLOOKUP(Table4[[#This Row],[Visitor]],'NHL Model'!$A$6:$B$38,2,FALSE)</f>
        <v>3.838472305373858E-3</v>
      </c>
      <c r="J237">
        <f>($B$1+Table4[[#This Row],[Home Differential]])-Table4[[#This Row],[Away Differential]]</f>
        <v>-0.36465378518030372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0.58126004573806422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0.17534314929528808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-0.42203126246971279</v>
      </c>
      <c r="H238" t="s">
        <v>36</v>
      </c>
      <c r="I238">
        <f>VLOOKUP(Table4[[#This Row],[Visitor]],'NHL Model'!$A$6:$B$38,2,FALSE)</f>
        <v>-0.31751962084606655</v>
      </c>
      <c r="J238">
        <f>($B$1+Table4[[#This Row],[Home Differential]])-Table4[[#This Row],[Away Differential]]</f>
        <v>3.3031747348770124E-2</v>
      </c>
      <c r="K238" t="str">
        <f>IF(Table4[[#This Row],[HomeIce Differential]]&gt;0,Table4[[#This Row],[Home]],Table4[[#This Row],[Visitor]])</f>
        <v>Philadelphia Flyers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0.55612985394434278</v>
      </c>
      <c r="M238" t="str">
        <f>IF(OR((NHL2025_26Results[[#This Row],[Winning Team]]="")),"-",IF(Table4[[#This Row],[Predicted Winner]]=NHL2025_26Results[[#This Row],[Winning Team]],"YES","NO"))</f>
        <v>NO</v>
      </c>
      <c r="N238">
        <f>IF(Table4[[#This Row],[Adjusted Correct]]="-", "",IF(Table4[[#This Row],[Adjusted Correct]]="YES",(Table4[[#This Row],[Strength of Win]]-1)^2,(Table4[[#This Row],[Strength of Win]]-0)^2))</f>
        <v>0.30928041444815602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Philadelphia Flyers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-0.36178381286707545</v>
      </c>
      <c r="H239" t="s">
        <v>11</v>
      </c>
      <c r="I239">
        <f>VLOOKUP(Table4[[#This Row],[Visitor]],'NHL Model'!$A$6:$B$38,2,FALSE)</f>
        <v>-0.37836939589441088</v>
      </c>
      <c r="J239">
        <f>($B$1+Table4[[#This Row],[Home Differential]])-Table4[[#This Row],[Away Differential]]</f>
        <v>0.15412897199975178</v>
      </c>
      <c r="K239" t="str">
        <f>IF(Table4[[#This Row],[HomeIce Differential]]&gt;0,Table4[[#This Row],[Home]],Table4[[#This Row],[Visitor]])</f>
        <v>San Jose Sharks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0.5605574495616058</v>
      </c>
      <c r="M239" t="str">
        <f>IF(OR((NHL2025_26Results[[#This Row],[Winning Team]]="")),"-",IF(Table4[[#This Row],[Predicted Winner]]=NHL2025_26Results[[#This Row],[Winning Team]],"YES","NO"))</f>
        <v>YES</v>
      </c>
      <c r="N239">
        <f>IF(Table4[[#This Row],[Adjusted Correct]]="-", "",IF(Table4[[#This Row],[Adjusted Correct]]="YES",(Table4[[#This Row],[Strength of Win]]-1)^2,(Table4[[#This Row],[Strength of Win]]-0)^2))</f>
        <v>0.19310975513580061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San Jose Sharks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-1.5569791149906038</v>
      </c>
      <c r="H240" t="s">
        <v>32</v>
      </c>
      <c r="I240">
        <f>VLOOKUP(Table4[[#This Row],[Visitor]],'NHL Model'!$A$6:$B$38,2,FALSE)</f>
        <v>-0.45007023285116615</v>
      </c>
      <c r="J240">
        <f>($B$1+Table4[[#This Row],[Home Differential]])-Table4[[#This Row],[Away Differential]]</f>
        <v>-0.96936549316702125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0.58929225423351439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0.16868085243258818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7.1667377873261273E-2</v>
      </c>
      <c r="H241" t="s">
        <v>22</v>
      </c>
      <c r="I241">
        <f>VLOOKUP(Table4[[#This Row],[Visitor]],'NHL Model'!$A$6:$B$38,2,FALSE)</f>
        <v>6.4811420118814619E-2</v>
      </c>
      <c r="J241">
        <f>($B$1+Table4[[#This Row],[Home Differential]])-Table4[[#This Row],[Away Differential]]</f>
        <v>0.144399346726863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0.54099885979358919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0.21068204671078519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-0.93520311342823803</v>
      </c>
      <c r="H242" t="s">
        <v>21</v>
      </c>
      <c r="I242">
        <f>VLOOKUP(Table4[[#This Row],[Visitor]],'NHL Model'!$A$6:$B$38,2,FALSE)</f>
        <v>-0.14464931395309213</v>
      </c>
      <c r="J242">
        <f>($B$1+Table4[[#This Row],[Home Differential]])-Table4[[#This Row],[Away Differential]]</f>
        <v>-0.65301041050272957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0.54709737308268658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0.20512078946860318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-1.1236485959014608</v>
      </c>
      <c r="H243" t="s">
        <v>28</v>
      </c>
      <c r="I243">
        <f>VLOOKUP(Table4[[#This Row],[Visitor]],'NHL Model'!$A$6:$B$38,2,FALSE)</f>
        <v>-0.59418600019583889</v>
      </c>
      <c r="J243">
        <f>($B$1+Table4[[#This Row],[Home Differential]])-Table4[[#This Row],[Away Differential]]</f>
        <v>-0.39191920673320557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0.51310298339965399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0.26327467157362561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0.12073374225454764</v>
      </c>
      <c r="H244" t="s">
        <v>31</v>
      </c>
      <c r="I244">
        <f>VLOOKUP(Table4[[#This Row],[Visitor]],'NHL Model'!$A$6:$B$38,2,FALSE)</f>
        <v>0.34329638981067145</v>
      </c>
      <c r="J244">
        <f>($B$1+Table4[[#This Row],[Home Differential]])-Table4[[#This Row],[Away Differential]]</f>
        <v>-8.5019258583707458E-2</v>
      </c>
      <c r="K244" t="str">
        <f>IF(Table4[[#This Row],[HomeIce Differential]]&gt;0,Table4[[#This Row],[Home]],Table4[[#This Row],[Visitor]])</f>
        <v>Anaheim Ducks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0.49210894904168179</v>
      </c>
      <c r="M244" t="str">
        <f>IF(OR((NHL2025_26Results[[#This Row],[Winning Team]]="")),"-",IF(Table4[[#This Row],[Predicted Winner]]=NHL2025_26Results[[#This Row],[Winning Team]],"YES","NO"))</f>
        <v>YES</v>
      </c>
      <c r="N244">
        <f>IF(Table4[[#This Row],[Adjusted Correct]]="-", "",IF(Table4[[#This Row],[Adjusted Correct]]="YES",(Table4[[#This Row],[Strength of Win]]-1)^2,(Table4[[#This Row],[Strength of Win]]-0)^2))</f>
        <v>0.25795331964354501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Anaheim Ducks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0.34329638981067145</v>
      </c>
      <c r="H245" t="s">
        <v>40</v>
      </c>
      <c r="I245">
        <f>VLOOKUP(Table4[[#This Row],[Visitor]],'NHL Model'!$A$6:$B$38,2,FALSE)</f>
        <v>-6.0247860940930854E-2</v>
      </c>
      <c r="J245">
        <f>($B$1+Table4[[#This Row],[Home Differential]])-Table4[[#This Row],[Away Differential]]</f>
        <v>0.54108763972401863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0.64359788338669399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0.12702246872644457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4.3828122498436855E-3</v>
      </c>
      <c r="H246" t="s">
        <v>32</v>
      </c>
      <c r="I246">
        <f>VLOOKUP(Table4[[#This Row],[Visitor]],'NHL Model'!$A$6:$B$38,2,FALSE)</f>
        <v>-0.45007023285116615</v>
      </c>
      <c r="J246">
        <f>($B$1+Table4[[#This Row],[Home Differential]])-Table4[[#This Row],[Away Differential]]</f>
        <v>0.59199643407342617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0.62145491607215031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0.14329638056594277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-0.66335717753705836</v>
      </c>
      <c r="H247" t="s">
        <v>10</v>
      </c>
      <c r="I247">
        <f>VLOOKUP(Table4[[#This Row],[Visitor]],'NHL Model'!$A$6:$B$38,2,FALSE)</f>
        <v>-0.15263505358797036</v>
      </c>
      <c r="J247">
        <f>($B$1+Table4[[#This Row],[Home Differential]])-Table4[[#This Row],[Away Differential]]</f>
        <v>-0.37317873497667164</v>
      </c>
      <c r="K247" t="str">
        <f>IF(Table4[[#This Row],[HomeIce Differential]]&gt;0,Table4[[#This Row],[Home]],Table4[[#This Row],[Visitor]])</f>
        <v>Chicago Blackhawks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0.47752785354126587</v>
      </c>
      <c r="M247" t="str">
        <f>IF(OR((NHL2025_26Results[[#This Row],[Winning Team]]="")),"-",IF(Table4[[#This Row],[Predicted Winner]]=NHL2025_26Results[[#This Row],[Winning Team]],"YES","NO"))</f>
        <v>YES</v>
      </c>
      <c r="N247">
        <f>IF(Table4[[#This Row],[Adjusted Correct]]="-", "",IF(Table4[[#This Row],[Adjusted Correct]]="YES",(Table4[[#This Row],[Strength of Win]]-1)^2,(Table4[[#This Row],[Strength of Win]]-0)^2))</f>
        <v>0.27297714382519689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-0.16358905079701039</v>
      </c>
      <c r="H248" t="s">
        <v>16</v>
      </c>
      <c r="I248">
        <f>VLOOKUP(Table4[[#This Row],[Visitor]],'NHL Model'!$A$6:$B$38,2,FALSE)</f>
        <v>-1.0952038865534519</v>
      </c>
      <c r="J248">
        <f>($B$1+Table4[[#This Row],[Home Differential]])-Table4[[#This Row],[Away Differential]]</f>
        <v>1.0691582247288578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0.68260243219084626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0.10074121605116634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-0.31751962084606655</v>
      </c>
      <c r="H249" t="s">
        <v>55</v>
      </c>
      <c r="I249">
        <f>VLOOKUP(Table4[[#This Row],[Visitor]],'NHL Model'!$A$6:$B$38,2,FALSE)</f>
        <v>-0.30969050963205513</v>
      </c>
      <c r="J249">
        <f>($B$1+Table4[[#This Row],[Home Differential]])-Table4[[#This Row],[Away Differential]]</f>
        <v>0.12971427775840494</v>
      </c>
      <c r="K249" t="str">
        <f>IF(Table4[[#This Row],[HomeIce Differential]]&gt;0,Table4[[#This Row],[Home]],Table4[[#This Row],[Visitor]])</f>
        <v>Ottawa Senators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0.55979654004864909</v>
      </c>
      <c r="M249" t="str">
        <f>IF(OR((NHL2025_26Results[[#This Row],[Winning Team]]="")),"-",IF(Table4[[#This Row],[Predicted Winner]]=NHL2025_26Results[[#This Row],[Winning Team]],"YES","NO"))</f>
        <v>YES</v>
      </c>
      <c r="N249">
        <f>IF(Table4[[#This Row],[Adjusted Correct]]="-", "",IF(Table4[[#This Row],[Adjusted Correct]]="YES",(Table4[[#This Row],[Strength of Win]]-1)^2,(Table4[[#This Row],[Strength of Win]]-0)^2))</f>
        <v>0.1937790861531406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-0.2090057419115289</v>
      </c>
      <c r="H250" t="s">
        <v>13</v>
      </c>
      <c r="I250">
        <f>VLOOKUP(Table4[[#This Row],[Visitor]],'NHL Model'!$A$6:$B$38,2,FALSE)</f>
        <v>-0.36134162888396865</v>
      </c>
      <c r="J250">
        <f>($B$1+Table4[[#This Row],[Home Differential]])-Table4[[#This Row],[Away Differential]]</f>
        <v>0.28987927594485607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0.49518532402867688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0.24520850513338571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-0.93520311342823803</v>
      </c>
      <c r="H251" t="s">
        <v>25</v>
      </c>
      <c r="I251">
        <f>VLOOKUP(Table4[[#This Row],[Visitor]],'NHL Model'!$A$6:$B$38,2,FALSE)</f>
        <v>0.42515174825138019</v>
      </c>
      <c r="J251">
        <f>($B$1+Table4[[#This Row],[Home Differential]])-Table4[[#This Row],[Away Differential]]</f>
        <v>-1.2228114727072019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0.69571959963210328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9.2586562048047522E-2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-1.1236485959014608</v>
      </c>
      <c r="H252" t="s">
        <v>12</v>
      </c>
      <c r="I252">
        <f>VLOOKUP(Table4[[#This Row],[Visitor]],'NHL Model'!$A$6:$B$38,2,FALSE)</f>
        <v>1.4458345276269271</v>
      </c>
      <c r="J252">
        <f>($B$1+Table4[[#This Row],[Home Differential]])-Table4[[#This Row],[Away Differential]]</f>
        <v>-2.4319397345559715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0.87685400644127665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1.5164935729565133E-2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-0.87263145033954281</v>
      </c>
      <c r="H253" t="s">
        <v>28</v>
      </c>
      <c r="I253">
        <f>VLOOKUP(Table4[[#This Row],[Visitor]],'NHL Model'!$A$6:$B$38,2,FALSE)</f>
        <v>-0.59418600019583889</v>
      </c>
      <c r="J253">
        <f>($B$1+Table4[[#This Row],[Home Differential]])-Table4[[#This Row],[Away Differential]]</f>
        <v>-0.14090206117128756</v>
      </c>
      <c r="K253" t="str">
        <f>IF(Table4[[#This Row],[HomeIce Differential]]&gt;0,Table4[[#This Row],[Home]],Table4[[#This Row],[Visitor]])</f>
        <v>Columbus Blue Jackets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0.44357202866162759</v>
      </c>
      <c r="M253" t="str">
        <f>IF(OR((NHL2025_26Results[[#This Row],[Winning Team]]="")),"-",IF(Table4[[#This Row],[Predicted Winner]]=NHL2025_26Results[[#This Row],[Winning Team]],"YES","NO"))</f>
        <v>NO</v>
      </c>
      <c r="N253">
        <f>IF(Table4[[#This Row],[Adjusted Correct]]="-", "",IF(Table4[[#This Row],[Adjusted Correct]]="YES",(Table4[[#This Row],[Strength of Win]]-1)^2,(Table4[[#This Row],[Strength of Win]]-0)^2))</f>
        <v>0.19675614461099178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-1.8032585202533785E-2</v>
      </c>
      <c r="H254" t="s">
        <v>30</v>
      </c>
      <c r="I254">
        <f>VLOOKUP(Table4[[#This Row],[Visitor]],'NHL Model'!$A$6:$B$38,2,FALSE)</f>
        <v>3.838472305373858E-3</v>
      </c>
      <c r="J254">
        <f>($B$1+Table4[[#This Row],[Home Differential]])-Table4[[#This Row],[Away Differential]]</f>
        <v>0.11567233146450871</v>
      </c>
      <c r="K254" t="str">
        <f>IF(Table4[[#This Row],[HomeIce Differential]]&gt;0,Table4[[#This Row],[Home]],Table4[[#This Row],[Visitor]])</f>
        <v>New Jersey Devils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0.60252494508771881</v>
      </c>
      <c r="M254" t="str">
        <f>IF(OR((NHL2025_26Results[[#This Row],[Winning Team]]="")),"-",IF(Table4[[#This Row],[Predicted Winner]]=NHL2025_26Results[[#This Row],[Winning Team]],"YES","NO"))</f>
        <v>NO</v>
      </c>
      <c r="N254">
        <f>IF(Table4[[#This Row],[Adjusted Correct]]="-", "",IF(Table4[[#This Row],[Adjusted Correct]]="YES",(Table4[[#This Row],[Strength of Win]]-1)^2,(Table4[[#This Row],[Strength of Win]]-0)^2))</f>
        <v>0.36303630945295856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-0.49835870184734621</v>
      </c>
      <c r="H255" t="s">
        <v>29</v>
      </c>
      <c r="I255">
        <f>VLOOKUP(Table4[[#This Row],[Visitor]],'NHL Model'!$A$6:$B$38,2,FALSE)</f>
        <v>-1.4957350924899622</v>
      </c>
      <c r="J255">
        <f>($B$1+Table4[[#This Row],[Home Differential]])-Table4[[#This Row],[Away Differential]]</f>
        <v>1.1349197796150323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0.69137359201969062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9.5250259702828369E-2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0.12073374225454764</v>
      </c>
      <c r="H256" t="s">
        <v>11</v>
      </c>
      <c r="I256">
        <f>VLOOKUP(Table4[[#This Row],[Visitor]],'NHL Model'!$A$6:$B$38,2,FALSE)</f>
        <v>-0.37836939589441088</v>
      </c>
      <c r="J256">
        <f>($B$1+Table4[[#This Row],[Home Differential]])-Table4[[#This Row],[Away Differential]]</f>
        <v>0.63664652712137482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0.62491478727237737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0.39051849135168065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-0.14464931395309213</v>
      </c>
      <c r="H257" t="s">
        <v>19</v>
      </c>
      <c r="I257">
        <f>VLOOKUP(Table4[[#This Row],[Visitor]],'NHL Model'!$A$6:$B$38,2,FALSE)</f>
        <v>-0.93520311342823803</v>
      </c>
      <c r="J257">
        <f>($B$1+Table4[[#This Row],[Home Differential]])-Table4[[#This Row],[Away Differential]]</f>
        <v>0.92809718844756228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0.71550393710365223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8.093800980352267E-2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0.42515174825138019</v>
      </c>
      <c r="H258" t="s">
        <v>22</v>
      </c>
      <c r="I258">
        <f>VLOOKUP(Table4[[#This Row],[Visitor]],'NHL Model'!$A$6:$B$38,2,FALSE)</f>
        <v>6.4811420118814619E-2</v>
      </c>
      <c r="J258">
        <f>($B$1+Table4[[#This Row],[Home Differential]])-Table4[[#This Row],[Away Differential]]</f>
        <v>0.49788371710498186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0.63783542063500709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0.40683402381663641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1.4458345276269271</v>
      </c>
      <c r="H259" t="s">
        <v>31</v>
      </c>
      <c r="I259">
        <f>VLOOKUP(Table4[[#This Row],[Visitor]],'NHL Model'!$A$6:$B$38,2,FALSE)</f>
        <v>0.34329638981067145</v>
      </c>
      <c r="J259">
        <f>($B$1+Table4[[#This Row],[Home Differential]])-Table4[[#This Row],[Away Differential]]</f>
        <v>1.2400815267886722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0.78078449516372816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4.8055437560621521E-2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-0.16358905079701039</v>
      </c>
      <c r="H260" t="s">
        <v>33</v>
      </c>
      <c r="I260">
        <f>VLOOKUP(Table4[[#This Row],[Visitor]],'NHL Model'!$A$6:$B$38,2,FALSE)</f>
        <v>-0.36178381286707545</v>
      </c>
      <c r="J260">
        <f>($B$1+Table4[[#This Row],[Home Differential]])-Table4[[#This Row],[Away Differential]]</f>
        <v>0.33573815104248139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0.58478016051371384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0.3419678361304449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-0.74754136228530599</v>
      </c>
      <c r="H261" t="s">
        <v>13</v>
      </c>
      <c r="I261">
        <f>VLOOKUP(Table4[[#This Row],[Visitor]],'NHL Model'!$A$6:$B$38,2,FALSE)</f>
        <v>-0.36134162888396865</v>
      </c>
      <c r="J261">
        <f>($B$1+Table4[[#This Row],[Home Differential]])-Table4[[#This Row],[Away Differential]]</f>
        <v>-0.24865634442892098</v>
      </c>
      <c r="K261" t="str">
        <f>IF(Table4[[#This Row],[HomeIce Differential]]&gt;0,Table4[[#This Row],[Home]],Table4[[#This Row],[Visitor]])</f>
        <v>Los Angeles Kings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0.57664360410418469</v>
      </c>
      <c r="M261" t="str">
        <f>IF(OR((NHL2025_26Results[[#This Row],[Winning Team]]="")),"-",IF(Table4[[#This Row],[Predicted Winner]]=NHL2025_26Results[[#This Row],[Winning Team]],"YES","NO"))</f>
        <v>YES</v>
      </c>
      <c r="N261">
        <f>IF(Table4[[#This Row],[Adjusted Correct]]="-", "",IF(Table4[[#This Row],[Adjusted Correct]]="YES",(Table4[[#This Row],[Strength of Win]]-1)^2,(Table4[[#This Row],[Strength of Win]]-0)^2))</f>
        <v>0.17923063794589431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-0.31751962084606655</v>
      </c>
      <c r="H262" t="s">
        <v>39</v>
      </c>
      <c r="I262">
        <f>VLOOKUP(Table4[[#This Row],[Visitor]],'NHL Model'!$A$6:$B$38,2,FALSE)</f>
        <v>4.3828122498436855E-3</v>
      </c>
      <c r="J262">
        <f>($B$1+Table4[[#This Row],[Home Differential]])-Table4[[#This Row],[Away Differential]]</f>
        <v>-0.18435904412349388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0.56305102155236642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0.19092440976643055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-0.45007023285116615</v>
      </c>
      <c r="H263" t="s">
        <v>28</v>
      </c>
      <c r="I263">
        <f>VLOOKUP(Table4[[#This Row],[Visitor]],'NHL Model'!$A$6:$B$38,2,FALSE)</f>
        <v>-0.59418600019583889</v>
      </c>
      <c r="J263">
        <f>($B$1+Table4[[#This Row],[Home Differential]])-Table4[[#This Row],[Away Differential]]</f>
        <v>0.2816591563170891</v>
      </c>
      <c r="K263" t="str">
        <f>IF(Table4[[#This Row],[HomeIce Differential]]&gt;0,Table4[[#This Row],[Home]],Table4[[#This Row],[Visitor]])</f>
        <v>Seattle Kraken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0.60278459119174022</v>
      </c>
      <c r="M263" t="str">
        <f>IF(OR((NHL2025_26Results[[#This Row],[Winning Team]]="")),"-",IF(Table4[[#This Row],[Predicted Winner]]=NHL2025_26Results[[#This Row],[Winning Team]],"YES","NO"))</f>
        <v>NO</v>
      </c>
      <c r="N263">
        <f>IF(Table4[[#This Row],[Adjusted Correct]]="-", "",IF(Table4[[#This Row],[Adjusted Correct]]="YES",(Table4[[#This Row],[Strength of Win]]-1)^2,(Table4[[#This Row],[Strength of Win]]-0)^2))</f>
        <v>0.3633492633781934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-1.5569791149906038</v>
      </c>
      <c r="H264" t="s">
        <v>16</v>
      </c>
      <c r="I264">
        <f>VLOOKUP(Table4[[#This Row],[Visitor]],'NHL Model'!$A$6:$B$38,2,FALSE)</f>
        <v>-1.0952038865534519</v>
      </c>
      <c r="J264">
        <f>($B$1+Table4[[#This Row],[Home Differential]])-Table4[[#This Row],[Away Differential]]</f>
        <v>-0.32423183946473544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0.50324546903533285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0.25325600210459215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-1.1236485959014608</v>
      </c>
      <c r="H265" t="s">
        <v>40</v>
      </c>
      <c r="I265">
        <f>VLOOKUP(Table4[[#This Row],[Visitor]],'NHL Model'!$A$6:$B$38,2,FALSE)</f>
        <v>-6.0247860940930854E-2</v>
      </c>
      <c r="J265">
        <f>($B$1+Table4[[#This Row],[Home Differential]])-Table4[[#This Row],[Away Differential]]</f>
        <v>-0.92585734598811364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0.64980500402202657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0.12263653520801283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-0.15263505358797036</v>
      </c>
      <c r="H266" t="s">
        <v>24</v>
      </c>
      <c r="I266">
        <f>VLOOKUP(Table4[[#This Row],[Visitor]],'NHL Model'!$A$6:$B$38,2,FALSE)</f>
        <v>-1.8032585202533785E-2</v>
      </c>
      <c r="J266">
        <f>($B$1+Table4[[#This Row],[Home Differential]])-Table4[[#This Row],[Away Differential]]</f>
        <v>2.9409205869797839E-3</v>
      </c>
      <c r="K266" t="str">
        <f>IF(Table4[[#This Row],[HomeIce Differential]]&gt;0,Table4[[#This Row],[Home]],Table4[[#This Row],[Visitor]])</f>
        <v>Chicago Blackhawks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0.53956276169651773</v>
      </c>
      <c r="M266" t="str">
        <f>IF(OR((NHL2025_26Results[[#This Row],[Winning Team]]="")),"-",IF(Table4[[#This Row],[Predicted Winner]]=NHL2025_26Results[[#This Row],[Winning Team]],"YES","NO"))</f>
        <v>NO</v>
      </c>
      <c r="N266">
        <f>IF(Table4[[#This Row],[Adjusted Correct]]="-", "",IF(Table4[[#This Row],[Adjusted Correct]]="YES",(Table4[[#This Row],[Strength of Win]]-1)^2,(Table4[[#This Row],[Strength of Win]]-0)^2))</f>
        <v>0.29112797380957317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-0.42203126246971279</v>
      </c>
      <c r="H267" t="s">
        <v>17</v>
      </c>
      <c r="I267">
        <f>VLOOKUP(Table4[[#This Row],[Visitor]],'NHL Model'!$A$6:$B$38,2,FALSE)</f>
        <v>-0.87263145033954281</v>
      </c>
      <c r="J267">
        <f>($B$1+Table4[[#This Row],[Home Differential]])-Table4[[#This Row],[Away Differential]]</f>
        <v>0.58814357684224639</v>
      </c>
      <c r="K267" t="str">
        <f>IF(Table4[[#This Row],[HomeIce Differential]]&gt;0,Table4[[#This Row],[Home]],Table4[[#This Row],[Visitor]])</f>
        <v>Philadelphia Flyers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0.6506916153960568</v>
      </c>
      <c r="M267" t="str">
        <f>IF(OR((NHL2025_26Results[[#This Row],[Winning Team]]="")),"-",IF(Table4[[#This Row],[Predicted Winner]]=NHL2025_26Results[[#This Row],[Winning Team]],"YES","NO"))</f>
        <v>NO</v>
      </c>
      <c r="N267">
        <f>IF(Table4[[#This Row],[Adjusted Correct]]="-", "",IF(Table4[[#This Row],[Adjusted Correct]]="YES",(Table4[[#This Row],[Strength of Win]]-1)^2,(Table4[[#This Row],[Strength of Win]]-0)^2))</f>
        <v>0.42339957834672992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7.1667377873261273E-2</v>
      </c>
      <c r="H268" t="s">
        <v>15</v>
      </c>
      <c r="I268">
        <f>VLOOKUP(Table4[[#This Row],[Visitor]],'NHL Model'!$A$6:$B$38,2,FALSE)</f>
        <v>-0.49835870184734621</v>
      </c>
      <c r="J268">
        <f>($B$1+Table4[[#This Row],[Home Differential]])-Table4[[#This Row],[Away Differential]]</f>
        <v>0.70756946869302384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0.55339075716713049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0.30624133011800997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-0.30969050963205513</v>
      </c>
      <c r="H269" t="s">
        <v>23</v>
      </c>
      <c r="I269">
        <f>VLOOKUP(Table4[[#This Row],[Visitor]],'NHL Model'!$A$6:$B$38,2,FALSE)</f>
        <v>-0.51535072045188635</v>
      </c>
      <c r="J269">
        <f>($B$1+Table4[[#This Row],[Home Differential]])-Table4[[#This Row],[Away Differential]]</f>
        <v>0.34320359979224757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0.63749186518956991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0.13141214780373695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-0.59418600019583889</v>
      </c>
      <c r="H270" t="s">
        <v>17</v>
      </c>
      <c r="I270">
        <f>VLOOKUP(Table4[[#This Row],[Visitor]],'NHL Model'!$A$6:$B$38,2,FALSE)</f>
        <v>-0.87263145033954281</v>
      </c>
      <c r="J270">
        <f>($B$1+Table4[[#This Row],[Home Differential]])-Table4[[#This Row],[Away Differential]]</f>
        <v>0.41598883911612028</v>
      </c>
      <c r="K270" t="str">
        <f>IF(Table4[[#This Row],[HomeIce Differential]]&gt;0,Table4[[#This Row],[Home]],Table4[[#This Row],[Visitor]])</f>
        <v>Columbus Blue Jackets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0.60252980714924187</v>
      </c>
      <c r="M270" t="str">
        <f>IF(OR((NHL2025_26Results[[#This Row],[Winning Team]]="")),"-",IF(Table4[[#This Row],[Predicted Winner]]=NHL2025_26Results[[#This Row],[Winning Team]],"YES","NO"))</f>
        <v>YES</v>
      </c>
      <c r="N270">
        <f>IF(Table4[[#This Row],[Adjusted Correct]]="-", "",IF(Table4[[#This Row],[Adjusted Correct]]="YES",(Table4[[#This Row],[Strength of Win]]-1)^2,(Table4[[#This Row],[Strength of Win]]-0)^2))</f>
        <v>0.15798255420481885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-1.0952038865534519</v>
      </c>
      <c r="H271" t="s">
        <v>33</v>
      </c>
      <c r="I271">
        <f>VLOOKUP(Table4[[#This Row],[Visitor]],'NHL Model'!$A$6:$B$38,2,FALSE)</f>
        <v>-0.36178381286707545</v>
      </c>
      <c r="J271">
        <f>($B$1+Table4[[#This Row],[Home Differential]])-Table4[[#This Row],[Away Differential]]</f>
        <v>-0.59587668471396005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0.53947697783233006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0.29103540961110436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1.4458345276269271</v>
      </c>
      <c r="H272" t="s">
        <v>23</v>
      </c>
      <c r="I272">
        <f>VLOOKUP(Table4[[#This Row],[Visitor]],'NHL Model'!$A$6:$B$38,2,FALSE)</f>
        <v>-0.51535072045188635</v>
      </c>
      <c r="J272">
        <f>($B$1+Table4[[#This Row],[Home Differential]])-Table4[[#This Row],[Away Differential]]</f>
        <v>2.0987286370512299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0.91484534693225927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7.2513149390872854E-3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-0.66335717753705836</v>
      </c>
      <c r="H273" t="s">
        <v>31</v>
      </c>
      <c r="I273">
        <f>VLOOKUP(Table4[[#This Row],[Visitor]],'NHL Model'!$A$6:$B$38,2,FALSE)</f>
        <v>0.34329638981067145</v>
      </c>
      <c r="J273">
        <f>($B$1+Table4[[#This Row],[Home Differential]])-Table4[[#This Row],[Away Differential]]</f>
        <v>-0.86911017837531346</v>
      </c>
      <c r="K273" t="str">
        <f>IF(Table4[[#This Row],[HomeIce Differential]]&gt;0,Table4[[#This Row],[Home]],Table4[[#This Row],[Visitor]])</f>
        <v>Anaheim Ducks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0.56419623981246625</v>
      </c>
      <c r="M273" t="str">
        <f>IF(OR((NHL2025_26Results[[#This Row],[Winning Team]]="")),"-",IF(Table4[[#This Row],[Predicted Winner]]=NHL2025_26Results[[#This Row],[Winning Team]],"YES","NO"))</f>
        <v>NO</v>
      </c>
      <c r="N273">
        <f>IF(Table4[[#This Row],[Adjusted Correct]]="-", "",IF(Table4[[#This Row],[Adjusted Correct]]="YES",(Table4[[#This Row],[Strength of Win]]-1)^2,(Table4[[#This Row],[Strength of Win]]-0)^2))</f>
        <v>0.3183173970185259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-0.37836939589441088</v>
      </c>
      <c r="H274" t="s">
        <v>22</v>
      </c>
      <c r="I274">
        <f>VLOOKUP(Table4[[#This Row],[Visitor]],'NHL Model'!$A$6:$B$38,2,FALSE)</f>
        <v>6.4811420118814619E-2</v>
      </c>
      <c r="J274">
        <f>($B$1+Table4[[#This Row],[Home Differential]])-Table4[[#This Row],[Away Differential]]</f>
        <v>-0.30563742704080915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0.46933680777956677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0.22027703913671401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-0.74754136228530599</v>
      </c>
      <c r="H275" t="s">
        <v>39</v>
      </c>
      <c r="I275">
        <f>VLOOKUP(Table4[[#This Row],[Visitor]],'NHL Model'!$A$6:$B$38,2,FALSE)</f>
        <v>4.3828122498436855E-3</v>
      </c>
      <c r="J275">
        <f>($B$1+Table4[[#This Row],[Home Differential]])-Table4[[#This Row],[Away Differential]]</f>
        <v>-0.61438078556273334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0.62290329099497221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0.14220192794242259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-0.31751962084606655</v>
      </c>
      <c r="H276" t="s">
        <v>21</v>
      </c>
      <c r="I276">
        <f>VLOOKUP(Table4[[#This Row],[Visitor]],'NHL Model'!$A$6:$B$38,2,FALSE)</f>
        <v>-0.14464931395309213</v>
      </c>
      <c r="J276">
        <f>($B$1+Table4[[#This Row],[Home Differential]])-Table4[[#This Row],[Away Differential]]</f>
        <v>-3.532691792055806E-2</v>
      </c>
      <c r="K276" t="str">
        <f>IF(Table4[[#This Row],[HomeIce Differential]]&gt;0,Table4[[#This Row],[Home]],Table4[[#This Row],[Visitor]])</f>
        <v>Boston Bruins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0.46221636259864068</v>
      </c>
      <c r="M276" t="str">
        <f>IF(OR((NHL2025_26Results[[#This Row],[Winning Team]]="")),"-",IF(Table4[[#This Row],[Predicted Winner]]=NHL2025_26Results[[#This Row],[Winning Team]],"YES","NO"))</f>
        <v>NO</v>
      </c>
      <c r="N276">
        <f>IF(Table4[[#This Row],[Adjusted Correct]]="-", "",IF(Table4[[#This Row],[Adjusted Correct]]="YES",(Table4[[#This Row],[Strength of Win]]-1)^2,(Table4[[#This Row],[Strength of Win]]-0)^2))</f>
        <v>0.21364396585391809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-0.45007023285116615</v>
      </c>
      <c r="H277" t="s">
        <v>40</v>
      </c>
      <c r="I277">
        <f>VLOOKUP(Table4[[#This Row],[Visitor]],'NHL Model'!$A$6:$B$38,2,FALSE)</f>
        <v>-6.0247860940930854E-2</v>
      </c>
      <c r="J277">
        <f>($B$1+Table4[[#This Row],[Home Differential]])-Table4[[#This Row],[Away Differential]]</f>
        <v>-0.25227898293781892</v>
      </c>
      <c r="K277" t="str">
        <f>IF(Table4[[#This Row],[HomeIce Differential]]&gt;0,Table4[[#This Row],[Home]],Table4[[#This Row],[Visitor]])</f>
        <v>Winnipeg Jets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0.53364852434885357</v>
      </c>
      <c r="M277" t="str">
        <f>IF(OR((NHL2025_26Results[[#This Row],[Winning Team]]="")),"-",IF(Table4[[#This Row],[Predicted Winner]]=NHL2025_26Results[[#This Row],[Winning Team]],"YES","NO"))</f>
        <v>NO</v>
      </c>
      <c r="N277">
        <f>IF(Table4[[#This Row],[Adjusted Correct]]="-", "",IF(Table4[[#This Row],[Adjusted Correct]]="YES",(Table4[[#This Row],[Strength of Win]]-1)^2,(Table4[[#This Row],[Strength of Win]]-0)^2))</f>
        <v>0.28478074753970894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-0.93520311342823803</v>
      </c>
      <c r="H278" t="s">
        <v>13</v>
      </c>
      <c r="I278">
        <f>VLOOKUP(Table4[[#This Row],[Visitor]],'NHL Model'!$A$6:$B$38,2,FALSE)</f>
        <v>-0.36134162888396865</v>
      </c>
      <c r="J278">
        <f>($B$1+Table4[[#This Row],[Home Differential]])-Table4[[#This Row],[Away Differential]]</f>
        <v>-0.43631809557185303</v>
      </c>
      <c r="K278" t="str">
        <f>IF(Table4[[#This Row],[HomeIce Differential]]&gt;0,Table4[[#This Row],[Home]],Table4[[#This Row],[Visitor]])</f>
        <v>Los Angeles Kings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0.60167359641328577</v>
      </c>
      <c r="M278" t="str">
        <f>IF(OR((NHL2025_26Results[[#This Row],[Winning Team]]="")),"-",IF(Table4[[#This Row],[Predicted Winner]]=NHL2025_26Results[[#This Row],[Winning Team]],"YES","NO"))</f>
        <v>YES</v>
      </c>
      <c r="N278">
        <f>IF(Table4[[#This Row],[Adjusted Correct]]="-", "",IF(Table4[[#This Row],[Adjusted Correct]]="YES",(Table4[[#This Row],[Strength of Win]]-1)^2,(Table4[[#This Row],[Strength of Win]]-0)^2))</f>
        <v>0.15866392379432595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0.12073374225454764</v>
      </c>
      <c r="H279" t="s">
        <v>30</v>
      </c>
      <c r="I279">
        <f>VLOOKUP(Table4[[#This Row],[Visitor]],'NHL Model'!$A$6:$B$38,2,FALSE)</f>
        <v>3.838472305373858E-3</v>
      </c>
      <c r="J279">
        <f>($B$1+Table4[[#This Row],[Home Differential]])-Table4[[#This Row],[Away Differential]]</f>
        <v>0.25443865892159012</v>
      </c>
      <c r="K279" t="str">
        <f>IF(Table4[[#This Row],[HomeIce Differential]]&gt;0,Table4[[#This Row],[Home]],Table4[[#This Row],[Visitor]])</f>
        <v>Vegas Golden Knights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0.50131340900227106</v>
      </c>
      <c r="M279" t="str">
        <f>IF(OR((NHL2025_26Results[[#This Row],[Winning Team]]="")),"-",IF(Table4[[#This Row],[Predicted Winner]]=NHL2025_26Results[[#This Row],[Winning Team]],"YES","NO"))</f>
        <v>NO</v>
      </c>
      <c r="N279">
        <f>IF(Table4[[#This Row],[Adjusted Correct]]="-", "",IF(Table4[[#This Row],[Adjusted Correct]]="YES",(Table4[[#This Row],[Strength of Win]]-1)^2,(Table4[[#This Row],[Strength of Win]]-0)^2))</f>
        <v>0.25131513404547828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0.42515174825138019</v>
      </c>
      <c r="H280" t="s">
        <v>38</v>
      </c>
      <c r="I280">
        <f>VLOOKUP(Table4[[#This Row],[Visitor]],'NHL Model'!$A$6:$B$38,2,FALSE)</f>
        <v>-1.1236485959014608</v>
      </c>
      <c r="J280">
        <f>($B$1+Table4[[#This Row],[Home Differential]])-Table4[[#This Row],[Away Differential]]</f>
        <v>1.6863437331252573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0.79635011464958416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4.1473275803237515E-2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-1.4957350924899622</v>
      </c>
      <c r="H281" t="s">
        <v>14</v>
      </c>
      <c r="I281">
        <f>VLOOKUP(Table4[[#This Row],[Visitor]],'NHL Model'!$A$6:$B$38,2,FALSE)</f>
        <v>-0.2090057419115289</v>
      </c>
      <c r="J281">
        <f>($B$1+Table4[[#This Row],[Home Differential]])-Table4[[#This Row],[Away Differential]]</f>
        <v>-1.1491859616060167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0.61327639013033275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0.37610793069129211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-1.5569791149906038</v>
      </c>
      <c r="H282" t="s">
        <v>27</v>
      </c>
      <c r="I282">
        <f>VLOOKUP(Table4[[#This Row],[Visitor]],'NHL Model'!$A$6:$B$38,2,FALSE)</f>
        <v>-0.42203126246971279</v>
      </c>
      <c r="J282">
        <f>($B$1+Table4[[#This Row],[Home Differential]])-Table4[[#This Row],[Away Differential]]</f>
        <v>-0.99740446354847456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0.593032042489398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0.16562291844035115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-0.30969050963205513</v>
      </c>
      <c r="H283" t="s">
        <v>30</v>
      </c>
      <c r="I283">
        <f>VLOOKUP(Table4[[#This Row],[Visitor]],'NHL Model'!$A$6:$B$38,2,FALSE)</f>
        <v>3.838472305373858E-3</v>
      </c>
      <c r="J283">
        <f>($B$1+Table4[[#This Row],[Home Differential]])-Table4[[#This Row],[Away Differential]]</f>
        <v>-0.17598559296501262</v>
      </c>
      <c r="K283" t="str">
        <f>IF(Table4[[#This Row],[HomeIce Differential]]&gt;0,Table4[[#This Row],[Home]],Table4[[#This Row],[Visitor]])</f>
        <v>New York Islanders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0.50347264699172434</v>
      </c>
      <c r="M283" t="str">
        <f>IF(OR((NHL2025_26Results[[#This Row],[Winning Team]]="")),"-",IF(Table4[[#This Row],[Predicted Winner]]=NHL2025_26Results[[#This Row],[Winning Team]],"YES","NO"))</f>
        <v>YES</v>
      </c>
      <c r="N283">
        <f>IF(Table4[[#This Row],[Adjusted Correct]]="-", "",IF(Table4[[#This Row],[Adjusted Correct]]="YES",(Table4[[#This Row],[Strength of Win]]-1)^2,(Table4[[#This Row],[Strength of Win]]-0)^2))</f>
        <v>0.2465394122854048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0.42515174825138019</v>
      </c>
      <c r="H284" t="s">
        <v>17</v>
      </c>
      <c r="I284">
        <f>VLOOKUP(Table4[[#This Row],[Visitor]],'NHL Model'!$A$6:$B$38,2,FALSE)</f>
        <v>-0.87263145033954281</v>
      </c>
      <c r="J284">
        <f>($B$1+Table4[[#This Row],[Home Differential]])-Table4[[#This Row],[Away Differential]]</f>
        <v>1.4353265875633392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0.78315729683995783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0.61333535159366981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-0.59418600019583889</v>
      </c>
      <c r="H285" t="s">
        <v>15</v>
      </c>
      <c r="I285">
        <f>VLOOKUP(Table4[[#This Row],[Visitor]],'NHL Model'!$A$6:$B$38,2,FALSE)</f>
        <v>-0.49835870184734621</v>
      </c>
      <c r="J285">
        <f>($B$1+Table4[[#This Row],[Home Differential]])-Table4[[#This Row],[Away Differential]]</f>
        <v>4.1716090623923674E-2</v>
      </c>
      <c r="K285" t="str">
        <f>IF(Table4[[#This Row],[HomeIce Differential]]&gt;0,Table4[[#This Row],[Home]],Table4[[#This Row],[Visitor]])</f>
        <v>Columbus Blue Jackets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0.46914017729322238</v>
      </c>
      <c r="M285" t="str">
        <f>IF(OR((NHL2025_26Results[[#This Row],[Winning Team]]="")),"-",IF(Table4[[#This Row],[Predicted Winner]]=NHL2025_26Results[[#This Row],[Winning Team]],"YES","NO"))</f>
        <v>NO</v>
      </c>
      <c r="N285">
        <f>IF(Table4[[#This Row],[Adjusted Correct]]="-", "",IF(Table4[[#This Row],[Adjusted Correct]]="YES",(Table4[[#This Row],[Strength of Win]]-1)^2,(Table4[[#This Row],[Strength of Win]]-0)^2))</f>
        <v>0.22009250595071614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-1.0952038865534519</v>
      </c>
      <c r="H286" t="s">
        <v>40</v>
      </c>
      <c r="I286">
        <f>VLOOKUP(Table4[[#This Row],[Visitor]],'NHL Model'!$A$6:$B$38,2,FALSE)</f>
        <v>-6.0247860940930854E-2</v>
      </c>
      <c r="J286">
        <f>($B$1+Table4[[#This Row],[Home Differential]])-Table4[[#This Row],[Away Differential]]</f>
        <v>-0.89741263664010473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0.64601109902071918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0.12530814201651908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-0.15263505358797036</v>
      </c>
      <c r="H287" t="s">
        <v>19</v>
      </c>
      <c r="I287">
        <f>VLOOKUP(Table4[[#This Row],[Visitor]],'NHL Model'!$A$6:$B$38,2,FALSE)</f>
        <v>-0.93520311342823803</v>
      </c>
      <c r="J287">
        <f>($B$1+Table4[[#This Row],[Home Differential]])-Table4[[#This Row],[Away Differential]]</f>
        <v>0.92011144881268403</v>
      </c>
      <c r="K287" t="str">
        <f>IF(Table4[[#This Row],[HomeIce Differential]]&gt;0,Table4[[#This Row],[Home]],Table4[[#This Row],[Visitor]])</f>
        <v>Chicago Blackhawks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0.66272283695016931</v>
      </c>
      <c r="M287" t="str">
        <f>IF(OR((NHL2025_26Results[[#This Row],[Winning Team]]="")),"-",IF(Table4[[#This Row],[Predicted Winner]]=NHL2025_26Results[[#This Row],[Winning Team]],"YES","NO"))</f>
        <v>YES</v>
      </c>
      <c r="N287">
        <f>IF(Table4[[#This Row],[Adjusted Correct]]="-", "",IF(Table4[[#This Row],[Adjusted Correct]]="YES",(Table4[[#This Row],[Strength of Win]]-1)^2,(Table4[[#This Row],[Strength of Win]]-0)^2))</f>
        <v>0.11375588471494208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4.3828122498436855E-3</v>
      </c>
      <c r="H288" t="s">
        <v>27</v>
      </c>
      <c r="I288">
        <f>VLOOKUP(Table4[[#This Row],[Visitor]],'NHL Model'!$A$6:$B$38,2,FALSE)</f>
        <v>-0.42203126246971279</v>
      </c>
      <c r="J288">
        <f>($B$1+Table4[[#This Row],[Home Differential]])-Table4[[#This Row],[Away Differential]]</f>
        <v>0.56395746369197286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0.6177151278162667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0.14614172350053331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-0.66335717753705836</v>
      </c>
      <c r="H289" t="s">
        <v>23</v>
      </c>
      <c r="I289">
        <f>VLOOKUP(Table4[[#This Row],[Visitor]],'NHL Model'!$A$6:$B$38,2,FALSE)</f>
        <v>-0.51535072045188635</v>
      </c>
      <c r="J289">
        <f>($B$1+Table4[[#This Row],[Home Differential]])-Table4[[#This Row],[Away Differential]]</f>
        <v>-1.0463068112755658E-2</v>
      </c>
      <c r="K289" t="str">
        <f>IF(Table4[[#This Row],[HomeIce Differential]]&gt;0,Table4[[#This Row],[Home]],Table4[[#This Row],[Visitor]])</f>
        <v>Buffalo Sabres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0.42914947970269157</v>
      </c>
      <c r="M289" t="str">
        <f>IF(OR((NHL2025_26Results[[#This Row],[Winning Team]]="")),"-",IF(Table4[[#This Row],[Predicted Winner]]=NHL2025_26Results[[#This Row],[Winning Team]],"YES","NO"))</f>
        <v>YES</v>
      </c>
      <c r="N289">
        <f>IF(Table4[[#This Row],[Adjusted Correct]]="-", "",IF(Table4[[#This Row],[Adjusted Correct]]="YES",(Table4[[#This Row],[Strength of Win]]-1)^2,(Table4[[#This Row],[Strength of Win]]-0)^2))</f>
        <v>0.32587031652370774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-0.37836939589441088</v>
      </c>
      <c r="H290" t="s">
        <v>37</v>
      </c>
      <c r="I290">
        <f>VLOOKUP(Table4[[#This Row],[Visitor]],'NHL Model'!$A$6:$B$38,2,FALSE)</f>
        <v>7.1667377873261273E-2</v>
      </c>
      <c r="J290">
        <f>($B$1+Table4[[#This Row],[Home Differential]])-Table4[[#This Row],[Away Differential]]</f>
        <v>-0.31249338479525579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0.51536402524845826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0.23487202802337701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-0.16358905079701039</v>
      </c>
      <c r="H291" t="s">
        <v>31</v>
      </c>
      <c r="I291">
        <f>VLOOKUP(Table4[[#This Row],[Visitor]],'NHL Model'!$A$6:$B$38,2,FALSE)</f>
        <v>0.34329638981067145</v>
      </c>
      <c r="J291">
        <f>($B$1+Table4[[#This Row],[Home Differential]])-Table4[[#This Row],[Away Differential]]</f>
        <v>-0.36934205163526546</v>
      </c>
      <c r="K291" t="str">
        <f>IF(Table4[[#This Row],[HomeIce Differential]]&gt;0,Table4[[#This Row],[Home]],Table4[[#This Row],[Visitor]])</f>
        <v>Anaheim Ducks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0.53003142008354198</v>
      </c>
      <c r="M291" t="str">
        <f>IF(OR((NHL2025_26Results[[#This Row],[Winning Team]]="")),"-",IF(Table4[[#This Row],[Predicted Winner]]=NHL2025_26Results[[#This Row],[Winning Team]],"YES","NO"))</f>
        <v>NO</v>
      </c>
      <c r="N291">
        <f>IF(Table4[[#This Row],[Adjusted Correct]]="-", "",IF(Table4[[#This Row],[Adjusted Correct]]="YES",(Table4[[#This Row],[Strength of Win]]-1)^2,(Table4[[#This Row],[Strength of Win]]-0)^2))</f>
        <v>0.28093330627577617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-0.74754136228530599</v>
      </c>
      <c r="H292" t="s">
        <v>21</v>
      </c>
      <c r="I292">
        <f>VLOOKUP(Table4[[#This Row],[Visitor]],'NHL Model'!$A$6:$B$38,2,FALSE)</f>
        <v>-0.14464931395309213</v>
      </c>
      <c r="J292">
        <f>($B$1+Table4[[#This Row],[Home Differential]])-Table4[[#This Row],[Away Differential]]</f>
        <v>-0.46534865935979752</v>
      </c>
      <c r="K292" t="str">
        <f>IF(Table4[[#This Row],[HomeIce Differential]]&gt;0,Table4[[#This Row],[Home]],Table4[[#This Row],[Visitor]])</f>
        <v>Boston Bruins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0.5220673807735855</v>
      </c>
      <c r="M292" t="str">
        <f>IF(OR((NHL2025_26Results[[#This Row],[Winning Team]]="")),"-",IF(Table4[[#This Row],[Predicted Winner]]=NHL2025_26Results[[#This Row],[Winning Team]],"YES","NO"))</f>
        <v>YES</v>
      </c>
      <c r="N292">
        <f>IF(Table4[[#This Row],[Adjusted Correct]]="-", "",IF(Table4[[#This Row],[Adjusted Correct]]="YES",(Table4[[#This Row],[Strength of Win]]-1)^2,(Table4[[#This Row],[Strength of Win]]-0)^2))</f>
        <v>0.22841958852062091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-0.31751962084606655</v>
      </c>
      <c r="H293" t="s">
        <v>13</v>
      </c>
      <c r="I293">
        <f>VLOOKUP(Table4[[#This Row],[Visitor]],'NHL Model'!$A$6:$B$38,2,FALSE)</f>
        <v>-0.36134162888396865</v>
      </c>
      <c r="J293">
        <f>($B$1+Table4[[#This Row],[Home Differential]])-Table4[[#This Row],[Away Differential]]</f>
        <v>0.18136539701031845</v>
      </c>
      <c r="K293" t="str">
        <f>IF(Table4[[#This Row],[HomeIce Differential]]&gt;0,Table4[[#This Row],[Home]],Table4[[#This Row],[Visitor]])</f>
        <v>Ottawa Senators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0.48320658917860848</v>
      </c>
      <c r="M293" t="str">
        <f>IF(OR((NHL2025_26Results[[#This Row],[Winning Team]]="")),"-",IF(Table4[[#This Row],[Predicted Winner]]=NHL2025_26Results[[#This Row],[Winning Team]],"YES","NO"))</f>
        <v>NO</v>
      </c>
      <c r="N293">
        <f>IF(Table4[[#This Row],[Adjusted Correct]]="-", "",IF(Table4[[#This Row],[Adjusted Correct]]="YES",(Table4[[#This Row],[Strength of Win]]-1)^2,(Table4[[#This Row],[Strength of Win]]-0)^2))</f>
        <v>0.2334886078256245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-0.45007023285116615</v>
      </c>
      <c r="H294" t="s">
        <v>33</v>
      </c>
      <c r="I294">
        <f>VLOOKUP(Table4[[#This Row],[Visitor]],'NHL Model'!$A$6:$B$38,2,FALSE)</f>
        <v>-0.36178381286707545</v>
      </c>
      <c r="J294">
        <f>($B$1+Table4[[#This Row],[Home Differential]])-Table4[[#This Row],[Away Differential]]</f>
        <v>4.9256968988325656E-2</v>
      </c>
      <c r="K294" t="str">
        <f>IF(Table4[[#This Row],[HomeIce Differential]]&gt;0,Table4[[#This Row],[Home]],Table4[[#This Row],[Visitor]])</f>
        <v>Seattle Kraken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0.57260754321490803</v>
      </c>
      <c r="M294" t="str">
        <f>IF(OR((NHL2025_26Results[[#This Row],[Winning Team]]="")),"-",IF(Table4[[#This Row],[Predicted Winner]]=NHL2025_26Results[[#This Row],[Winning Team]],"YES","NO"))</f>
        <v>YES</v>
      </c>
      <c r="N294">
        <f>IF(Table4[[#This Row],[Adjusted Correct]]="-", "",IF(Table4[[#This Row],[Adjusted Correct]]="YES",(Table4[[#This Row],[Strength of Win]]-1)^2,(Table4[[#This Row],[Strength of Win]]-0)^2))</f>
        <v>0.18266431211679671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-1.5569791149906038</v>
      </c>
      <c r="H295" t="s">
        <v>20</v>
      </c>
      <c r="I295">
        <f>VLOOKUP(Table4[[#This Row],[Visitor]],'NHL Model'!$A$6:$B$38,2,FALSE)</f>
        <v>0.12073374225454764</v>
      </c>
      <c r="J295">
        <f>($B$1+Table4[[#This Row],[Home Differential]])-Table4[[#This Row],[Away Differential]]</f>
        <v>-1.5401694682727349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0.6861943091924676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9.8474011583192619E-2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6.4811420118814619E-2</v>
      </c>
      <c r="H296" t="s">
        <v>24</v>
      </c>
      <c r="I296">
        <f>VLOOKUP(Table4[[#This Row],[Visitor]],'NHL Model'!$A$6:$B$38,2,FALSE)</f>
        <v>-1.8032585202533785E-2</v>
      </c>
      <c r="J296">
        <f>($B$1+Table4[[#This Row],[Home Differential]])-Table4[[#This Row],[Away Differential]]</f>
        <v>0.22038739429376478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0.56856538759856723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0.32326659997510898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1.4458345276269271</v>
      </c>
      <c r="H297" t="s">
        <v>30</v>
      </c>
      <c r="I297">
        <f>VLOOKUP(Table4[[#This Row],[Visitor]],'NHL Model'!$A$6:$B$38,2,FALSE)</f>
        <v>3.838472305373858E-3</v>
      </c>
      <c r="J297">
        <f>($B$1+Table4[[#This Row],[Home Differential]])-Table4[[#This Row],[Away Differential]]</f>
        <v>1.5795394442939696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0.77589356746603877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5.0223693103098918E-2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-0.16358905079701039</v>
      </c>
      <c r="H298" t="s">
        <v>20</v>
      </c>
      <c r="I298">
        <f>VLOOKUP(Table4[[#This Row],[Visitor]],'NHL Model'!$A$6:$B$38,2,FALSE)</f>
        <v>0.12073374225454764</v>
      </c>
      <c r="J298">
        <f>($B$1+Table4[[#This Row],[Home Differential]])-Table4[[#This Row],[Away Differential]]</f>
        <v>-0.14677940407914167</v>
      </c>
      <c r="K298" t="str">
        <f>IF(Table4[[#This Row],[HomeIce Differential]]&gt;0,Table4[[#This Row],[Home]],Table4[[#This Row],[Visitor]])</f>
        <v>Vegas Golden Knights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0.5003464079662886</v>
      </c>
      <c r="M298" t="str">
        <f>IF(OR((NHL2025_26Results[[#This Row],[Winning Team]]="")),"-",IF(Table4[[#This Row],[Predicted Winner]]=NHL2025_26Results[[#This Row],[Winning Team]],"YES","NO"))</f>
        <v>NO</v>
      </c>
      <c r="N298">
        <f>IF(Table4[[#This Row],[Adjusted Correct]]="-", "",IF(Table4[[#This Row],[Adjusted Correct]]="YES",(Table4[[#This Row],[Strength of Win]]-1)^2,(Table4[[#This Row],[Strength of Win]]-0)^2))</f>
        <v>0.2503465279647677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-0.49835870184734621</v>
      </c>
      <c r="H299" t="s">
        <v>26</v>
      </c>
      <c r="I299">
        <f>VLOOKUP(Table4[[#This Row],[Visitor]],'NHL Model'!$A$6:$B$38,2,FALSE)</f>
        <v>-0.66335717753705836</v>
      </c>
      <c r="J299">
        <f>($B$1+Table4[[#This Row],[Home Differential]])-Table4[[#This Row],[Away Differential]]</f>
        <v>0.30254186466212851</v>
      </c>
      <c r="K299" t="str">
        <f>IF(Table4[[#This Row],[HomeIce Differential]]&gt;0,Table4[[#This Row],[Home]],Table4[[#This Row],[Visitor]])</f>
        <v>New York Rangers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0.53325310709478657</v>
      </c>
      <c r="M299" t="str">
        <f>IF(OR((NHL2025_26Results[[#This Row],[Winning Team]]="")),"-",IF(Table4[[#This Row],[Predicted Winner]]=NHL2025_26Results[[#This Row],[Winning Team]],"YES","NO"))</f>
        <v>NO</v>
      </c>
      <c r="N299">
        <f>IF(Table4[[#This Row],[Adjusted Correct]]="-", "",IF(Table4[[#This Row],[Adjusted Correct]]="YES",(Table4[[#This Row],[Strength of Win]]-1)^2,(Table4[[#This Row],[Strength of Win]]-0)^2))</f>
        <v>0.2843588762262439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-0.2090057419115289</v>
      </c>
      <c r="H300" t="s">
        <v>29</v>
      </c>
      <c r="I300">
        <f>VLOOKUP(Table4[[#This Row],[Visitor]],'NHL Model'!$A$6:$B$38,2,FALSE)</f>
        <v>-1.4957350924899622</v>
      </c>
      <c r="J300">
        <f>($B$1+Table4[[#This Row],[Home Differential]])-Table4[[#This Row],[Away Differential]]</f>
        <v>1.4242727395508497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0.72996697781993758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7.2917833067698085E-2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7.1667377873261273E-2</v>
      </c>
      <c r="H301" t="s">
        <v>38</v>
      </c>
      <c r="I301">
        <f>VLOOKUP(Table4[[#This Row],[Visitor]],'NHL Model'!$A$6:$B$38,2,FALSE)</f>
        <v>-1.1236485959014608</v>
      </c>
      <c r="J301">
        <f>($B$1+Table4[[#This Row],[Home Differential]])-Table4[[#This Row],[Away Differential]]</f>
        <v>1.3328593627471386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0.69951355380816627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0.48931921196133032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0.34329638981067145</v>
      </c>
      <c r="H302" t="s">
        <v>55</v>
      </c>
      <c r="I302">
        <f>VLOOKUP(Table4[[#This Row],[Visitor]],'NHL Model'!$A$6:$B$38,2,FALSE)</f>
        <v>-0.30969050963205513</v>
      </c>
      <c r="J302">
        <f>($B$1+Table4[[#This Row],[Home Differential]])-Table4[[#This Row],[Away Differential]]</f>
        <v>0.79053028841514295</v>
      </c>
      <c r="K302" t="str">
        <f>IF(Table4[[#This Row],[HomeIce Differential]]&gt;0,Table4[[#This Row],[Home]],Table4[[#This Row],[Visitor]])</f>
        <v>Anaheim Ducks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0.74036016598454246</v>
      </c>
      <c r="M302" t="str">
        <f>IF(OR((NHL2025_26Results[[#This Row],[Winning Team]]="")),"-",IF(Table4[[#This Row],[Predicted Winner]]=NHL2025_26Results[[#This Row],[Winning Team]],"YES","NO"))</f>
        <v>YES</v>
      </c>
      <c r="N302">
        <f>IF(Table4[[#This Row],[Adjusted Correct]]="-", "",IF(Table4[[#This Row],[Adjusted Correct]]="YES",(Table4[[#This Row],[Strength of Win]]-1)^2,(Table4[[#This Row],[Strength of Win]]-0)^2))</f>
        <v>6.7412843407574335E-2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-0.14464931395309213</v>
      </c>
      <c r="H303" t="s">
        <v>25</v>
      </c>
      <c r="I303">
        <f>VLOOKUP(Table4[[#This Row],[Visitor]],'NHL Model'!$A$6:$B$38,2,FALSE)</f>
        <v>0.42515174825138019</v>
      </c>
      <c r="J303">
        <f>($B$1+Table4[[#This Row],[Home Differential]])-Table4[[#This Row],[Away Differential]]</f>
        <v>-0.43225767323205599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0.53765376359675832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0.21376404231624224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-0.51535072045188635</v>
      </c>
      <c r="H304" t="s">
        <v>17</v>
      </c>
      <c r="I304">
        <f>VLOOKUP(Table4[[#This Row],[Visitor]],'NHL Model'!$A$6:$B$38,2,FALSE)</f>
        <v>-0.87263145033954281</v>
      </c>
      <c r="J304">
        <f>($B$1+Table4[[#This Row],[Home Differential]])-Table4[[#This Row],[Away Differential]]</f>
        <v>0.49482411886007283</v>
      </c>
      <c r="K304" t="str">
        <f>IF(Table4[[#This Row],[HomeIce Differential]]&gt;0,Table4[[#This Row],[Home]],Table4[[#This Row],[Visitor]])</f>
        <v>Buffalo Sabres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0.62001538590495497</v>
      </c>
      <c r="M304" t="str">
        <f>IF(OR((NHL2025_26Results[[#This Row],[Winning Team]]="")),"-",IF(Table4[[#This Row],[Predicted Winner]]=NHL2025_26Results[[#This Row],[Winning Team]],"YES","NO"))</f>
        <v>YES</v>
      </c>
      <c r="N304">
        <f>IF(Table4[[#This Row],[Adjusted Correct]]="-", "",IF(Table4[[#This Row],[Adjusted Correct]]="YES",(Table4[[#This Row],[Strength of Win]]-1)^2,(Table4[[#This Row],[Strength of Win]]-0)^2))</f>
        <v>0.14438830694896029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-0.59418600019583889</v>
      </c>
      <c r="H305" t="s">
        <v>18</v>
      </c>
      <c r="I305">
        <f>VLOOKUP(Table4[[#This Row],[Visitor]],'NHL Model'!$A$6:$B$38,2,FALSE)</f>
        <v>-0.74754136228530599</v>
      </c>
      <c r="J305">
        <f>($B$1+Table4[[#This Row],[Home Differential]])-Table4[[#This Row],[Away Differential]]</f>
        <v>0.29089875106188345</v>
      </c>
      <c r="K305" t="str">
        <f>IF(Table4[[#This Row],[HomeIce Differential]]&gt;0,Table4[[#This Row],[Home]],Table4[[#This Row],[Visitor]])</f>
        <v>Columbus Blue Jackets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0.53879956068543955</v>
      </c>
      <c r="M305" t="str">
        <f>IF(OR((NHL2025_26Results[[#This Row],[Winning Team]]="")),"-",IF(Table4[[#This Row],[Predicted Winner]]=NHL2025_26Results[[#This Row],[Winning Team]],"YES","NO"))</f>
        <v>YES</v>
      </c>
      <c r="N305">
        <f>IF(Table4[[#This Row],[Adjusted Correct]]="-", "",IF(Table4[[#This Row],[Adjusted Correct]]="YES",(Table4[[#This Row],[Strength of Win]]-1)^2,(Table4[[#This Row],[Strength of Win]]-0)^2))</f>
        <v>0.21270584522394356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-0.37836939589441088</v>
      </c>
      <c r="H306" t="s">
        <v>38</v>
      </c>
      <c r="I306">
        <f>VLOOKUP(Table4[[#This Row],[Visitor]],'NHL Model'!$A$6:$B$38,2,FALSE)</f>
        <v>-1.1236485959014608</v>
      </c>
      <c r="J306">
        <f>($B$1+Table4[[#This Row],[Home Differential]])-Table4[[#This Row],[Away Differential]]</f>
        <v>0.88282258897946631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0.68917788623501042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9.6610386405336132E-2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6.4811420118814619E-2</v>
      </c>
      <c r="H307" t="s">
        <v>13</v>
      </c>
      <c r="I307">
        <f>VLOOKUP(Table4[[#This Row],[Visitor]],'NHL Model'!$A$6:$B$38,2,FALSE)</f>
        <v>-0.36134162888396865</v>
      </c>
      <c r="J307">
        <f>($B$1+Table4[[#This Row],[Home Differential]])-Table4[[#This Row],[Away Differential]]</f>
        <v>0.56369643797519964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0.53170657259413068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0.2192987341515362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-0.15263505358797036</v>
      </c>
      <c r="H308" t="s">
        <v>16</v>
      </c>
      <c r="I308">
        <f>VLOOKUP(Table4[[#This Row],[Visitor]],'NHL Model'!$A$6:$B$38,2,FALSE)</f>
        <v>-1.0952038865534519</v>
      </c>
      <c r="J308">
        <f>($B$1+Table4[[#This Row],[Home Differential]])-Table4[[#This Row],[Away Differential]]</f>
        <v>1.080112221937898</v>
      </c>
      <c r="K308" t="str">
        <f>IF(Table4[[#This Row],[HomeIce Differential]]&gt;0,Table4[[#This Row],[Home]],Table4[[#This Row],[Visitor]])</f>
        <v>Chicago Blackhawks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0.68406345695602266</v>
      </c>
      <c r="M308" t="str">
        <f>IF(OR((NHL2025_26Results[[#This Row],[Winning Team]]="")),"-",IF(Table4[[#This Row],[Predicted Winner]]=NHL2025_26Results[[#This Row],[Winning Team]],"YES","NO"))</f>
        <v>YES</v>
      </c>
      <c r="N308">
        <f>IF(Table4[[#This Row],[Adjusted Correct]]="-", "",IF(Table4[[#This Row],[Adjusted Correct]]="YES",(Table4[[#This Row],[Strength of Win]]-1)^2,(Table4[[#This Row],[Strength of Win]]-0)^2))</f>
        <v>9.9815899230578944E-2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4.3828122498436855E-3</v>
      </c>
      <c r="H309" t="s">
        <v>30</v>
      </c>
      <c r="I309">
        <f>VLOOKUP(Table4[[#This Row],[Visitor]],'NHL Model'!$A$6:$B$38,2,FALSE)</f>
        <v>3.838472305373858E-3</v>
      </c>
      <c r="J309">
        <f>($B$1+Table4[[#This Row],[Home Differential]])-Table4[[#This Row],[Away Differential]]</f>
        <v>0.1380877289168862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0.48829741501570184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0.23843436551101657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-0.66335717753705836</v>
      </c>
      <c r="H310" t="s">
        <v>32</v>
      </c>
      <c r="I310">
        <f>VLOOKUP(Table4[[#This Row],[Visitor]],'NHL Model'!$A$6:$B$38,2,FALSE)</f>
        <v>-0.45007023285116615</v>
      </c>
      <c r="J310">
        <f>($B$1+Table4[[#This Row],[Home Differential]])-Table4[[#This Row],[Away Differential]]</f>
        <v>-7.5743555713475852E-2</v>
      </c>
      <c r="K310" t="str">
        <f>IF(Table4[[#This Row],[HomeIce Differential]]&gt;0,Table4[[#This Row],[Home]],Table4[[#This Row],[Visitor]])</f>
        <v>Seattle Kraken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0.43785647562822716</v>
      </c>
      <c r="M310" t="str">
        <f>IF(OR((NHL2025_26Results[[#This Row],[Winning Team]]="")),"-",IF(Table4[[#This Row],[Predicted Winner]]=NHL2025_26Results[[#This Row],[Winning Team]],"YES","NO"))</f>
        <v>NO</v>
      </c>
      <c r="N310">
        <f>IF(Table4[[#This Row],[Adjusted Correct]]="-", "",IF(Table4[[#This Row],[Adjusted Correct]]="YES",(Table4[[#This Row],[Strength of Win]]-1)^2,(Table4[[#This Row],[Strength of Win]]-0)^2))</f>
        <v>0.19171829324957229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-0.36178381286707545</v>
      </c>
      <c r="H311" t="s">
        <v>55</v>
      </c>
      <c r="I311">
        <f>VLOOKUP(Table4[[#This Row],[Visitor]],'NHL Model'!$A$6:$B$38,2,FALSE)</f>
        <v>-0.30969050963205513</v>
      </c>
      <c r="J311">
        <f>($B$1+Table4[[#This Row],[Home Differential]])-Table4[[#This Row],[Away Differential]]</f>
        <v>8.5450085737396042E-2</v>
      </c>
      <c r="K311" t="str">
        <f>IF(Table4[[#This Row],[HomeIce Differential]]&gt;0,Table4[[#This Row],[Home]],Table4[[#This Row],[Visitor]])</f>
        <v>San Jose Sharks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0.55139718123588233</v>
      </c>
      <c r="M311" t="str">
        <f>IF(OR((NHL2025_26Results[[#This Row],[Winning Team]]="")),"-",IF(Table4[[#This Row],[Predicted Winner]]=NHL2025_26Results[[#This Row],[Winning Team]],"YES","NO"))</f>
        <v>YES</v>
      </c>
      <c r="N311">
        <f>IF(Table4[[#This Row],[Adjusted Correct]]="-", "",IF(Table4[[#This Row],[Adjusted Correct]]="YES",(Table4[[#This Row],[Strength of Win]]-1)^2,(Table4[[#This Row],[Strength of Win]]-0)^2))</f>
        <v>0.20124448900311181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7.1667377873261273E-2</v>
      </c>
      <c r="H312" t="s">
        <v>24</v>
      </c>
      <c r="I312">
        <f>VLOOKUP(Table4[[#This Row],[Visitor]],'NHL Model'!$A$6:$B$38,2,FALSE)</f>
        <v>-1.8032585202533785E-2</v>
      </c>
      <c r="J312">
        <f>($B$1+Table4[[#This Row],[Home Differential]])-Table4[[#This Row],[Away Differential]]</f>
        <v>0.22724335204821142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0.57197598286679574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0.18320455924284554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-0.93520311342823803</v>
      </c>
      <c r="H313" t="s">
        <v>35</v>
      </c>
      <c r="I313">
        <f>VLOOKUP(Table4[[#This Row],[Visitor]],'NHL Model'!$A$6:$B$38,2,FALSE)</f>
        <v>-1.5569791149906038</v>
      </c>
      <c r="J313">
        <f>($B$1+Table4[[#This Row],[Home Differential]])-Table4[[#This Row],[Away Differential]]</f>
        <v>0.75931939053478215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0.64127667673079103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0.1286824226573054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0.12073374225454764</v>
      </c>
      <c r="H314" t="s">
        <v>15</v>
      </c>
      <c r="I314">
        <f>VLOOKUP(Table4[[#This Row],[Visitor]],'NHL Model'!$A$6:$B$38,2,FALSE)</f>
        <v>-0.49835870184734621</v>
      </c>
      <c r="J314">
        <f>($B$1+Table4[[#This Row],[Home Differential]])-Table4[[#This Row],[Away Differential]]</f>
        <v>0.75663583307431015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0.55744048771557253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0.1958589219134303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-6.0247860940930854E-2</v>
      </c>
      <c r="H315" t="s">
        <v>28</v>
      </c>
      <c r="I315">
        <f>VLOOKUP(Table4[[#This Row],[Visitor]],'NHL Model'!$A$6:$B$38,2,FALSE)</f>
        <v>-0.59418600019583889</v>
      </c>
      <c r="J315">
        <f>($B$1+Table4[[#This Row],[Home Differential]])-Table4[[#This Row],[Away Differential]]</f>
        <v>0.67148152822732443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0.63122768474771496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0.1359930204965307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0.34329638981067145</v>
      </c>
      <c r="H316" t="s">
        <v>21</v>
      </c>
      <c r="I316">
        <f>VLOOKUP(Table4[[#This Row],[Visitor]],'NHL Model'!$A$6:$B$38,2,FALSE)</f>
        <v>-0.14464931395309213</v>
      </c>
      <c r="J316">
        <f>($B$1+Table4[[#This Row],[Home Differential]])-Table4[[#This Row],[Away Differential]]</f>
        <v>0.62548909273617992</v>
      </c>
      <c r="K316" t="str">
        <f>IF(Table4[[#This Row],[HomeIce Differential]]&gt;0,Table4[[#This Row],[Home]],Table4[[#This Row],[Visitor]])</f>
        <v>Anaheim Ducks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0.71834726333725263</v>
      </c>
      <c r="M316" t="str">
        <f>IF(OR((NHL2025_26Results[[#This Row],[Winning Team]]="")),"-",IF(Table4[[#This Row],[Predicted Winner]]=NHL2025_26Results[[#This Row],[Winning Team]],"YES","NO"))</f>
        <v>YES</v>
      </c>
      <c r="N316">
        <f>IF(Table4[[#This Row],[Adjusted Correct]]="-", "",IF(Table4[[#This Row],[Adjusted Correct]]="YES",(Table4[[#This Row],[Strength of Win]]-1)^2,(Table4[[#This Row],[Strength of Win]]-0)^2))</f>
        <v>7.932826406961492E-2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-0.51535072045188635</v>
      </c>
      <c r="H317" t="s">
        <v>16</v>
      </c>
      <c r="I317">
        <f>VLOOKUP(Table4[[#This Row],[Visitor]],'NHL Model'!$A$6:$B$38,2,FALSE)</f>
        <v>-1.0952038865534519</v>
      </c>
      <c r="J317">
        <f>($B$1+Table4[[#This Row],[Home Differential]])-Table4[[#This Row],[Away Differential]]</f>
        <v>0.71739655507398192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0.64970170361606328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0.42211230368161495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-0.16358905079701039</v>
      </c>
      <c r="H318" t="s">
        <v>25</v>
      </c>
      <c r="I318">
        <f>VLOOKUP(Table4[[#This Row],[Visitor]],'NHL Model'!$A$6:$B$38,2,FALSE)</f>
        <v>0.42515174825138019</v>
      </c>
      <c r="J318">
        <f>($B$1+Table4[[#This Row],[Home Differential]])-Table4[[#This Row],[Away Differential]]</f>
        <v>-0.45119741007597425</v>
      </c>
      <c r="K318" t="str">
        <f>IF(Table4[[#This Row],[HomeIce Differential]]&gt;0,Table4[[#This Row],[Home]],Table4[[#This Row],[Visitor]])</f>
        <v>Carolina Hurricanes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0.59280308129191284</v>
      </c>
      <c r="M318" t="str">
        <f>IF(OR((NHL2025_26Results[[#This Row],[Winning Team]]="")),"-",IF(Table4[[#This Row],[Predicted Winner]]=NHL2025_26Results[[#This Row],[Winning Team]],"YES","NO"))</f>
        <v>NO</v>
      </c>
      <c r="N318">
        <f>IF(Table4[[#This Row],[Adjusted Correct]]="-", "",IF(Table4[[#This Row],[Adjusted Correct]]="YES",(Table4[[#This Row],[Strength of Win]]-1)^2,(Table4[[#This Row],[Strength of Win]]-0)^2))</f>
        <v>0.35141549318918625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6.4811420118814619E-2</v>
      </c>
      <c r="H319" t="s">
        <v>17</v>
      </c>
      <c r="I319">
        <f>VLOOKUP(Table4[[#This Row],[Visitor]],'NHL Model'!$A$6:$B$38,2,FALSE)</f>
        <v>-0.87263145033954281</v>
      </c>
      <c r="J319">
        <f>($B$1+Table4[[#This Row],[Home Differential]])-Table4[[#This Row],[Away Differential]]</f>
        <v>1.0749862594307737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0.68337976514696375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0.10024837311839184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0.34329638981067145</v>
      </c>
      <c r="H320" t="s">
        <v>36</v>
      </c>
      <c r="I320">
        <f>VLOOKUP(Table4[[#This Row],[Visitor]],'NHL Model'!$A$6:$B$38,2,FALSE)</f>
        <v>-0.31751962084606655</v>
      </c>
      <c r="J320">
        <f>($B$1+Table4[[#This Row],[Home Differential]])-Table4[[#This Row],[Away Differential]]</f>
        <v>0.79835939962915436</v>
      </c>
      <c r="K320" t="str">
        <f>IF(Table4[[#This Row],[HomeIce Differential]]&gt;0,Table4[[#This Row],[Home]],Table4[[#This Row],[Visitor]])</f>
        <v>Anaheim Ducks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0.72186837944901605</v>
      </c>
      <c r="M320" t="str">
        <f>IF(OR((NHL2025_26Results[[#This Row],[Winning Team]]="")),"-",IF(Table4[[#This Row],[Predicted Winner]]=NHL2025_26Results[[#This Row],[Winning Team]],"YES","NO"))</f>
        <v>NO</v>
      </c>
      <c r="N320">
        <f>IF(Table4[[#This Row],[Adjusted Correct]]="-", "",IF(Table4[[#This Row],[Adjusted Correct]]="YES",(Table4[[#This Row],[Strength of Win]]-1)^2,(Table4[[#This Row],[Strength of Win]]-0)^2))</f>
        <v>0.52109395724834862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-0.15263505358797036</v>
      </c>
      <c r="H321" t="s">
        <v>32</v>
      </c>
      <c r="I321">
        <f>VLOOKUP(Table4[[#This Row],[Visitor]],'NHL Model'!$A$6:$B$38,2,FALSE)</f>
        <v>-0.45007023285116615</v>
      </c>
      <c r="J321">
        <f>($B$1+Table4[[#This Row],[Home Differential]])-Table4[[#This Row],[Away Differential]]</f>
        <v>0.43497856823561215</v>
      </c>
      <c r="K321" t="str">
        <f>IF(Table4[[#This Row],[HomeIce Differential]]&gt;0,Table4[[#This Row],[Home]],Table4[[#This Row],[Visitor]])</f>
        <v>Chicago Blackhawks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0.59801667175784112</v>
      </c>
      <c r="M321" t="str">
        <f>IF(OR((NHL2025_26Results[[#This Row],[Winning Team]]="")),"-",IF(Table4[[#This Row],[Predicted Winner]]=NHL2025_26Results[[#This Row],[Winning Team]],"YES","NO"))</f>
        <v>NO</v>
      </c>
      <c r="N321">
        <f>IF(Table4[[#This Row],[Adjusted Correct]]="-", "",IF(Table4[[#This Row],[Adjusted Correct]]="YES",(Table4[[#This Row],[Strength of Win]]-1)^2,(Table4[[#This Row],[Strength of Win]]-0)^2))</f>
        <v>0.35762393970032547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1.4458345276269271</v>
      </c>
      <c r="H322" t="s">
        <v>15</v>
      </c>
      <c r="I322">
        <f>VLOOKUP(Table4[[#This Row],[Visitor]],'NHL Model'!$A$6:$B$38,2,FALSE)</f>
        <v>-0.49835870184734621</v>
      </c>
      <c r="J322">
        <f>($B$1+Table4[[#This Row],[Home Differential]])-Table4[[#This Row],[Away Differential]]</f>
        <v>2.0817366184466897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0.83211379218125581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2.8185778775758563E-2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-0.66335717753705836</v>
      </c>
      <c r="H323" t="s">
        <v>30</v>
      </c>
      <c r="I323">
        <f>VLOOKUP(Table4[[#This Row],[Visitor]],'NHL Model'!$A$6:$B$38,2,FALSE)</f>
        <v>3.838472305373858E-3</v>
      </c>
      <c r="J323">
        <f>($B$1+Table4[[#This Row],[Home Differential]])-Table4[[#This Row],[Away Differential]]</f>
        <v>-0.52965226087001582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0.57064408136092237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0.18434650487040624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-0.37836939589441088</v>
      </c>
      <c r="H324" t="s">
        <v>24</v>
      </c>
      <c r="I324">
        <f>VLOOKUP(Table4[[#This Row],[Visitor]],'NHL Model'!$A$6:$B$38,2,FALSE)</f>
        <v>-1.8032585202533785E-2</v>
      </c>
      <c r="J324">
        <f>($B$1+Table4[[#This Row],[Home Differential]])-Table4[[#This Row],[Away Differential]]</f>
        <v>-0.22279342171946073</v>
      </c>
      <c r="K324" t="str">
        <f>IF(Table4[[#This Row],[HomeIce Differential]]&gt;0,Table4[[#This Row],[Home]],Table4[[#This Row],[Visitor]])</f>
        <v>New Jersey Devils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0.43880670145772482</v>
      </c>
      <c r="M324" t="str">
        <f>IF(OR((NHL2025_26Results[[#This Row],[Winning Team]]="")),"-",IF(Table4[[#This Row],[Predicted Winner]]=NHL2025_26Results[[#This Row],[Winning Team]],"YES","NO"))</f>
        <v>NO</v>
      </c>
      <c r="N324">
        <f>IF(Table4[[#This Row],[Adjusted Correct]]="-", "",IF(Table4[[#This Row],[Adjusted Correct]]="YES",(Table4[[#This Row],[Strength of Win]]-1)^2,(Table4[[#This Row],[Strength of Win]]-0)^2))</f>
        <v>0.19255132124420885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-0.74754136228530599</v>
      </c>
      <c r="H325" t="s">
        <v>22</v>
      </c>
      <c r="I325">
        <f>VLOOKUP(Table4[[#This Row],[Visitor]],'NHL Model'!$A$6:$B$38,2,FALSE)</f>
        <v>6.4811420118814619E-2</v>
      </c>
      <c r="J325">
        <f>($B$1+Table4[[#This Row],[Home Differential]])-Table4[[#This Row],[Away Differential]]</f>
        <v>-0.67480939343170421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0.57077411362274366</v>
      </c>
      <c r="M325" t="str">
        <f>IF(OR((NHL2025_26Results[[#This Row],[Winning Team]]="")),"-",IF(Table4[[#This Row],[Predicted Winner]]=NHL2025_26Results[[#This Row],[Winning Team]],"YES","NO"))</f>
        <v>YES</v>
      </c>
      <c r="N325">
        <f>IF(Table4[[#This Row],[Adjusted Correct]]="-", "",IF(Table4[[#This Row],[Adjusted Correct]]="YES",(Table4[[#This Row],[Strength of Win]]-1)^2,(Table4[[#This Row],[Strength of Win]]-0)^2))</f>
        <v>0.18423486153634136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-0.42203126246971279</v>
      </c>
      <c r="H326" t="s">
        <v>35</v>
      </c>
      <c r="I326">
        <f>VLOOKUP(Table4[[#This Row],[Visitor]],'NHL Model'!$A$6:$B$38,2,FALSE)</f>
        <v>-1.5569791149906038</v>
      </c>
      <c r="J326">
        <f>($B$1+Table4[[#This Row],[Home Differential]])-Table4[[#This Row],[Away Differential]]</f>
        <v>1.2724912414933074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0.74196869598730042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6.6580153850494192E-2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-0.36178381286707545</v>
      </c>
      <c r="H327" t="s">
        <v>13</v>
      </c>
      <c r="I327">
        <f>VLOOKUP(Table4[[#This Row],[Visitor]],'NHL Model'!$A$6:$B$38,2,FALSE)</f>
        <v>-0.36134162888396865</v>
      </c>
      <c r="J327">
        <f>($B$1+Table4[[#This Row],[Home Differential]])-Table4[[#This Row],[Away Differential]]</f>
        <v>0.13710120498930956</v>
      </c>
      <c r="K327" t="str">
        <f>IF(Table4[[#This Row],[HomeIce Differential]]&gt;0,Table4[[#This Row],[Home]],Table4[[#This Row],[Visitor]])</f>
        <v>San Jose Sharks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0.47480805525799347</v>
      </c>
      <c r="M327" t="str">
        <f>IF(OR((NHL2025_26Results[[#This Row],[Winning Team]]="")),"-",IF(Table4[[#This Row],[Predicted Winner]]=NHL2025_26Results[[#This Row],[Winning Team]],"YES","NO"))</f>
        <v>YES</v>
      </c>
      <c r="N327">
        <f>IF(Table4[[#This Row],[Adjusted Correct]]="-", "",IF(Table4[[#This Row],[Adjusted Correct]]="YES",(Table4[[#This Row],[Strength of Win]]-1)^2,(Table4[[#This Row],[Strength of Win]]-0)^2))</f>
        <v>0.27582657882189088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7.1667377873261273E-2</v>
      </c>
      <c r="H328" t="s">
        <v>17</v>
      </c>
      <c r="I328">
        <f>VLOOKUP(Table4[[#This Row],[Visitor]],'NHL Model'!$A$6:$B$38,2,FALSE)</f>
        <v>-0.87263145033954281</v>
      </c>
      <c r="J328">
        <f>($B$1+Table4[[#This Row],[Home Differential]])-Table4[[#This Row],[Away Differential]]</f>
        <v>1.0818422171852204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0.68678967986530792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9.8100704638876296E-2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-0.93520311342823803</v>
      </c>
      <c r="H329" t="s">
        <v>28</v>
      </c>
      <c r="I329">
        <f>VLOOKUP(Table4[[#This Row],[Visitor]],'NHL Model'!$A$6:$B$38,2,FALSE)</f>
        <v>-0.59418600019583889</v>
      </c>
      <c r="J329">
        <f>($B$1+Table4[[#This Row],[Home Differential]])-Table4[[#This Row],[Away Differential]]</f>
        <v>-0.20347372425998278</v>
      </c>
      <c r="K329" t="str">
        <f>IF(Table4[[#This Row],[HomeIce Differential]]&gt;0,Table4[[#This Row],[Home]],Table4[[#This Row],[Visitor]])</f>
        <v>Columbus Blue Jackets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0.48796845839249325</v>
      </c>
      <c r="M329" t="str">
        <f>IF(OR((NHL2025_26Results[[#This Row],[Winning Team]]="")),"-",IF(Table4[[#This Row],[Predicted Winner]]=NHL2025_26Results[[#This Row],[Winning Team]],"YES","NO"))</f>
        <v>YES</v>
      </c>
      <c r="N329">
        <f>IF(Table4[[#This Row],[Adjusted Correct]]="-", "",IF(Table4[[#This Row],[Adjusted Correct]]="YES",(Table4[[#This Row],[Strength of Win]]-1)^2,(Table4[[#This Row],[Strength of Win]]-0)^2))</f>
        <v>0.26217629960095989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-0.30969050963205513</v>
      </c>
      <c r="H330" t="s">
        <v>20</v>
      </c>
      <c r="I330">
        <f>VLOOKUP(Table4[[#This Row],[Visitor]],'NHL Model'!$A$6:$B$38,2,FALSE)</f>
        <v>0.12073374225454764</v>
      </c>
      <c r="J330">
        <f>($B$1+Table4[[#This Row],[Home Differential]])-Table4[[#This Row],[Away Differential]]</f>
        <v>-0.29288086291418641</v>
      </c>
      <c r="K330" t="str">
        <f>IF(Table4[[#This Row],[HomeIce Differential]]&gt;0,Table4[[#This Row],[Home]],Table4[[#This Row],[Visitor]])</f>
        <v>Vegas Golden Knights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0.46763535982847776</v>
      </c>
      <c r="M330" t="str">
        <f>IF(OR((NHL2025_26Results[[#This Row],[Winning Team]]="")),"-",IF(Table4[[#This Row],[Predicted Winner]]=NHL2025_26Results[[#This Row],[Winning Team]],"YES","NO"))</f>
        <v>YES</v>
      </c>
      <c r="N330">
        <f>IF(Table4[[#This Row],[Adjusted Correct]]="-", "",IF(Table4[[#This Row],[Adjusted Correct]]="YES",(Table4[[#This Row],[Strength of Win]]-1)^2,(Table4[[#This Row],[Strength of Win]]-0)^2))</f>
        <v>0.28341211010495443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-1.1236485959014608</v>
      </c>
      <c r="H331" t="s">
        <v>39</v>
      </c>
      <c r="I331">
        <f>VLOOKUP(Table4[[#This Row],[Visitor]],'NHL Model'!$A$6:$B$38,2,FALSE)</f>
        <v>4.3828122498436855E-3</v>
      </c>
      <c r="J331">
        <f>($B$1+Table4[[#This Row],[Home Differential]])-Table4[[#This Row],[Away Differential]]</f>
        <v>-0.99048801917888818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0.67306780831123403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0.10688465796242001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-0.51535072045188635</v>
      </c>
      <c r="H332" t="s">
        <v>10</v>
      </c>
      <c r="I332">
        <f>VLOOKUP(Table4[[#This Row],[Visitor]],'NHL Model'!$A$6:$B$38,2,FALSE)</f>
        <v>-0.15263505358797036</v>
      </c>
      <c r="J332">
        <f>($B$1+Table4[[#This Row],[Home Differential]])-Table4[[#This Row],[Away Differential]]</f>
        <v>-0.22517227789149963</v>
      </c>
      <c r="K332" t="str">
        <f>IF(Table4[[#This Row],[HomeIce Differential]]&gt;0,Table4[[#This Row],[Home]],Table4[[#This Row],[Visitor]])</f>
        <v>Chicago Blackhawks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0.47601645949515703</v>
      </c>
      <c r="M332" t="str">
        <f>IF(OR((NHL2025_26Results[[#This Row],[Winning Team]]="")),"-",IF(Table4[[#This Row],[Predicted Winner]]=NHL2025_26Results[[#This Row],[Winning Team]],"YES","NO"))</f>
        <v>NO</v>
      </c>
      <c r="N332">
        <f>IF(Table4[[#This Row],[Adjusted Correct]]="-", "",IF(Table4[[#This Row],[Adjusted Correct]]="YES",(Table4[[#This Row],[Strength of Win]]-1)^2,(Table4[[#This Row],[Strength of Win]]-0)^2))</f>
        <v>0.22659166971030448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-0.36134162888396865</v>
      </c>
      <c r="H333" t="s">
        <v>21</v>
      </c>
      <c r="I333">
        <f>VLOOKUP(Table4[[#This Row],[Visitor]],'NHL Model'!$A$6:$B$38,2,FALSE)</f>
        <v>-0.14464931395309213</v>
      </c>
      <c r="J333">
        <f>($B$1+Table4[[#This Row],[Home Differential]])-Table4[[#This Row],[Away Differential]]</f>
        <v>-7.9148925958460153E-2</v>
      </c>
      <c r="K333" t="str">
        <f>IF(Table4[[#This Row],[HomeIce Differential]]&gt;0,Table4[[#This Row],[Home]],Table4[[#This Row],[Visitor]])</f>
        <v>Boston Bruins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0.47055674369416373</v>
      </c>
      <c r="M333" t="str">
        <f>IF(OR((NHL2025_26Results[[#This Row],[Winning Team]]="")),"-",IF(Table4[[#This Row],[Predicted Winner]]=NHL2025_26Results[[#This Row],[Winning Team]],"YES","NO"))</f>
        <v>YES</v>
      </c>
      <c r="N333">
        <f>IF(Table4[[#This Row],[Adjusted Correct]]="-", "",IF(Table4[[#This Row],[Adjusted Correct]]="YES",(Table4[[#This Row],[Strength of Win]]-1)^2,(Table4[[#This Row],[Strength of Win]]-0)^2))</f>
        <v>0.28031016164772737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-0.2090057419115289</v>
      </c>
      <c r="H334" t="s">
        <v>34</v>
      </c>
      <c r="I334">
        <f>VLOOKUP(Table4[[#This Row],[Visitor]],'NHL Model'!$A$6:$B$38,2,FALSE)</f>
        <v>-0.16358905079701039</v>
      </c>
      <c r="J334">
        <f>($B$1+Table4[[#This Row],[Home Differential]])-Table4[[#This Row],[Away Differential]]</f>
        <v>9.2126697857897843E-2</v>
      </c>
      <c r="K334" t="str">
        <f>IF(Table4[[#This Row],[HomeIce Differential]]&gt;0,Table4[[#This Row],[Home]],Table4[[#This Row],[Visitor]])</f>
        <v>Pittsburgh Penguins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0.53151846517734369</v>
      </c>
      <c r="M334" t="str">
        <f>IF(OR((NHL2025_26Results[[#This Row],[Winning Team]]="")),"-",IF(Table4[[#This Row],[Predicted Winner]]=NHL2025_26Results[[#This Row],[Winning Team]],"YES","NO"))</f>
        <v>NO</v>
      </c>
      <c r="N334">
        <f>IF(Table4[[#This Row],[Adjusted Correct]]="-", "",IF(Table4[[#This Row],[Adjusted Correct]]="YES",(Table4[[#This Row],[Strength of Win]]-1)^2,(Table4[[#This Row],[Strength of Win]]-0)^2))</f>
        <v>0.28251187882447909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-6.0247860940930854E-2</v>
      </c>
      <c r="H335" t="s">
        <v>25</v>
      </c>
      <c r="I335">
        <f>VLOOKUP(Table4[[#This Row],[Visitor]],'NHL Model'!$A$6:$B$38,2,FALSE)</f>
        <v>0.42515174825138019</v>
      </c>
      <c r="J335">
        <f>($B$1+Table4[[#This Row],[Home Differential]])-Table4[[#This Row],[Away Differential]]</f>
        <v>-0.34785622021989471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0.57651692906597396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0.17933791136771332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0.34329638981067145</v>
      </c>
      <c r="H336" t="s">
        <v>20</v>
      </c>
      <c r="I336">
        <f>VLOOKUP(Table4[[#This Row],[Visitor]],'NHL Model'!$A$6:$B$38,2,FALSE)</f>
        <v>0.12073374225454764</v>
      </c>
      <c r="J336">
        <f>($B$1+Table4[[#This Row],[Home Differential]])-Table4[[#This Row],[Away Differential]]</f>
        <v>0.36010603652854017</v>
      </c>
      <c r="K336" t="str">
        <f>IF(Table4[[#This Row],[HomeIce Differential]]&gt;0,Table4[[#This Row],[Home]],Table4[[#This Row],[Visitor]])</f>
        <v>Anaheim Ducks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0.66341492134667135</v>
      </c>
      <c r="M336" t="str">
        <f>IF(OR((NHL2025_26Results[[#This Row],[Winning Team]]="")),"-",IF(Table4[[#This Row],[Predicted Winner]]=NHL2025_26Results[[#This Row],[Winning Team]],"YES","NO"))</f>
        <v>YES</v>
      </c>
      <c r="N336">
        <f>IF(Table4[[#This Row],[Adjusted Correct]]="-", "",IF(Table4[[#This Row],[Adjusted Correct]]="YES",(Table4[[#This Row],[Strength of Win]]-1)^2,(Table4[[#This Row],[Strength of Win]]-0)^2))</f>
        <v>0.11328951517206744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-1.0952038865534519</v>
      </c>
      <c r="H337" t="s">
        <v>39</v>
      </c>
      <c r="I337">
        <f>VLOOKUP(Table4[[#This Row],[Visitor]],'NHL Model'!$A$6:$B$38,2,FALSE)</f>
        <v>4.3828122498436855E-3</v>
      </c>
      <c r="J337">
        <f>($B$1+Table4[[#This Row],[Home Differential]])-Table4[[#This Row],[Away Differential]]</f>
        <v>-0.96204330983087927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0.66927390330992653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0.44792755765170489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-0.66335717753705836</v>
      </c>
      <c r="H338" t="s">
        <v>28</v>
      </c>
      <c r="I338">
        <f>VLOOKUP(Table4[[#This Row],[Visitor]],'NHL Model'!$A$6:$B$38,2,FALSE)</f>
        <v>-0.59418600019583889</v>
      </c>
      <c r="J338">
        <f>($B$1+Table4[[#This Row],[Home Differential]])-Table4[[#This Row],[Away Differential]]</f>
        <v>6.8372211631196889E-2</v>
      </c>
      <c r="K338" t="str">
        <f>IF(Table4[[#This Row],[HomeIce Differential]]&gt;0,Table4[[#This Row],[Home]],Table4[[#This Row],[Visitor]])</f>
        <v>Detroit Red Wings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0.58054793603463672</v>
      </c>
      <c r="M338" t="str">
        <f>IF(OR((NHL2025_26Results[[#This Row],[Winning Team]]="")),"-",IF(Table4[[#This Row],[Predicted Winner]]=NHL2025_26Results[[#This Row],[Winning Team]],"YES","NO"))</f>
        <v>YES</v>
      </c>
      <c r="N338">
        <f>IF(Table4[[#This Row],[Adjusted Correct]]="-", "",IF(Table4[[#This Row],[Adjusted Correct]]="YES",(Table4[[#This Row],[Strength of Win]]-1)^2,(Table4[[#This Row],[Strength of Win]]-0)^2))</f>
        <v>0.17594003396480321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-0.37836939589441088</v>
      </c>
      <c r="H339" t="s">
        <v>17</v>
      </c>
      <c r="I339">
        <f>VLOOKUP(Table4[[#This Row],[Visitor]],'NHL Model'!$A$6:$B$38,2,FALSE)</f>
        <v>-0.87263145033954281</v>
      </c>
      <c r="J339">
        <f>($B$1+Table4[[#This Row],[Home Differential]])-Table4[[#This Row],[Away Differential]]</f>
        <v>0.6318054434175483</v>
      </c>
      <c r="K339" t="str">
        <f>IF(Table4[[#This Row],[HomeIce Differential]]&gt;0,Table4[[#This Row],[Home]],Table4[[#This Row],[Visitor]])</f>
        <v>Florida Panthers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0.67598506842538408</v>
      </c>
      <c r="M339" t="str">
        <f>IF(OR((NHL2025_26Results[[#This Row],[Winning Team]]="")),"-",IF(Table4[[#This Row],[Predicted Winner]]=NHL2025_26Results[[#This Row],[Winning Team]],"YES","NO"))</f>
        <v>NO</v>
      </c>
      <c r="N339">
        <f>IF(Table4[[#This Row],[Adjusted Correct]]="-", "",IF(Table4[[#This Row],[Adjusted Correct]]="YES",(Table4[[#This Row],[Strength of Win]]-1)^2,(Table4[[#This Row],[Strength of Win]]-0)^2))</f>
        <v>0.45695581273407121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-0.74754136228530599</v>
      </c>
      <c r="H340" t="s">
        <v>19</v>
      </c>
      <c r="I340">
        <f>VLOOKUP(Table4[[#This Row],[Visitor]],'NHL Model'!$A$6:$B$38,2,FALSE)</f>
        <v>-0.93520311342823803</v>
      </c>
      <c r="J340">
        <f>($B$1+Table4[[#This Row],[Home Differential]])-Table4[[#This Row],[Away Differential]]</f>
        <v>0.3252051401153484</v>
      </c>
      <c r="K340" t="str">
        <f>IF(Table4[[#This Row],[HomeIce Differential]]&gt;0,Table4[[#This Row],[Home]],Table4[[#This Row],[Visitor]])</f>
        <v>Montreal Canadiens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0.58337528615390344</v>
      </c>
      <c r="M340" t="str">
        <f>IF(OR((NHL2025_26Results[[#This Row],[Winning Team]]="")),"-",IF(Table4[[#This Row],[Predicted Winner]]=NHL2025_26Results[[#This Row],[Winning Team]],"YES","NO"))</f>
        <v>YES</v>
      </c>
      <c r="N340">
        <f>IF(Table4[[#This Row],[Adjusted Correct]]="-", "",IF(Table4[[#This Row],[Adjusted Correct]]="YES",(Table4[[#This Row],[Strength of Win]]-1)^2,(Table4[[#This Row],[Strength of Win]]-0)^2))</f>
        <v>0.17357615218734185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-1.4957350924899622</v>
      </c>
      <c r="H341" t="s">
        <v>12</v>
      </c>
      <c r="I341">
        <f>VLOOKUP(Table4[[#This Row],[Visitor]],'NHL Model'!$A$6:$B$38,2,FALSE)</f>
        <v>1.4458345276269271</v>
      </c>
      <c r="J341">
        <f>($B$1+Table4[[#This Row],[Home Differential]])-Table4[[#This Row],[Away Differential]]</f>
        <v>-2.8040262311444728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0.9264822449672887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5.4048603050497468E-3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3.838472305373858E-3</v>
      </c>
      <c r="H342" t="s">
        <v>35</v>
      </c>
      <c r="I342">
        <f>VLOOKUP(Table4[[#This Row],[Visitor]],'NHL Model'!$A$6:$B$38,2,FALSE)</f>
        <v>-1.5569791149906038</v>
      </c>
      <c r="J342">
        <f>($B$1+Table4[[#This Row],[Home Differential]])-Table4[[#This Row],[Away Differential]]</f>
        <v>1.698360976268394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0.76652438184751692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0.5875596279667179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-0.42203126246971279</v>
      </c>
      <c r="H343" t="s">
        <v>24</v>
      </c>
      <c r="I343">
        <f>VLOOKUP(Table4[[#This Row],[Visitor]],'NHL Model'!$A$6:$B$38,2,FALSE)</f>
        <v>-1.8032585202533785E-2</v>
      </c>
      <c r="J343">
        <f>($B$1+Table4[[#This Row],[Home Differential]])-Table4[[#This Row],[Away Differential]]</f>
        <v>-0.26645528829476262</v>
      </c>
      <c r="K343" t="str">
        <f>IF(Table4[[#This Row],[HomeIce Differential]]&gt;0,Table4[[#This Row],[Home]],Table4[[#This Row],[Visitor]])</f>
        <v>New Jersey Devils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0.46411076344450825</v>
      </c>
      <c r="M343" t="str">
        <f>IF(OR((NHL2025_26Results[[#This Row],[Winning Team]]="")),"-",IF(Table4[[#This Row],[Predicted Winner]]=NHL2025_26Results[[#This Row],[Winning Team]],"YES","NO"))</f>
        <v>NO</v>
      </c>
      <c r="N343">
        <f>IF(Table4[[#This Row],[Adjusted Correct]]="-", "",IF(Table4[[#This Row],[Adjusted Correct]]="YES",(Table4[[#This Row],[Strength of Win]]-1)^2,(Table4[[#This Row],[Strength of Win]]-0)^2))</f>
        <v>0.21539880074504428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-0.2090057419115289</v>
      </c>
      <c r="H344" t="s">
        <v>32</v>
      </c>
      <c r="I344">
        <f>VLOOKUP(Table4[[#This Row],[Visitor]],'NHL Model'!$A$6:$B$38,2,FALSE)</f>
        <v>-0.45007023285116615</v>
      </c>
      <c r="J344">
        <f>($B$1+Table4[[#This Row],[Home Differential]])-Table4[[#This Row],[Away Differential]]</f>
        <v>0.37860787991205358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0.59049804909443671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0.34868794598433578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-0.36178381286707545</v>
      </c>
      <c r="H345" t="s">
        <v>36</v>
      </c>
      <c r="I345">
        <f>VLOOKUP(Table4[[#This Row],[Visitor]],'NHL Model'!$A$6:$B$38,2,FALSE)</f>
        <v>-0.31751962084606655</v>
      </c>
      <c r="J345">
        <f>($B$1+Table4[[#This Row],[Home Differential]])-Table4[[#This Row],[Away Differential]]</f>
        <v>9.3279196951407461E-2</v>
      </c>
      <c r="K345" t="str">
        <f>IF(Table4[[#This Row],[HomeIce Differential]]&gt;0,Table4[[#This Row],[Home]],Table4[[#This Row],[Visitor]])</f>
        <v>San Jose Sharks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0.53167218346714484</v>
      </c>
      <c r="M345" t="str">
        <f>IF(OR((NHL2025_26Results[[#This Row],[Winning Team]]="")),"-",IF(Table4[[#This Row],[Predicted Winner]]=NHL2025_26Results[[#This Row],[Winning Team]],"YES","NO"))</f>
        <v>NO</v>
      </c>
      <c r="N345">
        <f>IF(Table4[[#This Row],[Adjusted Correct]]="-", "",IF(Table4[[#This Row],[Adjusted Correct]]="YES",(Table4[[#This Row],[Strength of Win]]-1)^2,(Table4[[#This Row],[Strength of Win]]-0)^2))</f>
        <v>0.28267531067272134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-0.30969050963205513</v>
      </c>
      <c r="H346" t="s">
        <v>15</v>
      </c>
      <c r="I346">
        <f>VLOOKUP(Table4[[#This Row],[Visitor]],'NHL Model'!$A$6:$B$38,2,FALSE)</f>
        <v>-0.49835870184734621</v>
      </c>
      <c r="J346">
        <f>($B$1+Table4[[#This Row],[Home Differential]])-Table4[[#This Row],[Away Differential]]</f>
        <v>0.32621158118770743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0.55260043257419522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0.20016637293279724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6.4811420118814619E-2</v>
      </c>
      <c r="H347" t="s">
        <v>37</v>
      </c>
      <c r="I347">
        <f>VLOOKUP(Table4[[#This Row],[Visitor]],'NHL Model'!$A$6:$B$38,2,FALSE)</f>
        <v>7.1667377873261273E-2</v>
      </c>
      <c r="J347">
        <f>($B$1+Table4[[#This Row],[Home Differential]])-Table4[[#This Row],[Away Differential]]</f>
        <v>0.13068743121796972</v>
      </c>
      <c r="K347" t="str">
        <f>IF(Table4[[#This Row],[HomeIce Differential]]&gt;0,Table4[[#This Row],[Home]],Table4[[#This Row],[Visitor]])</f>
        <v>Washington Capitals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0.49111506885711392</v>
      </c>
      <c r="M347" t="str">
        <f>IF(OR((NHL2025_26Results[[#This Row],[Winning Team]]="")),"-",IF(Table4[[#This Row],[Predicted Winner]]=NHL2025_26Results[[#This Row],[Winning Team]],"YES","NO"))</f>
        <v>NO</v>
      </c>
      <c r="N347">
        <f>IF(Table4[[#This Row],[Adjusted Correct]]="-", "",IF(Table4[[#This Row],[Adjusted Correct]]="YES",(Table4[[#This Row],[Strength of Win]]-1)^2,(Table4[[#This Row],[Strength of Win]]-0)^2))</f>
        <v>0.24119401085852776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-0.51535072045188635</v>
      </c>
      <c r="H348" t="s">
        <v>25</v>
      </c>
      <c r="I348">
        <f>VLOOKUP(Table4[[#This Row],[Visitor]],'NHL Model'!$A$6:$B$38,2,FALSE)</f>
        <v>0.42515174825138019</v>
      </c>
      <c r="J348">
        <f>($B$1+Table4[[#This Row],[Home Differential]])-Table4[[#This Row],[Away Differential]]</f>
        <v>-0.80295907973085012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0.62561577977597316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0.39139510390469895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-0.15263505358797036</v>
      </c>
      <c r="H349" t="s">
        <v>12</v>
      </c>
      <c r="I349">
        <f>VLOOKUP(Table4[[#This Row],[Visitor]],'NHL Model'!$A$6:$B$38,2,FALSE)</f>
        <v>1.4458345276269271</v>
      </c>
      <c r="J349">
        <f>($B$1+Table4[[#This Row],[Home Differential]])-Table4[[#This Row],[Away Differential]]</f>
        <v>-1.4609261922424812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0.74734193832874918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6.3836096127473582E-2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3.838472305373858E-3</v>
      </c>
      <c r="H350" t="s">
        <v>32</v>
      </c>
      <c r="I350">
        <f>VLOOKUP(Table4[[#This Row],[Visitor]],'NHL Model'!$A$6:$B$38,2,FALSE)</f>
        <v>-0.45007023285116615</v>
      </c>
      <c r="J350">
        <f>($B$1+Table4[[#This Row],[Home Differential]])-Table4[[#This Row],[Away Differential]]</f>
        <v>0.59145209412895638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0.61888683376920017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0.14524724547446527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-0.36178381286707545</v>
      </c>
      <c r="H351" t="s">
        <v>21</v>
      </c>
      <c r="I351">
        <f>VLOOKUP(Table4[[#This Row],[Visitor]],'NHL Model'!$A$6:$B$38,2,FALSE)</f>
        <v>-0.14464931395309213</v>
      </c>
      <c r="J351">
        <f>($B$1+Table4[[#This Row],[Home Differential]])-Table4[[#This Row],[Away Differential]]</f>
        <v>-7.9591109941566957E-2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0.47061572141140745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0.22147915723957948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-1.1236485959014608</v>
      </c>
      <c r="H352" t="s">
        <v>16</v>
      </c>
      <c r="I352">
        <f>VLOOKUP(Table4[[#This Row],[Visitor]],'NHL Model'!$A$6:$B$38,2,FALSE)</f>
        <v>-1.0952038865534519</v>
      </c>
      <c r="J352">
        <f>($B$1+Table4[[#This Row],[Home Differential]])-Table4[[#This Row],[Away Differential]]</f>
        <v>0.10909867962440745</v>
      </c>
      <c r="K352" t="str">
        <f>IF(Table4[[#This Row],[HomeIce Differential]]&gt;0,Table4[[#This Row],[Home]],Table4[[#This Row],[Visitor]])</f>
        <v>Vancouver Canucks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0.55455138884349497</v>
      </c>
      <c r="M352" t="str">
        <f>IF(OR((NHL2025_26Results[[#This Row],[Winning Team]]="")),"-",IF(Table4[[#This Row],[Predicted Winner]]=NHL2025_26Results[[#This Row],[Winning Team]],"YES","NO"))</f>
        <v>NO</v>
      </c>
      <c r="N352">
        <f>IF(Table4[[#This Row],[Adjusted Correct]]="-", "",IF(Table4[[#This Row],[Adjusted Correct]]="YES",(Table4[[#This Row],[Strength of Win]]-1)^2,(Table4[[#This Row],[Strength of Win]]-0)^2))</f>
        <v>0.30752724286824917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-6.0247860940930854E-2</v>
      </c>
      <c r="H353" t="s">
        <v>34</v>
      </c>
      <c r="I353">
        <f>VLOOKUP(Table4[[#This Row],[Visitor]],'NHL Model'!$A$6:$B$38,2,FALSE)</f>
        <v>-0.16358905079701039</v>
      </c>
      <c r="J353">
        <f>($B$1+Table4[[#This Row],[Home Differential]])-Table4[[#This Row],[Away Differential]]</f>
        <v>0.2408845788284959</v>
      </c>
      <c r="K353" t="str">
        <f>IF(Table4[[#This Row],[HomeIce Differential]]&gt;0,Table4[[#This Row],[Home]],Table4[[#This Row],[Visitor]])</f>
        <v>Winnipeg Jets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0.55386788932537856</v>
      </c>
      <c r="M353" t="str">
        <f>IF(OR((NHL2025_26Results[[#This Row],[Winning Team]]="")),"-",IF(Table4[[#This Row],[Predicted Winner]]=NHL2025_26Results[[#This Row],[Winning Team]],"YES","NO"))</f>
        <v>NO</v>
      </c>
      <c r="N353">
        <f>IF(Table4[[#This Row],[Adjusted Correct]]="-", "",IF(Table4[[#This Row],[Adjusted Correct]]="YES",(Table4[[#This Row],[Strength of Win]]-1)^2,(Table4[[#This Row],[Strength of Win]]-0)^2))</f>
        <v>0.30676963882574981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-0.36134162888396865</v>
      </c>
      <c r="H354" t="s">
        <v>36</v>
      </c>
      <c r="I354">
        <f>VLOOKUP(Table4[[#This Row],[Visitor]],'NHL Model'!$A$6:$B$38,2,FALSE)</f>
        <v>-0.31751962084606655</v>
      </c>
      <c r="J354">
        <f>($B$1+Table4[[#This Row],[Home Differential]])-Table4[[#This Row],[Away Differential]]</f>
        <v>9.3721380934514265E-2</v>
      </c>
      <c r="K354" t="str">
        <f>IF(Table4[[#This Row],[HomeIce Differential]]&gt;0,Table4[[#This Row],[Home]],Table4[[#This Row],[Visitor]])</f>
        <v>Los Angeles Kings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0.53173116118438857</v>
      </c>
      <c r="M354" t="str">
        <f>IF(OR((NHL2025_26Results[[#This Row],[Winning Team]]="")),"-",IF(Table4[[#This Row],[Predicted Winner]]=NHL2025_26Results[[#This Row],[Winning Team]],"YES","NO"))</f>
        <v>-</v>
      </c>
      <c r="N354" t="str">
        <f>IF(Table4[[#This Row],[Adjusted Correct]]="-", "",IF(Table4[[#This Row],[Adjusted Correct]]="YES",(Table4[[#This Row],[Strength of Win]]-1)^2,(Table4[[#This Row],[Strength of Win]]-0)^2))</f>
        <v/>
      </c>
      <c r="O354">
        <v>9.3721380934514265E-2</v>
      </c>
      <c r="P354" s="11">
        <v>0.53173116118438857</v>
      </c>
      <c r="Q354" t="s">
        <v>13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-1.8032585202533785E-2</v>
      </c>
      <c r="H355" t="s">
        <v>26</v>
      </c>
      <c r="I355">
        <f>VLOOKUP(Table4[[#This Row],[Visitor]],'NHL Model'!$A$6:$B$38,2,FALSE)</f>
        <v>-0.66335717753705836</v>
      </c>
      <c r="J355">
        <f>($B$1+Table4[[#This Row],[Home Differential]])-Table4[[#This Row],[Away Differential]]</f>
        <v>0.78286798130694091</v>
      </c>
      <c r="K355" t="str">
        <f>IF(Table4[[#This Row],[HomeIce Differential]]&gt;0,Table4[[#This Row],[Home]],Table4[[#This Row],[Visitor]])</f>
        <v>New Jersey Devils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0.71606803153678844</v>
      </c>
      <c r="M355" t="str">
        <f>IF(OR((NHL2025_26Results[[#This Row],[Winning Team]]="")),"-",IF(Table4[[#This Row],[Predicted Winner]]=NHL2025_26Results[[#This Row],[Winning Team]],"YES","NO"))</f>
        <v>-</v>
      </c>
      <c r="N355" t="str">
        <f>IF(Table4[[#This Row],[Adjusted Correct]]="-", "",IF(Table4[[#This Row],[Adjusted Correct]]="YES",(Table4[[#This Row],[Strength of Win]]-1)^2,(Table4[[#This Row],[Strength of Win]]-0)^2))</f>
        <v/>
      </c>
      <c r="O355">
        <v>0.78286798130694091</v>
      </c>
      <c r="P355" s="11">
        <v>0.71606803153678844</v>
      </c>
      <c r="Q355" t="s">
        <v>24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-1.4957350924899622</v>
      </c>
      <c r="H356" t="s">
        <v>11</v>
      </c>
      <c r="I356">
        <f>VLOOKUP(Table4[[#This Row],[Visitor]],'NHL Model'!$A$6:$B$38,2,FALSE)</f>
        <v>-0.37836939589441088</v>
      </c>
      <c r="J356">
        <f>($B$1+Table4[[#This Row],[Home Differential]])-Table4[[#This Row],[Away Differential]]</f>
        <v>-0.97982230762313482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0.59068696564284606</v>
      </c>
      <c r="M356" t="str">
        <f>IF(OR((NHL2025_26Results[[#This Row],[Winning Team]]="")),"-",IF(Table4[[#This Row],[Predicted Winner]]=NHL2025_26Results[[#This Row],[Winning Team]],"YES","NO"))</f>
        <v>-</v>
      </c>
      <c r="N356" t="str">
        <f>IF(Table4[[#This Row],[Adjusted Correct]]="-", "",IF(Table4[[#This Row],[Adjusted Correct]]="YES",(Table4[[#This Row],[Strength of Win]]-1)^2,(Table4[[#This Row],[Strength of Win]]-0)^2))</f>
        <v/>
      </c>
      <c r="O356">
        <v>-0.97982230762313482</v>
      </c>
      <c r="P356" s="11">
        <v>0.59068696564284606</v>
      </c>
      <c r="Q356" t="s">
        <v>11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-0.49835870184734621</v>
      </c>
      <c r="H357" t="s">
        <v>35</v>
      </c>
      <c r="I357">
        <f>VLOOKUP(Table4[[#This Row],[Visitor]],'NHL Model'!$A$6:$B$38,2,FALSE)</f>
        <v>-1.5569791149906038</v>
      </c>
      <c r="J357">
        <f>($B$1+Table4[[#This Row],[Home Differential]])-Table4[[#This Row],[Away Differential]]</f>
        <v>1.196163802115674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0.69954221137250649</v>
      </c>
      <c r="M357" t="str">
        <f>IF(OR((NHL2025_26Results[[#This Row],[Winning Team]]="")),"-",IF(Table4[[#This Row],[Predicted Winner]]=NHL2025_26Results[[#This Row],[Winning Team]],"YES","NO"))</f>
        <v>-</v>
      </c>
      <c r="N357" t="str">
        <f>IF(Table4[[#This Row],[Adjusted Correct]]="-", "",IF(Table4[[#This Row],[Adjusted Correct]]="YES",(Table4[[#This Row],[Strength of Win]]-1)^2,(Table4[[#This Row],[Strength of Win]]-0)^2))</f>
        <v/>
      </c>
      <c r="O357">
        <v>1.196163802115674</v>
      </c>
      <c r="P357" s="11">
        <v>0.69954221137250649</v>
      </c>
      <c r="Q357" t="s">
        <v>15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7.1667377873261273E-2</v>
      </c>
      <c r="H358" t="s">
        <v>27</v>
      </c>
      <c r="I358">
        <f>VLOOKUP(Table4[[#This Row],[Visitor]],'NHL Model'!$A$6:$B$38,2,FALSE)</f>
        <v>-0.42203126246971279</v>
      </c>
      <c r="J358">
        <f>($B$1+Table4[[#This Row],[Home Differential]])-Table4[[#This Row],[Away Differential]]</f>
        <v>0.63124202931539042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0.62668942412235118</v>
      </c>
      <c r="M358" t="str">
        <f>IF(OR((NHL2025_26Results[[#This Row],[Winning Team]]="")),"-",IF(Table4[[#This Row],[Predicted Winner]]=NHL2025_26Results[[#This Row],[Winning Team]],"YES","NO"))</f>
        <v>-</v>
      </c>
      <c r="N358" t="str">
        <f>IF(Table4[[#This Row],[Adjusted Correct]]="-", "",IF(Table4[[#This Row],[Adjusted Correct]]="YES",(Table4[[#This Row],[Strength of Win]]-1)^2,(Table4[[#This Row],[Strength of Win]]-0)^2))</f>
        <v/>
      </c>
      <c r="O358">
        <v>0.63124202931539042</v>
      </c>
      <c r="P358" s="11">
        <v>0.62668942412235118</v>
      </c>
      <c r="Q358" t="s">
        <v>37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-0.30969050963205513</v>
      </c>
      <c r="H359" t="s">
        <v>20</v>
      </c>
      <c r="I359">
        <f>VLOOKUP(Table4[[#This Row],[Visitor]],'NHL Model'!$A$6:$B$38,2,FALSE)</f>
        <v>0.12073374225454764</v>
      </c>
      <c r="J359">
        <f>($B$1+Table4[[#This Row],[Home Differential]])-Table4[[#This Row],[Away Differential]]</f>
        <v>-0.29288086291418641</v>
      </c>
      <c r="K359" t="str">
        <f>IF(Table4[[#This Row],[HomeIce Differential]]&gt;0,Table4[[#This Row],[Home]],Table4[[#This Row],[Visitor]])</f>
        <v>Vegas Golden Knights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0.46763535982847776</v>
      </c>
      <c r="M359" t="str">
        <f>IF(OR((NHL2025_26Results[[#This Row],[Winning Team]]="")),"-",IF(Table4[[#This Row],[Predicted Winner]]=NHL2025_26Results[[#This Row],[Winning Team]],"YES","NO"))</f>
        <v>-</v>
      </c>
      <c r="N359" t="str">
        <f>IF(Table4[[#This Row],[Adjusted Correct]]="-", "",IF(Table4[[#This Row],[Adjusted Correct]]="YES",(Table4[[#This Row],[Strength of Win]]-1)^2,(Table4[[#This Row],[Strength of Win]]-0)^2))</f>
        <v/>
      </c>
      <c r="O359">
        <v>-0.29288086291418641</v>
      </c>
      <c r="P359" s="11">
        <v>0.46763535982847776</v>
      </c>
      <c r="Q359" t="s">
        <v>20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6.4811420118814619E-2</v>
      </c>
      <c r="H360" t="s">
        <v>28</v>
      </c>
      <c r="I360">
        <f>VLOOKUP(Table4[[#This Row],[Visitor]],'NHL Model'!$A$6:$B$38,2,FALSE)</f>
        <v>-0.59418600019583889</v>
      </c>
      <c r="J360">
        <f>($B$1+Table4[[#This Row],[Home Differential]])-Table4[[#This Row],[Away Differential]]</f>
        <v>0.79654080928706983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0.64541171061492297</v>
      </c>
      <c r="M360" t="str">
        <f>IF(OR((NHL2025_26Results[[#This Row],[Winning Team]]="")),"-",IF(Table4[[#This Row],[Predicted Winner]]=NHL2025_26Results[[#This Row],[Winning Team]],"YES","NO"))</f>
        <v>-</v>
      </c>
      <c r="N360" t="str">
        <f>IF(Table4[[#This Row],[Adjusted Correct]]="-", "",IF(Table4[[#This Row],[Adjusted Correct]]="YES",(Table4[[#This Row],[Strength of Win]]-1)^2,(Table4[[#This Row],[Strength of Win]]-0)^2))</f>
        <v/>
      </c>
      <c r="O360">
        <v>0.79654080928706983</v>
      </c>
      <c r="P360" s="11">
        <v>0.64541171061492297</v>
      </c>
      <c r="Q360" t="s">
        <v>22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-0.87263145033954281</v>
      </c>
      <c r="H361" t="s">
        <v>39</v>
      </c>
      <c r="I361">
        <f>VLOOKUP(Table4[[#This Row],[Visitor]],'NHL Model'!$A$6:$B$38,2,FALSE)</f>
        <v>4.3828122498436855E-3</v>
      </c>
      <c r="J361">
        <f>($B$1+Table4[[#This Row],[Home Differential]])-Table4[[#This Row],[Away Differential]]</f>
        <v>-0.73947087361697017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0.60313382116978331</v>
      </c>
      <c r="M361" t="str">
        <f>IF(OR((NHL2025_26Results[[#This Row],[Winning Team]]="")),"-",IF(Table4[[#This Row],[Predicted Winner]]=NHL2025_26Results[[#This Row],[Winning Team]],"YES","NO"))</f>
        <v>-</v>
      </c>
      <c r="N361" t="str">
        <f>IF(Table4[[#This Row],[Adjusted Correct]]="-", "",IF(Table4[[#This Row],[Adjusted Correct]]="YES",(Table4[[#This Row],[Strength of Win]]-1)^2,(Table4[[#This Row],[Strength of Win]]-0)^2))</f>
        <v/>
      </c>
      <c r="P361" s="11"/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0.34329638981067145</v>
      </c>
      <c r="H362" t="s">
        <v>38</v>
      </c>
      <c r="I362">
        <f>VLOOKUP(Table4[[#This Row],[Visitor]],'NHL Model'!$A$6:$B$38,2,FALSE)</f>
        <v>-1.1236485959014608</v>
      </c>
      <c r="J362">
        <f>($B$1+Table4[[#This Row],[Home Differential]])-Table4[[#This Row],[Away Differential]]</f>
        <v>1.6044883746845486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0.82938843573588272</v>
      </c>
      <c r="M362" t="str">
        <f>IF(OR((NHL2025_26Results[[#This Row],[Winning Team]]="")),"-",IF(Table4[[#This Row],[Predicted Winner]]=NHL2025_26Results[[#This Row],[Winning Team]],"YES","NO"))</f>
        <v>-</v>
      </c>
      <c r="N362" t="str">
        <f>IF(Table4[[#This Row],[Adjusted Correct]]="-", "",IF(Table4[[#This Row],[Adjusted Correct]]="YES",(Table4[[#This Row],[Strength of Win]]-1)^2,(Table4[[#This Row],[Strength of Win]]-0)^2))</f>
        <v/>
      </c>
      <c r="P362" s="11"/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0.42515174825138019</v>
      </c>
      <c r="H363" t="s">
        <v>15</v>
      </c>
      <c r="I363">
        <f>VLOOKUP(Table4[[#This Row],[Visitor]],'NHL Model'!$A$6:$B$38,2,FALSE)</f>
        <v>-0.49835870184734621</v>
      </c>
      <c r="J363">
        <f>($B$1+Table4[[#This Row],[Home Differential]])-Table4[[#This Row],[Away Differential]]</f>
        <v>1.0610538390711426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0.65061239266304549</v>
      </c>
      <c r="M363" t="str">
        <f>IF(OR((NHL2025_26Results[[#This Row],[Winning Team]]="")),"-",IF(Table4[[#This Row],[Predicted Winner]]=NHL2025_26Results[[#This Row],[Winning Team]],"YES","NO"))</f>
        <v>-</v>
      </c>
      <c r="N363" t="str">
        <f>IF(Table4[[#This Row],[Adjusted Correct]]="-", "",IF(Table4[[#This Row],[Adjusted Correct]]="YES",(Table4[[#This Row],[Strength of Win]]-1)^2,(Table4[[#This Row],[Strength of Win]]-0)^2))</f>
        <v/>
      </c>
      <c r="P363" s="11"/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-0.59418600019583889</v>
      </c>
      <c r="H364" t="s">
        <v>19</v>
      </c>
      <c r="I364">
        <f>VLOOKUP(Table4[[#This Row],[Visitor]],'NHL Model'!$A$6:$B$38,2,FALSE)</f>
        <v>-0.93520311342823803</v>
      </c>
      <c r="J364">
        <f>($B$1+Table4[[#This Row],[Home Differential]])-Table4[[#This Row],[Away Differential]]</f>
        <v>0.4785605022048155</v>
      </c>
      <c r="K364" t="str">
        <f>IF(Table4[[#This Row],[HomeIce Differential]]&gt;0,Table4[[#This Row],[Home]],Table4[[#This Row],[Visitor]])</f>
        <v>Columbus Blue Jackets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0.61087550485449682</v>
      </c>
      <c r="M364" t="str">
        <f>IF(OR((NHL2025_26Results[[#This Row],[Winning Team]]="")),"-",IF(Table4[[#This Row],[Predicted Winner]]=NHL2025_26Results[[#This Row],[Winning Team]],"YES","NO"))</f>
        <v>-</v>
      </c>
      <c r="N364" t="str">
        <f>IF(Table4[[#This Row],[Adjusted Correct]]="-", "",IF(Table4[[#This Row],[Adjusted Correct]]="YES",(Table4[[#This Row],[Strength of Win]]-1)^2,(Table4[[#This Row],[Strength of Win]]-0)^2))</f>
        <v/>
      </c>
      <c r="P364" s="11"/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-0.15263505358797036</v>
      </c>
      <c r="H365" t="s">
        <v>34</v>
      </c>
      <c r="I365">
        <f>VLOOKUP(Table4[[#This Row],[Visitor]],'NHL Model'!$A$6:$B$38,2,FALSE)</f>
        <v>-0.16358905079701039</v>
      </c>
      <c r="J365">
        <f>($B$1+Table4[[#This Row],[Home Differential]])-Table4[[#This Row],[Away Differential]]</f>
        <v>0.14849738618145639</v>
      </c>
      <c r="K365" t="str">
        <f>IF(Table4[[#This Row],[HomeIce Differential]]&gt;0,Table4[[#This Row],[Home]],Table4[[#This Row],[Visitor]])</f>
        <v>Chicago Blackhawks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0.539037087840748</v>
      </c>
      <c r="M365" t="str">
        <f>IF(OR((NHL2025_26Results[[#This Row],[Winning Team]]="")),"-",IF(Table4[[#This Row],[Predicted Winner]]=NHL2025_26Results[[#This Row],[Winning Team]],"YES","NO"))</f>
        <v>-</v>
      </c>
      <c r="N365" t="str">
        <f>IF(Table4[[#This Row],[Adjusted Correct]]="-", "",IF(Table4[[#This Row],[Adjusted Correct]]="YES",(Table4[[#This Row],[Strength of Win]]-1)^2,(Table4[[#This Row],[Strength of Win]]-0)^2))</f>
        <v/>
      </c>
      <c r="P365" s="11"/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1.4458345276269271</v>
      </c>
      <c r="H366" t="s">
        <v>33</v>
      </c>
      <c r="I366">
        <f>VLOOKUP(Table4[[#This Row],[Visitor]],'NHL Model'!$A$6:$B$38,2,FALSE)</f>
        <v>-0.36178381286707545</v>
      </c>
      <c r="J366">
        <f>($B$1+Table4[[#This Row],[Home Differential]])-Table4[[#This Row],[Away Differential]]</f>
        <v>1.945161729466419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0.89436286452777281</v>
      </c>
      <c r="M366" t="str">
        <f>IF(OR((NHL2025_26Results[[#This Row],[Winning Team]]="")),"-",IF(Table4[[#This Row],[Predicted Winner]]=NHL2025_26Results[[#This Row],[Winning Team]],"YES","NO"))</f>
        <v>-</v>
      </c>
      <c r="N366" t="str">
        <f>IF(Table4[[#This Row],[Adjusted Correct]]="-", "",IF(Table4[[#This Row],[Adjusted Correct]]="YES",(Table4[[#This Row],[Strength of Win]]-1)^2,(Table4[[#This Row],[Strength of Win]]-0)^2))</f>
        <v/>
      </c>
      <c r="P366" s="11"/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-0.66335717753705836</v>
      </c>
      <c r="H367" t="s">
        <v>29</v>
      </c>
      <c r="I367">
        <f>VLOOKUP(Table4[[#This Row],[Visitor]],'NHL Model'!$A$6:$B$38,2,FALSE)</f>
        <v>-1.4957350924899622</v>
      </c>
      <c r="J367">
        <f>($B$1+Table4[[#This Row],[Home Differential]])-Table4[[#This Row],[Away Differential]]</f>
        <v>0.96992130392532017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0.70161245309727371</v>
      </c>
      <c r="M367" t="str">
        <f>IF(OR((NHL2025_26Results[[#This Row],[Winning Team]]="")),"-",IF(Table4[[#This Row],[Predicted Winner]]=NHL2025_26Results[[#This Row],[Winning Team]],"YES","NO"))</f>
        <v>-</v>
      </c>
      <c r="N367" t="str">
        <f>IF(Table4[[#This Row],[Adjusted Correct]]="-", "",IF(Table4[[#This Row],[Adjusted Correct]]="YES",(Table4[[#This Row],[Strength of Win]]-1)^2,(Table4[[#This Row],[Strength of Win]]-0)^2))</f>
        <v/>
      </c>
      <c r="P367" s="11"/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-0.37836939589441088</v>
      </c>
      <c r="H368" t="s">
        <v>27</v>
      </c>
      <c r="I368">
        <f>VLOOKUP(Table4[[#This Row],[Visitor]],'NHL Model'!$A$6:$B$38,2,FALSE)</f>
        <v>-0.42203126246971279</v>
      </c>
      <c r="J368">
        <f>($B$1+Table4[[#This Row],[Home Differential]])-Table4[[#This Row],[Away Differential]]</f>
        <v>0.18120525554771827</v>
      </c>
      <c r="K368" t="str">
        <f>IF(Table4[[#This Row],[HomeIce Differential]]&gt;0,Table4[[#This Row],[Home]],Table4[[#This Row],[Visitor]])</f>
        <v>Florida Panthers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0.61588481268242723</v>
      </c>
      <c r="M368" t="str">
        <f>IF(OR((NHL2025_26Results[[#This Row],[Winning Team]]="")),"-",IF(Table4[[#This Row],[Predicted Winner]]=NHL2025_26Results[[#This Row],[Winning Team]],"YES","NO"))</f>
        <v>-</v>
      </c>
      <c r="N368" t="str">
        <f>IF(Table4[[#This Row],[Adjusted Correct]]="-", "",IF(Table4[[#This Row],[Adjusted Correct]]="YES",(Table4[[#This Row],[Strength of Win]]-1)^2,(Table4[[#This Row],[Strength of Win]]-0)^2))</f>
        <v/>
      </c>
      <c r="P368" s="11"/>
    </row>
    <row r="369" spans="4:16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-1.8032585202533785E-2</v>
      </c>
      <c r="H369" t="s">
        <v>35</v>
      </c>
      <c r="I369">
        <f>VLOOKUP(Table4[[#This Row],[Visitor]],'NHL Model'!$A$6:$B$38,2,FALSE)</f>
        <v>-1.5569791149906038</v>
      </c>
      <c r="J369">
        <f>($B$1+Table4[[#This Row],[Home Differential]])-Table4[[#This Row],[Away Differential]]</f>
        <v>1.6764899187604865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0.87903797050737187</v>
      </c>
      <c r="M369" t="str">
        <f>IF(OR((NHL2025_26Results[[#This Row],[Winning Team]]="")),"-",IF(Table4[[#This Row],[Predicted Winner]]=NHL2025_26Results[[#This Row],[Winning Team]],"YES","NO"))</f>
        <v>-</v>
      </c>
      <c r="N369" t="str">
        <f>IF(Table4[[#This Row],[Adjusted Correct]]="-", "",IF(Table4[[#This Row],[Adjusted Correct]]="YES",(Table4[[#This Row],[Strength of Win]]-1)^2,(Table4[[#This Row],[Strength of Win]]-0)^2))</f>
        <v/>
      </c>
      <c r="P369" s="11"/>
    </row>
    <row r="370" spans="4:16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3.838472305373858E-3</v>
      </c>
      <c r="H370" t="s">
        <v>21</v>
      </c>
      <c r="I370">
        <f>VLOOKUP(Table4[[#This Row],[Visitor]],'NHL Model'!$A$6:$B$38,2,FALSE)</f>
        <v>-0.14464931395309213</v>
      </c>
      <c r="J370">
        <f>($B$1+Table4[[#This Row],[Home Differential]])-Table4[[#This Row],[Away Differential]]</f>
        <v>0.28603117523088234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0.57815033203403932</v>
      </c>
      <c r="M370" t="str">
        <f>IF(OR((NHL2025_26Results[[#This Row],[Winning Team]]="")),"-",IF(Table4[[#This Row],[Predicted Winner]]=NHL2025_26Results[[#This Row],[Winning Team]],"YES","NO"))</f>
        <v>-</v>
      </c>
      <c r="N370" t="str">
        <f>IF(Table4[[#This Row],[Adjusted Correct]]="-", "",IF(Table4[[#This Row],[Adjusted Correct]]="YES",(Table4[[#This Row],[Strength of Win]]-1)^2,(Table4[[#This Row],[Strength of Win]]-0)^2))</f>
        <v/>
      </c>
      <c r="P370" s="11"/>
    </row>
    <row r="371" spans="4:16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-0.2090057419115289</v>
      </c>
      <c r="H371" t="s">
        <v>23</v>
      </c>
      <c r="I371">
        <f>VLOOKUP(Table4[[#This Row],[Visitor]],'NHL Model'!$A$6:$B$38,2,FALSE)</f>
        <v>-0.51535072045188635</v>
      </c>
      <c r="J371">
        <f>($B$1+Table4[[#This Row],[Home Differential]])-Table4[[#This Row],[Away Differential]]</f>
        <v>0.44388836751277383</v>
      </c>
      <c r="K371" t="str">
        <f>IF(Table4[[#This Row],[HomeIce Differential]]&gt;0,Table4[[#This Row],[Home]],Table4[[#This Row],[Visitor]])</f>
        <v>Pittsburgh Penguins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0.5992050450199724</v>
      </c>
      <c r="M371" t="str">
        <f>IF(OR((NHL2025_26Results[[#This Row],[Winning Team]]="")),"-",IF(Table4[[#This Row],[Predicted Winner]]=NHL2025_26Results[[#This Row],[Winning Team]],"YES","NO"))</f>
        <v>-</v>
      </c>
      <c r="N371" t="str">
        <f>IF(Table4[[#This Row],[Adjusted Correct]]="-", "",IF(Table4[[#This Row],[Adjusted Correct]]="YES",(Table4[[#This Row],[Strength of Win]]-1)^2,(Table4[[#This Row],[Strength of Win]]-0)^2))</f>
        <v/>
      </c>
      <c r="P371" s="11"/>
    </row>
    <row r="372" spans="4:16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-0.45007023285116615</v>
      </c>
      <c r="H372" t="s">
        <v>39</v>
      </c>
      <c r="I372">
        <f>VLOOKUP(Table4[[#This Row],[Visitor]],'NHL Model'!$A$6:$B$38,2,FALSE)</f>
        <v>4.3828122498436855E-3</v>
      </c>
      <c r="J372">
        <f>($B$1+Table4[[#This Row],[Home Differential]])-Table4[[#This Row],[Away Differential]]</f>
        <v>-0.31690965612859345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0.55697473153114685</v>
      </c>
      <c r="M372" t="str">
        <f>IF(OR((NHL2025_26Results[[#This Row],[Winning Team]]="")),"-",IF(Table4[[#This Row],[Predicted Winner]]=NHL2025_26Results[[#This Row],[Winning Team]],"YES","NO"))</f>
        <v>-</v>
      </c>
      <c r="N372" t="str">
        <f>IF(Table4[[#This Row],[Adjusted Correct]]="-", "",IF(Table4[[#This Row],[Adjusted Correct]]="YES",(Table4[[#This Row],[Strength of Win]]-1)^2,(Table4[[#This Row],[Strength of Win]]-0)^2))</f>
        <v/>
      </c>
      <c r="P372" s="11"/>
    </row>
    <row r="373" spans="4:16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7.1667377873261273E-2</v>
      </c>
      <c r="H373" t="s">
        <v>16</v>
      </c>
      <c r="I373">
        <f>VLOOKUP(Table4[[#This Row],[Visitor]],'NHL Model'!$A$6:$B$38,2,FALSE)</f>
        <v>-1.0952038865534519</v>
      </c>
      <c r="J373">
        <f>($B$1+Table4[[#This Row],[Home Differential]])-Table4[[#This Row],[Away Differential]]</f>
        <v>1.3044146533991294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0.71647599757641622</v>
      </c>
      <c r="M373" t="str">
        <f>IF(OR((NHL2025_26Results[[#This Row],[Winning Team]]="")),"-",IF(Table4[[#This Row],[Predicted Winner]]=NHL2025_26Results[[#This Row],[Winning Team]],"YES","NO"))</f>
        <v>-</v>
      </c>
      <c r="N373" t="str">
        <f>IF(Table4[[#This Row],[Adjusted Correct]]="-", "",IF(Table4[[#This Row],[Adjusted Correct]]="YES",(Table4[[#This Row],[Strength of Win]]-1)^2,(Table4[[#This Row],[Strength of Win]]-0)^2))</f>
        <v/>
      </c>
      <c r="P373" s="11"/>
    </row>
    <row r="374" spans="4:16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-0.30969050963205513</v>
      </c>
      <c r="H374" t="s">
        <v>18</v>
      </c>
      <c r="I374">
        <f>VLOOKUP(Table4[[#This Row],[Visitor]],'NHL Model'!$A$6:$B$38,2,FALSE)</f>
        <v>-0.74754136228530599</v>
      </c>
      <c r="J374">
        <f>($B$1+Table4[[#This Row],[Home Differential]])-Table4[[#This Row],[Away Differential]]</f>
        <v>0.57539424162566721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0.62219961127044598</v>
      </c>
      <c r="M374" t="str">
        <f>IF(OR((NHL2025_26Results[[#This Row],[Winning Team]]="")),"-",IF(Table4[[#This Row],[Predicted Winner]]=NHL2025_26Results[[#This Row],[Winning Team]],"YES","NO"))</f>
        <v>-</v>
      </c>
      <c r="N374" t="str">
        <f>IF(Table4[[#This Row],[Adjusted Correct]]="-", "",IF(Table4[[#This Row],[Adjusted Correct]]="YES",(Table4[[#This Row],[Strength of Win]]-1)^2,(Table4[[#This Row],[Strength of Win]]-0)^2))</f>
        <v/>
      </c>
      <c r="P374" s="11"/>
    </row>
    <row r="375" spans="4:16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0.12073374225454764</v>
      </c>
      <c r="H375" t="s">
        <v>36</v>
      </c>
      <c r="I375">
        <f>VLOOKUP(Table4[[#This Row],[Visitor]],'NHL Model'!$A$6:$B$38,2,FALSE)</f>
        <v>-0.31751962084606655</v>
      </c>
      <c r="J375">
        <f>($B$1+Table4[[#This Row],[Home Differential]])-Table4[[#This Row],[Away Differential]]</f>
        <v>0.57579675207303049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0.59602952117791652</v>
      </c>
      <c r="M375" t="str">
        <f>IF(OR((NHL2025_26Results[[#This Row],[Winning Team]]="")),"-",IF(Table4[[#This Row],[Predicted Winner]]=NHL2025_26Results[[#This Row],[Winning Team]],"YES","NO"))</f>
        <v>-</v>
      </c>
      <c r="N375" t="str">
        <f>IF(Table4[[#This Row],[Adjusted Correct]]="-", "",IF(Table4[[#This Row],[Adjusted Correct]]="YES",(Table4[[#This Row],[Strength of Win]]-1)^2,(Table4[[#This Row],[Strength of Win]]-0)^2))</f>
        <v/>
      </c>
      <c r="P375" s="11"/>
    </row>
    <row r="376" spans="4:16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6.4811420118814619E-2</v>
      </c>
      <c r="H376" t="s">
        <v>40</v>
      </c>
      <c r="I376">
        <f>VLOOKUP(Table4[[#This Row],[Visitor]],'NHL Model'!$A$6:$B$38,2,FALSE)</f>
        <v>-6.0247860940930854E-2</v>
      </c>
      <c r="J376">
        <f>($B$1+Table4[[#This Row],[Home Differential]])-Table4[[#This Row],[Away Differential]]</f>
        <v>0.26260267003216187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0.5087096899925504</v>
      </c>
      <c r="M376" t="str">
        <f>IF(OR((NHL2025_26Results[[#This Row],[Winning Team]]="")),"-",IF(Table4[[#This Row],[Predicted Winner]]=NHL2025_26Results[[#This Row],[Winning Team]],"YES","NO"))</f>
        <v>-</v>
      </c>
      <c r="N376" t="str">
        <f>IF(Table4[[#This Row],[Adjusted Correct]]="-", "",IF(Table4[[#This Row],[Adjusted Correct]]="YES",(Table4[[#This Row],[Strength of Win]]-1)^2,(Table4[[#This Row],[Strength of Win]]-0)^2))</f>
        <v/>
      </c>
      <c r="P376" s="11"/>
    </row>
    <row r="377" spans="4:16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0.34329638981067145</v>
      </c>
      <c r="H377" t="s">
        <v>13</v>
      </c>
      <c r="I377">
        <f>VLOOKUP(Table4[[#This Row],[Visitor]],'NHL Model'!$A$6:$B$38,2,FALSE)</f>
        <v>-0.36134162888396865</v>
      </c>
      <c r="J377">
        <f>($B$1+Table4[[#This Row],[Home Differential]])-Table4[[#This Row],[Away Differential]]</f>
        <v>0.8421814076670564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0.66678411150013817</v>
      </c>
      <c r="M377" t="str">
        <f>IF(OR((NHL2025_26Results[[#This Row],[Winning Team]]="")),"-",IF(Table4[[#This Row],[Predicted Winner]]=NHL2025_26Results[[#This Row],[Winning Team]],"YES","NO"))</f>
        <v>-</v>
      </c>
      <c r="N377" t="str">
        <f>IF(Table4[[#This Row],[Adjusted Correct]]="-", "",IF(Table4[[#This Row],[Adjusted Correct]]="YES",(Table4[[#This Row],[Strength of Win]]-1)^2,(Table4[[#This Row],[Strength of Win]]-0)^2))</f>
        <v/>
      </c>
      <c r="P377" s="11"/>
    </row>
    <row r="378" spans="4:16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-0.14464931395309213</v>
      </c>
      <c r="H378" t="s">
        <v>15</v>
      </c>
      <c r="I378">
        <f>VLOOKUP(Table4[[#This Row],[Visitor]],'NHL Model'!$A$6:$B$38,2,FALSE)</f>
        <v>-0.49835870184734621</v>
      </c>
      <c r="J378">
        <f>($B$1+Table4[[#This Row],[Home Differential]])-Table4[[#This Row],[Away Differential]]</f>
        <v>0.49125277686667046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0.57461333522148494</v>
      </c>
      <c r="M378" t="str">
        <f>IF(OR((NHL2025_26Results[[#This Row],[Winning Team]]="")),"-",IF(Table4[[#This Row],[Predicted Winner]]=NHL2025_26Results[[#This Row],[Winning Team]],"YES","NO"))</f>
        <v>-</v>
      </c>
      <c r="N378" t="str">
        <f>IF(Table4[[#This Row],[Adjusted Correct]]="-", "",IF(Table4[[#This Row],[Adjusted Correct]]="YES",(Table4[[#This Row],[Strength of Win]]-1)^2,(Table4[[#This Row],[Strength of Win]]-0)^2))</f>
        <v/>
      </c>
      <c r="P378" s="11"/>
    </row>
    <row r="379" spans="4:16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-0.51535072045188635</v>
      </c>
      <c r="H379" t="s">
        <v>24</v>
      </c>
      <c r="I379">
        <f>VLOOKUP(Table4[[#This Row],[Visitor]],'NHL Model'!$A$6:$B$38,2,FALSE)</f>
        <v>-1.8032585202533785E-2</v>
      </c>
      <c r="J379">
        <f>($B$1+Table4[[#This Row],[Home Differential]])-Table4[[#This Row],[Away Differential]]</f>
        <v>-0.35977474627693617</v>
      </c>
      <c r="K379" t="str">
        <f>IF(Table4[[#This Row],[HomeIce Differential]]&gt;0,Table4[[#This Row],[Home]],Table4[[#This Row],[Visitor]])</f>
        <v>New Jersey Devils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0.49479462969279686</v>
      </c>
      <c r="M379" t="str">
        <f>IF(OR((NHL2025_26Results[[#This Row],[Winning Team]]="")),"-",IF(Table4[[#This Row],[Predicted Winner]]=NHL2025_26Results[[#This Row],[Winning Team]],"YES","NO"))</f>
        <v>-</v>
      </c>
      <c r="N379" t="str">
        <f>IF(Table4[[#This Row],[Adjusted Correct]]="-", "",IF(Table4[[#This Row],[Adjusted Correct]]="YES",(Table4[[#This Row],[Strength of Win]]-1)^2,(Table4[[#This Row],[Strength of Win]]-0)^2))</f>
        <v/>
      </c>
      <c r="P379" s="11"/>
    </row>
    <row r="380" spans="4:16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0.42515174825138019</v>
      </c>
      <c r="H380" t="s">
        <v>40</v>
      </c>
      <c r="I380">
        <f>VLOOKUP(Table4[[#This Row],[Visitor]],'NHL Model'!$A$6:$B$38,2,FALSE)</f>
        <v>-6.0247860940930854E-2</v>
      </c>
      <c r="J380">
        <f>($B$1+Table4[[#This Row],[Home Differential]])-Table4[[#This Row],[Away Differential]]</f>
        <v>0.62294299816472731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0.60940282430155202</v>
      </c>
      <c r="M380" t="str">
        <f>IF(OR((NHL2025_26Results[[#This Row],[Winning Team]]="")),"-",IF(Table4[[#This Row],[Predicted Winner]]=NHL2025_26Results[[#This Row],[Winning Team]],"YES","NO"))</f>
        <v>-</v>
      </c>
      <c r="N380" t="str">
        <f>IF(Table4[[#This Row],[Adjusted Correct]]="-", "",IF(Table4[[#This Row],[Adjusted Correct]]="YES",(Table4[[#This Row],[Strength of Win]]-1)^2,(Table4[[#This Row],[Strength of Win]]-0)^2))</f>
        <v/>
      </c>
      <c r="P380" s="11"/>
    </row>
    <row r="381" spans="4:16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-0.59418600019583889</v>
      </c>
      <c r="H381" t="s">
        <v>14</v>
      </c>
      <c r="I381">
        <f>VLOOKUP(Table4[[#This Row],[Visitor]],'NHL Model'!$A$6:$B$38,2,FALSE)</f>
        <v>-0.2090057419115289</v>
      </c>
      <c r="J381">
        <f>($B$1+Table4[[#This Row],[Home Differential]])-Table4[[#This Row],[Away Differential]]</f>
        <v>-0.24763686931189363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0.48598341558746572</v>
      </c>
      <c r="M381" t="str">
        <f>IF(OR((NHL2025_26Results[[#This Row],[Winning Team]]="")),"-",IF(Table4[[#This Row],[Predicted Winner]]=NHL2025_26Results[[#This Row],[Winning Team]],"YES","NO"))</f>
        <v>-</v>
      </c>
      <c r="N381" t="str">
        <f>IF(Table4[[#This Row],[Adjusted Correct]]="-", "",IF(Table4[[#This Row],[Adjusted Correct]]="YES",(Table4[[#This Row],[Strength of Win]]-1)^2,(Table4[[#This Row],[Strength of Win]]-0)^2))</f>
        <v/>
      </c>
      <c r="P381" s="11"/>
    </row>
    <row r="382" spans="4:16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-0.15263505358797036</v>
      </c>
      <c r="H382" t="s">
        <v>29</v>
      </c>
      <c r="I382">
        <f>VLOOKUP(Table4[[#This Row],[Visitor]],'NHL Model'!$A$6:$B$38,2,FALSE)</f>
        <v>-1.4957350924899622</v>
      </c>
      <c r="J382">
        <f>($B$1+Table4[[#This Row],[Home Differential]])-Table4[[#This Row],[Away Differential]]</f>
        <v>1.4806434278744081</v>
      </c>
      <c r="K382" t="str">
        <f>IF(Table4[[#This Row],[HomeIce Differential]]&gt;0,Table4[[#This Row],[Home]],Table4[[#This Row],[Visitor]])</f>
        <v>Chicago Blackhawks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0.737485600483342</v>
      </c>
      <c r="M382" t="str">
        <f>IF(OR((NHL2025_26Results[[#This Row],[Winning Team]]="")),"-",IF(Table4[[#This Row],[Predicted Winner]]=NHL2025_26Results[[#This Row],[Winning Team]],"YES","NO"))</f>
        <v>-</v>
      </c>
      <c r="N382" t="str">
        <f>IF(Table4[[#This Row],[Adjusted Correct]]="-", "",IF(Table4[[#This Row],[Adjusted Correct]]="YES",(Table4[[#This Row],[Strength of Win]]-1)^2,(Table4[[#This Row],[Strength of Win]]-0)^2))</f>
        <v/>
      </c>
      <c r="P382" s="11"/>
    </row>
    <row r="383" spans="4:16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4.3828122498436855E-3</v>
      </c>
      <c r="H383" t="s">
        <v>55</v>
      </c>
      <c r="I383">
        <f>VLOOKUP(Table4[[#This Row],[Visitor]],'NHL Model'!$A$6:$B$38,2,FALSE)</f>
        <v>-0.30969050963205513</v>
      </c>
      <c r="J383">
        <f>($B$1+Table4[[#This Row],[Home Differential]])-Table4[[#This Row],[Away Differential]]</f>
        <v>0.45161671085431521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0.6027313169842794</v>
      </c>
      <c r="M383" t="str">
        <f>IF(OR((NHL2025_26Results[[#This Row],[Winning Team]]="")),"-",IF(Table4[[#This Row],[Predicted Winner]]=NHL2025_26Results[[#This Row],[Winning Team]],"YES","NO"))</f>
        <v>-</v>
      </c>
      <c r="N383" t="str">
        <f>IF(Table4[[#This Row],[Adjusted Correct]]="-", "",IF(Table4[[#This Row],[Adjusted Correct]]="YES",(Table4[[#This Row],[Strength of Win]]-1)^2,(Table4[[#This Row],[Strength of Win]]-0)^2))</f>
        <v/>
      </c>
      <c r="P383" s="11"/>
    </row>
    <row r="384" spans="4:16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-0.66335717753705836</v>
      </c>
      <c r="H384" t="s">
        <v>37</v>
      </c>
      <c r="I384">
        <f>VLOOKUP(Table4[[#This Row],[Visitor]],'NHL Model'!$A$6:$B$38,2,FALSE)</f>
        <v>7.1667377873261273E-2</v>
      </c>
      <c r="J384">
        <f>($B$1+Table4[[#This Row],[Home Differential]])-Table4[[#This Row],[Away Differential]]</f>
        <v>-0.59748116643790328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0.57336186684156643</v>
      </c>
      <c r="M384" t="str">
        <f>IF(OR((NHL2025_26Results[[#This Row],[Winning Team]]="")),"-",IF(Table4[[#This Row],[Predicted Winner]]=NHL2025_26Results[[#This Row],[Winning Team]],"YES","NO"))</f>
        <v>-</v>
      </c>
      <c r="N384" t="str">
        <f>IF(Table4[[#This Row],[Adjusted Correct]]="-", "",IF(Table4[[#This Row],[Adjusted Correct]]="YES",(Table4[[#This Row],[Strength of Win]]-1)^2,(Table4[[#This Row],[Strength of Win]]-0)^2))</f>
        <v/>
      </c>
      <c r="P384" s="11"/>
    </row>
    <row r="385" spans="4:16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-0.37836939589441088</v>
      </c>
      <c r="H385" t="s">
        <v>16</v>
      </c>
      <c r="I385">
        <f>VLOOKUP(Table4[[#This Row],[Visitor]],'NHL Model'!$A$6:$B$38,2,FALSE)</f>
        <v>-1.0952038865534519</v>
      </c>
      <c r="J385">
        <f>($B$1+Table4[[#This Row],[Home Differential]])-Table4[[#This Row],[Away Differential]]</f>
        <v>0.85437787963145739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0.70567138613649238</v>
      </c>
      <c r="M385" t="str">
        <f>IF(OR((NHL2025_26Results[[#This Row],[Winning Team]]="")),"-",IF(Table4[[#This Row],[Predicted Winner]]=NHL2025_26Results[[#This Row],[Winning Team]],"YES","NO"))</f>
        <v>-</v>
      </c>
      <c r="N385" t="str">
        <f>IF(Table4[[#This Row],[Adjusted Correct]]="-", "",IF(Table4[[#This Row],[Adjusted Correct]]="YES",(Table4[[#This Row],[Strength of Win]]-1)^2,(Table4[[#This Row],[Strength of Win]]-0)^2))</f>
        <v/>
      </c>
      <c r="P385" s="11"/>
    </row>
    <row r="386" spans="4:16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-0.16358905079701039</v>
      </c>
      <c r="H386" t="s">
        <v>12</v>
      </c>
      <c r="I386">
        <f>VLOOKUP(Table4[[#This Row],[Visitor]],'NHL Model'!$A$6:$B$38,2,FALSE)</f>
        <v>1.4458345276269271</v>
      </c>
      <c r="J386">
        <f>($B$1+Table4[[#This Row],[Home Differential]])-Table4[[#This Row],[Away Differential]]</f>
        <v>-1.4718801894515212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0.74880296309392547</v>
      </c>
      <c r="M386" t="str">
        <f>IF(OR((NHL2025_26Results[[#This Row],[Winning Team]]="")),"-",IF(Table4[[#This Row],[Predicted Winner]]=NHL2025_26Results[[#This Row],[Winning Team]],"YES","NO"))</f>
        <v>-</v>
      </c>
      <c r="N386" t="str">
        <f>IF(Table4[[#This Row],[Adjusted Correct]]="-", "",IF(Table4[[#This Row],[Adjusted Correct]]="YES",(Table4[[#This Row],[Strength of Win]]-1)^2,(Table4[[#This Row],[Strength of Win]]-0)^2))</f>
        <v/>
      </c>
      <c r="P386" s="11"/>
    </row>
    <row r="387" spans="4:16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3.838472305373858E-3</v>
      </c>
      <c r="H387" t="s">
        <v>27</v>
      </c>
      <c r="I387">
        <f>VLOOKUP(Table4[[#This Row],[Visitor]],'NHL Model'!$A$6:$B$38,2,FALSE)</f>
        <v>-0.42203126246971279</v>
      </c>
      <c r="J387">
        <f>($B$1+Table4[[#This Row],[Home Differential]])-Table4[[#This Row],[Away Differential]]</f>
        <v>0.56341312374750296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0.61514704551331656</v>
      </c>
      <c r="M387" t="str">
        <f>IF(OR((NHL2025_26Results[[#This Row],[Winning Team]]="")),"-",IF(Table4[[#This Row],[Predicted Winner]]=NHL2025_26Results[[#This Row],[Winning Team]],"YES","NO"))</f>
        <v>-</v>
      </c>
      <c r="N387" t="str">
        <f>IF(Table4[[#This Row],[Adjusted Correct]]="-", "",IF(Table4[[#This Row],[Adjusted Correct]]="YES",(Table4[[#This Row],[Strength of Win]]-1)^2,(Table4[[#This Row],[Strength of Win]]-0)^2))</f>
        <v/>
      </c>
      <c r="P387" s="11"/>
    </row>
    <row r="388" spans="4:16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-0.36178381286707545</v>
      </c>
      <c r="H388" t="s">
        <v>38</v>
      </c>
      <c r="I388">
        <f>VLOOKUP(Table4[[#This Row],[Visitor]],'NHL Model'!$A$6:$B$38,2,FALSE)</f>
        <v>-1.1236485959014608</v>
      </c>
      <c r="J388">
        <f>($B$1+Table4[[#This Row],[Home Differential]])-Table4[[#This Row],[Away Differential]]</f>
        <v>0.89940817200680168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0.63919223975401152</v>
      </c>
      <c r="M388" t="str">
        <f>IF(OR((NHL2025_26Results[[#This Row],[Winning Team]]="")),"-",IF(Table4[[#This Row],[Predicted Winner]]=NHL2025_26Results[[#This Row],[Winning Team]],"YES","NO"))</f>
        <v>-</v>
      </c>
      <c r="N388" t="str">
        <f>IF(Table4[[#This Row],[Adjusted Correct]]="-", "",IF(Table4[[#This Row],[Adjusted Correct]]="YES",(Table4[[#This Row],[Strength of Win]]-1)^2,(Table4[[#This Row],[Strength of Win]]-0)^2))</f>
        <v/>
      </c>
      <c r="P388" s="11"/>
    </row>
    <row r="389" spans="4:16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-1.5569791149906038</v>
      </c>
      <c r="H389" t="s">
        <v>36</v>
      </c>
      <c r="I389">
        <f>VLOOKUP(Table4[[#This Row],[Visitor]],'NHL Model'!$A$6:$B$38,2,FALSE)</f>
        <v>-0.31751962084606655</v>
      </c>
      <c r="J389">
        <f>($B$1+Table4[[#This Row],[Home Differential]])-Table4[[#This Row],[Away Differential]]</f>
        <v>-1.1019161051721209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0.62774085109012279</v>
      </c>
      <c r="M389" t="str">
        <f>IF(OR((NHL2025_26Results[[#This Row],[Winning Team]]="")),"-",IF(Table4[[#This Row],[Predicted Winner]]=NHL2025_26Results[[#This Row],[Winning Team]],"YES","NO"))</f>
        <v>-</v>
      </c>
      <c r="N389" t="str">
        <f>IF(Table4[[#This Row],[Adjusted Correct]]="-", "",IF(Table4[[#This Row],[Adjusted Correct]]="YES",(Table4[[#This Row],[Strength of Win]]-1)^2,(Table4[[#This Row],[Strength of Win]]-0)^2))</f>
        <v/>
      </c>
      <c r="P389" s="11"/>
    </row>
    <row r="390" spans="4:16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0.12073374225454764</v>
      </c>
      <c r="H390" t="s">
        <v>18</v>
      </c>
      <c r="I390">
        <f>VLOOKUP(Table4[[#This Row],[Visitor]],'NHL Model'!$A$6:$B$38,2,FALSE)</f>
        <v>-0.74754136228530599</v>
      </c>
      <c r="J390">
        <f>($B$1+Table4[[#This Row],[Home Differential]])-Table4[[#This Row],[Away Differential]]</f>
        <v>1.00581849351227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0.62705489943702186</v>
      </c>
      <c r="M390" t="str">
        <f>IF(OR((NHL2025_26Results[[#This Row],[Winning Team]]="")),"-",IF(Table4[[#This Row],[Predicted Winner]]=NHL2025_26Results[[#This Row],[Winning Team]],"YES","NO"))</f>
        <v>-</v>
      </c>
      <c r="N390" t="str">
        <f>IF(Table4[[#This Row],[Adjusted Correct]]="-", "",IF(Table4[[#This Row],[Adjusted Correct]]="YES",(Table4[[#This Row],[Strength of Win]]-1)^2,(Table4[[#This Row],[Strength of Win]]-0)^2))</f>
        <v/>
      </c>
      <c r="P390" s="11"/>
    </row>
    <row r="391" spans="4:16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6.4811420118814619E-2</v>
      </c>
      <c r="H391" t="s">
        <v>19</v>
      </c>
      <c r="I391">
        <f>VLOOKUP(Table4[[#This Row],[Visitor]],'NHL Model'!$A$6:$B$38,2,FALSE)</f>
        <v>-0.93520311342823803</v>
      </c>
      <c r="J391">
        <f>($B$1+Table4[[#This Row],[Home Differential]])-Table4[[#This Row],[Away Differential]]</f>
        <v>1.137557922519469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0.69172546285221881</v>
      </c>
      <c r="M391" t="str">
        <f>IF(OR((NHL2025_26Results[[#This Row],[Winning Team]]="")),"-",IF(Table4[[#This Row],[Predicted Winner]]=NHL2025_26Results[[#This Row],[Winning Team]],"YES","NO"))</f>
        <v>-</v>
      </c>
      <c r="N391" t="str">
        <f>IF(Table4[[#This Row],[Adjusted Correct]]="-", "",IF(Table4[[#This Row],[Adjusted Correct]]="YES",(Table4[[#This Row],[Strength of Win]]-1)^2,(Table4[[#This Row],[Strength of Win]]-0)^2))</f>
        <v/>
      </c>
      <c r="P391" s="11"/>
    </row>
    <row r="392" spans="4:16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-0.14464931395309213</v>
      </c>
      <c r="H392" t="s">
        <v>26</v>
      </c>
      <c r="I392">
        <f>VLOOKUP(Table4[[#This Row],[Visitor]],'NHL Model'!$A$6:$B$38,2,FALSE)</f>
        <v>-0.66335717753705836</v>
      </c>
      <c r="J392">
        <f>($B$1+Table4[[#This Row],[Home Differential]])-Table4[[#This Row],[Away Differential]]</f>
        <v>0.65625125255638261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0.6329841763158357</v>
      </c>
      <c r="M392" t="str">
        <f>IF(OR((NHL2025_26Results[[#This Row],[Winning Team]]="")),"-",IF(Table4[[#This Row],[Predicted Winner]]=NHL2025_26Results[[#This Row],[Winning Team]],"YES","NO"))</f>
        <v>-</v>
      </c>
      <c r="N392" t="str">
        <f>IF(Table4[[#This Row],[Adjusted Correct]]="-", "",IF(Table4[[#This Row],[Adjusted Correct]]="YES",(Table4[[#This Row],[Strength of Win]]-1)^2,(Table4[[#This Row],[Strength of Win]]-0)^2))</f>
        <v/>
      </c>
      <c r="P392" s="11"/>
    </row>
    <row r="393" spans="4:16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1.4458345276269271</v>
      </c>
      <c r="H393" t="s">
        <v>18</v>
      </c>
      <c r="I393">
        <f>VLOOKUP(Table4[[#This Row],[Visitor]],'NHL Model'!$A$6:$B$38,2,FALSE)</f>
        <v>-0.74754136228530599</v>
      </c>
      <c r="J393">
        <f>($B$1+Table4[[#This Row],[Home Differential]])-Table4[[#This Row],[Away Differential]]</f>
        <v>2.3309192788846493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0.9010578233955453</v>
      </c>
      <c r="M393" t="str">
        <f>IF(OR((NHL2025_26Results[[#This Row],[Winning Team]]="")),"-",IF(Table4[[#This Row],[Predicted Winner]]=NHL2025_26Results[[#This Row],[Winning Team]],"YES","NO"))</f>
        <v>-</v>
      </c>
      <c r="N393" t="str">
        <f>IF(Table4[[#This Row],[Adjusted Correct]]="-", "",IF(Table4[[#This Row],[Adjusted Correct]]="YES",(Table4[[#This Row],[Strength of Win]]-1)^2,(Table4[[#This Row],[Strength of Win]]-0)^2))</f>
        <v/>
      </c>
      <c r="P393" s="11"/>
    </row>
    <row r="394" spans="4:16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-0.36134162888396865</v>
      </c>
      <c r="H394" t="s">
        <v>38</v>
      </c>
      <c r="I394">
        <f>VLOOKUP(Table4[[#This Row],[Visitor]],'NHL Model'!$A$6:$B$38,2,FALSE)</f>
        <v>-1.1236485959014608</v>
      </c>
      <c r="J394">
        <f>($B$1+Table4[[#This Row],[Home Differential]])-Table4[[#This Row],[Away Differential]]</f>
        <v>0.89985035598990848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0.63925121747125524</v>
      </c>
      <c r="M394" t="str">
        <f>IF(OR((NHL2025_26Results[[#This Row],[Winning Team]]="")),"-",IF(Table4[[#This Row],[Predicted Winner]]=NHL2025_26Results[[#This Row],[Winning Team]],"YES","NO"))</f>
        <v>-</v>
      </c>
      <c r="N394" t="str">
        <f>IF(Table4[[#This Row],[Adjusted Correct]]="-", "",IF(Table4[[#This Row],[Adjusted Correct]]="YES",(Table4[[#This Row],[Strength of Win]]-1)^2,(Table4[[#This Row],[Strength of Win]]-0)^2))</f>
        <v/>
      </c>
      <c r="P394" s="11"/>
    </row>
    <row r="395" spans="4:16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-0.16358905079701039</v>
      </c>
      <c r="H395" t="s">
        <v>23</v>
      </c>
      <c r="I395">
        <f>VLOOKUP(Table4[[#This Row],[Visitor]],'NHL Model'!$A$6:$B$38,2,FALSE)</f>
        <v>-0.51535072045188635</v>
      </c>
      <c r="J395">
        <f>($B$1+Table4[[#This Row],[Home Differential]])-Table4[[#This Row],[Away Differential]]</f>
        <v>0.48930505862729234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0.60526264291820042</v>
      </c>
      <c r="M395" t="str">
        <f>IF(OR((NHL2025_26Results[[#This Row],[Winning Team]]="")),"-",IF(Table4[[#This Row],[Predicted Winner]]=NHL2025_26Results[[#This Row],[Winning Team]],"YES","NO"))</f>
        <v>-</v>
      </c>
      <c r="N395" t="str">
        <f>IF(Table4[[#This Row],[Adjusted Correct]]="-", "",IF(Table4[[#This Row],[Adjusted Correct]]="YES",(Table4[[#This Row],[Strength of Win]]-1)^2,(Table4[[#This Row],[Strength of Win]]-0)^2))</f>
        <v/>
      </c>
      <c r="P395" s="11"/>
    </row>
    <row r="396" spans="4:16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-1.8032585202533785E-2</v>
      </c>
      <c r="H396" t="s">
        <v>27</v>
      </c>
      <c r="I396">
        <f>VLOOKUP(Table4[[#This Row],[Visitor]],'NHL Model'!$A$6:$B$38,2,FALSE)</f>
        <v>-0.42203126246971279</v>
      </c>
      <c r="J396">
        <f>($B$1+Table4[[#This Row],[Home Differential]])-Table4[[#This Row],[Away Differential]]</f>
        <v>0.54154206623959533</v>
      </c>
      <c r="K396" t="str">
        <f>IF(Table4[[#This Row],[HomeIce Differential]]&gt;0,Table4[[#This Row],[Home]],Table4[[#This Row],[Visitor]])</f>
        <v>New Jersey Devils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0.72766063417317139</v>
      </c>
      <c r="M396" t="str">
        <f>IF(OR((NHL2025_26Results[[#This Row],[Winning Team]]="")),"-",IF(Table4[[#This Row],[Predicted Winner]]=NHL2025_26Results[[#This Row],[Winning Team]],"YES","NO"))</f>
        <v>-</v>
      </c>
      <c r="N396" t="str">
        <f>IF(Table4[[#This Row],[Adjusted Correct]]="-", "",IF(Table4[[#This Row],[Adjusted Correct]]="YES",(Table4[[#This Row],[Strength of Win]]-1)^2,(Table4[[#This Row],[Strength of Win]]-0)^2))</f>
        <v/>
      </c>
      <c r="P396" s="11"/>
    </row>
    <row r="397" spans="4:16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-1.4957350924899622</v>
      </c>
      <c r="H397" t="s">
        <v>40</v>
      </c>
      <c r="I397">
        <f>VLOOKUP(Table4[[#This Row],[Visitor]],'NHL Model'!$A$6:$B$38,2,FALSE)</f>
        <v>-6.0247860940930854E-2</v>
      </c>
      <c r="J397">
        <f>($B$1+Table4[[#This Row],[Home Differential]])-Table4[[#This Row],[Away Differential]]</f>
        <v>-1.2979438425766148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0.69943324254803851</v>
      </c>
      <c r="M397" t="str">
        <f>IF(OR((NHL2025_26Results[[#This Row],[Winning Team]]="")),"-",IF(Table4[[#This Row],[Predicted Winner]]=NHL2025_26Results[[#This Row],[Winning Team]],"YES","NO"))</f>
        <v>-</v>
      </c>
      <c r="N397" t="str">
        <f>IF(Table4[[#This Row],[Adjusted Correct]]="-", "",IF(Table4[[#This Row],[Adjusted Correct]]="YES",(Table4[[#This Row],[Strength of Win]]-1)^2,(Table4[[#This Row],[Strength of Win]]-0)^2))</f>
        <v/>
      </c>
      <c r="P397" s="11"/>
    </row>
    <row r="398" spans="4:16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-0.49835870184734621</v>
      </c>
      <c r="H398" t="s">
        <v>37</v>
      </c>
      <c r="I398">
        <f>VLOOKUP(Table4[[#This Row],[Visitor]],'NHL Model'!$A$6:$B$38,2,FALSE)</f>
        <v>7.1667377873261273E-2</v>
      </c>
      <c r="J398">
        <f>($B$1+Table4[[#This Row],[Home Differential]])-Table4[[#This Row],[Away Differential]]</f>
        <v>-0.43248269074819112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0.58399956550858689</v>
      </c>
      <c r="M398" t="str">
        <f>IF(OR((NHL2025_26Results[[#This Row],[Winning Team]]="")),"-",IF(Table4[[#This Row],[Predicted Winner]]=NHL2025_26Results[[#This Row],[Winning Team]],"YES","NO"))</f>
        <v>-</v>
      </c>
      <c r="N398" t="str">
        <f>IF(Table4[[#This Row],[Adjusted Correct]]="-", "",IF(Table4[[#This Row],[Adjusted Correct]]="YES",(Table4[[#This Row],[Strength of Win]]-1)^2,(Table4[[#This Row],[Strength of Win]]-0)^2))</f>
        <v/>
      </c>
      <c r="P398" s="11"/>
    </row>
    <row r="399" spans="4:16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-0.2090057419115289</v>
      </c>
      <c r="H399" t="s">
        <v>19</v>
      </c>
      <c r="I399">
        <f>VLOOKUP(Table4[[#This Row],[Visitor]],'NHL Model'!$A$6:$B$38,2,FALSE)</f>
        <v>-0.93520311342823803</v>
      </c>
      <c r="J399">
        <f>($B$1+Table4[[#This Row],[Home Differential]])-Table4[[#This Row],[Away Differential]]</f>
        <v>0.86374076048912551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0.6552042142867649</v>
      </c>
      <c r="M399" t="str">
        <f>IF(OR((NHL2025_26Results[[#This Row],[Winning Team]]="")),"-",IF(Table4[[#This Row],[Predicted Winner]]=NHL2025_26Results[[#This Row],[Winning Team]],"YES","NO"))</f>
        <v>-</v>
      </c>
      <c r="N399" t="str">
        <f>IF(Table4[[#This Row],[Adjusted Correct]]="-", "",IF(Table4[[#This Row],[Adjusted Correct]]="YES",(Table4[[#This Row],[Strength of Win]]-1)^2,(Table4[[#This Row],[Strength of Win]]-0)^2))</f>
        <v/>
      </c>
      <c r="P399" s="11"/>
    </row>
    <row r="400" spans="4:16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-0.45007023285116615</v>
      </c>
      <c r="H400" t="s">
        <v>17</v>
      </c>
      <c r="I400">
        <f>VLOOKUP(Table4[[#This Row],[Visitor]],'NHL Model'!$A$6:$B$38,2,FALSE)</f>
        <v>-0.87263145033954281</v>
      </c>
      <c r="J400">
        <f>($B$1+Table4[[#This Row],[Home Differential]])-Table4[[#This Row],[Away Differential]]</f>
        <v>0.56010460646079308</v>
      </c>
      <c r="K400" t="str">
        <f>IF(Table4[[#This Row],[HomeIce Differential]]&gt;0,Table4[[#This Row],[Home]],Table4[[#This Row],[Visitor]])</f>
        <v>Seattle Kraken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0.64074349718093215</v>
      </c>
      <c r="M400" t="str">
        <f>IF(OR((NHL2025_26Results[[#This Row],[Winning Team]]="")),"-",IF(Table4[[#This Row],[Predicted Winner]]=NHL2025_26Results[[#This Row],[Winning Team]],"YES","NO"))</f>
        <v>-</v>
      </c>
      <c r="N400" t="str">
        <f>IF(Table4[[#This Row],[Adjusted Correct]]="-", "",IF(Table4[[#This Row],[Adjusted Correct]]="YES",(Table4[[#This Row],[Strength of Win]]-1)^2,(Table4[[#This Row],[Strength of Win]]-0)^2))</f>
        <v/>
      </c>
      <c r="P400" s="11"/>
    </row>
    <row r="401" spans="4:16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-1.5569791149906038</v>
      </c>
      <c r="H401" t="s">
        <v>55</v>
      </c>
      <c r="I401">
        <f>VLOOKUP(Table4[[#This Row],[Visitor]],'NHL Model'!$A$6:$B$38,2,FALSE)</f>
        <v>-0.30969050963205513</v>
      </c>
      <c r="J401">
        <f>($B$1+Table4[[#This Row],[Home Differential]])-Table4[[#This Row],[Away Differential]]</f>
        <v>-1.1097452163861323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0.60801585332138541</v>
      </c>
      <c r="M401" t="str">
        <f>IF(OR((NHL2025_26Results[[#This Row],[Winning Team]]="")),"-",IF(Table4[[#This Row],[Predicted Winner]]=NHL2025_26Results[[#This Row],[Winning Team]],"YES","NO"))</f>
        <v>-</v>
      </c>
      <c r="N401" t="str">
        <f>IF(Table4[[#This Row],[Adjusted Correct]]="-", "",IF(Table4[[#This Row],[Adjusted Correct]]="YES",(Table4[[#This Row],[Strength of Win]]-1)^2,(Table4[[#This Row],[Strength of Win]]-0)^2))</f>
        <v/>
      </c>
      <c r="P401" s="11"/>
    </row>
    <row r="402" spans="4:16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0.12073374225454764</v>
      </c>
      <c r="H402" t="s">
        <v>33</v>
      </c>
      <c r="I402">
        <f>VLOOKUP(Table4[[#This Row],[Visitor]],'NHL Model'!$A$6:$B$38,2,FALSE)</f>
        <v>-0.36178381286707545</v>
      </c>
      <c r="J402">
        <f>($B$1+Table4[[#This Row],[Home Differential]])-Table4[[#This Row],[Away Differential]]</f>
        <v>0.62006094409403945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0.62270263155557404</v>
      </c>
      <c r="M402" t="str">
        <f>IF(OR((NHL2025_26Results[[#This Row],[Winning Team]]="")),"-",IF(Table4[[#This Row],[Predicted Winner]]=NHL2025_26Results[[#This Row],[Winning Team]],"YES","NO"))</f>
        <v>-</v>
      </c>
      <c r="N402" t="str">
        <f>IF(Table4[[#This Row],[Adjusted Correct]]="-", "",IF(Table4[[#This Row],[Adjusted Correct]]="YES",(Table4[[#This Row],[Strength of Win]]-1)^2,(Table4[[#This Row],[Strength of Win]]-0)^2))</f>
        <v/>
      </c>
      <c r="P402" s="11"/>
    </row>
    <row r="403" spans="4:16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0.42515174825138019</v>
      </c>
      <c r="H403" t="s">
        <v>16</v>
      </c>
      <c r="I403">
        <f>VLOOKUP(Table4[[#This Row],[Visitor]],'NHL Model'!$A$6:$B$38,2,FALSE)</f>
        <v>-1.0952038865534519</v>
      </c>
      <c r="J403">
        <f>($B$1+Table4[[#This Row],[Home Differential]])-Table4[[#This Row],[Away Differential]]</f>
        <v>1.6578990237772484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0.81284361455106613</v>
      </c>
      <c r="M403" t="str">
        <f>IF(OR((NHL2025_26Results[[#This Row],[Winning Team]]="")),"-",IF(Table4[[#This Row],[Predicted Winner]]=NHL2025_26Results[[#This Row],[Winning Team]],"YES","NO"))</f>
        <v>-</v>
      </c>
      <c r="N403" t="str">
        <f>IF(Table4[[#This Row],[Adjusted Correct]]="-", "",IF(Table4[[#This Row],[Adjusted Correct]]="YES",(Table4[[#This Row],[Strength of Win]]-1)^2,(Table4[[#This Row],[Strength of Win]]-0)^2))</f>
        <v/>
      </c>
      <c r="P403" s="11"/>
    </row>
    <row r="404" spans="4:16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-0.15263505358797036</v>
      </c>
      <c r="H404" t="s">
        <v>31</v>
      </c>
      <c r="I404">
        <f>VLOOKUP(Table4[[#This Row],[Visitor]],'NHL Model'!$A$6:$B$38,2,FALSE)</f>
        <v>0.34329638981067145</v>
      </c>
      <c r="J404">
        <f>($B$1+Table4[[#This Row],[Home Differential]])-Table4[[#This Row],[Away Differential]]</f>
        <v>-0.35838805442622546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0.52857039531836569</v>
      </c>
      <c r="M404" t="str">
        <f>IF(OR((NHL2025_26Results[[#This Row],[Winning Team]]="")),"-",IF(Table4[[#This Row],[Predicted Winner]]=NHL2025_26Results[[#This Row],[Winning Team]],"YES","NO"))</f>
        <v>-</v>
      </c>
      <c r="N404" t="str">
        <f>IF(Table4[[#This Row],[Adjusted Correct]]="-", "",IF(Table4[[#This Row],[Adjusted Correct]]="YES",(Table4[[#This Row],[Strength of Win]]-1)^2,(Table4[[#This Row],[Strength of Win]]-0)^2))</f>
        <v/>
      </c>
      <c r="P404" s="11"/>
    </row>
    <row r="405" spans="4:16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4.3828122498436855E-3</v>
      </c>
      <c r="H405" t="s">
        <v>36</v>
      </c>
      <c r="I405">
        <f>VLOOKUP(Table4[[#This Row],[Visitor]],'NHL Model'!$A$6:$B$38,2,FALSE)</f>
        <v>-0.31751962084606655</v>
      </c>
      <c r="J405">
        <f>($B$1+Table4[[#This Row],[Home Differential]])-Table4[[#This Row],[Away Differential]]</f>
        <v>0.45944582206832663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0.58301920121521522</v>
      </c>
      <c r="M405" t="str">
        <f>IF(OR((NHL2025_26Results[[#This Row],[Winning Team]]="")),"-",IF(Table4[[#This Row],[Predicted Winner]]=NHL2025_26Results[[#This Row],[Winning Team]],"YES","NO"))</f>
        <v>-</v>
      </c>
      <c r="N405" t="str">
        <f>IF(Table4[[#This Row],[Adjusted Correct]]="-", "",IF(Table4[[#This Row],[Adjusted Correct]]="YES",(Table4[[#This Row],[Strength of Win]]-1)^2,(Table4[[#This Row],[Strength of Win]]-0)^2))</f>
        <v/>
      </c>
      <c r="P405" s="11"/>
    </row>
    <row r="406" spans="4:16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3.838472305373858E-3</v>
      </c>
      <c r="H406" t="s">
        <v>22</v>
      </c>
      <c r="I406">
        <f>VLOOKUP(Table4[[#This Row],[Visitor]],'NHL Model'!$A$6:$B$38,2,FALSE)</f>
        <v>6.4811420118814619E-2</v>
      </c>
      <c r="J406">
        <f>($B$1+Table4[[#This Row],[Home Differential]])-Table4[[#This Row],[Away Differential]]</f>
        <v>7.6570441158975586E-2</v>
      </c>
      <c r="K406" t="str">
        <f>IF(Table4[[#This Row],[HomeIce Differential]]&gt;0,Table4[[#This Row],[Home]],Table4[[#This Row],[Visitor]])</f>
        <v>New York Islanders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0.52944359918488115</v>
      </c>
      <c r="M406" t="str">
        <f>IF(OR((NHL2025_26Results[[#This Row],[Winning Team]]="")),"-",IF(Table4[[#This Row],[Predicted Winner]]=NHL2025_26Results[[#This Row],[Winning Team]],"YES","NO"))</f>
        <v>-</v>
      </c>
      <c r="N406" t="str">
        <f>IF(Table4[[#This Row],[Adjusted Correct]]="-", "",IF(Table4[[#This Row],[Adjusted Correct]]="YES",(Table4[[#This Row],[Strength of Win]]-1)^2,(Table4[[#This Row],[Strength of Win]]-0)^2))</f>
        <v/>
      </c>
      <c r="P406" s="11"/>
    </row>
    <row r="407" spans="4:16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-0.51535072045188635</v>
      </c>
      <c r="H407" t="s">
        <v>40</v>
      </c>
      <c r="I407">
        <f>VLOOKUP(Table4[[#This Row],[Visitor]],'NHL Model'!$A$6:$B$38,2,FALSE)</f>
        <v>-6.0247860940930854E-2</v>
      </c>
      <c r="J407">
        <f>($B$1+Table4[[#This Row],[Home Differential]])-Table4[[#This Row],[Away Differential]]</f>
        <v>-0.31755947053853911</v>
      </c>
      <c r="K407" t="str">
        <f>IF(Table4[[#This Row],[HomeIce Differential]]&gt;0,Table4[[#This Row],[Home]],Table4[[#This Row],[Visitor]])</f>
        <v>Winnipeg Jets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0.55455064222560868</v>
      </c>
      <c r="M407" t="str">
        <f>IF(OR((NHL2025_26Results[[#This Row],[Winning Team]]="")),"-",IF(Table4[[#This Row],[Predicted Winner]]=NHL2025_26Results[[#This Row],[Winning Team]],"YES","NO"))</f>
        <v>-</v>
      </c>
      <c r="N407" t="str">
        <f>IF(Table4[[#This Row],[Adjusted Correct]]="-", "",IF(Table4[[#This Row],[Adjusted Correct]]="YES",(Table4[[#This Row],[Strength of Win]]-1)^2,(Table4[[#This Row],[Strength of Win]]-0)^2))</f>
        <v/>
      </c>
      <c r="P407" s="11"/>
    </row>
    <row r="408" spans="4:16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-1.8032585202533785E-2</v>
      </c>
      <c r="H408" t="s">
        <v>28</v>
      </c>
      <c r="I408">
        <f>VLOOKUP(Table4[[#This Row],[Visitor]],'NHL Model'!$A$6:$B$38,2,FALSE)</f>
        <v>-0.59418600019583889</v>
      </c>
      <c r="J408">
        <f>($B$1+Table4[[#This Row],[Home Differential]])-Table4[[#This Row],[Away Differential]]</f>
        <v>0.71369680396572144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0.74986787585396386</v>
      </c>
      <c r="M408" t="str">
        <f>IF(OR((NHL2025_26Results[[#This Row],[Winning Team]]="")),"-",IF(Table4[[#This Row],[Predicted Winner]]=NHL2025_26Results[[#This Row],[Winning Team]],"YES","NO"))</f>
        <v>-</v>
      </c>
      <c r="N408" t="str">
        <f>IF(Table4[[#This Row],[Adjusted Correct]]="-", "",IF(Table4[[#This Row],[Adjusted Correct]]="YES",(Table4[[#This Row],[Strength of Win]]-1)^2,(Table4[[#This Row],[Strength of Win]]-0)^2))</f>
        <v/>
      </c>
      <c r="P408" s="11"/>
    </row>
    <row r="409" spans="4:16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-0.42203126246971279</v>
      </c>
      <c r="H409" t="s">
        <v>14</v>
      </c>
      <c r="I409">
        <f>VLOOKUP(Table4[[#This Row],[Visitor]],'NHL Model'!$A$6:$B$38,2,FALSE)</f>
        <v>-0.2090057419115289</v>
      </c>
      <c r="J409">
        <f>($B$1+Table4[[#This Row],[Home Differential]])-Table4[[#This Row],[Away Differential]]</f>
        <v>-7.5482131585767526E-2</v>
      </c>
      <c r="K409" t="str">
        <f>IF(Table4[[#This Row],[HomeIce Differential]]&gt;0,Table4[[#This Row],[Home]],Table4[[#This Row],[Visitor]])</f>
        <v>Pittsburgh Penguins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0.43782160734065073</v>
      </c>
      <c r="M409" t="str">
        <f>IF(OR((NHL2025_26Results[[#This Row],[Winning Team]]="")),"-",IF(Table4[[#This Row],[Predicted Winner]]=NHL2025_26Results[[#This Row],[Winning Team]],"YES","NO"))</f>
        <v>-</v>
      </c>
      <c r="N409" t="str">
        <f>IF(Table4[[#This Row],[Adjusted Correct]]="-", "",IF(Table4[[#This Row],[Adjusted Correct]]="YES",(Table4[[#This Row],[Strength of Win]]-1)^2,(Table4[[#This Row],[Strength of Win]]-0)^2))</f>
        <v/>
      </c>
      <c r="P409" s="11"/>
    </row>
    <row r="410" spans="4:16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-0.36178381286707545</v>
      </c>
      <c r="H410" t="s">
        <v>55</v>
      </c>
      <c r="I410">
        <f>VLOOKUP(Table4[[#This Row],[Visitor]],'NHL Model'!$A$6:$B$38,2,FALSE)</f>
        <v>-0.30969050963205513</v>
      </c>
      <c r="J410">
        <f>($B$1+Table4[[#This Row],[Home Differential]])-Table4[[#This Row],[Away Differential]]</f>
        <v>8.5450085737396042E-2</v>
      </c>
      <c r="K410" t="str">
        <f>IF(Table4[[#This Row],[HomeIce Differential]]&gt;0,Table4[[#This Row],[Home]],Table4[[#This Row],[Visitor]])</f>
        <v>San Jose Sharks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0.55139718123588233</v>
      </c>
      <c r="M410" t="str">
        <f>IF(OR((NHL2025_26Results[[#This Row],[Winning Team]]="")),"-",IF(Table4[[#This Row],[Predicted Winner]]=NHL2025_26Results[[#This Row],[Winning Team]],"YES","NO"))</f>
        <v>-</v>
      </c>
      <c r="N410" t="str">
        <f>IF(Table4[[#This Row],[Adjusted Correct]]="-", "",IF(Table4[[#This Row],[Adjusted Correct]]="YES",(Table4[[#This Row],[Strength of Win]]-1)^2,(Table4[[#This Row],[Strength of Win]]-0)^2))</f>
        <v/>
      </c>
      <c r="P410" s="11"/>
    </row>
    <row r="411" spans="4:16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-1.5569791149906038</v>
      </c>
      <c r="H411" t="s">
        <v>31</v>
      </c>
      <c r="I411">
        <f>VLOOKUP(Table4[[#This Row],[Visitor]],'NHL Model'!$A$6:$B$38,2,FALSE)</f>
        <v>0.34329638981067145</v>
      </c>
      <c r="J411">
        <f>($B$1+Table4[[#This Row],[Home Differential]])-Table4[[#This Row],[Away Differential]]</f>
        <v>-1.7627321158288587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0.7158793213097211</v>
      </c>
      <c r="M411" t="str">
        <f>IF(OR((NHL2025_26Results[[#This Row],[Winning Team]]="")),"-",IF(Table4[[#This Row],[Predicted Winner]]=NHL2025_26Results[[#This Row],[Winning Team]],"YES","NO"))</f>
        <v>-</v>
      </c>
      <c r="N411" t="str">
        <f>IF(Table4[[#This Row],[Adjusted Correct]]="-", "",IF(Table4[[#This Row],[Adjusted Correct]]="YES",(Table4[[#This Row],[Strength of Win]]-1)^2,(Table4[[#This Row],[Strength of Win]]-0)^2))</f>
        <v/>
      </c>
      <c r="P411" s="11"/>
    </row>
    <row r="412" spans="4:16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1.4458345276269271</v>
      </c>
      <c r="H412" t="s">
        <v>38</v>
      </c>
      <c r="I412">
        <f>VLOOKUP(Table4[[#This Row],[Visitor]],'NHL Model'!$A$6:$B$38,2,FALSE)</f>
        <v>-1.1236485959014608</v>
      </c>
      <c r="J412">
        <f>($B$1+Table4[[#This Row],[Home Differential]])-Table4[[#This Row],[Away Differential]]</f>
        <v>2.7070265125008044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0.97644302167019303</v>
      </c>
      <c r="M412" t="str">
        <f>IF(OR((NHL2025_26Results[[#This Row],[Winning Team]]="")),"-",IF(Table4[[#This Row],[Predicted Winner]]=NHL2025_26Results[[#This Row],[Winning Team]],"YES","NO"))</f>
        <v>-</v>
      </c>
      <c r="N412" t="str">
        <f>IF(Table4[[#This Row],[Adjusted Correct]]="-", "",IF(Table4[[#This Row],[Adjusted Correct]]="YES",(Table4[[#This Row],[Strength of Win]]-1)^2,(Table4[[#This Row],[Strength of Win]]-0)^2))</f>
        <v/>
      </c>
      <c r="P412" s="11"/>
    </row>
    <row r="413" spans="4:16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-0.66335717753705836</v>
      </c>
      <c r="H413" t="s">
        <v>21</v>
      </c>
      <c r="I413">
        <f>VLOOKUP(Table4[[#This Row],[Visitor]],'NHL Model'!$A$6:$B$38,2,FALSE)</f>
        <v>-0.14464931395309213</v>
      </c>
      <c r="J413">
        <f>($B$1+Table4[[#This Row],[Home Differential]])-Table4[[#This Row],[Away Differential]]</f>
        <v>-0.3811644746115499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0.47859297736338796</v>
      </c>
      <c r="M413" t="str">
        <f>IF(OR((NHL2025_26Results[[#This Row],[Winning Team]]="")),"-",IF(Table4[[#This Row],[Predicted Winner]]=NHL2025_26Results[[#This Row],[Winning Team]],"YES","NO"))</f>
        <v>-</v>
      </c>
      <c r="N413" t="str">
        <f>IF(Table4[[#This Row],[Adjusted Correct]]="-", "",IF(Table4[[#This Row],[Adjusted Correct]]="YES",(Table4[[#This Row],[Strength of Win]]-1)^2,(Table4[[#This Row],[Strength of Win]]-0)^2))</f>
        <v/>
      </c>
      <c r="P413" s="11"/>
    </row>
    <row r="414" spans="4:16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-0.87263145033954281</v>
      </c>
      <c r="H414" t="s">
        <v>34</v>
      </c>
      <c r="I414">
        <f>VLOOKUP(Table4[[#This Row],[Visitor]],'NHL Model'!$A$6:$B$38,2,FALSE)</f>
        <v>-0.16358905079701039</v>
      </c>
      <c r="J414">
        <f>($B$1+Table4[[#This Row],[Home Differential]])-Table4[[#This Row],[Away Differential]]</f>
        <v>-0.57149901057011609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0.52066997123457748</v>
      </c>
      <c r="M414" t="str">
        <f>IF(OR((NHL2025_26Results[[#This Row],[Winning Team]]="")),"-",IF(Table4[[#This Row],[Predicted Winner]]=NHL2025_26Results[[#This Row],[Winning Team]],"YES","NO"))</f>
        <v>-</v>
      </c>
      <c r="N414" t="str">
        <f>IF(Table4[[#This Row],[Adjusted Correct]]="-", "",IF(Table4[[#This Row],[Adjusted Correct]]="YES",(Table4[[#This Row],[Strength of Win]]-1)^2,(Table4[[#This Row],[Strength of Win]]-0)^2))</f>
        <v/>
      </c>
      <c r="P414" s="11"/>
    </row>
    <row r="415" spans="4:16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-0.37836939589441088</v>
      </c>
      <c r="H415" t="s">
        <v>19</v>
      </c>
      <c r="I415">
        <f>VLOOKUP(Table4[[#This Row],[Visitor]],'NHL Model'!$A$6:$B$38,2,FALSE)</f>
        <v>-0.93520311342823803</v>
      </c>
      <c r="J415">
        <f>($B$1+Table4[[#This Row],[Home Differential]])-Table4[[#This Row],[Away Differential]]</f>
        <v>0.69437710650624351</v>
      </c>
      <c r="K415" t="str">
        <f>IF(Table4[[#This Row],[HomeIce Differential]]&gt;0,Table4[[#This Row],[Home]],Table4[[#This Row],[Visitor]])</f>
        <v>Florida Panthers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0.68433076613063903</v>
      </c>
      <c r="M415" t="str">
        <f>IF(OR((NHL2025_26Results[[#This Row],[Winning Team]]="")),"-",IF(Table4[[#This Row],[Predicted Winner]]=NHL2025_26Results[[#This Row],[Winning Team]],"YES","NO"))</f>
        <v>-</v>
      </c>
      <c r="N415" t="str">
        <f>IF(Table4[[#This Row],[Adjusted Correct]]="-", "",IF(Table4[[#This Row],[Adjusted Correct]]="YES",(Table4[[#This Row],[Strength of Win]]-1)^2,(Table4[[#This Row],[Strength of Win]]-0)^2))</f>
        <v/>
      </c>
      <c r="P415" s="11"/>
    </row>
    <row r="416" spans="4:16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-0.36134162888396865</v>
      </c>
      <c r="H416" t="s">
        <v>22</v>
      </c>
      <c r="I416">
        <f>VLOOKUP(Table4[[#This Row],[Visitor]],'NHL Model'!$A$6:$B$38,2,FALSE)</f>
        <v>6.4811420118814619E-2</v>
      </c>
      <c r="J416">
        <f>($B$1+Table4[[#This Row],[Home Differential]])-Table4[[#This Row],[Away Differential]]</f>
        <v>-0.28860966003036692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0.51926347654332183</v>
      </c>
      <c r="M416" t="str">
        <f>IF(OR((NHL2025_26Results[[#This Row],[Winning Team]]="")),"-",IF(Table4[[#This Row],[Predicted Winner]]=NHL2025_26Results[[#This Row],[Winning Team]],"YES","NO"))</f>
        <v>-</v>
      </c>
      <c r="N416" t="str">
        <f>IF(Table4[[#This Row],[Adjusted Correct]]="-", "",IF(Table4[[#This Row],[Adjusted Correct]]="YES",(Table4[[#This Row],[Strength of Win]]-1)^2,(Table4[[#This Row],[Strength of Win]]-0)^2))</f>
        <v/>
      </c>
      <c r="P416" s="11"/>
    </row>
    <row r="417" spans="4:16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-0.74754136228530599</v>
      </c>
      <c r="H417" t="s">
        <v>36</v>
      </c>
      <c r="I417">
        <f>VLOOKUP(Table4[[#This Row],[Visitor]],'NHL Model'!$A$6:$B$38,2,FALSE)</f>
        <v>-0.31751962084606655</v>
      </c>
      <c r="J417">
        <f>($B$1+Table4[[#This Row],[Home Differential]])-Table4[[#This Row],[Away Differential]]</f>
        <v>-0.29247835246682308</v>
      </c>
      <c r="K417" t="str">
        <f>IF(Table4[[#This Row],[HomeIce Differential]]&gt;0,Table4[[#This Row],[Home]],Table4[[#This Row],[Visitor]])</f>
        <v>Ottawa Senators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0.51977947589503315</v>
      </c>
      <c r="M417" t="str">
        <f>IF(OR((NHL2025_26Results[[#This Row],[Winning Team]]="")),"-",IF(Table4[[#This Row],[Predicted Winner]]=NHL2025_26Results[[#This Row],[Winning Team]],"YES","NO"))</f>
        <v>-</v>
      </c>
      <c r="N417" t="str">
        <f>IF(Table4[[#This Row],[Adjusted Correct]]="-", "",IF(Table4[[#This Row],[Adjusted Correct]]="YES",(Table4[[#This Row],[Strength of Win]]-1)^2,(Table4[[#This Row],[Strength of Win]]-0)^2))</f>
        <v/>
      </c>
      <c r="P417" s="11"/>
    </row>
    <row r="418" spans="4:16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-1.4957350924899622</v>
      </c>
      <c r="H418" t="s">
        <v>16</v>
      </c>
      <c r="I418">
        <f>VLOOKUP(Table4[[#This Row],[Visitor]],'NHL Model'!$A$6:$B$38,2,FALSE)</f>
        <v>-1.0952038865534519</v>
      </c>
      <c r="J418">
        <f>($B$1+Table4[[#This Row],[Home Differential]])-Table4[[#This Row],[Away Differential]]</f>
        <v>-0.26298781696409379</v>
      </c>
      <c r="K418" t="str">
        <f>IF(Table4[[#This Row],[HomeIce Differential]]&gt;0,Table4[[#This Row],[Home]],Table4[[#This Row],[Visitor]])</f>
        <v>Calgary Flames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0.49507684968251697</v>
      </c>
      <c r="M418" t="str">
        <f>IF(OR((NHL2025_26Results[[#This Row],[Winning Team]]="")),"-",IF(Table4[[#This Row],[Predicted Winner]]=NHL2025_26Results[[#This Row],[Winning Team]],"YES","NO"))</f>
        <v>-</v>
      </c>
      <c r="N418" t="str">
        <f>IF(Table4[[#This Row],[Adjusted Correct]]="-", "",IF(Table4[[#This Row],[Adjusted Correct]]="YES",(Table4[[#This Row],[Strength of Win]]-1)^2,(Table4[[#This Row],[Strength of Win]]-0)^2))</f>
        <v/>
      </c>
      <c r="P418" s="11"/>
    </row>
    <row r="419" spans="4:16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3.838472305373858E-3</v>
      </c>
      <c r="H419" t="s">
        <v>37</v>
      </c>
      <c r="I419">
        <f>VLOOKUP(Table4[[#This Row],[Visitor]],'NHL Model'!$A$6:$B$38,2,FALSE)</f>
        <v>7.1667377873261273E-2</v>
      </c>
      <c r="J419">
        <f>($B$1+Table4[[#This Row],[Home Differential]])-Table4[[#This Row],[Away Differential]]</f>
        <v>6.9714483404528932E-2</v>
      </c>
      <c r="K419" t="str">
        <f>IF(Table4[[#This Row],[HomeIce Differential]]&gt;0,Table4[[#This Row],[Home]],Table4[[#This Row],[Visitor]])</f>
        <v>New York Islanders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0.48298260496642342</v>
      </c>
      <c r="M419" t="str">
        <f>IF(OR((NHL2025_26Results[[#This Row],[Winning Team]]="")),"-",IF(Table4[[#This Row],[Predicted Winner]]=NHL2025_26Results[[#This Row],[Winning Team]],"YES","NO"))</f>
        <v>-</v>
      </c>
      <c r="N419" t="str">
        <f>IF(Table4[[#This Row],[Adjusted Correct]]="-", "",IF(Table4[[#This Row],[Adjusted Correct]]="YES",(Table4[[#This Row],[Strength of Win]]-1)^2,(Table4[[#This Row],[Strength of Win]]-0)^2))</f>
        <v/>
      </c>
      <c r="P419" s="11"/>
    </row>
    <row r="420" spans="4:16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-0.49835870184734621</v>
      </c>
      <c r="H420" t="s">
        <v>39</v>
      </c>
      <c r="I420">
        <f>VLOOKUP(Table4[[#This Row],[Visitor]],'NHL Model'!$A$6:$B$38,2,FALSE)</f>
        <v>4.3828122498436855E-3</v>
      </c>
      <c r="J420">
        <f>($B$1+Table4[[#This Row],[Home Differential]])-Table4[[#This Row],[Away Differential]]</f>
        <v>-0.36519812512477351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0.58966774866235783</v>
      </c>
      <c r="M420" t="str">
        <f>IF(OR((NHL2025_26Results[[#This Row],[Winning Team]]="")),"-",IF(Table4[[#This Row],[Predicted Winner]]=NHL2025_26Results[[#This Row],[Winning Team]],"YES","NO"))</f>
        <v>-</v>
      </c>
      <c r="N420" t="str">
        <f>IF(Table4[[#This Row],[Adjusted Correct]]="-", "",IF(Table4[[#This Row],[Adjusted Correct]]="YES",(Table4[[#This Row],[Strength of Win]]-1)^2,(Table4[[#This Row],[Strength of Win]]-0)^2))</f>
        <v/>
      </c>
      <c r="P420" s="11"/>
    </row>
    <row r="421" spans="4:16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0.12073374225454764</v>
      </c>
      <c r="H421" t="s">
        <v>10</v>
      </c>
      <c r="I421">
        <f>VLOOKUP(Table4[[#This Row],[Visitor]],'NHL Model'!$A$6:$B$38,2,FALSE)</f>
        <v>-0.15263505358797036</v>
      </c>
      <c r="J421">
        <f>($B$1+Table4[[#This Row],[Home Differential]])-Table4[[#This Row],[Away Differential]]</f>
        <v>0.41091218481493436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0.59480674012148627</v>
      </c>
      <c r="M421" t="str">
        <f>IF(OR((NHL2025_26Results[[#This Row],[Winning Team]]="")),"-",IF(Table4[[#This Row],[Predicted Winner]]=NHL2025_26Results[[#This Row],[Winning Team]],"YES","NO"))</f>
        <v>-</v>
      </c>
      <c r="N421" t="str">
        <f>IF(Table4[[#This Row],[Adjusted Correct]]="-", "",IF(Table4[[#This Row],[Adjusted Correct]]="YES",(Table4[[#This Row],[Strength of Win]]-1)^2,(Table4[[#This Row],[Strength of Win]]-0)^2))</f>
        <v/>
      </c>
      <c r="P421" s="11"/>
    </row>
    <row r="422" spans="4:16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0.34329638981067145</v>
      </c>
      <c r="H422" t="s">
        <v>55</v>
      </c>
      <c r="I422">
        <f>VLOOKUP(Table4[[#This Row],[Visitor]],'NHL Model'!$A$6:$B$38,2,FALSE)</f>
        <v>-0.30969050963205513</v>
      </c>
      <c r="J422">
        <f>($B$1+Table4[[#This Row],[Home Differential]])-Table4[[#This Row],[Away Differential]]</f>
        <v>0.79053028841514295</v>
      </c>
      <c r="K422" t="str">
        <f>IF(Table4[[#This Row],[HomeIce Differential]]&gt;0,Table4[[#This Row],[Home]],Table4[[#This Row],[Visitor]])</f>
        <v>Anaheim Ducks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0.74036016598454246</v>
      </c>
      <c r="M422" t="str">
        <f>IF(OR((NHL2025_26Results[[#This Row],[Winning Team]]="")),"-",IF(Table4[[#This Row],[Predicted Winner]]=NHL2025_26Results[[#This Row],[Winning Team]],"YES","NO"))</f>
        <v>-</v>
      </c>
      <c r="N422" t="str">
        <f>IF(Table4[[#This Row],[Adjusted Correct]]="-", "",IF(Table4[[#This Row],[Adjusted Correct]]="YES",(Table4[[#This Row],[Strength of Win]]-1)^2,(Table4[[#This Row],[Strength of Win]]-0)^2))</f>
        <v/>
      </c>
      <c r="P422" s="11"/>
    </row>
    <row r="423" spans="4:16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-0.74754136228530599</v>
      </c>
      <c r="H423" t="s">
        <v>40</v>
      </c>
      <c r="I423">
        <f>VLOOKUP(Table4[[#This Row],[Visitor]],'NHL Model'!$A$6:$B$38,2,FALSE)</f>
        <v>-6.0247860940930854E-2</v>
      </c>
      <c r="J423">
        <f>($B$1+Table4[[#This Row],[Home Differential]])-Table4[[#This Row],[Away Differential]]</f>
        <v>-0.54975011237195881</v>
      </c>
      <c r="K423" t="str">
        <f>IF(Table4[[#This Row],[HomeIce Differential]]&gt;0,Table4[[#This Row],[Home]],Table4[[#This Row],[Visitor]])</f>
        <v>Winnipeg Jets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0.59964048670576486</v>
      </c>
      <c r="M423" t="str">
        <f>IF(OR((NHL2025_26Results[[#This Row],[Winning Team]]="")),"-",IF(Table4[[#This Row],[Predicted Winner]]=NHL2025_26Results[[#This Row],[Winning Team]],"YES","NO"))</f>
        <v>-</v>
      </c>
      <c r="N423" t="str">
        <f>IF(Table4[[#This Row],[Adjusted Correct]]="-", "",IF(Table4[[#This Row],[Adjusted Correct]]="YES",(Table4[[#This Row],[Strength of Win]]-1)^2,(Table4[[#This Row],[Strength of Win]]-0)^2))</f>
        <v/>
      </c>
      <c r="P423" s="11"/>
    </row>
    <row r="424" spans="4:16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-1.8032585202533785E-2</v>
      </c>
      <c r="H424" t="s">
        <v>39</v>
      </c>
      <c r="I424">
        <f>VLOOKUP(Table4[[#This Row],[Visitor]],'NHL Model'!$A$6:$B$38,2,FALSE)</f>
        <v>4.3828122498436855E-3</v>
      </c>
      <c r="J424">
        <f>($B$1+Table4[[#This Row],[Home Differential]])-Table4[[#This Row],[Away Differential]]</f>
        <v>0.11512799152003889</v>
      </c>
      <c r="K424" t="str">
        <f>IF(Table4[[#This Row],[HomeIce Differential]]&gt;0,Table4[[#This Row],[Home]],Table4[[#This Row],[Visitor]])</f>
        <v>New Jersey Devils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0.59430293621661279</v>
      </c>
      <c r="M424" t="str">
        <f>IF(OR((NHL2025_26Results[[#This Row],[Winning Team]]="")),"-",IF(Table4[[#This Row],[Predicted Winner]]=NHL2025_26Results[[#This Row],[Winning Team]],"YES","NO"))</f>
        <v>-</v>
      </c>
      <c r="N424" t="str">
        <f>IF(Table4[[#This Row],[Adjusted Correct]]="-", "",IF(Table4[[#This Row],[Adjusted Correct]]="YES",(Table4[[#This Row],[Strength of Win]]-1)^2,(Table4[[#This Row],[Strength of Win]]-0)^2))</f>
        <v/>
      </c>
      <c r="P424" s="11"/>
    </row>
    <row r="425" spans="4:16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-0.42203126246971279</v>
      </c>
      <c r="H425" t="s">
        <v>23</v>
      </c>
      <c r="I425">
        <f>VLOOKUP(Table4[[#This Row],[Visitor]],'NHL Model'!$A$6:$B$38,2,FALSE)</f>
        <v>-0.51535072045188635</v>
      </c>
      <c r="J425">
        <f>($B$1+Table4[[#This Row],[Home Differential]])-Table4[[#This Row],[Away Differential]]</f>
        <v>0.23086284695458992</v>
      </c>
      <c r="K425" t="str">
        <f>IF(Table4[[#This Row],[HomeIce Differential]]&gt;0,Table4[[#This Row],[Home]],Table4[[#This Row],[Visitor]])</f>
        <v>Philadelphia Flyers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0.60303814383451926</v>
      </c>
      <c r="M425" t="str">
        <f>IF(OR((NHL2025_26Results[[#This Row],[Winning Team]]="")),"-",IF(Table4[[#This Row],[Predicted Winner]]=NHL2025_26Results[[#This Row],[Winning Team]],"YES","NO"))</f>
        <v>-</v>
      </c>
      <c r="N425" t="str">
        <f>IF(Table4[[#This Row],[Adjusted Correct]]="-", "",IF(Table4[[#This Row],[Adjusted Correct]]="YES",(Table4[[#This Row],[Strength of Win]]-1)^2,(Table4[[#This Row],[Strength of Win]]-0)^2))</f>
        <v/>
      </c>
      <c r="P425" s="11"/>
    </row>
    <row r="426" spans="4:16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-0.36178381286707545</v>
      </c>
      <c r="H426" t="s">
        <v>22</v>
      </c>
      <c r="I426">
        <f>VLOOKUP(Table4[[#This Row],[Visitor]],'NHL Model'!$A$6:$B$38,2,FALSE)</f>
        <v>6.4811420118814619E-2</v>
      </c>
      <c r="J426">
        <f>($B$1+Table4[[#This Row],[Home Differential]])-Table4[[#This Row],[Away Differential]]</f>
        <v>-0.28905184401347372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0.51932245426056556</v>
      </c>
      <c r="M426" t="str">
        <f>IF(OR((NHL2025_26Results[[#This Row],[Winning Team]]="")),"-",IF(Table4[[#This Row],[Predicted Winner]]=NHL2025_26Results[[#This Row],[Winning Team]],"YES","NO"))</f>
        <v>-</v>
      </c>
      <c r="N426" t="str">
        <f>IF(Table4[[#This Row],[Adjusted Correct]]="-", "",IF(Table4[[#This Row],[Adjusted Correct]]="YES",(Table4[[#This Row],[Strength of Win]]-1)^2,(Table4[[#This Row],[Strength of Win]]-0)^2))</f>
        <v/>
      </c>
      <c r="P426" s="11"/>
    </row>
    <row r="427" spans="4:16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-0.14464931395309213</v>
      </c>
      <c r="H427" t="s">
        <v>35</v>
      </c>
      <c r="I427">
        <f>VLOOKUP(Table4[[#This Row],[Visitor]],'NHL Model'!$A$6:$B$38,2,FALSE)</f>
        <v>-1.5569791149906038</v>
      </c>
      <c r="J427">
        <f>($B$1+Table4[[#This Row],[Home Differential]])-Table4[[#This Row],[Away Differential]]</f>
        <v>1.5498731900099281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0.79843531998964079</v>
      </c>
      <c r="M427" t="str">
        <f>IF(OR((NHL2025_26Results[[#This Row],[Winning Team]]="")),"-",IF(Table4[[#This Row],[Predicted Winner]]=NHL2025_26Results[[#This Row],[Winning Team]],"YES","NO"))</f>
        <v>-</v>
      </c>
      <c r="N427" t="str">
        <f>IF(Table4[[#This Row],[Adjusted Correct]]="-", "",IF(Table4[[#This Row],[Adjusted Correct]]="YES",(Table4[[#This Row],[Strength of Win]]-1)^2,(Table4[[#This Row],[Strength of Win]]-0)^2))</f>
        <v/>
      </c>
      <c r="P427" s="11"/>
    </row>
    <row r="428" spans="4:16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0.42515174825138019</v>
      </c>
      <c r="H428" t="s">
        <v>19</v>
      </c>
      <c r="I428">
        <f>VLOOKUP(Table4[[#This Row],[Visitor]],'NHL Model'!$A$6:$B$38,2,FALSE)</f>
        <v>-0.93520311342823803</v>
      </c>
      <c r="J428">
        <f>($B$1+Table4[[#This Row],[Home Differential]])-Table4[[#This Row],[Away Differential]]</f>
        <v>1.4978982506520344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0.79150299454521278</v>
      </c>
      <c r="M428" t="str">
        <f>IF(OR((NHL2025_26Results[[#This Row],[Winning Team]]="")),"-",IF(Table4[[#This Row],[Predicted Winner]]=NHL2025_26Results[[#This Row],[Winning Team]],"YES","NO"))</f>
        <v>-</v>
      </c>
      <c r="N428" t="str">
        <f>IF(Table4[[#This Row],[Adjusted Correct]]="-", "",IF(Table4[[#This Row],[Adjusted Correct]]="YES",(Table4[[#This Row],[Strength of Win]]-1)^2,(Table4[[#This Row],[Strength of Win]]-0)^2))</f>
        <v/>
      </c>
      <c r="P428" s="11"/>
    </row>
    <row r="429" spans="4:16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-0.59418600019583889</v>
      </c>
      <c r="H429" t="s">
        <v>26</v>
      </c>
      <c r="I429">
        <f>VLOOKUP(Table4[[#This Row],[Visitor]],'NHL Model'!$A$6:$B$38,2,FALSE)</f>
        <v>-0.66335717753705836</v>
      </c>
      <c r="J429">
        <f>($B$1+Table4[[#This Row],[Home Differential]])-Table4[[#This Row],[Away Differential]]</f>
        <v>0.20671456631363583</v>
      </c>
      <c r="K429" t="str">
        <f>IF(Table4[[#This Row],[HomeIce Differential]]&gt;0,Table4[[#This Row],[Home]],Table4[[#This Row],[Visitor]])</f>
        <v>Columbus Blue Jackets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0.52757122308353954</v>
      </c>
      <c r="M429" t="str">
        <f>IF(OR((NHL2025_26Results[[#This Row],[Winning Team]]="")),"-",IF(Table4[[#This Row],[Predicted Winner]]=NHL2025_26Results[[#This Row],[Winning Team]],"YES","NO"))</f>
        <v>-</v>
      </c>
      <c r="N429" t="str">
        <f>IF(Table4[[#This Row],[Adjusted Correct]]="-", "",IF(Table4[[#This Row],[Adjusted Correct]]="YES",(Table4[[#This Row],[Strength of Win]]-1)^2,(Table4[[#This Row],[Strength of Win]]-0)^2))</f>
        <v/>
      </c>
      <c r="P429" s="11"/>
    </row>
    <row r="430" spans="4:16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-1.0952038865534519</v>
      </c>
      <c r="H430" t="s">
        <v>34</v>
      </c>
      <c r="I430">
        <f>VLOOKUP(Table4[[#This Row],[Visitor]],'NHL Model'!$A$6:$B$38,2,FALSE)</f>
        <v>-0.16358905079701039</v>
      </c>
      <c r="J430">
        <f>($B$1+Table4[[#This Row],[Home Differential]])-Table4[[#This Row],[Away Differential]]</f>
        <v>-0.79407144678402519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0.58668107527047209</v>
      </c>
      <c r="M430" t="str">
        <f>IF(OR((NHL2025_26Results[[#This Row],[Winning Team]]="")),"-",IF(Table4[[#This Row],[Predicted Winner]]=NHL2025_26Results[[#This Row],[Winning Team]],"YES","NO"))</f>
        <v>-</v>
      </c>
      <c r="N430" t="str">
        <f>IF(Table4[[#This Row],[Adjusted Correct]]="-", "",IF(Table4[[#This Row],[Adjusted Correct]]="YES",(Table4[[#This Row],[Strength of Win]]-1)^2,(Table4[[#This Row],[Strength of Win]]-0)^2))</f>
        <v/>
      </c>
      <c r="P430" s="11"/>
    </row>
    <row r="431" spans="4:16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-0.87263145033954281</v>
      </c>
      <c r="H431" t="s">
        <v>32</v>
      </c>
      <c r="I431">
        <f>VLOOKUP(Table4[[#This Row],[Visitor]],'NHL Model'!$A$6:$B$38,2,FALSE)</f>
        <v>-0.45007023285116615</v>
      </c>
      <c r="J431">
        <f>($B$1+Table4[[#This Row],[Home Differential]])-Table4[[#This Row],[Away Differential]]</f>
        <v>-0.2850178285159603</v>
      </c>
      <c r="K431" t="str">
        <f>IF(Table4[[#This Row],[HomeIce Differential]]&gt;0,Table4[[#This Row],[Home]],Table4[[#This Row],[Visitor]])</f>
        <v>Seattle Kraken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0.4619783072828238</v>
      </c>
      <c r="M431" t="str">
        <f>IF(OR((NHL2025_26Results[[#This Row],[Winning Team]]="")),"-",IF(Table4[[#This Row],[Predicted Winner]]=NHL2025_26Results[[#This Row],[Winning Team]],"YES","NO"))</f>
        <v>-</v>
      </c>
      <c r="N431" t="str">
        <f>IF(Table4[[#This Row],[Adjusted Correct]]="-", "",IF(Table4[[#This Row],[Adjusted Correct]]="YES",(Table4[[#This Row],[Strength of Win]]-1)^2,(Table4[[#This Row],[Strength of Win]]-0)^2))</f>
        <v/>
      </c>
      <c r="P431" s="11"/>
    </row>
    <row r="432" spans="4:16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-0.37836939589441088</v>
      </c>
      <c r="H432" t="s">
        <v>29</v>
      </c>
      <c r="I432">
        <f>VLOOKUP(Table4[[#This Row],[Visitor]],'NHL Model'!$A$6:$B$38,2,FALSE)</f>
        <v>-1.4957350924899622</v>
      </c>
      <c r="J432">
        <f>($B$1+Table4[[#This Row],[Home Differential]])-Table4[[#This Row],[Away Differential]]</f>
        <v>1.2549090855679677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0.75909352966381172</v>
      </c>
      <c r="M432" t="str">
        <f>IF(OR((NHL2025_26Results[[#This Row],[Winning Team]]="")),"-",IF(Table4[[#This Row],[Predicted Winner]]=NHL2025_26Results[[#This Row],[Winning Team]],"YES","NO"))</f>
        <v>-</v>
      </c>
      <c r="N432" t="str">
        <f>IF(Table4[[#This Row],[Adjusted Correct]]="-", "",IF(Table4[[#This Row],[Adjusted Correct]]="YES",(Table4[[#This Row],[Strength of Win]]-1)^2,(Table4[[#This Row],[Strength of Win]]-0)^2))</f>
        <v/>
      </c>
      <c r="P432" s="11"/>
    </row>
    <row r="433" spans="4:16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-0.36134162888396865</v>
      </c>
      <c r="H433" t="s">
        <v>10</v>
      </c>
      <c r="I433">
        <f>VLOOKUP(Table4[[#This Row],[Visitor]],'NHL Model'!$A$6:$B$38,2,FALSE)</f>
        <v>-0.15263505358797036</v>
      </c>
      <c r="J433">
        <f>($B$1+Table4[[#This Row],[Home Differential]])-Table4[[#This Row],[Away Differential]]</f>
        <v>-7.1163186323581928E-2</v>
      </c>
      <c r="K433" t="str">
        <f>IF(Table4[[#This Row],[HomeIce Differential]]&gt;0,Table4[[#This Row],[Home]],Table4[[#This Row],[Visitor]])</f>
        <v>Chicago Blackhawks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0.46949161987204163</v>
      </c>
      <c r="M433" t="str">
        <f>IF(OR((NHL2025_26Results[[#This Row],[Winning Team]]="")),"-",IF(Table4[[#This Row],[Predicted Winner]]=NHL2025_26Results[[#This Row],[Winning Team]],"YES","NO"))</f>
        <v>-</v>
      </c>
      <c r="N433" t="str">
        <f>IF(Table4[[#This Row],[Adjusted Correct]]="-", "",IF(Table4[[#This Row],[Adjusted Correct]]="YES",(Table4[[#This Row],[Strength of Win]]-1)^2,(Table4[[#This Row],[Strength of Win]]-0)^2))</f>
        <v/>
      </c>
      <c r="P433" s="11"/>
    </row>
    <row r="434" spans="4:16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3.838472305373858E-3</v>
      </c>
      <c r="H434" t="s">
        <v>12</v>
      </c>
      <c r="I434">
        <f>VLOOKUP(Table4[[#This Row],[Visitor]],'NHL Model'!$A$6:$B$38,2,FALSE)</f>
        <v>1.4458345276269271</v>
      </c>
      <c r="J434">
        <f>($B$1+Table4[[#This Row],[Home Differential]])-Table4[[#This Row],[Away Differential]]</f>
        <v>-1.3044526663491369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0.72647177631739013</v>
      </c>
      <c r="M434" t="str">
        <f>IF(OR((NHL2025_26Results[[#This Row],[Winning Team]]="")),"-",IF(Table4[[#This Row],[Predicted Winner]]=NHL2025_26Results[[#This Row],[Winning Team]],"YES","NO"))</f>
        <v>-</v>
      </c>
      <c r="N434" t="str">
        <f>IF(Table4[[#This Row],[Adjusted Correct]]="-", "",IF(Table4[[#This Row],[Adjusted Correct]]="YES",(Table4[[#This Row],[Strength of Win]]-1)^2,(Table4[[#This Row],[Strength of Win]]-0)^2))</f>
        <v/>
      </c>
      <c r="P434" s="11"/>
    </row>
    <row r="435" spans="4:16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-0.31751962084606655</v>
      </c>
      <c r="H435" t="s">
        <v>15</v>
      </c>
      <c r="I435">
        <f>VLOOKUP(Table4[[#This Row],[Visitor]],'NHL Model'!$A$6:$B$38,2,FALSE)</f>
        <v>-0.49835870184734621</v>
      </c>
      <c r="J435">
        <f>($B$1+Table4[[#This Row],[Home Differential]])-Table4[[#This Row],[Away Differential]]</f>
        <v>0.31838246997369601</v>
      </c>
      <c r="K435" t="str">
        <f>IF(Table4[[#This Row],[HomeIce Differential]]&gt;0,Table4[[#This Row],[Home]],Table4[[#This Row],[Visitor]])</f>
        <v>Ottawa Senators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0.50148168392541581</v>
      </c>
      <c r="M435" t="str">
        <f>IF(OR((NHL2025_26Results[[#This Row],[Winning Team]]="")),"-",IF(Table4[[#This Row],[Predicted Winner]]=NHL2025_26Results[[#This Row],[Winning Team]],"YES","NO"))</f>
        <v>-</v>
      </c>
      <c r="N435" t="str">
        <f>IF(Table4[[#This Row],[Adjusted Correct]]="-", "",IF(Table4[[#This Row],[Adjusted Correct]]="YES",(Table4[[#This Row],[Strength of Win]]-1)^2,(Table4[[#This Row],[Strength of Win]]-0)^2))</f>
        <v/>
      </c>
      <c r="P435" s="11"/>
    </row>
    <row r="436" spans="4:16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7.1667377873261273E-2</v>
      </c>
      <c r="H436" t="s">
        <v>14</v>
      </c>
      <c r="I436">
        <f>VLOOKUP(Table4[[#This Row],[Visitor]],'NHL Model'!$A$6:$B$38,2,FALSE)</f>
        <v>-0.2090057419115289</v>
      </c>
      <c r="J436">
        <f>($B$1+Table4[[#This Row],[Home Differential]])-Table4[[#This Row],[Away Differential]]</f>
        <v>0.41821650875720651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0.59827645712860045</v>
      </c>
      <c r="M436" t="str">
        <f>IF(OR((NHL2025_26Results[[#This Row],[Winning Team]]="")),"-",IF(Table4[[#This Row],[Predicted Winner]]=NHL2025_26Results[[#This Row],[Winning Team]],"YES","NO"))</f>
        <v>-</v>
      </c>
      <c r="N436" t="str">
        <f>IF(Table4[[#This Row],[Adjusted Correct]]="-", "",IF(Table4[[#This Row],[Adjusted Correct]]="YES",(Table4[[#This Row],[Strength of Win]]-1)^2,(Table4[[#This Row],[Strength of Win]]-0)^2))</f>
        <v/>
      </c>
      <c r="P436" s="11"/>
    </row>
    <row r="437" spans="4:16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0.34329638981067145</v>
      </c>
      <c r="H437" t="s">
        <v>22</v>
      </c>
      <c r="I437">
        <f>VLOOKUP(Table4[[#This Row],[Visitor]],'NHL Model'!$A$6:$B$38,2,FALSE)</f>
        <v>6.4811420118814619E-2</v>
      </c>
      <c r="J437">
        <f>($B$1+Table4[[#This Row],[Home Differential]])-Table4[[#This Row],[Away Differential]]</f>
        <v>0.41602835866427318</v>
      </c>
      <c r="K437" t="str">
        <f>IF(Table4[[#This Row],[HomeIce Differential]]&gt;0,Table4[[#This Row],[Home]],Table4[[#This Row],[Visitor]])</f>
        <v>Anaheim Ducks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0.67087374172130565</v>
      </c>
      <c r="M437" t="str">
        <f>IF(OR((NHL2025_26Results[[#This Row],[Winning Team]]="")),"-",IF(Table4[[#This Row],[Predicted Winner]]=NHL2025_26Results[[#This Row],[Winning Team]],"YES","NO"))</f>
        <v>-</v>
      </c>
      <c r="N437" t="str">
        <f>IF(Table4[[#This Row],[Adjusted Correct]]="-", "",IF(Table4[[#This Row],[Adjusted Correct]]="YES",(Table4[[#This Row],[Strength of Win]]-1)^2,(Table4[[#This Row],[Strength of Win]]-0)^2))</f>
        <v/>
      </c>
      <c r="P437" s="11"/>
    </row>
    <row r="438" spans="4:16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4.3828122498436855E-3</v>
      </c>
      <c r="H438" t="s">
        <v>33</v>
      </c>
      <c r="I438">
        <f>VLOOKUP(Table4[[#This Row],[Visitor]],'NHL Model'!$A$6:$B$38,2,FALSE)</f>
        <v>-0.36178381286707545</v>
      </c>
      <c r="J438">
        <f>($B$1+Table4[[#This Row],[Home Differential]])-Table4[[#This Row],[Away Differential]]</f>
        <v>0.50371001408933547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0.60967942959319943</v>
      </c>
      <c r="M438" t="str">
        <f>IF(OR((NHL2025_26Results[[#This Row],[Winning Team]]="")),"-",IF(Table4[[#This Row],[Predicted Winner]]=NHL2025_26Results[[#This Row],[Winning Team]],"YES","NO"))</f>
        <v>-</v>
      </c>
      <c r="N438" t="str">
        <f>IF(Table4[[#This Row],[Adjusted Correct]]="-", "",IF(Table4[[#This Row],[Adjusted Correct]]="YES",(Table4[[#This Row],[Strength of Win]]-1)^2,(Table4[[#This Row],[Strength of Win]]-0)^2))</f>
        <v/>
      </c>
      <c r="P438" s="11"/>
    </row>
    <row r="439" spans="4:16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-1.8032585202533785E-2</v>
      </c>
      <c r="H439" t="s">
        <v>20</v>
      </c>
      <c r="I439">
        <f>VLOOKUP(Table4[[#This Row],[Visitor]],'NHL Model'!$A$6:$B$38,2,FALSE)</f>
        <v>0.12073374225454764</v>
      </c>
      <c r="J439">
        <f>($B$1+Table4[[#This Row],[Home Differential]])-Table4[[#This Row],[Away Differential]]</f>
        <v>-1.2229384846650648E-3</v>
      </c>
      <c r="K439" t="str">
        <f>IF(Table4[[#This Row],[HomeIce Differential]]&gt;0,Table4[[#This Row],[Home]],Table4[[#This Row],[Visitor]])</f>
        <v>Vegas Golden Knights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0.36379947700751808</v>
      </c>
      <c r="M439" t="str">
        <f>IF(OR((NHL2025_26Results[[#This Row],[Winning Team]]="")),"-",IF(Table4[[#This Row],[Predicted Winner]]=NHL2025_26Results[[#This Row],[Winning Team]],"YES","NO"))</f>
        <v>-</v>
      </c>
      <c r="N439" t="str">
        <f>IF(Table4[[#This Row],[Adjusted Correct]]="-", "",IF(Table4[[#This Row],[Adjusted Correct]]="YES",(Table4[[#This Row],[Strength of Win]]-1)^2,(Table4[[#This Row],[Strength of Win]]-0)^2))</f>
        <v/>
      </c>
      <c r="P439" s="11"/>
    </row>
    <row r="440" spans="4:16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-1.1236485959014608</v>
      </c>
      <c r="H440" t="s">
        <v>55</v>
      </c>
      <c r="I440">
        <f>VLOOKUP(Table4[[#This Row],[Visitor]],'NHL Model'!$A$6:$B$38,2,FALSE)</f>
        <v>-0.30969050963205513</v>
      </c>
      <c r="J440">
        <f>($B$1+Table4[[#This Row],[Home Differential]])-Table4[[#This Row],[Away Differential]]</f>
        <v>-0.67641469729698933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0.55021899544255748</v>
      </c>
      <c r="M440" t="str">
        <f>IF(OR((NHL2025_26Results[[#This Row],[Winning Team]]="")),"-",IF(Table4[[#This Row],[Predicted Winner]]=NHL2025_26Results[[#This Row],[Winning Team]],"YES","NO"))</f>
        <v>-</v>
      </c>
      <c r="N440" t="str">
        <f>IF(Table4[[#This Row],[Adjusted Correct]]="-", "",IF(Table4[[#This Row],[Adjusted Correct]]="YES",(Table4[[#This Row],[Strength of Win]]-1)^2,(Table4[[#This Row],[Strength of Win]]-0)^2))</f>
        <v/>
      </c>
      <c r="P440" s="11"/>
    </row>
    <row r="441" spans="4:16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-6.0247860940930854E-2</v>
      </c>
      <c r="H441" t="s">
        <v>23</v>
      </c>
      <c r="I441">
        <f>VLOOKUP(Table4[[#This Row],[Visitor]],'NHL Model'!$A$6:$B$38,2,FALSE)</f>
        <v>-0.51535072045188635</v>
      </c>
      <c r="J441">
        <f>($B$1+Table4[[#This Row],[Home Differential]])-Table4[[#This Row],[Away Differential]]</f>
        <v>0.59264624848337188</v>
      </c>
      <c r="K441" t="str">
        <f>IF(Table4[[#This Row],[HomeIce Differential]]&gt;0,Table4[[#This Row],[Home]],Table4[[#This Row],[Visitor]])</f>
        <v>Winnipeg Jets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0.62154158716833385</v>
      </c>
      <c r="M441" t="str">
        <f>IF(OR((NHL2025_26Results[[#This Row],[Winning Team]]="")),"-",IF(Table4[[#This Row],[Predicted Winner]]=NHL2025_26Results[[#This Row],[Winning Team]],"YES","NO"))</f>
        <v>-</v>
      </c>
      <c r="N441" t="str">
        <f>IF(Table4[[#This Row],[Adjusted Correct]]="-", "",IF(Table4[[#This Row],[Adjusted Correct]]="YES",(Table4[[#This Row],[Strength of Win]]-1)^2,(Table4[[#This Row],[Strength of Win]]-0)^2))</f>
        <v/>
      </c>
      <c r="P441" s="11"/>
    </row>
    <row r="442" spans="4:16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-0.14464931395309213</v>
      </c>
      <c r="H442" t="s">
        <v>24</v>
      </c>
      <c r="I442">
        <f>VLOOKUP(Table4[[#This Row],[Visitor]],'NHL Model'!$A$6:$B$38,2,FALSE)</f>
        <v>-1.8032585202533785E-2</v>
      </c>
      <c r="J442">
        <f>($B$1+Table4[[#This Row],[Home Differential]])-Table4[[#This Row],[Away Differential]]</f>
        <v>1.0926660221858009E-2</v>
      </c>
      <c r="K442" t="str">
        <f>IF(Table4[[#This Row],[HomeIce Differential]]&gt;0,Table4[[#This Row],[Home]],Table4[[#This Row],[Visitor]])</f>
        <v>Boston Bruins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0.59236646951528826</v>
      </c>
      <c r="M442" t="str">
        <f>IF(OR((NHL2025_26Results[[#This Row],[Winning Team]]="")),"-",IF(Table4[[#This Row],[Predicted Winner]]=NHL2025_26Results[[#This Row],[Winning Team]],"YES","NO"))</f>
        <v>-</v>
      </c>
      <c r="N442" t="str">
        <f>IF(Table4[[#This Row],[Adjusted Correct]]="-", "",IF(Table4[[#This Row],[Adjusted Correct]]="YES",(Table4[[#This Row],[Strength of Win]]-1)^2,(Table4[[#This Row],[Strength of Win]]-0)^2))</f>
        <v/>
      </c>
      <c r="P442" s="11"/>
    </row>
    <row r="443" spans="4:16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0.42515174825138019</v>
      </c>
      <c r="H443" t="s">
        <v>29</v>
      </c>
      <c r="I443">
        <f>VLOOKUP(Table4[[#This Row],[Visitor]],'NHL Model'!$A$6:$B$38,2,FALSE)</f>
        <v>-1.4957350924899622</v>
      </c>
      <c r="J443">
        <f>($B$1+Table4[[#This Row],[Home Differential]])-Table4[[#This Row],[Away Differential]]</f>
        <v>2.0584302297137587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0.86626575807838546</v>
      </c>
      <c r="M443" t="str">
        <f>IF(OR((NHL2025_26Results[[#This Row],[Winning Team]]="")),"-",IF(Table4[[#This Row],[Predicted Winner]]=NHL2025_26Results[[#This Row],[Winning Team]],"YES","NO"))</f>
        <v>-</v>
      </c>
      <c r="N443" t="str">
        <f>IF(Table4[[#This Row],[Adjusted Correct]]="-", "",IF(Table4[[#This Row],[Adjusted Correct]]="YES",(Table4[[#This Row],[Strength of Win]]-1)^2,(Table4[[#This Row],[Strength of Win]]-0)^2))</f>
        <v/>
      </c>
      <c r="P443" s="11"/>
    </row>
    <row r="444" spans="4:16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-1.0952038865534519</v>
      </c>
      <c r="H444" t="s">
        <v>55</v>
      </c>
      <c r="I444">
        <f>VLOOKUP(Table4[[#This Row],[Visitor]],'NHL Model'!$A$6:$B$38,2,FALSE)</f>
        <v>-0.30969050963205513</v>
      </c>
      <c r="J444">
        <f>($B$1+Table4[[#This Row],[Home Differential]])-Table4[[#This Row],[Away Differential]]</f>
        <v>-0.64796998794898042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0.54642509044125009</v>
      </c>
      <c r="M444" t="str">
        <f>IF(OR((NHL2025_26Results[[#This Row],[Winning Team]]="")),"-",IF(Table4[[#This Row],[Predicted Winner]]=NHL2025_26Results[[#This Row],[Winning Team]],"YES","NO"))</f>
        <v>-</v>
      </c>
      <c r="N444" t="str">
        <f>IF(Table4[[#This Row],[Adjusted Correct]]="-", "",IF(Table4[[#This Row],[Adjusted Correct]]="YES",(Table4[[#This Row],[Strength of Win]]-1)^2,(Table4[[#This Row],[Strength of Win]]-0)^2))</f>
        <v/>
      </c>
      <c r="P444" s="11"/>
    </row>
    <row r="445" spans="4:16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-0.87263145033954281</v>
      </c>
      <c r="H445" t="s">
        <v>40</v>
      </c>
      <c r="I445">
        <f>VLOOKUP(Table4[[#This Row],[Visitor]],'NHL Model'!$A$6:$B$38,2,FALSE)</f>
        <v>-6.0247860940930854E-2</v>
      </c>
      <c r="J445">
        <f>($B$1+Table4[[#This Row],[Home Differential]])-Table4[[#This Row],[Away Differential]]</f>
        <v>-0.67484020042619564</v>
      </c>
      <c r="K445" t="str">
        <f>IF(Table4[[#This Row],[HomeIce Differential]]&gt;0,Table4[[#This Row],[Home]],Table4[[#This Row],[Visitor]])</f>
        <v>Winnipeg Jets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0.57980491020327352</v>
      </c>
      <c r="M445" t="str">
        <f>IF(OR((NHL2025_26Results[[#This Row],[Winning Team]]="")),"-",IF(Table4[[#This Row],[Predicted Winner]]=NHL2025_26Results[[#This Row],[Winning Team]],"YES","NO"))</f>
        <v>-</v>
      </c>
      <c r="N445" t="str">
        <f>IF(Table4[[#This Row],[Adjusted Correct]]="-", "",IF(Table4[[#This Row],[Adjusted Correct]]="YES",(Table4[[#This Row],[Strength of Win]]-1)^2,(Table4[[#This Row],[Strength of Win]]-0)^2))</f>
        <v/>
      </c>
      <c r="P445" s="11"/>
    </row>
    <row r="446" spans="4:16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-0.37836939589441088</v>
      </c>
      <c r="H446" t="s">
        <v>28</v>
      </c>
      <c r="I446">
        <f>VLOOKUP(Table4[[#This Row],[Visitor]],'NHL Model'!$A$6:$B$38,2,FALSE)</f>
        <v>-0.59418600019583889</v>
      </c>
      <c r="J446">
        <f>($B$1+Table4[[#This Row],[Home Differential]])-Table4[[#This Row],[Away Differential]]</f>
        <v>0.35335999327384437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0.63803962155863092</v>
      </c>
      <c r="M446" t="str">
        <f>IF(OR((NHL2025_26Results[[#This Row],[Winning Team]]="")),"-",IF(Table4[[#This Row],[Predicted Winner]]=NHL2025_26Results[[#This Row],[Winning Team]],"YES","NO"))</f>
        <v>-</v>
      </c>
      <c r="N446" t="str">
        <f>IF(Table4[[#This Row],[Adjusted Correct]]="-", "",IF(Table4[[#This Row],[Adjusted Correct]]="YES",(Table4[[#This Row],[Strength of Win]]-1)^2,(Table4[[#This Row],[Strength of Win]]-0)^2))</f>
        <v/>
      </c>
      <c r="P446" s="11"/>
    </row>
    <row r="447" spans="4:16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-0.36134162888396865</v>
      </c>
      <c r="H447" t="s">
        <v>10</v>
      </c>
      <c r="I447">
        <f>VLOOKUP(Table4[[#This Row],[Visitor]],'NHL Model'!$A$6:$B$38,2,FALSE)</f>
        <v>-0.15263505358797036</v>
      </c>
      <c r="J447">
        <f>($B$1+Table4[[#This Row],[Home Differential]])-Table4[[#This Row],[Away Differential]]</f>
        <v>-7.1163186323581928E-2</v>
      </c>
      <c r="K447" t="str">
        <f>IF(Table4[[#This Row],[HomeIce Differential]]&gt;0,Table4[[#This Row],[Home]],Table4[[#This Row],[Visitor]])</f>
        <v>Chicago Blackhawks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0.46949161987204163</v>
      </c>
      <c r="M447" t="str">
        <f>IF(OR((NHL2025_26Results[[#This Row],[Winning Team]]="")),"-",IF(Table4[[#This Row],[Predicted Winner]]=NHL2025_26Results[[#This Row],[Winning Team]],"YES","NO"))</f>
        <v>-</v>
      </c>
      <c r="N447" t="str">
        <f>IF(Table4[[#This Row],[Adjusted Correct]]="-", "",IF(Table4[[#This Row],[Adjusted Correct]]="YES",(Table4[[#This Row],[Strength of Win]]-1)^2,(Table4[[#This Row],[Strength of Win]]-0)^2))</f>
        <v/>
      </c>
      <c r="P447" s="11"/>
    </row>
    <row r="448" spans="4:16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-0.49835870184734621</v>
      </c>
      <c r="H448" t="s">
        <v>12</v>
      </c>
      <c r="I448">
        <f>VLOOKUP(Table4[[#This Row],[Visitor]],'NHL Model'!$A$6:$B$38,2,FALSE)</f>
        <v>1.4458345276269271</v>
      </c>
      <c r="J448">
        <f>($B$1+Table4[[#This Row],[Home Differential]])-Table4[[#This Row],[Away Differential]]</f>
        <v>-1.806649840501857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0.79345394679240044</v>
      </c>
      <c r="M448" t="str">
        <f>IF(OR((NHL2025_26Results[[#This Row],[Winning Team]]="")),"-",IF(Table4[[#This Row],[Predicted Winner]]=NHL2025_26Results[[#This Row],[Winning Team]],"YES","NO"))</f>
        <v>-</v>
      </c>
      <c r="N448" t="str">
        <f>IF(Table4[[#This Row],[Adjusted Correct]]="-", "",IF(Table4[[#This Row],[Adjusted Correct]]="YES",(Table4[[#This Row],[Strength of Win]]-1)^2,(Table4[[#This Row],[Strength of Win]]-0)^2))</f>
        <v/>
      </c>
      <c r="P448" s="11"/>
    </row>
    <row r="449" spans="4:16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-0.31751962084606655</v>
      </c>
      <c r="H449" t="s">
        <v>35</v>
      </c>
      <c r="I449">
        <f>VLOOKUP(Table4[[#This Row],[Visitor]],'NHL Model'!$A$6:$B$38,2,FALSE)</f>
        <v>-1.5569791149906038</v>
      </c>
      <c r="J449">
        <f>($B$1+Table4[[#This Row],[Home Differential]])-Table4[[#This Row],[Away Differential]]</f>
        <v>1.3770028831169536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0.72615768721483687</v>
      </c>
      <c r="M449" t="str">
        <f>IF(OR((NHL2025_26Results[[#This Row],[Winning Team]]="")),"-",IF(Table4[[#This Row],[Predicted Winner]]=NHL2025_26Results[[#This Row],[Winning Team]],"YES","NO"))</f>
        <v>-</v>
      </c>
      <c r="N449" t="str">
        <f>IF(Table4[[#This Row],[Adjusted Correct]]="-", "",IF(Table4[[#This Row],[Adjusted Correct]]="YES",(Table4[[#This Row],[Strength of Win]]-1)^2,(Table4[[#This Row],[Strength of Win]]-0)^2))</f>
        <v/>
      </c>
      <c r="P449" s="11"/>
    </row>
    <row r="450" spans="4:16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-0.45007023285116615</v>
      </c>
      <c r="H450" t="s">
        <v>26</v>
      </c>
      <c r="I450">
        <f>VLOOKUP(Table4[[#This Row],[Visitor]],'NHL Model'!$A$6:$B$38,2,FALSE)</f>
        <v>-0.66335717753705836</v>
      </c>
      <c r="J450">
        <f>($B$1+Table4[[#This Row],[Home Differential]])-Table4[[#This Row],[Away Differential]]</f>
        <v>0.35083033365830857</v>
      </c>
      <c r="K450" t="str">
        <f>IF(Table4[[#This Row],[HomeIce Differential]]&gt;0,Table4[[#This Row],[Home]],Table4[[#This Row],[Visitor]])</f>
        <v>Seattle Kraken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0.56602389835689881</v>
      </c>
      <c r="M450" t="str">
        <f>IF(OR((NHL2025_26Results[[#This Row],[Winning Team]]="")),"-",IF(Table4[[#This Row],[Predicted Winner]]=NHL2025_26Results[[#This Row],[Winning Team]],"YES","NO"))</f>
        <v>-</v>
      </c>
      <c r="N450" t="str">
        <f>IF(Table4[[#This Row],[Adjusted Correct]]="-", "",IF(Table4[[#This Row],[Adjusted Correct]]="YES",(Table4[[#This Row],[Strength of Win]]-1)^2,(Table4[[#This Row],[Strength of Win]]-0)^2))</f>
        <v/>
      </c>
      <c r="P450" s="11"/>
    </row>
    <row r="451" spans="4:16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7.1667377873261273E-2</v>
      </c>
      <c r="H451" t="s">
        <v>30</v>
      </c>
      <c r="I451">
        <f>VLOOKUP(Table4[[#This Row],[Visitor]],'NHL Model'!$A$6:$B$38,2,FALSE)</f>
        <v>3.838472305373858E-3</v>
      </c>
      <c r="J451">
        <f>($B$1+Table4[[#This Row],[Home Differential]])-Table4[[#This Row],[Away Differential]]</f>
        <v>0.20537229454030378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0.49727171132178627</v>
      </c>
      <c r="M451" t="str">
        <f>IF(OR((NHL2025_26Results[[#This Row],[Winning Team]]="")),"-",IF(Table4[[#This Row],[Predicted Winner]]=NHL2025_26Results[[#This Row],[Winning Team]],"YES","NO"))</f>
        <v>-</v>
      </c>
      <c r="N451" t="str">
        <f>IF(Table4[[#This Row],[Adjusted Correct]]="-", "",IF(Table4[[#This Row],[Adjusted Correct]]="YES",(Table4[[#This Row],[Strength of Win]]-1)^2,(Table4[[#This Row],[Strength of Win]]-0)^2))</f>
        <v/>
      </c>
      <c r="P451" s="11"/>
    </row>
    <row r="452" spans="4:16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-0.93520311342823803</v>
      </c>
      <c r="H452" t="s">
        <v>18</v>
      </c>
      <c r="I452">
        <f>VLOOKUP(Table4[[#This Row],[Visitor]],'NHL Model'!$A$6:$B$38,2,FALSE)</f>
        <v>-0.74754136228530599</v>
      </c>
      <c r="J452">
        <f>($B$1+Table4[[#This Row],[Home Differential]])-Table4[[#This Row],[Away Differential]]</f>
        <v>-5.0118362170515685E-2</v>
      </c>
      <c r="K452" t="str">
        <f>IF(Table4[[#This Row],[HomeIce Differential]]&gt;0,Table4[[#This Row],[Home]],Table4[[#This Row],[Visitor]])</f>
        <v>Montreal Canadiens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0.51378408994502889</v>
      </c>
      <c r="M452" t="str">
        <f>IF(OR((NHL2025_26Results[[#This Row],[Winning Team]]="")),"-",IF(Table4[[#This Row],[Predicted Winner]]=NHL2025_26Results[[#This Row],[Winning Team]],"YES","NO"))</f>
        <v>-</v>
      </c>
      <c r="N452" t="str">
        <f>IF(Table4[[#This Row],[Adjusted Correct]]="-", "",IF(Table4[[#This Row],[Adjusted Correct]]="YES",(Table4[[#This Row],[Strength of Win]]-1)^2,(Table4[[#This Row],[Strength of Win]]-0)^2))</f>
        <v/>
      </c>
      <c r="P452" s="11"/>
    </row>
    <row r="453" spans="4:16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-1.1236485959014608</v>
      </c>
      <c r="H453" t="s">
        <v>34</v>
      </c>
      <c r="I453">
        <f>VLOOKUP(Table4[[#This Row],[Visitor]],'NHL Model'!$A$6:$B$38,2,FALSE)</f>
        <v>-0.16358905079701039</v>
      </c>
      <c r="J453">
        <f>($B$1+Table4[[#This Row],[Home Differential]])-Table4[[#This Row],[Away Differential]]</f>
        <v>-0.8225161561320341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0.59047498027177947</v>
      </c>
      <c r="M453" t="str">
        <f>IF(OR((NHL2025_26Results[[#This Row],[Winning Team]]="")),"-",IF(Table4[[#This Row],[Predicted Winner]]=NHL2025_26Results[[#This Row],[Winning Team]],"YES","NO"))</f>
        <v>-</v>
      </c>
      <c r="N453" t="str">
        <f>IF(Table4[[#This Row],[Adjusted Correct]]="-", "",IF(Table4[[#This Row],[Adjusted Correct]]="YES",(Table4[[#This Row],[Strength of Win]]-1)^2,(Table4[[#This Row],[Strength of Win]]-0)^2))</f>
        <v/>
      </c>
      <c r="P453" s="11"/>
    </row>
    <row r="454" spans="4:16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0.34329638981067145</v>
      </c>
      <c r="H454" t="s">
        <v>10</v>
      </c>
      <c r="I454">
        <f>VLOOKUP(Table4[[#This Row],[Visitor]],'NHL Model'!$A$6:$B$38,2,FALSE)</f>
        <v>-0.15263505358797036</v>
      </c>
      <c r="J454">
        <f>($B$1+Table4[[#This Row],[Home Differential]])-Table4[[#This Row],[Away Differential]]</f>
        <v>0.63347483237105817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0.71941238715937472</v>
      </c>
      <c r="M454" t="str">
        <f>IF(OR((NHL2025_26Results[[#This Row],[Winning Team]]="")),"-",IF(Table4[[#This Row],[Predicted Winner]]=NHL2025_26Results[[#This Row],[Winning Team]],"YES","NO"))</f>
        <v>-</v>
      </c>
      <c r="N454" t="str">
        <f>IF(Table4[[#This Row],[Adjusted Correct]]="-", "",IF(Table4[[#This Row],[Adjusted Correct]]="YES",(Table4[[#This Row],[Strength of Win]]-1)^2,(Table4[[#This Row],[Strength of Win]]-0)^2))</f>
        <v/>
      </c>
      <c r="P454" s="11"/>
    </row>
    <row r="455" spans="4:16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0.42515174825138019</v>
      </c>
      <c r="H455" t="s">
        <v>33</v>
      </c>
      <c r="I455">
        <f>VLOOKUP(Table4[[#This Row],[Visitor]],'NHL Model'!$A$6:$B$38,2,FALSE)</f>
        <v>-0.36178381286707545</v>
      </c>
      <c r="J455">
        <f>($B$1+Table4[[#This Row],[Home Differential]])-Table4[[#This Row],[Away Differential]]</f>
        <v>0.92447895009087189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0.71502134287393371</v>
      </c>
      <c r="M455" t="str">
        <f>IF(OR((NHL2025_26Results[[#This Row],[Winning Team]]="")),"-",IF(Table4[[#This Row],[Predicted Winner]]=NHL2025_26Results[[#This Row],[Winning Team]],"YES","NO"))</f>
        <v>-</v>
      </c>
      <c r="N455" t="str">
        <f>IF(Table4[[#This Row],[Adjusted Correct]]="-", "",IF(Table4[[#This Row],[Adjusted Correct]]="YES",(Table4[[#This Row],[Strength of Win]]-1)^2,(Table4[[#This Row],[Strength of Win]]-0)^2))</f>
        <v/>
      </c>
      <c r="P455" s="11"/>
    </row>
    <row r="456" spans="4:16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4.3828122498436855E-3</v>
      </c>
      <c r="H456" t="s">
        <v>14</v>
      </c>
      <c r="I456">
        <f>VLOOKUP(Table4[[#This Row],[Visitor]],'NHL Model'!$A$6:$B$38,2,FALSE)</f>
        <v>-0.2090057419115289</v>
      </c>
      <c r="J456">
        <f>($B$1+Table4[[#This Row],[Home Differential]])-Table4[[#This Row],[Away Differential]]</f>
        <v>0.35093194313378895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0.58930216082251607</v>
      </c>
      <c r="M456" t="str">
        <f>IF(OR((NHL2025_26Results[[#This Row],[Winning Team]]="")),"-",IF(Table4[[#This Row],[Predicted Winner]]=NHL2025_26Results[[#This Row],[Winning Team]],"YES","NO"))</f>
        <v>-</v>
      </c>
      <c r="N456" t="str">
        <f>IF(Table4[[#This Row],[Adjusted Correct]]="-", "",IF(Table4[[#This Row],[Adjusted Correct]]="YES",(Table4[[#This Row],[Strength of Win]]-1)^2,(Table4[[#This Row],[Strength of Win]]-0)^2))</f>
        <v/>
      </c>
      <c r="P456" s="11"/>
    </row>
    <row r="457" spans="4:16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-0.37836939589441088</v>
      </c>
      <c r="H457" t="s">
        <v>30</v>
      </c>
      <c r="I457">
        <f>VLOOKUP(Table4[[#This Row],[Visitor]],'NHL Model'!$A$6:$B$38,2,FALSE)</f>
        <v>3.838472305373858E-3</v>
      </c>
      <c r="J457">
        <f>($B$1+Table4[[#This Row],[Home Differential]])-Table4[[#This Row],[Away Differential]]</f>
        <v>-0.24466447922736836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0.51263291531744781</v>
      </c>
      <c r="M457" t="str">
        <f>IF(OR((NHL2025_26Results[[#This Row],[Winning Team]]="")),"-",IF(Table4[[#This Row],[Predicted Winner]]=NHL2025_26Results[[#This Row],[Winning Team]],"YES","NO"))</f>
        <v>-</v>
      </c>
      <c r="N457" t="str">
        <f>IF(Table4[[#This Row],[Adjusted Correct]]="-", "",IF(Table4[[#This Row],[Adjusted Correct]]="YES",(Table4[[#This Row],[Strength of Win]]-1)^2,(Table4[[#This Row],[Strength of Win]]-0)^2))</f>
        <v/>
      </c>
      <c r="P457" s="11"/>
    </row>
    <row r="458" spans="4:16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-0.74754136228530599</v>
      </c>
      <c r="H458" t="s">
        <v>35</v>
      </c>
      <c r="I458">
        <f>VLOOKUP(Table4[[#This Row],[Visitor]],'NHL Model'!$A$6:$B$38,2,FALSE)</f>
        <v>-1.5569791149906038</v>
      </c>
      <c r="J458">
        <f>($B$1+Table4[[#This Row],[Home Differential]])-Table4[[#This Row],[Away Differential]]</f>
        <v>0.94698114167771419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0.66630666903989211</v>
      </c>
      <c r="M458" t="str">
        <f>IF(OR((NHL2025_26Results[[#This Row],[Winning Team]]="")),"-",IF(Table4[[#This Row],[Predicted Winner]]=NHL2025_26Results[[#This Row],[Winning Team]],"YES","NO"))</f>
        <v>-</v>
      </c>
      <c r="N458" t="str">
        <f>IF(Table4[[#This Row],[Adjusted Correct]]="-", "",IF(Table4[[#This Row],[Adjusted Correct]]="YES",(Table4[[#This Row],[Strength of Win]]-1)^2,(Table4[[#This Row],[Strength of Win]]-0)^2))</f>
        <v/>
      </c>
      <c r="P458" s="11"/>
    </row>
    <row r="459" spans="4:16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-0.49835870184734621</v>
      </c>
      <c r="H459" t="s">
        <v>20</v>
      </c>
      <c r="I459">
        <f>VLOOKUP(Table4[[#This Row],[Visitor]],'NHL Model'!$A$6:$B$38,2,FALSE)</f>
        <v>0.12073374225454764</v>
      </c>
      <c r="J459">
        <f>($B$1+Table4[[#This Row],[Home Differential]])-Table4[[#This Row],[Away Differential]]</f>
        <v>-0.48154905512947749</v>
      </c>
      <c r="K459" t="str">
        <f>IF(Table4[[#This Row],[HomeIce Differential]]&gt;0,Table4[[#This Row],[Home]],Table4[[#This Row],[Visitor]])</f>
        <v>Vegas Golden Knights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0.54499739166476358</v>
      </c>
      <c r="M459" t="str">
        <f>IF(OR((NHL2025_26Results[[#This Row],[Winning Team]]="")),"-",IF(Table4[[#This Row],[Predicted Winner]]=NHL2025_26Results[[#This Row],[Winning Team]],"YES","NO"))</f>
        <v>-</v>
      </c>
      <c r="N459" t="str">
        <f>IF(Table4[[#This Row],[Adjusted Correct]]="-", "",IF(Table4[[#This Row],[Adjusted Correct]]="YES",(Table4[[#This Row],[Strength of Win]]-1)^2,(Table4[[#This Row],[Strength of Win]]-0)^2))</f>
        <v/>
      </c>
      <c r="P459" s="11"/>
    </row>
    <row r="460" spans="4:16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-0.42203126246971279</v>
      </c>
      <c r="H460" t="s">
        <v>12</v>
      </c>
      <c r="I460">
        <f>VLOOKUP(Table4[[#This Row],[Visitor]],'NHL Model'!$A$6:$B$38,2,FALSE)</f>
        <v>1.4458345276269271</v>
      </c>
      <c r="J460">
        <f>($B$1+Table4[[#This Row],[Home Differential]])-Table4[[#This Row],[Away Differential]]</f>
        <v>-1.7303224011242235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0.75078734014060033</v>
      </c>
      <c r="M460" t="str">
        <f>IF(OR((NHL2025_26Results[[#This Row],[Winning Team]]="")),"-",IF(Table4[[#This Row],[Predicted Winner]]=NHL2025_26Results[[#This Row],[Winning Team]],"YES","NO"))</f>
        <v>-</v>
      </c>
      <c r="N460" t="str">
        <f>IF(Table4[[#This Row],[Adjusted Correct]]="-", "",IF(Table4[[#This Row],[Adjusted Correct]]="YES",(Table4[[#This Row],[Strength of Win]]-1)^2,(Table4[[#This Row],[Strength of Win]]-0)^2))</f>
        <v/>
      </c>
      <c r="P460" s="11"/>
    </row>
    <row r="461" spans="4:16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6.4811420118814619E-2</v>
      </c>
      <c r="H461" t="s">
        <v>28</v>
      </c>
      <c r="I461">
        <f>VLOOKUP(Table4[[#This Row],[Visitor]],'NHL Model'!$A$6:$B$38,2,FALSE)</f>
        <v>-0.59418600019583889</v>
      </c>
      <c r="J461">
        <f>($B$1+Table4[[#This Row],[Home Differential]])-Table4[[#This Row],[Away Differential]]</f>
        <v>0.79654080928706983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0.64541171061492297</v>
      </c>
      <c r="M461" t="str">
        <f>IF(OR((NHL2025_26Results[[#This Row],[Winning Team]]="")),"-",IF(Table4[[#This Row],[Predicted Winner]]=NHL2025_26Results[[#This Row],[Winning Team]],"YES","NO"))</f>
        <v>-</v>
      </c>
      <c r="N461" t="str">
        <f>IF(Table4[[#This Row],[Adjusted Correct]]="-", "",IF(Table4[[#This Row],[Adjusted Correct]]="YES",(Table4[[#This Row],[Strength of Win]]-1)^2,(Table4[[#This Row],[Strength of Win]]-0)^2))</f>
        <v/>
      </c>
      <c r="P461" s="11"/>
    </row>
    <row r="462" spans="4:16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-1.0952038865534519</v>
      </c>
      <c r="H462" t="s">
        <v>23</v>
      </c>
      <c r="I462">
        <f>VLOOKUP(Table4[[#This Row],[Visitor]],'NHL Model'!$A$6:$B$38,2,FALSE)</f>
        <v>-0.51535072045188635</v>
      </c>
      <c r="J462">
        <f>($B$1+Table4[[#This Row],[Home Differential]])-Table4[[#This Row],[Away Differential]]</f>
        <v>-0.44230977712914921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0.51899449542784348</v>
      </c>
      <c r="M462" t="str">
        <f>IF(OR((NHL2025_26Results[[#This Row],[Winning Team]]="")),"-",IF(Table4[[#This Row],[Predicted Winner]]=NHL2025_26Results[[#This Row],[Winning Team]],"YES","NO"))</f>
        <v>-</v>
      </c>
      <c r="N462" t="str">
        <f>IF(Table4[[#This Row],[Adjusted Correct]]="-", "",IF(Table4[[#This Row],[Adjusted Correct]]="YES",(Table4[[#This Row],[Strength of Win]]-1)^2,(Table4[[#This Row],[Strength of Win]]-0)^2))</f>
        <v/>
      </c>
      <c r="P462" s="11"/>
    </row>
    <row r="463" spans="4:16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-0.45007023285116615</v>
      </c>
      <c r="H463" t="s">
        <v>34</v>
      </c>
      <c r="I463">
        <f>VLOOKUP(Table4[[#This Row],[Visitor]],'NHL Model'!$A$6:$B$38,2,FALSE)</f>
        <v>-0.16358905079701039</v>
      </c>
      <c r="J463">
        <f>($B$1+Table4[[#This Row],[Home Differential]])-Table4[[#This Row],[Away Differential]]</f>
        <v>-0.14893779308173941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0.47441051384851446</v>
      </c>
      <c r="M463" t="str">
        <f>IF(OR((NHL2025_26Results[[#This Row],[Winning Team]]="")),"-",IF(Table4[[#This Row],[Predicted Winner]]=NHL2025_26Results[[#This Row],[Winning Team]],"YES","NO"))</f>
        <v>-</v>
      </c>
      <c r="N463" t="str">
        <f>IF(Table4[[#This Row],[Adjusted Correct]]="-", "",IF(Table4[[#This Row],[Adjusted Correct]]="YES",(Table4[[#This Row],[Strength of Win]]-1)^2,(Table4[[#This Row],[Strength of Win]]-0)^2))</f>
        <v/>
      </c>
      <c r="P463" s="11"/>
    </row>
    <row r="464" spans="4:16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-0.93520311342823803</v>
      </c>
      <c r="H464" t="s">
        <v>37</v>
      </c>
      <c r="I464">
        <f>VLOOKUP(Table4[[#This Row],[Visitor]],'NHL Model'!$A$6:$B$38,2,FALSE)</f>
        <v>7.1667377873261273E-2</v>
      </c>
      <c r="J464">
        <f>($B$1+Table4[[#This Row],[Home Differential]])-Table4[[#This Row],[Away Differential]]</f>
        <v>-0.86932710232908295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0.64226510015030236</v>
      </c>
      <c r="M464" t="str">
        <f>IF(OR((NHL2025_26Results[[#This Row],[Winning Team]]="")),"-",IF(Table4[[#This Row],[Predicted Winner]]=NHL2025_26Results[[#This Row],[Winning Team]],"YES","NO"))</f>
        <v>-</v>
      </c>
      <c r="N464" t="str">
        <f>IF(Table4[[#This Row],[Adjusted Correct]]="-", "",IF(Table4[[#This Row],[Adjusted Correct]]="YES",(Table4[[#This Row],[Strength of Win]]-1)^2,(Table4[[#This Row],[Strength of Win]]-0)^2))</f>
        <v/>
      </c>
      <c r="P464" s="11"/>
    </row>
    <row r="465" spans="4:16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-0.30969050963205513</v>
      </c>
      <c r="H465" t="s">
        <v>13</v>
      </c>
      <c r="I465">
        <f>VLOOKUP(Table4[[#This Row],[Visitor]],'NHL Model'!$A$6:$B$38,2,FALSE)</f>
        <v>-0.36134162888396865</v>
      </c>
      <c r="J465">
        <f>($B$1+Table4[[#This Row],[Home Differential]])-Table4[[#This Row],[Away Differential]]</f>
        <v>0.18919450822432987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0.53432533782738778</v>
      </c>
      <c r="M465" t="str">
        <f>IF(OR((NHL2025_26Results[[#This Row],[Winning Team]]="")),"-",IF(Table4[[#This Row],[Predicted Winner]]=NHL2025_26Results[[#This Row],[Winning Team]],"YES","NO"))</f>
        <v>-</v>
      </c>
      <c r="N465" t="str">
        <f>IF(Table4[[#This Row],[Adjusted Correct]]="-", "",IF(Table4[[#This Row],[Adjusted Correct]]="YES",(Table4[[#This Row],[Strength of Win]]-1)^2,(Table4[[#This Row],[Strength of Win]]-0)^2))</f>
        <v/>
      </c>
      <c r="P465" s="11"/>
    </row>
    <row r="466" spans="4:16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-1.1236485959014608</v>
      </c>
      <c r="H466" t="s">
        <v>26</v>
      </c>
      <c r="I466">
        <f>VLOOKUP(Table4[[#This Row],[Visitor]],'NHL Model'!$A$6:$B$38,2,FALSE)</f>
        <v>-0.66335717753705836</v>
      </c>
      <c r="J466">
        <f>($B$1+Table4[[#This Row],[Home Differential]])-Table4[[#This Row],[Away Differential]]</f>
        <v>-0.3227480293919861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0.55014695255408952</v>
      </c>
      <c r="M466" t="str">
        <f>IF(OR((NHL2025_26Results[[#This Row],[Winning Team]]="")),"-",IF(Table4[[#This Row],[Predicted Winner]]=NHL2025_26Results[[#This Row],[Winning Team]],"YES","NO"))</f>
        <v>-</v>
      </c>
      <c r="N466" t="str">
        <f>IF(Table4[[#This Row],[Adjusted Correct]]="-", "",IF(Table4[[#This Row],[Adjusted Correct]]="YES",(Table4[[#This Row],[Strength of Win]]-1)^2,(Table4[[#This Row],[Strength of Win]]-0)^2))</f>
        <v/>
      </c>
      <c r="P466" s="11"/>
    </row>
    <row r="467" spans="4:16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0.42515174825138019</v>
      </c>
      <c r="H467" t="s">
        <v>28</v>
      </c>
      <c r="I467">
        <f>VLOOKUP(Table4[[#This Row],[Visitor]],'NHL Model'!$A$6:$B$38,2,FALSE)</f>
        <v>-0.59418600019583889</v>
      </c>
      <c r="J467">
        <f>($B$1+Table4[[#This Row],[Home Differential]])-Table4[[#This Row],[Away Differential]]</f>
        <v>1.1568811374196355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0.74521184997320467</v>
      </c>
      <c r="M467" t="str">
        <f>IF(OR((NHL2025_26Results[[#This Row],[Winning Team]]="")),"-",IF(Table4[[#This Row],[Predicted Winner]]=NHL2025_26Results[[#This Row],[Winning Team]],"YES","NO"))</f>
        <v>-</v>
      </c>
      <c r="N467" t="str">
        <f>IF(Table4[[#This Row],[Adjusted Correct]]="-", "",IF(Table4[[#This Row],[Adjusted Correct]]="YES",(Table4[[#This Row],[Strength of Win]]-1)^2,(Table4[[#This Row],[Strength of Win]]-0)^2))</f>
        <v/>
      </c>
      <c r="P467" s="11"/>
    </row>
    <row r="468" spans="4:16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-0.87263145033954281</v>
      </c>
      <c r="H468" t="s">
        <v>23</v>
      </c>
      <c r="I468">
        <f>VLOOKUP(Table4[[#This Row],[Visitor]],'NHL Model'!$A$6:$B$38,2,FALSE)</f>
        <v>-0.51535072045188635</v>
      </c>
      <c r="J468">
        <f>($B$1+Table4[[#This Row],[Home Differential]])-Table4[[#This Row],[Away Differential]]</f>
        <v>-0.21973734091524011</v>
      </c>
      <c r="K468" t="str">
        <f>IF(Table4[[#This Row],[HomeIce Differential]]&gt;0,Table4[[#This Row],[Home]],Table4[[#This Row],[Visitor]])</f>
        <v>Buffalo Sabres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0.45327131135728815</v>
      </c>
      <c r="M468" t="str">
        <f>IF(OR((NHL2025_26Results[[#This Row],[Winning Team]]="")),"-",IF(Table4[[#This Row],[Predicted Winner]]=NHL2025_26Results[[#This Row],[Winning Team]],"YES","NO"))</f>
        <v>-</v>
      </c>
      <c r="N468" t="str">
        <f>IF(Table4[[#This Row],[Adjusted Correct]]="-", "",IF(Table4[[#This Row],[Adjusted Correct]]="YES",(Table4[[#This Row],[Strength of Win]]-1)^2,(Table4[[#This Row],[Strength of Win]]-0)^2))</f>
        <v/>
      </c>
      <c r="P468" s="11"/>
    </row>
    <row r="469" spans="4:16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-0.74754136228530599</v>
      </c>
      <c r="H469" t="s">
        <v>37</v>
      </c>
      <c r="I469">
        <f>VLOOKUP(Table4[[#This Row],[Visitor]],'NHL Model'!$A$6:$B$38,2,FALSE)</f>
        <v>7.1667377873261273E-2</v>
      </c>
      <c r="J469">
        <f>($B$1+Table4[[#This Row],[Home Differential]])-Table4[[#This Row],[Away Differential]]</f>
        <v>-0.6816653511861509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0.61723510784120128</v>
      </c>
      <c r="M469" t="str">
        <f>IF(OR((NHL2025_26Results[[#This Row],[Winning Team]]="")),"-",IF(Table4[[#This Row],[Predicted Winner]]=NHL2025_26Results[[#This Row],[Winning Team]],"YES","NO"))</f>
        <v>-</v>
      </c>
      <c r="N469" t="str">
        <f>IF(Table4[[#This Row],[Adjusted Correct]]="-", "",IF(Table4[[#This Row],[Adjusted Correct]]="YES",(Table4[[#This Row],[Strength of Win]]-1)^2,(Table4[[#This Row],[Strength of Win]]-0)^2))</f>
        <v/>
      </c>
      <c r="P469" s="11"/>
    </row>
    <row r="470" spans="4:16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-1.4957350924899622</v>
      </c>
      <c r="H470" t="s">
        <v>12</v>
      </c>
      <c r="I470">
        <f>VLOOKUP(Table4[[#This Row],[Visitor]],'NHL Model'!$A$6:$B$38,2,FALSE)</f>
        <v>1.4458345276269271</v>
      </c>
      <c r="J470">
        <f>($B$1+Table4[[#This Row],[Home Differential]])-Table4[[#This Row],[Away Differential]]</f>
        <v>-2.8040262311444728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0.9264822449672887</v>
      </c>
      <c r="M470" t="str">
        <f>IF(OR((NHL2025_26Results[[#This Row],[Winning Team]]="")),"-",IF(Table4[[#This Row],[Predicted Winner]]=NHL2025_26Results[[#This Row],[Winning Team]],"YES","NO"))</f>
        <v>-</v>
      </c>
      <c r="N470" t="str">
        <f>IF(Table4[[#This Row],[Adjusted Correct]]="-", "",IF(Table4[[#This Row],[Adjusted Correct]]="YES",(Table4[[#This Row],[Strength of Win]]-1)^2,(Table4[[#This Row],[Strength of Win]]-0)^2))</f>
        <v/>
      </c>
      <c r="P470" s="11"/>
    </row>
    <row r="471" spans="4:16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3.838472305373858E-3</v>
      </c>
      <c r="H471" t="s">
        <v>20</v>
      </c>
      <c r="I471">
        <f>VLOOKUP(Table4[[#This Row],[Visitor]],'NHL Model'!$A$6:$B$38,2,FALSE)</f>
        <v>0.12073374225454764</v>
      </c>
      <c r="J471">
        <f>($B$1+Table4[[#This Row],[Home Differential]])-Table4[[#This Row],[Away Differential]]</f>
        <v>2.0648119023242567E-2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0.52198477881024685</v>
      </c>
      <c r="M471" t="str">
        <f>IF(OR((NHL2025_26Results[[#This Row],[Winning Team]]="")),"-",IF(Table4[[#This Row],[Predicted Winner]]=NHL2025_26Results[[#This Row],[Winning Team]],"YES","NO"))</f>
        <v>-</v>
      </c>
      <c r="N471" t="str">
        <f>IF(Table4[[#This Row],[Adjusted Correct]]="-", "",IF(Table4[[#This Row],[Adjusted Correct]]="YES",(Table4[[#This Row],[Strength of Win]]-1)^2,(Table4[[#This Row],[Strength of Win]]-0)^2))</f>
        <v/>
      </c>
      <c r="P471" s="11"/>
    </row>
    <row r="472" spans="4:16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-0.31751962084606655</v>
      </c>
      <c r="H472" t="s">
        <v>24</v>
      </c>
      <c r="I472">
        <f>VLOOKUP(Table4[[#This Row],[Visitor]],'NHL Model'!$A$6:$B$38,2,FALSE)</f>
        <v>-1.8032585202533785E-2</v>
      </c>
      <c r="J472">
        <f>($B$1+Table4[[#This Row],[Home Differential]])-Table4[[#This Row],[Away Differential]]</f>
        <v>-0.16194364667111641</v>
      </c>
      <c r="K472" t="str">
        <f>IF(Table4[[#This Row],[HomeIce Differential]]&gt;0,Table4[[#This Row],[Home]],Table4[[#This Row],[Visitor]])</f>
        <v>New Jersey Devils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0.47993309037491882</v>
      </c>
      <c r="M472" t="str">
        <f>IF(OR((NHL2025_26Results[[#This Row],[Winning Team]]="")),"-",IF(Table4[[#This Row],[Predicted Winner]]=NHL2025_26Results[[#This Row],[Winning Team]],"YES","NO"))</f>
        <v>-</v>
      </c>
      <c r="N472" t="str">
        <f>IF(Table4[[#This Row],[Adjusted Correct]]="-", "",IF(Table4[[#This Row],[Adjusted Correct]]="YES",(Table4[[#This Row],[Strength of Win]]-1)^2,(Table4[[#This Row],[Strength of Win]]-0)^2))</f>
        <v/>
      </c>
      <c r="P472" s="11"/>
    </row>
    <row r="473" spans="4:16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-0.42203126246971279</v>
      </c>
      <c r="H473" t="s">
        <v>33</v>
      </c>
      <c r="I473">
        <f>VLOOKUP(Table4[[#This Row],[Visitor]],'NHL Model'!$A$6:$B$38,2,FALSE)</f>
        <v>-0.36178381286707545</v>
      </c>
      <c r="J473">
        <f>($B$1+Table4[[#This Row],[Home Differential]])-Table4[[#This Row],[Away Differential]]</f>
        <v>7.7295939369779021E-2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0.58255566143003268</v>
      </c>
      <c r="M473" t="str">
        <f>IF(OR((NHL2025_26Results[[#This Row],[Winning Team]]="")),"-",IF(Table4[[#This Row],[Predicted Winner]]=NHL2025_26Results[[#This Row],[Winning Team]],"YES","NO"))</f>
        <v>-</v>
      </c>
      <c r="N473" t="str">
        <f>IF(Table4[[#This Row],[Adjusted Correct]]="-", "",IF(Table4[[#This Row],[Adjusted Correct]]="YES",(Table4[[#This Row],[Strength of Win]]-1)^2,(Table4[[#This Row],[Strength of Win]]-0)^2))</f>
        <v/>
      </c>
      <c r="P473" s="11"/>
    </row>
    <row r="474" spans="4:16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-0.2090057419115289</v>
      </c>
      <c r="H474" t="s">
        <v>31</v>
      </c>
      <c r="I474">
        <f>VLOOKUP(Table4[[#This Row],[Visitor]],'NHL Model'!$A$6:$B$38,2,FALSE)</f>
        <v>0.34329638981067145</v>
      </c>
      <c r="J474">
        <f>($B$1+Table4[[#This Row],[Home Differential]])-Table4[[#This Row],[Away Differential]]</f>
        <v>-0.41475874274978397</v>
      </c>
      <c r="K474" t="str">
        <f>IF(Table4[[#This Row],[HomeIce Differential]]&gt;0,Table4[[#This Row],[Home]],Table4[[#This Row],[Visitor]])</f>
        <v>Anaheim Ducks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0.53608901798177</v>
      </c>
      <c r="M474" t="str">
        <f>IF(OR((NHL2025_26Results[[#This Row],[Winning Team]]="")),"-",IF(Table4[[#This Row],[Predicted Winner]]=NHL2025_26Results[[#This Row],[Winning Team]],"YES","NO"))</f>
        <v>-</v>
      </c>
      <c r="N474" t="str">
        <f>IF(Table4[[#This Row],[Adjusted Correct]]="-", "",IF(Table4[[#This Row],[Adjusted Correct]]="YES",(Table4[[#This Row],[Strength of Win]]-1)^2,(Table4[[#This Row],[Strength of Win]]-0)^2))</f>
        <v/>
      </c>
      <c r="P474" s="11"/>
    </row>
    <row r="475" spans="4:16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-1.5569791149906038</v>
      </c>
      <c r="H475" t="s">
        <v>21</v>
      </c>
      <c r="I475">
        <f>VLOOKUP(Table4[[#This Row],[Visitor]],'NHL Model'!$A$6:$B$38,2,FALSE)</f>
        <v>-0.14464931395309213</v>
      </c>
      <c r="J475">
        <f>($B$1+Table4[[#This Row],[Home Differential]])-Table4[[#This Row],[Away Differential]]</f>
        <v>-1.2747864120650951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0.63002875596867514</v>
      </c>
      <c r="M475" t="str">
        <f>IF(OR((NHL2025_26Results[[#This Row],[Winning Team]]="")),"-",IF(Table4[[#This Row],[Predicted Winner]]=NHL2025_26Results[[#This Row],[Winning Team]],"YES","NO"))</f>
        <v>-</v>
      </c>
      <c r="N475" t="str">
        <f>IF(Table4[[#This Row],[Adjusted Correct]]="-", "",IF(Table4[[#This Row],[Adjusted Correct]]="YES",(Table4[[#This Row],[Strength of Win]]-1)^2,(Table4[[#This Row],[Strength of Win]]-0)^2))</f>
        <v/>
      </c>
      <c r="P475" s="11"/>
    </row>
    <row r="476" spans="4:16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-6.0247860940930854E-2</v>
      </c>
      <c r="H476" t="s">
        <v>39</v>
      </c>
      <c r="I476">
        <f>VLOOKUP(Table4[[#This Row],[Visitor]],'NHL Model'!$A$6:$B$38,2,FALSE)</f>
        <v>4.3828122498436855E-3</v>
      </c>
      <c r="J476">
        <f>($B$1+Table4[[#This Row],[Home Differential]])-Table4[[#This Row],[Away Differential]]</f>
        <v>7.2912715781641824E-2</v>
      </c>
      <c r="K476" t="str">
        <f>IF(Table4[[#This Row],[HomeIce Differential]]&gt;0,Table4[[#This Row],[Home]],Table4[[#This Row],[Visitor]])</f>
        <v>Winnipeg Jets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0.4712634305539119</v>
      </c>
      <c r="M476" t="str">
        <f>IF(OR((NHL2025_26Results[[#This Row],[Winning Team]]="")),"-",IF(Table4[[#This Row],[Predicted Winner]]=NHL2025_26Results[[#This Row],[Winning Team]],"YES","NO"))</f>
        <v>-</v>
      </c>
      <c r="N476" t="str">
        <f>IF(Table4[[#This Row],[Adjusted Correct]]="-", "",IF(Table4[[#This Row],[Adjusted Correct]]="YES",(Table4[[#This Row],[Strength of Win]]-1)^2,(Table4[[#This Row],[Strength of Win]]-0)^2))</f>
        <v/>
      </c>
      <c r="P476" s="11"/>
    </row>
    <row r="477" spans="4:16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-1.0952038865534519</v>
      </c>
      <c r="H477" t="s">
        <v>26</v>
      </c>
      <c r="I477">
        <f>VLOOKUP(Table4[[#This Row],[Visitor]],'NHL Model'!$A$6:$B$38,2,FALSE)</f>
        <v>-0.66335717753705836</v>
      </c>
      <c r="J477">
        <f>($B$1+Table4[[#This Row],[Home Differential]])-Table4[[#This Row],[Away Differential]]</f>
        <v>-0.29430332004397719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0.54635304755278213</v>
      </c>
      <c r="M477" t="str">
        <f>IF(OR((NHL2025_26Results[[#This Row],[Winning Team]]="")),"-",IF(Table4[[#This Row],[Predicted Winner]]=NHL2025_26Results[[#This Row],[Winning Team]],"YES","NO"))</f>
        <v>-</v>
      </c>
      <c r="N477" t="str">
        <f>IF(Table4[[#This Row],[Adjusted Correct]]="-", "",IF(Table4[[#This Row],[Adjusted Correct]]="YES",(Table4[[#This Row],[Strength of Win]]-1)^2,(Table4[[#This Row],[Strength of Win]]-0)^2))</f>
        <v/>
      </c>
      <c r="P477" s="11"/>
    </row>
    <row r="478" spans="4:16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-0.15263505358797036</v>
      </c>
      <c r="H478" t="s">
        <v>15</v>
      </c>
      <c r="I478">
        <f>VLOOKUP(Table4[[#This Row],[Visitor]],'NHL Model'!$A$6:$B$38,2,FALSE)</f>
        <v>-0.49835870184734621</v>
      </c>
      <c r="J478">
        <f>($B$1+Table4[[#This Row],[Home Differential]])-Table4[[#This Row],[Away Differential]]</f>
        <v>0.48326703723179221</v>
      </c>
      <c r="K478" t="str">
        <f>IF(Table4[[#This Row],[HomeIce Differential]]&gt;0,Table4[[#This Row],[Home]],Table4[[#This Row],[Visitor]])</f>
        <v>Chicago Blackhawks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0.52097904143888862</v>
      </c>
      <c r="M478" t="str">
        <f>IF(OR((NHL2025_26Results[[#This Row],[Winning Team]]="")),"-",IF(Table4[[#This Row],[Predicted Winner]]=NHL2025_26Results[[#This Row],[Winning Team]],"YES","NO"))</f>
        <v>-</v>
      </c>
      <c r="N478" t="str">
        <f>IF(Table4[[#This Row],[Adjusted Correct]]="-", "",IF(Table4[[#This Row],[Adjusted Correct]]="YES",(Table4[[#This Row],[Strength of Win]]-1)^2,(Table4[[#This Row],[Strength of Win]]-0)^2))</f>
        <v/>
      </c>
      <c r="P478" s="11"/>
    </row>
    <row r="479" spans="4:16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-0.45007023285116615</v>
      </c>
      <c r="H479" t="s">
        <v>13</v>
      </c>
      <c r="I479">
        <f>VLOOKUP(Table4[[#This Row],[Visitor]],'NHL Model'!$A$6:$B$38,2,FALSE)</f>
        <v>-0.36134162888396865</v>
      </c>
      <c r="J479">
        <f>($B$1+Table4[[#This Row],[Home Differential]])-Table4[[#This Row],[Away Differential]]</f>
        <v>4.8814785005218853E-2</v>
      </c>
      <c r="K479" t="str">
        <f>IF(Table4[[#This Row],[HomeIce Differential]]&gt;0,Table4[[#This Row],[Home]],Table4[[#This Row],[Visitor]])</f>
        <v>Seattle Kraken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0.48926945033826286</v>
      </c>
      <c r="M479" t="str">
        <f>IF(OR((NHL2025_26Results[[#This Row],[Winning Team]]="")),"-",IF(Table4[[#This Row],[Predicted Winner]]=NHL2025_26Results[[#This Row],[Winning Team]],"YES","NO"))</f>
        <v>-</v>
      </c>
      <c r="N479" t="str">
        <f>IF(Table4[[#This Row],[Adjusted Correct]]="-", "",IF(Table4[[#This Row],[Adjusted Correct]]="YES",(Table4[[#This Row],[Strength of Win]]-1)^2,(Table4[[#This Row],[Strength of Win]]-0)^2))</f>
        <v/>
      </c>
      <c r="P479" s="11"/>
    </row>
    <row r="480" spans="4:16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-0.30969050963205513</v>
      </c>
      <c r="H480" t="s">
        <v>11</v>
      </c>
      <c r="I480">
        <f>VLOOKUP(Table4[[#This Row],[Visitor]],'NHL Model'!$A$6:$B$38,2,FALSE)</f>
        <v>-0.37836939589441088</v>
      </c>
      <c r="J480">
        <f>($B$1+Table4[[#This Row],[Home Differential]])-Table4[[#This Row],[Away Differential]]</f>
        <v>0.2062222752347721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0.61922153850188666</v>
      </c>
      <c r="M480" t="str">
        <f>IF(OR((NHL2025_26Results[[#This Row],[Winning Team]]="")),"-",IF(Table4[[#This Row],[Predicted Winner]]=NHL2025_26Results[[#This Row],[Winning Team]],"YES","NO"))</f>
        <v>-</v>
      </c>
      <c r="N480" t="str">
        <f>IF(Table4[[#This Row],[Adjusted Correct]]="-", "",IF(Table4[[#This Row],[Adjusted Correct]]="YES",(Table4[[#This Row],[Strength of Win]]-1)^2,(Table4[[#This Row],[Strength of Win]]-0)^2))</f>
        <v/>
      </c>
      <c r="P480" s="11"/>
    </row>
    <row r="481" spans="4:16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-0.59418600019583889</v>
      </c>
      <c r="H481" t="s">
        <v>36</v>
      </c>
      <c r="I481">
        <f>VLOOKUP(Table4[[#This Row],[Visitor]],'NHL Model'!$A$6:$B$38,2,FALSE)</f>
        <v>-0.31751962084606655</v>
      </c>
      <c r="J481">
        <f>($B$1+Table4[[#This Row],[Home Differential]])-Table4[[#This Row],[Away Differential]]</f>
        <v>-0.13912299037735598</v>
      </c>
      <c r="K481" t="str">
        <f>IF(Table4[[#This Row],[HomeIce Differential]]&gt;0,Table4[[#This Row],[Home]],Table4[[#This Row],[Visitor]])</f>
        <v>Ottawa Senators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0.49224018881148113</v>
      </c>
      <c r="M481" t="str">
        <f>IF(OR((NHL2025_26Results[[#This Row],[Winning Team]]="")),"-",IF(Table4[[#This Row],[Predicted Winner]]=NHL2025_26Results[[#This Row],[Winning Team]],"YES","NO"))</f>
        <v>-</v>
      </c>
      <c r="N481" t="str">
        <f>IF(Table4[[#This Row],[Adjusted Correct]]="-", "",IF(Table4[[#This Row],[Adjusted Correct]]="YES",(Table4[[#This Row],[Strength of Win]]-1)^2,(Table4[[#This Row],[Strength of Win]]-0)^2))</f>
        <v/>
      </c>
      <c r="P481" s="11"/>
    </row>
    <row r="482" spans="4:16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1.4458345276269271</v>
      </c>
      <c r="H482" t="s">
        <v>11</v>
      </c>
      <c r="I482">
        <f>VLOOKUP(Table4[[#This Row],[Visitor]],'NHL Model'!$A$6:$B$38,2,FALSE)</f>
        <v>-0.37836939589441088</v>
      </c>
      <c r="J482">
        <f>($B$1+Table4[[#This Row],[Home Differential]])-Table4[[#This Row],[Away Differential]]</f>
        <v>1.9617473124937543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0.89657502024457614</v>
      </c>
      <c r="M482" t="str">
        <f>IF(OR((NHL2025_26Results[[#This Row],[Winning Team]]="")),"-",IF(Table4[[#This Row],[Predicted Winner]]=NHL2025_26Results[[#This Row],[Winning Team]],"YES","NO"))</f>
        <v>-</v>
      </c>
      <c r="N482" t="str">
        <f>IF(Table4[[#This Row],[Adjusted Correct]]="-", "",IF(Table4[[#This Row],[Adjusted Correct]]="YES",(Table4[[#This Row],[Strength of Win]]-1)^2,(Table4[[#This Row],[Strength of Win]]-0)^2))</f>
        <v/>
      </c>
      <c r="P482" s="11"/>
    </row>
    <row r="483" spans="4:16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-0.87263145033954281</v>
      </c>
      <c r="H483" t="s">
        <v>26</v>
      </c>
      <c r="I483">
        <f>VLOOKUP(Table4[[#This Row],[Visitor]],'NHL Model'!$A$6:$B$38,2,FALSE)</f>
        <v>-0.66335717753705836</v>
      </c>
      <c r="J483">
        <f>($B$1+Table4[[#This Row],[Home Differential]])-Table4[[#This Row],[Away Differential]]</f>
        <v>-7.1730883830068093E-2</v>
      </c>
      <c r="K483" t="str">
        <f>IF(Table4[[#This Row],[HomeIce Differential]]&gt;0,Table4[[#This Row],[Home]],Table4[[#This Row],[Visitor]])</f>
        <v>Detroit Red Wings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0.48015557365506123</v>
      </c>
      <c r="M483" t="str">
        <f>IF(OR((NHL2025_26Results[[#This Row],[Winning Team]]="")),"-",IF(Table4[[#This Row],[Predicted Winner]]=NHL2025_26Results[[#This Row],[Winning Team]],"YES","NO"))</f>
        <v>-</v>
      </c>
      <c r="N483" t="str">
        <f>IF(Table4[[#This Row],[Adjusted Correct]]="-", "",IF(Table4[[#This Row],[Adjusted Correct]]="YES",(Table4[[#This Row],[Strength of Win]]-1)^2,(Table4[[#This Row],[Strength of Win]]-0)^2))</f>
        <v/>
      </c>
      <c r="P483" s="11"/>
    </row>
    <row r="484" spans="4:16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-0.16358905079701039</v>
      </c>
      <c r="H484" t="s">
        <v>39</v>
      </c>
      <c r="I484">
        <f>VLOOKUP(Table4[[#This Row],[Visitor]],'NHL Model'!$A$6:$B$38,2,FALSE)</f>
        <v>4.3828122498436855E-3</v>
      </c>
      <c r="J484">
        <f>($B$1+Table4[[#This Row],[Home Differential]])-Table4[[#This Row],[Away Differential]]</f>
        <v>-3.0428474074437717E-2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0.54501676496388274</v>
      </c>
      <c r="M484" t="str">
        <f>IF(OR((NHL2025_26Results[[#This Row],[Winning Team]]="")),"-",IF(Table4[[#This Row],[Predicted Winner]]=NHL2025_26Results[[#This Row],[Winning Team]],"YES","NO"))</f>
        <v>-</v>
      </c>
      <c r="N484" t="str">
        <f>IF(Table4[[#This Row],[Adjusted Correct]]="-", "",IF(Table4[[#This Row],[Adjusted Correct]]="YES",(Table4[[#This Row],[Strength of Win]]-1)^2,(Table4[[#This Row],[Strength of Win]]-0)^2))</f>
        <v/>
      </c>
      <c r="P484" s="11"/>
    </row>
    <row r="485" spans="4:16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-1.8032585202533785E-2</v>
      </c>
      <c r="H485" t="s">
        <v>37</v>
      </c>
      <c r="I485">
        <f>VLOOKUP(Table4[[#This Row],[Visitor]],'NHL Model'!$A$6:$B$38,2,FALSE)</f>
        <v>7.1667377873261273E-2</v>
      </c>
      <c r="J485">
        <f>($B$1+Table4[[#This Row],[Home Differential]])-Table4[[#This Row],[Away Differential]]</f>
        <v>4.78434258966213E-2</v>
      </c>
      <c r="K485" t="str">
        <f>IF(Table4[[#This Row],[HomeIce Differential]]&gt;0,Table4[[#This Row],[Home]],Table4[[#This Row],[Visitor]])</f>
        <v>New Jersey Devils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0.59960161047252647</v>
      </c>
      <c r="M485" t="str">
        <f>IF(OR((NHL2025_26Results[[#This Row],[Winning Team]]="")),"-",IF(Table4[[#This Row],[Predicted Winner]]=NHL2025_26Results[[#This Row],[Winning Team]],"YES","NO"))</f>
        <v>-</v>
      </c>
      <c r="N485" t="str">
        <f>IF(Table4[[#This Row],[Adjusted Correct]]="-", "",IF(Table4[[#This Row],[Adjusted Correct]]="YES",(Table4[[#This Row],[Strength of Win]]-1)^2,(Table4[[#This Row],[Strength of Win]]-0)^2))</f>
        <v/>
      </c>
      <c r="P485" s="11"/>
    </row>
    <row r="486" spans="4:16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-1.4957350924899622</v>
      </c>
      <c r="H486" t="s">
        <v>35</v>
      </c>
      <c r="I486">
        <f>VLOOKUP(Table4[[#This Row],[Visitor]],'NHL Model'!$A$6:$B$38,2,FALSE)</f>
        <v>-1.5569791149906038</v>
      </c>
      <c r="J486">
        <f>($B$1+Table4[[#This Row],[Home Differential]])-Table4[[#This Row],[Away Differential]]</f>
        <v>0.19878741147305812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0.56651391319761835</v>
      </c>
      <c r="M486" t="str">
        <f>IF(OR((NHL2025_26Results[[#This Row],[Winning Team]]="")),"-",IF(Table4[[#This Row],[Predicted Winner]]=NHL2025_26Results[[#This Row],[Winning Team]],"YES","NO"))</f>
        <v>-</v>
      </c>
      <c r="N486" t="str">
        <f>IF(Table4[[#This Row],[Adjusted Correct]]="-", "",IF(Table4[[#This Row],[Adjusted Correct]]="YES",(Table4[[#This Row],[Strength of Win]]-1)^2,(Table4[[#This Row],[Strength of Win]]-0)^2))</f>
        <v/>
      </c>
      <c r="P486" s="11"/>
    </row>
    <row r="487" spans="4:16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3.838472305373858E-3</v>
      </c>
      <c r="H487" t="s">
        <v>31</v>
      </c>
      <c r="I487">
        <f>VLOOKUP(Table4[[#This Row],[Visitor]],'NHL Model'!$A$6:$B$38,2,FALSE)</f>
        <v>0.34329638981067145</v>
      </c>
      <c r="J487">
        <f>($B$1+Table4[[#This Row],[Home Differential]])-Table4[[#This Row],[Away Differential]]</f>
        <v>-0.20191452853288125</v>
      </c>
      <c r="K487" t="str">
        <f>IF(Table4[[#This Row],[HomeIce Differential]]&gt;0,Table4[[#This Row],[Home]],Table4[[#This Row],[Visitor]])</f>
        <v>Anaheim Ducks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0.50770023330700664</v>
      </c>
      <c r="M487" t="str">
        <f>IF(OR((NHL2025_26Results[[#This Row],[Winning Team]]="")),"-",IF(Table4[[#This Row],[Predicted Winner]]=NHL2025_26Results[[#This Row],[Winning Team]],"YES","NO"))</f>
        <v>-</v>
      </c>
      <c r="N487" t="str">
        <f>IF(Table4[[#This Row],[Adjusted Correct]]="-", "",IF(Table4[[#This Row],[Adjusted Correct]]="YES",(Table4[[#This Row],[Strength of Win]]-1)^2,(Table4[[#This Row],[Strength of Win]]-0)^2))</f>
        <v/>
      </c>
      <c r="P487" s="11"/>
    </row>
    <row r="488" spans="4:16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-0.42203126246971279</v>
      </c>
      <c r="H488" t="s">
        <v>20</v>
      </c>
      <c r="I488">
        <f>VLOOKUP(Table4[[#This Row],[Visitor]],'NHL Model'!$A$6:$B$38,2,FALSE)</f>
        <v>0.12073374225454764</v>
      </c>
      <c r="J488">
        <f>($B$1+Table4[[#This Row],[Home Differential]])-Table4[[#This Row],[Away Differential]]</f>
        <v>-0.40522161575184407</v>
      </c>
      <c r="K488" t="str">
        <f>IF(Table4[[#This Row],[HomeIce Differential]]&gt;0,Table4[[#This Row],[Home]],Table4[[#This Row],[Visitor]])</f>
        <v>Vegas Golden Knights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0.50232360415800204</v>
      </c>
      <c r="M488" t="str">
        <f>IF(OR((NHL2025_26Results[[#This Row],[Winning Team]]="")),"-",IF(Table4[[#This Row],[Predicted Winner]]=NHL2025_26Results[[#This Row],[Winning Team]],"YES","NO"))</f>
        <v>-</v>
      </c>
      <c r="N488" t="str">
        <f>IF(Table4[[#This Row],[Adjusted Correct]]="-", "",IF(Table4[[#This Row],[Adjusted Correct]]="YES",(Table4[[#This Row],[Strength of Win]]-1)^2,(Table4[[#This Row],[Strength of Win]]-0)^2))</f>
        <v/>
      </c>
      <c r="P488" s="11"/>
    </row>
    <row r="489" spans="4:16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-0.2090057419115289</v>
      </c>
      <c r="H489" t="s">
        <v>18</v>
      </c>
      <c r="I489">
        <f>VLOOKUP(Table4[[#This Row],[Visitor]],'NHL Model'!$A$6:$B$38,2,FALSE)</f>
        <v>-0.74754136228530599</v>
      </c>
      <c r="J489">
        <f>($B$1+Table4[[#This Row],[Home Differential]])-Table4[[#This Row],[Away Differential]]</f>
        <v>0.67607900934619347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0.58307483049693354</v>
      </c>
      <c r="M489" t="str">
        <f>IF(OR((NHL2025_26Results[[#This Row],[Winning Team]]="")),"-",IF(Table4[[#This Row],[Predicted Winner]]=NHL2025_26Results[[#This Row],[Winning Team]],"YES","NO"))</f>
        <v>-</v>
      </c>
      <c r="N489" t="str">
        <f>IF(Table4[[#This Row],[Adjusted Correct]]="-", "",IF(Table4[[#This Row],[Adjusted Correct]]="YES",(Table4[[#This Row],[Strength of Win]]-1)^2,(Table4[[#This Row],[Strength of Win]]-0)^2))</f>
        <v/>
      </c>
      <c r="P489" s="11"/>
    </row>
    <row r="490" spans="4:16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-0.93520311342823803</v>
      </c>
      <c r="H490" t="s">
        <v>33</v>
      </c>
      <c r="I490">
        <f>VLOOKUP(Table4[[#This Row],[Visitor]],'NHL Model'!$A$6:$B$38,2,FALSE)</f>
        <v>-0.36178381286707545</v>
      </c>
      <c r="J490">
        <f>($B$1+Table4[[#This Row],[Home Differential]])-Table4[[#This Row],[Away Differential]]</f>
        <v>-0.43587591158874622</v>
      </c>
      <c r="K490" t="str">
        <f>IF(Table4[[#This Row],[HomeIce Differential]]&gt;0,Table4[[#This Row],[Home]],Table4[[#This Row],[Visitor]])</f>
        <v>San Jose Sharks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0.51813635782647671</v>
      </c>
      <c r="M490" t="str">
        <f>IF(OR((NHL2025_26Results[[#This Row],[Winning Team]]="")),"-",IF(Table4[[#This Row],[Predicted Winner]]=NHL2025_26Results[[#This Row],[Winning Team]],"YES","NO"))</f>
        <v>-</v>
      </c>
      <c r="N490" t="str">
        <f>IF(Table4[[#This Row],[Adjusted Correct]]="-", "",IF(Table4[[#This Row],[Adjusted Correct]]="YES",(Table4[[#This Row],[Strength of Win]]-1)^2,(Table4[[#This Row],[Strength of Win]]-0)^2))</f>
        <v/>
      </c>
      <c r="P490" s="11"/>
    </row>
    <row r="491" spans="4:16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-1.1236485959014608</v>
      </c>
      <c r="H491" t="s">
        <v>23</v>
      </c>
      <c r="I491">
        <f>VLOOKUP(Table4[[#This Row],[Visitor]],'NHL Model'!$A$6:$B$38,2,FALSE)</f>
        <v>-0.51535072045188635</v>
      </c>
      <c r="J491">
        <f>($B$1+Table4[[#This Row],[Home Differential]])-Table4[[#This Row],[Away Differential]]</f>
        <v>-0.47075448647715812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0.52278840042915087</v>
      </c>
      <c r="M491" t="str">
        <f>IF(OR((NHL2025_26Results[[#This Row],[Winning Team]]="")),"-",IF(Table4[[#This Row],[Predicted Winner]]=NHL2025_26Results[[#This Row],[Winning Team]],"YES","NO"))</f>
        <v>-</v>
      </c>
      <c r="N491" t="str">
        <f>IF(Table4[[#This Row],[Adjusted Correct]]="-", "",IF(Table4[[#This Row],[Adjusted Correct]]="YES",(Table4[[#This Row],[Strength of Win]]-1)^2,(Table4[[#This Row],[Strength of Win]]-0)^2))</f>
        <v/>
      </c>
      <c r="P491" s="11"/>
    </row>
    <row r="492" spans="4:16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-6.0247860940930854E-2</v>
      </c>
      <c r="H492" t="s">
        <v>21</v>
      </c>
      <c r="I492">
        <f>VLOOKUP(Table4[[#This Row],[Visitor]],'NHL Model'!$A$6:$B$38,2,FALSE)</f>
        <v>-0.14464931395309213</v>
      </c>
      <c r="J492">
        <f>($B$1+Table4[[#This Row],[Home Differential]])-Table4[[#This Row],[Away Differential]]</f>
        <v>0.22194484198457765</v>
      </c>
      <c r="K492" t="str">
        <f>IF(Table4[[#This Row],[HomeIce Differential]]&gt;0,Table4[[#This Row],[Home]],Table4[[#This Row],[Visitor]])</f>
        <v>Winnipeg Jets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0.57209808950763752</v>
      </c>
      <c r="M492" t="str">
        <f>IF(OR((NHL2025_26Results[[#This Row],[Winning Team]]="")),"-",IF(Table4[[#This Row],[Predicted Winner]]=NHL2025_26Results[[#This Row],[Winning Team]],"YES","NO"))</f>
        <v>-</v>
      </c>
      <c r="N492" t="str">
        <f>IF(Table4[[#This Row],[Adjusted Correct]]="-", "",IF(Table4[[#This Row],[Adjusted Correct]]="YES",(Table4[[#This Row],[Strength of Win]]-1)^2,(Table4[[#This Row],[Strength of Win]]-0)^2))</f>
        <v/>
      </c>
      <c r="P492" s="11"/>
    </row>
    <row r="493" spans="4:16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6.4811420118814619E-2</v>
      </c>
      <c r="H493" t="s">
        <v>25</v>
      </c>
      <c r="I493">
        <f>VLOOKUP(Table4[[#This Row],[Visitor]],'NHL Model'!$A$6:$B$38,2,FALSE)</f>
        <v>0.42515174825138019</v>
      </c>
      <c r="J493">
        <f>($B$1+Table4[[#This Row],[Home Differential]])-Table4[[#This Row],[Away Differential]]</f>
        <v>-0.2227969391601492</v>
      </c>
      <c r="K493" t="str">
        <f>IF(Table4[[#This Row],[HomeIce Differential]]&gt;0,Table4[[#This Row],[Home]],Table4[[#This Row],[Visitor]])</f>
        <v>Carolina Hurricanes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0.56233943062468705</v>
      </c>
      <c r="M493" t="str">
        <f>IF(OR((NHL2025_26Results[[#This Row],[Winning Team]]="")),"-",IF(Table4[[#This Row],[Predicted Winner]]=NHL2025_26Results[[#This Row],[Winning Team]],"YES","NO"))</f>
        <v>-</v>
      </c>
      <c r="N493" t="str">
        <f>IF(Table4[[#This Row],[Adjusted Correct]]="-", "",IF(Table4[[#This Row],[Adjusted Correct]]="YES",(Table4[[#This Row],[Strength of Win]]-1)^2,(Table4[[#This Row],[Strength of Win]]-0)^2))</f>
        <v/>
      </c>
      <c r="P493" s="11"/>
    </row>
    <row r="494" spans="4:16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-1.5569791149906038</v>
      </c>
      <c r="H494" t="s">
        <v>10</v>
      </c>
      <c r="I494">
        <f>VLOOKUP(Table4[[#This Row],[Visitor]],'NHL Model'!$A$6:$B$38,2,FALSE)</f>
        <v>-0.15263505358797036</v>
      </c>
      <c r="J494">
        <f>($B$1+Table4[[#This Row],[Home Differential]])-Table4[[#This Row],[Away Differential]]</f>
        <v>-1.266800672430217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0.62896363214655304</v>
      </c>
      <c r="M494" t="str">
        <f>IF(OR((NHL2025_26Results[[#This Row],[Winning Team]]="")),"-",IF(Table4[[#This Row],[Predicted Winner]]=NHL2025_26Results[[#This Row],[Winning Team]],"YES","NO"))</f>
        <v>-</v>
      </c>
      <c r="N494" t="str">
        <f>IF(Table4[[#This Row],[Adjusted Correct]]="-", "",IF(Table4[[#This Row],[Adjusted Correct]]="YES",(Table4[[#This Row],[Strength of Win]]-1)^2,(Table4[[#This Row],[Strength of Win]]-0)^2))</f>
        <v/>
      </c>
      <c r="P494" s="11"/>
    </row>
    <row r="495" spans="4:16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-0.30969050963205513</v>
      </c>
      <c r="H495" t="s">
        <v>32</v>
      </c>
      <c r="I495">
        <f>VLOOKUP(Table4[[#This Row],[Visitor]],'NHL Model'!$A$6:$B$38,2,FALSE)</f>
        <v>-0.45007023285116615</v>
      </c>
      <c r="J495">
        <f>($B$1+Table4[[#This Row],[Home Differential]])-Table4[[#This Row],[Away Differential]]</f>
        <v>0.27792311219152738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0.62878486926403432</v>
      </c>
      <c r="M495" t="str">
        <f>IF(OR((NHL2025_26Results[[#This Row],[Winning Team]]="")),"-",IF(Table4[[#This Row],[Predicted Winner]]=NHL2025_26Results[[#This Row],[Winning Team]],"YES","NO"))</f>
        <v>-</v>
      </c>
      <c r="N495" t="str">
        <f>IF(Table4[[#This Row],[Adjusted Correct]]="-", "",IF(Table4[[#This Row],[Adjusted Correct]]="YES",(Table4[[#This Row],[Strength of Win]]-1)^2,(Table4[[#This Row],[Strength of Win]]-0)^2))</f>
        <v/>
      </c>
      <c r="P495" s="11"/>
    </row>
    <row r="496" spans="4:16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-0.59418600019583889</v>
      </c>
      <c r="H496" t="s">
        <v>20</v>
      </c>
      <c r="I496">
        <f>VLOOKUP(Table4[[#This Row],[Visitor]],'NHL Model'!$A$6:$B$38,2,FALSE)</f>
        <v>0.12073374225454764</v>
      </c>
      <c r="J496">
        <f>($B$1+Table4[[#This Row],[Home Differential]])-Table4[[#This Row],[Away Differential]]</f>
        <v>-0.57737635347797012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0.55069364691382594</v>
      </c>
      <c r="M496" t="str">
        <f>IF(OR((NHL2025_26Results[[#This Row],[Winning Team]]="")),"-",IF(Table4[[#This Row],[Predicted Winner]]=NHL2025_26Results[[#This Row],[Winning Team]],"YES","NO"))</f>
        <v>-</v>
      </c>
      <c r="N496" t="str">
        <f>IF(Table4[[#This Row],[Adjusted Correct]]="-", "",IF(Table4[[#This Row],[Adjusted Correct]]="YES",(Table4[[#This Row],[Strength of Win]]-1)^2,(Table4[[#This Row],[Strength of Win]]-0)^2))</f>
        <v/>
      </c>
      <c r="P496" s="11"/>
    </row>
    <row r="497" spans="4:16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-0.15263505358797036</v>
      </c>
      <c r="H497" t="s">
        <v>26</v>
      </c>
      <c r="I497">
        <f>VLOOKUP(Table4[[#This Row],[Visitor]],'NHL Model'!$A$6:$B$38,2,FALSE)</f>
        <v>-0.66335717753705836</v>
      </c>
      <c r="J497">
        <f>($B$1+Table4[[#This Row],[Home Differential]])-Table4[[#This Row],[Away Differential]]</f>
        <v>0.64826551292150436</v>
      </c>
      <c r="K497" t="str">
        <f>IF(Table4[[#This Row],[HomeIce Differential]]&gt;0,Table4[[#This Row],[Home]],Table4[[#This Row],[Visitor]])</f>
        <v>Chicago Blackhawks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0.57936511555843806</v>
      </c>
      <c r="M497" t="str">
        <f>IF(OR((NHL2025_26Results[[#This Row],[Winning Team]]="")),"-",IF(Table4[[#This Row],[Predicted Winner]]=NHL2025_26Results[[#This Row],[Winning Team]],"YES","NO"))</f>
        <v>-</v>
      </c>
      <c r="N497" t="str">
        <f>IF(Table4[[#This Row],[Adjusted Correct]]="-", "",IF(Table4[[#This Row],[Adjusted Correct]]="YES",(Table4[[#This Row],[Strength of Win]]-1)^2,(Table4[[#This Row],[Strength of Win]]-0)^2))</f>
        <v/>
      </c>
      <c r="P497" s="11"/>
    </row>
    <row r="498" spans="4:16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1.4458345276269271</v>
      </c>
      <c r="H498" t="s">
        <v>29</v>
      </c>
      <c r="I498">
        <f>VLOOKUP(Table4[[#This Row],[Visitor]],'NHL Model'!$A$6:$B$38,2,FALSE)</f>
        <v>-1.4957350924899622</v>
      </c>
      <c r="J498">
        <f>($B$1+Table4[[#This Row],[Home Differential]])-Table4[[#This Row],[Away Differential]]</f>
        <v>3.0791130090893057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498" t="str">
        <f>IF(OR((NHL2025_26Results[[#This Row],[Winning Team]]="")),"-",IF(Table4[[#This Row],[Predicted Winner]]=NHL2025_26Results[[#This Row],[Winning Team]],"YES","NO"))</f>
        <v>-</v>
      </c>
      <c r="N498" t="str">
        <f>IF(Table4[[#This Row],[Adjusted Correct]]="-", "",IF(Table4[[#This Row],[Adjusted Correct]]="YES",(Table4[[#This Row],[Strength of Win]]-1)^2,(Table4[[#This Row],[Strength of Win]]-0)^2))</f>
        <v/>
      </c>
      <c r="P498" s="11"/>
    </row>
    <row r="499" spans="4:16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4.3828122498436855E-3</v>
      </c>
      <c r="H499" t="s">
        <v>11</v>
      </c>
      <c r="I499">
        <f>VLOOKUP(Table4[[#This Row],[Visitor]],'NHL Model'!$A$6:$B$38,2,FALSE)</f>
        <v>-0.37836939589441088</v>
      </c>
      <c r="J499">
        <f>($B$1+Table4[[#This Row],[Home Differential]])-Table4[[#This Row],[Away Differential]]</f>
        <v>0.52029559711667095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0.61189158531000276</v>
      </c>
      <c r="M499" t="str">
        <f>IF(OR((NHL2025_26Results[[#This Row],[Winning Team]]="")),"-",IF(Table4[[#This Row],[Predicted Winner]]=NHL2025_26Results[[#This Row],[Winning Team]],"YES","NO"))</f>
        <v>-</v>
      </c>
      <c r="N499" t="str">
        <f>IF(Table4[[#This Row],[Adjusted Correct]]="-", "",IF(Table4[[#This Row],[Adjusted Correct]]="YES",(Table4[[#This Row],[Strength of Win]]-1)^2,(Table4[[#This Row],[Strength of Win]]-0)^2))</f>
        <v/>
      </c>
      <c r="P499" s="11"/>
    </row>
    <row r="500" spans="4:16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-0.36134162888396865</v>
      </c>
      <c r="H500" t="s">
        <v>16</v>
      </c>
      <c r="I500">
        <f>VLOOKUP(Table4[[#This Row],[Visitor]],'NHL Model'!$A$6:$B$38,2,FALSE)</f>
        <v>-1.0952038865534519</v>
      </c>
      <c r="J500">
        <f>($B$1+Table4[[#This Row],[Home Differential]])-Table4[[#This Row],[Away Differential]]</f>
        <v>0.87140564664189957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0.65622654323917862</v>
      </c>
      <c r="M500" t="str">
        <f>IF(OR((NHL2025_26Results[[#This Row],[Winning Team]]="")),"-",IF(Table4[[#This Row],[Predicted Winner]]=NHL2025_26Results[[#This Row],[Winning Team]],"YES","NO"))</f>
        <v>-</v>
      </c>
      <c r="N500" t="str">
        <f>IF(Table4[[#This Row],[Adjusted Correct]]="-", "",IF(Table4[[#This Row],[Adjusted Correct]]="YES",(Table4[[#This Row],[Strength of Win]]-1)^2,(Table4[[#This Row],[Strength of Win]]-0)^2))</f>
        <v/>
      </c>
      <c r="P500" s="11"/>
    </row>
    <row r="501" spans="4:16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-0.16358905079701039</v>
      </c>
      <c r="H501" t="s">
        <v>36</v>
      </c>
      <c r="I501">
        <f>VLOOKUP(Table4[[#This Row],[Visitor]],'NHL Model'!$A$6:$B$38,2,FALSE)</f>
        <v>-0.31751962084606655</v>
      </c>
      <c r="J501">
        <f>($B$1+Table4[[#This Row],[Home Differential]])-Table4[[#This Row],[Away Differential]]</f>
        <v>0.29147395902147255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0.55810705013605622</v>
      </c>
      <c r="M501" t="str">
        <f>IF(OR((NHL2025_26Results[[#This Row],[Winning Team]]="")),"-",IF(Table4[[#This Row],[Predicted Winner]]=NHL2025_26Results[[#This Row],[Winning Team]],"YES","NO"))</f>
        <v>-</v>
      </c>
      <c r="N501" t="str">
        <f>IF(Table4[[#This Row],[Adjusted Correct]]="-", "",IF(Table4[[#This Row],[Adjusted Correct]]="YES",(Table4[[#This Row],[Strength of Win]]-1)^2,(Table4[[#This Row],[Strength of Win]]-0)^2))</f>
        <v/>
      </c>
      <c r="P501" s="11"/>
    </row>
    <row r="502" spans="4:16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-1.8032585202533785E-2</v>
      </c>
      <c r="H502" t="s">
        <v>31</v>
      </c>
      <c r="I502">
        <f>VLOOKUP(Table4[[#This Row],[Visitor]],'NHL Model'!$A$6:$B$38,2,FALSE)</f>
        <v>0.34329638981067145</v>
      </c>
      <c r="J502">
        <f>($B$1+Table4[[#This Row],[Home Differential]])-Table4[[#This Row],[Away Differential]]</f>
        <v>-0.22378558604078888</v>
      </c>
      <c r="K502" t="str">
        <f>IF(Table4[[#This Row],[HomeIce Differential]]&gt;0,Table4[[#This Row],[Home]],Table4[[#This Row],[Visitor]])</f>
        <v>Anaheim Ducks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0.39348448912477157</v>
      </c>
      <c r="M502" t="str">
        <f>IF(OR((NHL2025_26Results[[#This Row],[Winning Team]]="")),"-",IF(Table4[[#This Row],[Predicted Winner]]=NHL2025_26Results[[#This Row],[Winning Team]],"YES","NO"))</f>
        <v>-</v>
      </c>
      <c r="N502" t="str">
        <f>IF(Table4[[#This Row],[Adjusted Correct]]="-", "",IF(Table4[[#This Row],[Adjusted Correct]]="YES",(Table4[[#This Row],[Strength of Win]]-1)^2,(Table4[[#This Row],[Strength of Win]]-0)^2))</f>
        <v/>
      </c>
      <c r="P502" s="11"/>
    </row>
    <row r="503" spans="4:16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3.838472305373858E-3</v>
      </c>
      <c r="H503" t="s">
        <v>37</v>
      </c>
      <c r="I503">
        <f>VLOOKUP(Table4[[#This Row],[Visitor]],'NHL Model'!$A$6:$B$38,2,FALSE)</f>
        <v>7.1667377873261273E-2</v>
      </c>
      <c r="J503">
        <f>($B$1+Table4[[#This Row],[Home Differential]])-Table4[[#This Row],[Away Differential]]</f>
        <v>6.9714483404528932E-2</v>
      </c>
      <c r="K503" t="str">
        <f>IF(Table4[[#This Row],[HomeIce Differential]]&gt;0,Table4[[#This Row],[Home]],Table4[[#This Row],[Visitor]])</f>
        <v>New York Islanders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0.48298260496642342</v>
      </c>
      <c r="M503" t="str">
        <f>IF(OR((NHL2025_26Results[[#This Row],[Winning Team]]="")),"-",IF(Table4[[#This Row],[Predicted Winner]]=NHL2025_26Results[[#This Row],[Winning Team]],"YES","NO"))</f>
        <v>-</v>
      </c>
      <c r="N503" t="str">
        <f>IF(Table4[[#This Row],[Adjusted Correct]]="-", "",IF(Table4[[#This Row],[Adjusted Correct]]="YES",(Table4[[#This Row],[Strength of Win]]-1)^2,(Table4[[#This Row],[Strength of Win]]-0)^2))</f>
        <v/>
      </c>
      <c r="P503" s="11"/>
    </row>
    <row r="504" spans="4:16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-0.49835870184734621</v>
      </c>
      <c r="H504" t="s">
        <v>18</v>
      </c>
      <c r="I504">
        <f>VLOOKUP(Table4[[#This Row],[Visitor]],'NHL Model'!$A$6:$B$38,2,FALSE)</f>
        <v>-0.74754136228530599</v>
      </c>
      <c r="J504">
        <f>($B$1+Table4[[#This Row],[Home Differential]])-Table4[[#This Row],[Away Differential]]</f>
        <v>0.38672604941037614</v>
      </c>
      <c r="K504" t="str">
        <f>IF(Table4[[#This Row],[HomeIce Differential]]&gt;0,Table4[[#This Row],[Home]],Table4[[#This Row],[Visitor]])</f>
        <v>New York Rangers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0.54448144469668658</v>
      </c>
      <c r="M504" t="str">
        <f>IF(OR((NHL2025_26Results[[#This Row],[Winning Team]]="")),"-",IF(Table4[[#This Row],[Predicted Winner]]=NHL2025_26Results[[#This Row],[Winning Team]],"YES","NO"))</f>
        <v>-</v>
      </c>
      <c r="N504" t="str">
        <f>IF(Table4[[#This Row],[Adjusted Correct]]="-", "",IF(Table4[[#This Row],[Adjusted Correct]]="YES",(Table4[[#This Row],[Strength of Win]]-1)^2,(Table4[[#This Row],[Strength of Win]]-0)^2))</f>
        <v/>
      </c>
      <c r="P504" s="11"/>
    </row>
    <row r="505" spans="4:16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-0.42203126246971279</v>
      </c>
      <c r="H505" t="s">
        <v>25</v>
      </c>
      <c r="I505">
        <f>VLOOKUP(Table4[[#This Row],[Visitor]],'NHL Model'!$A$6:$B$38,2,FALSE)</f>
        <v>0.42515174825138019</v>
      </c>
      <c r="J505">
        <f>($B$1+Table4[[#This Row],[Home Differential]])-Table4[[#This Row],[Away Differential]]</f>
        <v>-0.70963962174867667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0.59465047707603536</v>
      </c>
      <c r="M505" t="str">
        <f>IF(OR((NHL2025_26Results[[#This Row],[Winning Team]]="")),"-",IF(Table4[[#This Row],[Predicted Winner]]=NHL2025_26Results[[#This Row],[Winning Team]],"YES","NO"))</f>
        <v>-</v>
      </c>
      <c r="N505" t="str">
        <f>IF(Table4[[#This Row],[Adjusted Correct]]="-", "",IF(Table4[[#This Row],[Adjusted Correct]]="YES",(Table4[[#This Row],[Strength of Win]]-1)^2,(Table4[[#This Row],[Strength of Win]]-0)^2))</f>
        <v/>
      </c>
      <c r="P505" s="11"/>
    </row>
    <row r="506" spans="4:16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-0.2090057419115289</v>
      </c>
      <c r="H506" t="s">
        <v>33</v>
      </c>
      <c r="I506">
        <f>VLOOKUP(Table4[[#This Row],[Visitor]],'NHL Model'!$A$6:$B$38,2,FALSE)</f>
        <v>-0.36178381286707545</v>
      </c>
      <c r="J506">
        <f>($B$1+Table4[[#This Row],[Home Differential]])-Table4[[#This Row],[Away Differential]]</f>
        <v>0.29032145992796288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0.57872256261548582</v>
      </c>
      <c r="M506" t="str">
        <f>IF(OR((NHL2025_26Results[[#This Row],[Winning Team]]="")),"-",IF(Table4[[#This Row],[Predicted Winner]]=NHL2025_26Results[[#This Row],[Winning Team]],"YES","NO"))</f>
        <v>-</v>
      </c>
      <c r="N506" t="str">
        <f>IF(Table4[[#This Row],[Adjusted Correct]]="-", "",IF(Table4[[#This Row],[Adjusted Correct]]="YES",(Table4[[#This Row],[Strength of Win]]-1)^2,(Table4[[#This Row],[Strength of Win]]-0)^2))</f>
        <v/>
      </c>
      <c r="P506" s="11"/>
    </row>
    <row r="507" spans="4:16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-0.93520311342823803</v>
      </c>
      <c r="H507" t="s">
        <v>17</v>
      </c>
      <c r="I507">
        <f>VLOOKUP(Table4[[#This Row],[Visitor]],'NHL Model'!$A$6:$B$38,2,FALSE)</f>
        <v>-0.87263145033954281</v>
      </c>
      <c r="J507">
        <f>($B$1+Table4[[#This Row],[Home Differential]])-Table4[[#This Row],[Away Differential]]</f>
        <v>7.4971725883721141E-2</v>
      </c>
      <c r="K507" t="str">
        <f>IF(Table4[[#This Row],[HomeIce Differential]]&gt;0,Table4[[#This Row],[Home]],Table4[[#This Row],[Visitor]])</f>
        <v>Toronto Maple Leafs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0.54999959613954741</v>
      </c>
      <c r="M507" t="str">
        <f>IF(OR((NHL2025_26Results[[#This Row],[Winning Team]]="")),"-",IF(Table4[[#This Row],[Predicted Winner]]=NHL2025_26Results[[#This Row],[Winning Team]],"YES","NO"))</f>
        <v>-</v>
      </c>
      <c r="N507" t="str">
        <f>IF(Table4[[#This Row],[Adjusted Correct]]="-", "",IF(Table4[[#This Row],[Adjusted Correct]]="YES",(Table4[[#This Row],[Strength of Win]]-1)^2,(Table4[[#This Row],[Strength of Win]]-0)^2))</f>
        <v/>
      </c>
      <c r="P507" s="11"/>
    </row>
    <row r="508" spans="4:16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-6.0247860940930854E-2</v>
      </c>
      <c r="H508" t="s">
        <v>22</v>
      </c>
      <c r="I508">
        <f>VLOOKUP(Table4[[#This Row],[Visitor]],'NHL Model'!$A$6:$B$38,2,FALSE)</f>
        <v>6.4811420118814619E-2</v>
      </c>
      <c r="J508">
        <f>($B$1+Table4[[#This Row],[Home Differential]])-Table4[[#This Row],[Away Differential]]</f>
        <v>1.2484107912670891E-2</v>
      </c>
      <c r="K508" t="str">
        <f>IF(Table4[[#This Row],[HomeIce Differential]]&gt;0,Table4[[#This Row],[Home]],Table4[[#This Row],[Visitor]])</f>
        <v>Winnipeg Jets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0.52340423865815278</v>
      </c>
      <c r="M508" t="str">
        <f>IF(OR((NHL2025_26Results[[#This Row],[Winning Team]]="")),"-",IF(Table4[[#This Row],[Predicted Winner]]=NHL2025_26Results[[#This Row],[Winning Team]],"YES","NO"))</f>
        <v>-</v>
      </c>
      <c r="N508" t="str">
        <f>IF(Table4[[#This Row],[Adjusted Correct]]="-", "",IF(Table4[[#This Row],[Adjusted Correct]]="YES",(Table4[[#This Row],[Strength of Win]]-1)^2,(Table4[[#This Row],[Strength of Win]]-0)^2))</f>
        <v/>
      </c>
      <c r="P508" s="11"/>
    </row>
    <row r="509" spans="4:16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0.42515174825138019</v>
      </c>
      <c r="H509" t="s">
        <v>27</v>
      </c>
      <c r="I509">
        <f>VLOOKUP(Table4[[#This Row],[Visitor]],'NHL Model'!$A$6:$B$38,2,FALSE)</f>
        <v>-0.42203126246971279</v>
      </c>
      <c r="J509">
        <f>($B$1+Table4[[#This Row],[Home Differential]])-Table4[[#This Row],[Away Differential]]</f>
        <v>0.98472639969350928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0.72305704109700097</v>
      </c>
      <c r="M509" t="str">
        <f>IF(OR((NHL2025_26Results[[#This Row],[Winning Team]]="")),"-",IF(Table4[[#This Row],[Predicted Winner]]=NHL2025_26Results[[#This Row],[Winning Team]],"YES","NO"))</f>
        <v>-</v>
      </c>
      <c r="N509" t="str">
        <f>IF(Table4[[#This Row],[Adjusted Correct]]="-", "",IF(Table4[[#This Row],[Adjusted Correct]]="YES",(Table4[[#This Row],[Strength of Win]]-1)^2,(Table4[[#This Row],[Strength of Win]]-0)^2))</f>
        <v/>
      </c>
      <c r="P509" s="11"/>
    </row>
    <row r="510" spans="4:16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-0.16358905079701039</v>
      </c>
      <c r="H510" t="s">
        <v>21</v>
      </c>
      <c r="I510">
        <f>VLOOKUP(Table4[[#This Row],[Visitor]],'NHL Model'!$A$6:$B$38,2,FALSE)</f>
        <v>-0.14464931395309213</v>
      </c>
      <c r="J510">
        <f>($B$1+Table4[[#This Row],[Home Differential]])-Table4[[#This Row],[Away Differential]]</f>
        <v>0.1186036521284981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0.55581914525750398</v>
      </c>
      <c r="M510" t="str">
        <f>IF(OR((NHL2025_26Results[[#This Row],[Winning Team]]="")),"-",IF(Table4[[#This Row],[Predicted Winner]]=NHL2025_26Results[[#This Row],[Winning Team]],"YES","NO"))</f>
        <v>-</v>
      </c>
      <c r="N510" t="str">
        <f>IF(Table4[[#This Row],[Adjusted Correct]]="-", "",IF(Table4[[#This Row],[Adjusted Correct]]="YES",(Table4[[#This Row],[Strength of Win]]-1)^2,(Table4[[#This Row],[Strength of Win]]-0)^2))</f>
        <v/>
      </c>
      <c r="P510" s="11"/>
    </row>
    <row r="511" spans="4:16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-0.74754136228530599</v>
      </c>
      <c r="H511" t="s">
        <v>17</v>
      </c>
      <c r="I511">
        <f>VLOOKUP(Table4[[#This Row],[Visitor]],'NHL Model'!$A$6:$B$38,2,FALSE)</f>
        <v>-0.87263145033954281</v>
      </c>
      <c r="J511">
        <f>($B$1+Table4[[#This Row],[Home Differential]])-Table4[[#This Row],[Away Differential]]</f>
        <v>0.26263347702665318</v>
      </c>
      <c r="K511" t="str">
        <f>IF(Table4[[#This Row],[HomeIce Differential]]&gt;0,Table4[[#This Row],[Home]],Table4[[#This Row],[Visitor]])</f>
        <v>Montreal Canadiens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0.57502958844864849</v>
      </c>
      <c r="M511" t="str">
        <f>IF(OR((NHL2025_26Results[[#This Row],[Winning Team]]="")),"-",IF(Table4[[#This Row],[Predicted Winner]]=NHL2025_26Results[[#This Row],[Winning Team]],"YES","NO"))</f>
        <v>-</v>
      </c>
      <c r="N511" t="str">
        <f>IF(Table4[[#This Row],[Adjusted Correct]]="-", "",IF(Table4[[#This Row],[Adjusted Correct]]="YES",(Table4[[#This Row],[Strength of Win]]-1)^2,(Table4[[#This Row],[Strength of Win]]-0)^2))</f>
        <v/>
      </c>
      <c r="P511" s="11"/>
    </row>
    <row r="512" spans="4:16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-1.8032585202533785E-2</v>
      </c>
      <c r="H512" t="s">
        <v>38</v>
      </c>
      <c r="I512">
        <f>VLOOKUP(Table4[[#This Row],[Visitor]],'NHL Model'!$A$6:$B$38,2,FALSE)</f>
        <v>-1.1236485959014608</v>
      </c>
      <c r="J512">
        <f>($B$1+Table4[[#This Row],[Home Differential]])-Table4[[#This Row],[Away Differential]]</f>
        <v>1.2431593996713435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0.80217403738169335</v>
      </c>
      <c r="M512" t="str">
        <f>IF(OR((NHL2025_26Results[[#This Row],[Winning Team]]="")),"-",IF(Table4[[#This Row],[Predicted Winner]]=NHL2025_26Results[[#This Row],[Winning Team]],"YES","NO"))</f>
        <v>-</v>
      </c>
      <c r="N512" t="str">
        <f>IF(Table4[[#This Row],[Adjusted Correct]]="-", "",IF(Table4[[#This Row],[Adjusted Correct]]="YES",(Table4[[#This Row],[Strength of Win]]-1)^2,(Table4[[#This Row],[Strength of Win]]-0)^2))</f>
        <v/>
      </c>
      <c r="P512" s="11"/>
    </row>
    <row r="513" spans="4:16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-0.2090057419115289</v>
      </c>
      <c r="H513" t="s">
        <v>55</v>
      </c>
      <c r="I513">
        <f>VLOOKUP(Table4[[#This Row],[Visitor]],'NHL Model'!$A$6:$B$38,2,FALSE)</f>
        <v>-0.30969050963205513</v>
      </c>
      <c r="J513">
        <f>($B$1+Table4[[#This Row],[Home Differential]])-Table4[[#This Row],[Away Differential]]</f>
        <v>0.23822815669294259</v>
      </c>
      <c r="K513" t="str">
        <f>IF(Table4[[#This Row],[HomeIce Differential]]&gt;0,Table4[[#This Row],[Home]],Table4[[#This Row],[Visitor]])</f>
        <v>Pittsburgh Penguins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0.57177445000656579</v>
      </c>
      <c r="M513" t="str">
        <f>IF(OR((NHL2025_26Results[[#This Row],[Winning Team]]="")),"-",IF(Table4[[#This Row],[Predicted Winner]]=NHL2025_26Results[[#This Row],[Winning Team]],"YES","NO"))</f>
        <v>-</v>
      </c>
      <c r="N513" t="str">
        <f>IF(Table4[[#This Row],[Adjusted Correct]]="-", "",IF(Table4[[#This Row],[Adjusted Correct]]="YES",(Table4[[#This Row],[Strength of Win]]-1)^2,(Table4[[#This Row],[Strength of Win]]-0)^2))</f>
        <v/>
      </c>
      <c r="P513" s="11"/>
    </row>
    <row r="514" spans="4:16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-0.45007023285116615</v>
      </c>
      <c r="H514" t="s">
        <v>23</v>
      </c>
      <c r="I514">
        <f>VLOOKUP(Table4[[#This Row],[Visitor]],'NHL Model'!$A$6:$B$38,2,FALSE)</f>
        <v>-0.51535072045188635</v>
      </c>
      <c r="J514">
        <f>($B$1+Table4[[#This Row],[Home Differential]])-Table4[[#This Row],[Away Differential]]</f>
        <v>0.20282387657313655</v>
      </c>
      <c r="K514" t="str">
        <f>IF(Table4[[#This Row],[HomeIce Differential]]&gt;0,Table4[[#This Row],[Home]],Table4[[#This Row],[Visitor]])</f>
        <v>Seattle Kraken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0.59309002561939461</v>
      </c>
      <c r="M514" t="str">
        <f>IF(OR((NHL2025_26Results[[#This Row],[Winning Team]]="")),"-",IF(Table4[[#This Row],[Predicted Winner]]=NHL2025_26Results[[#This Row],[Winning Team]],"YES","NO"))</f>
        <v>-</v>
      </c>
      <c r="N514" t="str">
        <f>IF(Table4[[#This Row],[Adjusted Correct]]="-", "",IF(Table4[[#This Row],[Adjusted Correct]]="YES",(Table4[[#This Row],[Strength of Win]]-1)^2,(Table4[[#This Row],[Strength of Win]]-0)^2))</f>
        <v/>
      </c>
      <c r="P514" s="11"/>
    </row>
    <row r="515" spans="4:16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4.3828122498436855E-3</v>
      </c>
      <c r="H515" t="s">
        <v>13</v>
      </c>
      <c r="I515">
        <f>VLOOKUP(Table4[[#This Row],[Visitor]],'NHL Model'!$A$6:$B$38,2,FALSE)</f>
        <v>-0.36134162888396865</v>
      </c>
      <c r="J515">
        <f>($B$1+Table4[[#This Row],[Home Differential]])-Table4[[#This Row],[Away Differential]]</f>
        <v>0.50326783010622866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0.52614136611423867</v>
      </c>
      <c r="M515" t="str">
        <f>IF(OR((NHL2025_26Results[[#This Row],[Winning Team]]="")),"-",IF(Table4[[#This Row],[Predicted Winner]]=NHL2025_26Results[[#This Row],[Winning Team]],"YES","NO"))</f>
        <v>-</v>
      </c>
      <c r="N515" t="str">
        <f>IF(Table4[[#This Row],[Adjusted Correct]]="-", "",IF(Table4[[#This Row],[Adjusted Correct]]="YES",(Table4[[#This Row],[Strength of Win]]-1)^2,(Table4[[#This Row],[Strength of Win]]-0)^2))</f>
        <v/>
      </c>
      <c r="P515" s="11"/>
    </row>
    <row r="516" spans="4:16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-0.49835870184734621</v>
      </c>
      <c r="H516" t="s">
        <v>31</v>
      </c>
      <c r="I516">
        <f>VLOOKUP(Table4[[#This Row],[Visitor]],'NHL Model'!$A$6:$B$38,2,FALSE)</f>
        <v>0.34329638981067145</v>
      </c>
      <c r="J516">
        <f>($B$1+Table4[[#This Row],[Home Differential]])-Table4[[#This Row],[Away Differential]]</f>
        <v>-0.7041117026856013</v>
      </c>
      <c r="K516" t="str">
        <f>IF(Table4[[#This Row],[HomeIce Differential]]&gt;0,Table4[[#This Row],[Home]],Table4[[#This Row],[Visitor]])</f>
        <v>Anaheim Ducks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0.57468240378201707</v>
      </c>
      <c r="M516" t="str">
        <f>IF(OR((NHL2025_26Results[[#This Row],[Winning Team]]="")),"-",IF(Table4[[#This Row],[Predicted Winner]]=NHL2025_26Results[[#This Row],[Winning Team]],"YES","NO"))</f>
        <v>-</v>
      </c>
      <c r="N516" t="str">
        <f>IF(Table4[[#This Row],[Adjusted Correct]]="-", "",IF(Table4[[#This Row],[Adjusted Correct]]="YES",(Table4[[#This Row],[Strength of Win]]-1)^2,(Table4[[#This Row],[Strength of Win]]-0)^2))</f>
        <v/>
      </c>
      <c r="P516" s="11"/>
    </row>
    <row r="517" spans="4:16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-1.5569791149906038</v>
      </c>
      <c r="H517" t="s">
        <v>29</v>
      </c>
      <c r="I517">
        <f>VLOOKUP(Table4[[#This Row],[Visitor]],'NHL Model'!$A$6:$B$38,2,FALSE)</f>
        <v>-1.4957350924899622</v>
      </c>
      <c r="J517">
        <f>($B$1+Table4[[#This Row],[Home Differential]])-Table4[[#This Row],[Away Differential]]</f>
        <v>7.6299366471774821E-2</v>
      </c>
      <c r="K517" t="str">
        <f>IF(Table4[[#This Row],[HomeIce Differential]]&gt;0,Table4[[#This Row],[Home]],Table4[[#This Row],[Visitor]])</f>
        <v>St. Louis Blues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0.55017667449198659</v>
      </c>
      <c r="M517" t="str">
        <f>IF(OR((NHL2025_26Results[[#This Row],[Winning Team]]="")),"-",IF(Table4[[#This Row],[Predicted Winner]]=NHL2025_26Results[[#This Row],[Winning Team]],"YES","NO"))</f>
        <v>-</v>
      </c>
      <c r="N517" t="str">
        <f>IF(Table4[[#This Row],[Adjusted Correct]]="-", "",IF(Table4[[#This Row],[Adjusted Correct]]="YES",(Table4[[#This Row],[Strength of Win]]-1)^2,(Table4[[#This Row],[Strength of Win]]-0)^2))</f>
        <v/>
      </c>
      <c r="P517" s="11"/>
    </row>
    <row r="518" spans="4:16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7.1667377873261273E-2</v>
      </c>
      <c r="H518" t="s">
        <v>11</v>
      </c>
      <c r="I518">
        <f>VLOOKUP(Table4[[#This Row],[Visitor]],'NHL Model'!$A$6:$B$38,2,FALSE)</f>
        <v>-0.37836939589441088</v>
      </c>
      <c r="J518">
        <f>($B$1+Table4[[#This Row],[Home Differential]])-Table4[[#This Row],[Away Differential]]</f>
        <v>0.58758016274008851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0.62086588161608713</v>
      </c>
      <c r="M518" t="str">
        <f>IF(OR((NHL2025_26Results[[#This Row],[Winning Team]]="")),"-",IF(Table4[[#This Row],[Predicted Winner]]=NHL2025_26Results[[#This Row],[Winning Team]],"YES","NO"))</f>
        <v>-</v>
      </c>
      <c r="N518" t="str">
        <f>IF(Table4[[#This Row],[Adjusted Correct]]="-", "",IF(Table4[[#This Row],[Adjusted Correct]]="YES",(Table4[[#This Row],[Strength of Win]]-1)^2,(Table4[[#This Row],[Strength of Win]]-0)^2))</f>
        <v/>
      </c>
      <c r="P518" s="11"/>
    </row>
    <row r="519" spans="4:16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-6.0247860940930854E-2</v>
      </c>
      <c r="H519" t="s">
        <v>36</v>
      </c>
      <c r="I519">
        <f>VLOOKUP(Table4[[#This Row],[Visitor]],'NHL Model'!$A$6:$B$38,2,FALSE)</f>
        <v>-0.31751962084606655</v>
      </c>
      <c r="J519">
        <f>($B$1+Table4[[#This Row],[Home Differential]])-Table4[[#This Row],[Away Differential]]</f>
        <v>0.39481514887755209</v>
      </c>
      <c r="K519" t="str">
        <f>IF(Table4[[#This Row],[HomeIce Differential]]&gt;0,Table4[[#This Row],[Home]],Table4[[#This Row],[Visitor]])</f>
        <v>Winnipeg Jets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0.57439887638586318</v>
      </c>
      <c r="M519" t="str">
        <f>IF(OR((NHL2025_26Results[[#This Row],[Winning Team]]="")),"-",IF(Table4[[#This Row],[Predicted Winner]]=NHL2025_26Results[[#This Row],[Winning Team]],"YES","NO"))</f>
        <v>-</v>
      </c>
      <c r="N519" t="str">
        <f>IF(Table4[[#This Row],[Adjusted Correct]]="-", "",IF(Table4[[#This Row],[Adjusted Correct]]="YES",(Table4[[#This Row],[Strength of Win]]-1)^2,(Table4[[#This Row],[Strength of Win]]-0)^2))</f>
        <v/>
      </c>
      <c r="P519" s="11"/>
    </row>
    <row r="520" spans="4:16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-0.14464931395309213</v>
      </c>
      <c r="H520" t="s">
        <v>55</v>
      </c>
      <c r="I520">
        <f>VLOOKUP(Table4[[#This Row],[Visitor]],'NHL Model'!$A$6:$B$38,2,FALSE)</f>
        <v>-0.30969050963205513</v>
      </c>
      <c r="J520">
        <f>($B$1+Table4[[#This Row],[Home Differential]])-Table4[[#This Row],[Away Differential]]</f>
        <v>0.30258458465137938</v>
      </c>
      <c r="K520" t="str">
        <f>IF(Table4[[#This Row],[HomeIce Differential]]&gt;0,Table4[[#This Row],[Home]],Table4[[#This Row],[Visitor]])</f>
        <v>Boston Bruins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0.63207417282345302</v>
      </c>
      <c r="M520" t="str">
        <f>IF(OR((NHL2025_26Results[[#This Row],[Winning Team]]="")),"-",IF(Table4[[#This Row],[Predicted Winner]]=NHL2025_26Results[[#This Row],[Winning Team]],"YES","NO"))</f>
        <v>-</v>
      </c>
      <c r="N520" t="str">
        <f>IF(Table4[[#This Row],[Adjusted Correct]]="-", "",IF(Table4[[#This Row],[Adjusted Correct]]="YES",(Table4[[#This Row],[Strength of Win]]-1)^2,(Table4[[#This Row],[Strength of Win]]-0)^2))</f>
        <v/>
      </c>
      <c r="P520" s="11"/>
    </row>
    <row r="521" spans="4:16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-0.59418600019583889</v>
      </c>
      <c r="H521" t="s">
        <v>31</v>
      </c>
      <c r="I521">
        <f>VLOOKUP(Table4[[#This Row],[Visitor]],'NHL Model'!$A$6:$B$38,2,FALSE)</f>
        <v>0.34329638981067145</v>
      </c>
      <c r="J521">
        <f>($B$1+Table4[[#This Row],[Home Differential]])-Table4[[#This Row],[Away Differential]]</f>
        <v>-0.79993900103409399</v>
      </c>
      <c r="K521" t="str">
        <f>IF(Table4[[#This Row],[HomeIce Differential]]&gt;0,Table4[[#This Row],[Home]],Table4[[#This Row],[Visitor]])</f>
        <v>Anaheim Ducks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0.58037865903107944</v>
      </c>
      <c r="M521" t="str">
        <f>IF(OR((NHL2025_26Results[[#This Row],[Winning Team]]="")),"-",IF(Table4[[#This Row],[Predicted Winner]]=NHL2025_26Results[[#This Row],[Winning Team]],"YES","NO"))</f>
        <v>-</v>
      </c>
      <c r="N521" t="str">
        <f>IF(Table4[[#This Row],[Adjusted Correct]]="-", "",IF(Table4[[#This Row],[Adjusted Correct]]="YES",(Table4[[#This Row],[Strength of Win]]-1)^2,(Table4[[#This Row],[Strength of Win]]-0)^2))</f>
        <v/>
      </c>
      <c r="P521" s="11"/>
    </row>
    <row r="522" spans="4:16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-0.66335717753705836</v>
      </c>
      <c r="H522" t="s">
        <v>30</v>
      </c>
      <c r="I522">
        <f>VLOOKUP(Table4[[#This Row],[Visitor]],'NHL Model'!$A$6:$B$38,2,FALSE)</f>
        <v>3.838472305373858E-3</v>
      </c>
      <c r="J522">
        <f>($B$1+Table4[[#This Row],[Home Differential]])-Table4[[#This Row],[Away Differential]]</f>
        <v>-0.52965226087001582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0.57064408136092237</v>
      </c>
      <c r="M522" t="str">
        <f>IF(OR((NHL2025_26Results[[#This Row],[Winning Team]]="")),"-",IF(Table4[[#This Row],[Predicted Winner]]=NHL2025_26Results[[#This Row],[Winning Team]],"YES","NO"))</f>
        <v>-</v>
      </c>
      <c r="N522" t="str">
        <f>IF(Table4[[#This Row],[Adjusted Correct]]="-", "",IF(Table4[[#This Row],[Adjusted Correct]]="YES",(Table4[[#This Row],[Strength of Win]]-1)^2,(Table4[[#This Row],[Strength of Win]]-0)^2))</f>
        <v/>
      </c>
      <c r="P522" s="11"/>
    </row>
    <row r="523" spans="4:16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-0.16358905079701039</v>
      </c>
      <c r="H523" t="s">
        <v>22</v>
      </c>
      <c r="I523">
        <f>VLOOKUP(Table4[[#This Row],[Visitor]],'NHL Model'!$A$6:$B$38,2,FALSE)</f>
        <v>6.4811420118814619E-2</v>
      </c>
      <c r="J523">
        <f>($B$1+Table4[[#This Row],[Home Differential]])-Table4[[#This Row],[Away Differential]]</f>
        <v>-9.0857081943408649E-2</v>
      </c>
      <c r="K523" t="str">
        <f>IF(Table4[[#This Row],[HomeIce Differential]]&gt;0,Table4[[#This Row],[Home]],Table4[[#This Row],[Visitor]])</f>
        <v>Washington Capitals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0.49288758759165419</v>
      </c>
      <c r="M523" t="str">
        <f>IF(OR((NHL2025_26Results[[#This Row],[Winning Team]]="")),"-",IF(Table4[[#This Row],[Predicted Winner]]=NHL2025_26Results[[#This Row],[Winning Team]],"YES","NO"))</f>
        <v>-</v>
      </c>
      <c r="N523" t="str">
        <f>IF(Table4[[#This Row],[Adjusted Correct]]="-", "",IF(Table4[[#This Row],[Adjusted Correct]]="YES",(Table4[[#This Row],[Strength of Win]]-1)^2,(Table4[[#This Row],[Strength of Win]]-0)^2))</f>
        <v/>
      </c>
      <c r="P523" s="11"/>
    </row>
    <row r="524" spans="4:16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-0.74754136228530599</v>
      </c>
      <c r="H524" t="s">
        <v>27</v>
      </c>
      <c r="I524">
        <f>VLOOKUP(Table4[[#This Row],[Visitor]],'NHL Model'!$A$6:$B$38,2,FALSE)</f>
        <v>-0.42203126246971279</v>
      </c>
      <c r="J524">
        <f>($B$1+Table4[[#This Row],[Home Differential]])-Table4[[#This Row],[Away Differential]]</f>
        <v>-0.18796671084317684</v>
      </c>
      <c r="K524" t="str">
        <f>IF(Table4[[#This Row],[HomeIce Differential]]&gt;0,Table4[[#This Row],[Home]],Table4[[#This Row],[Visitor]])</f>
        <v>Philadelphia Flyers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0.48507066729430837</v>
      </c>
      <c r="M524" t="str">
        <f>IF(OR((NHL2025_26Results[[#This Row],[Winning Team]]="")),"-",IF(Table4[[#This Row],[Predicted Winner]]=NHL2025_26Results[[#This Row],[Winning Team]],"YES","NO"))</f>
        <v>-</v>
      </c>
      <c r="N524" t="str">
        <f>IF(Table4[[#This Row],[Adjusted Correct]]="-", "",IF(Table4[[#This Row],[Adjusted Correct]]="YES",(Table4[[#This Row],[Strength of Win]]-1)^2,(Table4[[#This Row],[Strength of Win]]-0)^2))</f>
        <v/>
      </c>
      <c r="P524" s="11"/>
    </row>
    <row r="525" spans="4:16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-0.49835870184734621</v>
      </c>
      <c r="H525" t="s">
        <v>38</v>
      </c>
      <c r="I525">
        <f>VLOOKUP(Table4[[#This Row],[Visitor]],'NHL Model'!$A$6:$B$38,2,FALSE)</f>
        <v>-1.1236485959014608</v>
      </c>
      <c r="J525">
        <f>($B$1+Table4[[#This Row],[Home Differential]])-Table4[[#This Row],[Away Differential]]</f>
        <v>0.76283328302653097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0.6209761227244478</v>
      </c>
      <c r="M525" t="str">
        <f>IF(OR((NHL2025_26Results[[#This Row],[Winning Team]]="")),"-",IF(Table4[[#This Row],[Predicted Winner]]=NHL2025_26Results[[#This Row],[Winning Team]],"YES","NO"))</f>
        <v>-</v>
      </c>
      <c r="N525" t="str">
        <f>IF(Table4[[#This Row],[Adjusted Correct]]="-", "",IF(Table4[[#This Row],[Adjusted Correct]]="YES",(Table4[[#This Row],[Strength of Win]]-1)^2,(Table4[[#This Row],[Strength of Win]]-0)^2))</f>
        <v/>
      </c>
      <c r="P525" s="11"/>
    </row>
    <row r="526" spans="4:16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-0.2090057419115289</v>
      </c>
      <c r="H526" t="s">
        <v>17</v>
      </c>
      <c r="I526">
        <f>VLOOKUP(Table4[[#This Row],[Visitor]],'NHL Model'!$A$6:$B$38,2,FALSE)</f>
        <v>-0.87263145033954281</v>
      </c>
      <c r="J526">
        <f>($B$1+Table4[[#This Row],[Home Differential]])-Table4[[#This Row],[Away Differential]]</f>
        <v>0.8011690974004303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0.64685851658150995</v>
      </c>
      <c r="M526" t="str">
        <f>IF(OR((NHL2025_26Results[[#This Row],[Winning Team]]="")),"-",IF(Table4[[#This Row],[Predicted Winner]]=NHL2025_26Results[[#This Row],[Winning Team]],"YES","NO"))</f>
        <v>-</v>
      </c>
      <c r="N526" t="str">
        <f>IF(Table4[[#This Row],[Adjusted Correct]]="-", "",IF(Table4[[#This Row],[Adjusted Correct]]="YES",(Table4[[#This Row],[Strength of Win]]-1)^2,(Table4[[#This Row],[Strength of Win]]-0)^2))</f>
        <v/>
      </c>
      <c r="P526" s="11"/>
    </row>
    <row r="527" spans="4:16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-0.45007023285116615</v>
      </c>
      <c r="H527" t="s">
        <v>12</v>
      </c>
      <c r="I527">
        <f>VLOOKUP(Table4[[#This Row],[Visitor]],'NHL Model'!$A$6:$B$38,2,FALSE)</f>
        <v>1.4458345276269271</v>
      </c>
      <c r="J527">
        <f>($B$1+Table4[[#This Row],[Home Differential]])-Table4[[#This Row],[Away Differential]]</f>
        <v>-1.758361371505677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0.76084291787016811</v>
      </c>
      <c r="M527" t="str">
        <f>IF(OR((NHL2025_26Results[[#This Row],[Winning Team]]="")),"-",IF(Table4[[#This Row],[Predicted Winner]]=NHL2025_26Results[[#This Row],[Winning Team]],"YES","NO"))</f>
        <v>-</v>
      </c>
      <c r="N527" t="str">
        <f>IF(Table4[[#This Row],[Adjusted Correct]]="-", "",IF(Table4[[#This Row],[Adjusted Correct]]="YES",(Table4[[#This Row],[Strength of Win]]-1)^2,(Table4[[#This Row],[Strength of Win]]-0)^2))</f>
        <v/>
      </c>
      <c r="P527" s="11"/>
    </row>
    <row r="528" spans="4:16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-0.36178381286707545</v>
      </c>
      <c r="H528" t="s">
        <v>16</v>
      </c>
      <c r="I528">
        <f>VLOOKUP(Table4[[#This Row],[Visitor]],'NHL Model'!$A$6:$B$38,2,FALSE)</f>
        <v>-1.0952038865534519</v>
      </c>
      <c r="J528">
        <f>($B$1+Table4[[#This Row],[Home Differential]])-Table4[[#This Row],[Away Differential]]</f>
        <v>0.87096346265879276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0.65616756552193489</v>
      </c>
      <c r="M528" t="str">
        <f>IF(OR((NHL2025_26Results[[#This Row],[Winning Team]]="")),"-",IF(Table4[[#This Row],[Predicted Winner]]=NHL2025_26Results[[#This Row],[Winning Team]],"YES","NO"))</f>
        <v>-</v>
      </c>
      <c r="N528" t="str">
        <f>IF(Table4[[#This Row],[Adjusted Correct]]="-", "",IF(Table4[[#This Row],[Adjusted Correct]]="YES",(Table4[[#This Row],[Strength of Win]]-1)^2,(Table4[[#This Row],[Strength of Win]]-0)^2))</f>
        <v/>
      </c>
      <c r="P528" s="11"/>
    </row>
    <row r="529" spans="4:16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-0.93520311342823803</v>
      </c>
      <c r="H529" t="s">
        <v>10</v>
      </c>
      <c r="I529">
        <f>VLOOKUP(Table4[[#This Row],[Visitor]],'NHL Model'!$A$6:$B$38,2,FALSE)</f>
        <v>-0.15263505358797036</v>
      </c>
      <c r="J529">
        <f>($B$1+Table4[[#This Row],[Home Differential]])-Table4[[#This Row],[Away Differential]]</f>
        <v>-0.64502467086785131</v>
      </c>
      <c r="K529" t="str">
        <f>IF(Table4[[#This Row],[HomeIce Differential]]&gt;0,Table4[[#This Row],[Home]],Table4[[#This Row],[Visitor]])</f>
        <v>Chicago Blackhawks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0.54603224926056448</v>
      </c>
      <c r="M529" t="str">
        <f>IF(OR((NHL2025_26Results[[#This Row],[Winning Team]]="")),"-",IF(Table4[[#This Row],[Predicted Winner]]=NHL2025_26Results[[#This Row],[Winning Team]],"YES","NO"))</f>
        <v>-</v>
      </c>
      <c r="N529" t="str">
        <f>IF(Table4[[#This Row],[Adjusted Correct]]="-", "",IF(Table4[[#This Row],[Adjusted Correct]]="YES",(Table4[[#This Row],[Strength of Win]]-1)^2,(Table4[[#This Row],[Strength of Win]]-0)^2))</f>
        <v/>
      </c>
      <c r="P529" s="11"/>
    </row>
    <row r="530" spans="4:16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-0.66335717753705836</v>
      </c>
      <c r="H530" t="s">
        <v>55</v>
      </c>
      <c r="I530">
        <f>VLOOKUP(Table4[[#This Row],[Visitor]],'NHL Model'!$A$6:$B$38,2,FALSE)</f>
        <v>-0.30969050963205513</v>
      </c>
      <c r="J530">
        <f>($B$1+Table4[[#This Row],[Home Differential]])-Table4[[#This Row],[Away Differential]]</f>
        <v>-0.21612327893258687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0.45658007471609818</v>
      </c>
      <c r="M530" t="str">
        <f>IF(OR((NHL2025_26Results[[#This Row],[Winning Team]]="")),"-",IF(Table4[[#This Row],[Predicted Winner]]=NHL2025_26Results[[#This Row],[Winning Team]],"YES","NO"))</f>
        <v>-</v>
      </c>
      <c r="N530" t="str">
        <f>IF(Table4[[#This Row],[Adjusted Correct]]="-", "",IF(Table4[[#This Row],[Adjusted Correct]]="YES",(Table4[[#This Row],[Strength of Win]]-1)^2,(Table4[[#This Row],[Strength of Win]]-0)^2))</f>
        <v/>
      </c>
      <c r="P530" s="11"/>
    </row>
    <row r="531" spans="4:16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-0.37836939589441088</v>
      </c>
      <c r="H531" t="s">
        <v>13</v>
      </c>
      <c r="I531">
        <f>VLOOKUP(Table4[[#This Row],[Visitor]],'NHL Model'!$A$6:$B$38,2,FALSE)</f>
        <v>-0.36134162888396865</v>
      </c>
      <c r="J531">
        <f>($B$1+Table4[[#This Row],[Home Differential]])-Table4[[#This Row],[Away Differential]]</f>
        <v>0.12051562196197413</v>
      </c>
      <c r="K531" t="str">
        <f>IF(Table4[[#This Row],[HomeIce Differential]]&gt;0,Table4[[#This Row],[Home]],Table4[[#This Row],[Visitor]])</f>
        <v>Florida Panthers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0.52516506950166442</v>
      </c>
      <c r="M531" t="str">
        <f>IF(OR((NHL2025_26Results[[#This Row],[Winning Team]]="")),"-",IF(Table4[[#This Row],[Predicted Winner]]=NHL2025_26Results[[#This Row],[Winning Team]],"YES","NO"))</f>
        <v>-</v>
      </c>
      <c r="N531" t="str">
        <f>IF(Table4[[#This Row],[Adjusted Correct]]="-", "",IF(Table4[[#This Row],[Adjusted Correct]]="YES",(Table4[[#This Row],[Strength of Win]]-1)^2,(Table4[[#This Row],[Strength of Win]]-0)^2))</f>
        <v/>
      </c>
      <c r="P531" s="11"/>
    </row>
    <row r="532" spans="4:16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-1.4957350924899622</v>
      </c>
      <c r="H532" t="s">
        <v>25</v>
      </c>
      <c r="I532">
        <f>VLOOKUP(Table4[[#This Row],[Visitor]],'NHL Model'!$A$6:$B$38,2,FALSE)</f>
        <v>0.42515174825138019</v>
      </c>
      <c r="J532">
        <f>($B$1+Table4[[#This Row],[Home Differential]])-Table4[[#This Row],[Away Differential]]</f>
        <v>-1.7833434517689259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0.77048236316527607</v>
      </c>
      <c r="M532" t="str">
        <f>IF(OR((NHL2025_26Results[[#This Row],[Winning Team]]="")),"-",IF(Table4[[#This Row],[Predicted Winner]]=NHL2025_26Results[[#This Row],[Winning Team]],"YES","NO"))</f>
        <v>-</v>
      </c>
      <c r="N532" t="str">
        <f>IF(Table4[[#This Row],[Adjusted Correct]]="-", "",IF(Table4[[#This Row],[Adjusted Correct]]="YES",(Table4[[#This Row],[Strength of Win]]-1)^2,(Table4[[#This Row],[Strength of Win]]-0)^2))</f>
        <v/>
      </c>
      <c r="P532" s="11"/>
    </row>
    <row r="533" spans="4:16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-1.5569791149906038</v>
      </c>
      <c r="H533" t="s">
        <v>40</v>
      </c>
      <c r="I533">
        <f>VLOOKUP(Table4[[#This Row],[Visitor]],'NHL Model'!$A$6:$B$38,2,FALSE)</f>
        <v>-6.0247860940930854E-2</v>
      </c>
      <c r="J533">
        <f>($B$1+Table4[[#This Row],[Home Differential]])-Table4[[#This Row],[Away Differential]]</f>
        <v>-1.3591878650772564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0.70760186190085439</v>
      </c>
      <c r="M533" t="str">
        <f>IF(OR((NHL2025_26Results[[#This Row],[Winning Team]]="")),"-",IF(Table4[[#This Row],[Predicted Winner]]=NHL2025_26Results[[#This Row],[Winning Team]],"YES","NO"))</f>
        <v>-</v>
      </c>
      <c r="N533" t="str">
        <f>IF(Table4[[#This Row],[Adjusted Correct]]="-", "",IF(Table4[[#This Row],[Adjusted Correct]]="YES",(Table4[[#This Row],[Strength of Win]]-1)^2,(Table4[[#This Row],[Strength of Win]]-0)^2))</f>
        <v/>
      </c>
      <c r="P533" s="11"/>
    </row>
    <row r="534" spans="4:16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0.12073374225454764</v>
      </c>
      <c r="H534" t="s">
        <v>24</v>
      </c>
      <c r="I534">
        <f>VLOOKUP(Table4[[#This Row],[Visitor]],'NHL Model'!$A$6:$B$38,2,FALSE)</f>
        <v>-1.8032585202533785E-2</v>
      </c>
      <c r="J534">
        <f>($B$1+Table4[[#This Row],[Home Differential]])-Table4[[#This Row],[Away Differential]]</f>
        <v>0.27630971642949775</v>
      </c>
      <c r="K534" t="str">
        <f>IF(Table4[[#This Row],[HomeIce Differential]]&gt;0,Table4[[#This Row],[Home]],Table4[[#This Row],[Visitor]])</f>
        <v>Vegas Golden Knights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0.57602420797320164</v>
      </c>
      <c r="M534" t="str">
        <f>IF(OR((NHL2025_26Results[[#This Row],[Winning Team]]="")),"-",IF(Table4[[#This Row],[Predicted Winner]]=NHL2025_26Results[[#This Row],[Winning Team]],"YES","NO"))</f>
        <v>-</v>
      </c>
      <c r="N534" t="str">
        <f>IF(Table4[[#This Row],[Adjusted Correct]]="-", "",IF(Table4[[#This Row],[Adjusted Correct]]="YES",(Table4[[#This Row],[Strength of Win]]-1)^2,(Table4[[#This Row],[Strength of Win]]-0)^2))</f>
        <v/>
      </c>
      <c r="P534" s="11"/>
    </row>
    <row r="535" spans="4:16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-0.14464931395309213</v>
      </c>
      <c r="H535" t="s">
        <v>17</v>
      </c>
      <c r="I535">
        <f>VLOOKUP(Table4[[#This Row],[Visitor]],'NHL Model'!$A$6:$B$38,2,FALSE)</f>
        <v>-0.87263145033954281</v>
      </c>
      <c r="J535">
        <f>($B$1+Table4[[#This Row],[Home Differential]])-Table4[[#This Row],[Away Differential]]</f>
        <v>0.86552552535886706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0.70715823939839717</v>
      </c>
      <c r="M535" t="str">
        <f>IF(OR((NHL2025_26Results[[#This Row],[Winning Team]]="")),"-",IF(Table4[[#This Row],[Predicted Winner]]=NHL2025_26Results[[#This Row],[Winning Team]],"YES","NO"))</f>
        <v>-</v>
      </c>
      <c r="N535" t="str">
        <f>IF(Table4[[#This Row],[Adjusted Correct]]="-", "",IF(Table4[[#This Row],[Adjusted Correct]]="YES",(Table4[[#This Row],[Strength of Win]]-1)^2,(Table4[[#This Row],[Strength of Win]]-0)^2))</f>
        <v/>
      </c>
      <c r="P535" s="11"/>
    </row>
    <row r="536" spans="4:16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-0.51535072045188635</v>
      </c>
      <c r="H536" t="s">
        <v>27</v>
      </c>
      <c r="I536">
        <f>VLOOKUP(Table4[[#This Row],[Visitor]],'NHL Model'!$A$6:$B$38,2,FALSE)</f>
        <v>-0.42203126246971279</v>
      </c>
      <c r="J536">
        <f>($B$1+Table4[[#This Row],[Home Differential]])-Table4[[#This Row],[Away Differential]]</f>
        <v>4.4223930990242799E-2</v>
      </c>
      <c r="K536" t="str">
        <f>IF(Table4[[#This Row],[HomeIce Differential]]&gt;0,Table4[[#This Row],[Home]],Table4[[#This Row],[Visitor]])</f>
        <v>Buffalo Sabres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0.55991513016199812</v>
      </c>
      <c r="M536" t="str">
        <f>IF(OR((NHL2025_26Results[[#This Row],[Winning Team]]="")),"-",IF(Table4[[#This Row],[Predicted Winner]]=NHL2025_26Results[[#This Row],[Winning Team]],"YES","NO"))</f>
        <v>-</v>
      </c>
      <c r="N536" t="str">
        <f>IF(Table4[[#This Row],[Adjusted Correct]]="-", "",IF(Table4[[#This Row],[Adjusted Correct]]="YES",(Table4[[#This Row],[Strength of Win]]-1)^2,(Table4[[#This Row],[Strength of Win]]-0)^2))</f>
        <v/>
      </c>
      <c r="P536" s="11"/>
    </row>
    <row r="537" spans="4:16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-0.59418600019583889</v>
      </c>
      <c r="H537" t="s">
        <v>34</v>
      </c>
      <c r="I537">
        <f>VLOOKUP(Table4[[#This Row],[Visitor]],'NHL Model'!$A$6:$B$38,2,FALSE)</f>
        <v>-0.16358905079701039</v>
      </c>
      <c r="J537">
        <f>($B$1+Table4[[#This Row],[Home Differential]])-Table4[[#This Row],[Away Differential]]</f>
        <v>-0.29305356042641217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0.51277117587196575</v>
      </c>
      <c r="M537" t="str">
        <f>IF(OR((NHL2025_26Results[[#This Row],[Winning Team]]="")),"-",IF(Table4[[#This Row],[Predicted Winner]]=NHL2025_26Results[[#This Row],[Winning Team]],"YES","NO"))</f>
        <v>-</v>
      </c>
      <c r="N537" t="str">
        <f>IF(Table4[[#This Row],[Adjusted Correct]]="-", "",IF(Table4[[#This Row],[Adjusted Correct]]="YES",(Table4[[#This Row],[Strength of Win]]-1)^2,(Table4[[#This Row],[Strength of Win]]-0)^2))</f>
        <v/>
      </c>
      <c r="P537" s="11"/>
    </row>
    <row r="538" spans="4:16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-1.0952038865534519</v>
      </c>
      <c r="H538" t="s">
        <v>32</v>
      </c>
      <c r="I538">
        <f>VLOOKUP(Table4[[#This Row],[Visitor]],'NHL Model'!$A$6:$B$38,2,FALSE)</f>
        <v>-0.45007023285116615</v>
      </c>
      <c r="J538">
        <f>($B$1+Table4[[#This Row],[Home Differential]])-Table4[[#This Row],[Away Differential]]</f>
        <v>-0.50759026472986934</v>
      </c>
      <c r="K538" t="str">
        <f>IF(Table4[[#This Row],[HomeIce Differential]]&gt;0,Table4[[#This Row],[Home]],Table4[[#This Row],[Visitor]])</f>
        <v>Seattle Kraken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0.52770149135337907</v>
      </c>
      <c r="M538" t="str">
        <f>IF(OR((NHL2025_26Results[[#This Row],[Winning Team]]="")),"-",IF(Table4[[#This Row],[Predicted Winner]]=NHL2025_26Results[[#This Row],[Winning Team]],"YES","NO"))</f>
        <v>-</v>
      </c>
      <c r="N538" t="str">
        <f>IF(Table4[[#This Row],[Adjusted Correct]]="-", "",IF(Table4[[#This Row],[Adjusted Correct]]="YES",(Table4[[#This Row],[Strength of Win]]-1)^2,(Table4[[#This Row],[Strength of Win]]-0)^2))</f>
        <v/>
      </c>
      <c r="P538" s="11"/>
    </row>
    <row r="539" spans="4:16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-0.74754136228530599</v>
      </c>
      <c r="H539" t="s">
        <v>10</v>
      </c>
      <c r="I539">
        <f>VLOOKUP(Table4[[#This Row],[Visitor]],'NHL Model'!$A$6:$B$38,2,FALSE)</f>
        <v>-0.15263505358797036</v>
      </c>
      <c r="J539">
        <f>($B$1+Table4[[#This Row],[Home Differential]])-Table4[[#This Row],[Away Differential]]</f>
        <v>-0.45736291972491927</v>
      </c>
      <c r="K539" t="str">
        <f>IF(Table4[[#This Row],[HomeIce Differential]]&gt;0,Table4[[#This Row],[Home]],Table4[[#This Row],[Visitor]])</f>
        <v>Chicago Blackhawks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0.5210022569514634</v>
      </c>
      <c r="M539" t="str">
        <f>IF(OR((NHL2025_26Results[[#This Row],[Winning Team]]="")),"-",IF(Table4[[#This Row],[Predicted Winner]]=NHL2025_26Results[[#This Row],[Winning Team]],"YES","NO"))</f>
        <v>-</v>
      </c>
      <c r="N539" t="str">
        <f>IF(Table4[[#This Row],[Adjusted Correct]]="-", "",IF(Table4[[#This Row],[Adjusted Correct]]="YES",(Table4[[#This Row],[Strength of Win]]-1)^2,(Table4[[#This Row],[Strength of Win]]-0)^2))</f>
        <v/>
      </c>
      <c r="P539" s="11"/>
    </row>
    <row r="540" spans="4:16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-0.31751962084606655</v>
      </c>
      <c r="H540" t="s">
        <v>14</v>
      </c>
      <c r="I540">
        <f>VLOOKUP(Table4[[#This Row],[Visitor]],'NHL Model'!$A$6:$B$38,2,FALSE)</f>
        <v>-0.2090057419115289</v>
      </c>
      <c r="J540">
        <f>($B$1+Table4[[#This Row],[Home Differential]])-Table4[[#This Row],[Away Differential]]</f>
        <v>2.9029510037878709E-2</v>
      </c>
      <c r="K540" t="str">
        <f>IF(Table4[[#This Row],[HomeIce Differential]]&gt;0,Table4[[#This Row],[Home]],Table4[[#This Row],[Visitor]])</f>
        <v>Ottawa Senators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0.54636738388688577</v>
      </c>
      <c r="M540" t="str">
        <f>IF(OR((NHL2025_26Results[[#This Row],[Winning Team]]="")),"-",IF(Table4[[#This Row],[Predicted Winner]]=NHL2025_26Results[[#This Row],[Winning Team]],"YES","NO"))</f>
        <v>-</v>
      </c>
      <c r="N540" t="str">
        <f>IF(Table4[[#This Row],[Adjusted Correct]]="-", "",IF(Table4[[#This Row],[Adjusted Correct]]="YES",(Table4[[#This Row],[Strength of Win]]-1)^2,(Table4[[#This Row],[Strength of Win]]-0)^2))</f>
        <v/>
      </c>
      <c r="P540" s="11"/>
    </row>
    <row r="541" spans="4:16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-0.36178381286707545</v>
      </c>
      <c r="H541" t="s">
        <v>39</v>
      </c>
      <c r="I541">
        <f>VLOOKUP(Table4[[#This Row],[Visitor]],'NHL Model'!$A$6:$B$38,2,FALSE)</f>
        <v>4.3828122498436855E-3</v>
      </c>
      <c r="J541">
        <f>($B$1+Table4[[#This Row],[Home Differential]])-Table4[[#This Row],[Away Differential]]</f>
        <v>-0.22862323614450278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0.57145163163279411</v>
      </c>
      <c r="M541" t="str">
        <f>IF(OR((NHL2025_26Results[[#This Row],[Winning Team]]="")),"-",IF(Table4[[#This Row],[Predicted Winner]]=NHL2025_26Results[[#This Row],[Winning Team]],"YES","NO"))</f>
        <v>-</v>
      </c>
      <c r="N541" t="str">
        <f>IF(Table4[[#This Row],[Adjusted Correct]]="-", "",IF(Table4[[#This Row],[Adjusted Correct]]="YES",(Table4[[#This Row],[Strength of Win]]-1)^2,(Table4[[#This Row],[Strength of Win]]-0)^2))</f>
        <v/>
      </c>
      <c r="P541" s="11"/>
    </row>
    <row r="542" spans="4:16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-1.5569791149906038</v>
      </c>
      <c r="H542" t="s">
        <v>15</v>
      </c>
      <c r="I542">
        <f>VLOOKUP(Table4[[#This Row],[Visitor]],'NHL Model'!$A$6:$B$38,2,FALSE)</f>
        <v>-0.49835870184734621</v>
      </c>
      <c r="J542">
        <f>($B$1+Table4[[#This Row],[Home Differential]])-Table4[[#This Row],[Away Differential]]</f>
        <v>-0.92107702417084114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0.66632988455246689</v>
      </c>
      <c r="M542" t="str">
        <f>IF(OR((NHL2025_26Results[[#This Row],[Winning Team]]="")),"-",IF(Table4[[#This Row],[Predicted Winner]]=NHL2025_26Results[[#This Row],[Winning Team]],"YES","NO"))</f>
        <v>-</v>
      </c>
      <c r="N542" t="str">
        <f>IF(Table4[[#This Row],[Adjusted Correct]]="-", "",IF(Table4[[#This Row],[Adjusted Correct]]="YES",(Table4[[#This Row],[Strength of Win]]-1)^2,(Table4[[#This Row],[Strength of Win]]-0)^2))</f>
        <v/>
      </c>
      <c r="P542" s="11"/>
    </row>
    <row r="543" spans="4:16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7.1667377873261273E-2</v>
      </c>
      <c r="H543" t="s">
        <v>13</v>
      </c>
      <c r="I543">
        <f>VLOOKUP(Table4[[#This Row],[Visitor]],'NHL Model'!$A$6:$B$38,2,FALSE)</f>
        <v>-0.36134162888396865</v>
      </c>
      <c r="J543">
        <f>($B$1+Table4[[#This Row],[Home Differential]])-Table4[[#This Row],[Away Differential]]</f>
        <v>0.57055239572964633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0.53511566242032316</v>
      </c>
      <c r="M543" t="str">
        <f>IF(OR((NHL2025_26Results[[#This Row],[Winning Team]]="")),"-",IF(Table4[[#This Row],[Predicted Winner]]=NHL2025_26Results[[#This Row],[Winning Team]],"YES","NO"))</f>
        <v>-</v>
      </c>
      <c r="N543" t="str">
        <f>IF(Table4[[#This Row],[Adjusted Correct]]="-", "",IF(Table4[[#This Row],[Adjusted Correct]]="YES",(Table4[[#This Row],[Strength of Win]]-1)^2,(Table4[[#This Row],[Strength of Win]]-0)^2))</f>
        <v/>
      </c>
      <c r="P543" s="11"/>
    </row>
    <row r="544" spans="4:16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6.4811420118814619E-2</v>
      </c>
      <c r="H544" t="s">
        <v>19</v>
      </c>
      <c r="I544">
        <f>VLOOKUP(Table4[[#This Row],[Visitor]],'NHL Model'!$A$6:$B$38,2,FALSE)</f>
        <v>-0.93520311342823803</v>
      </c>
      <c r="J544">
        <f>($B$1+Table4[[#This Row],[Home Differential]])-Table4[[#This Row],[Away Differential]]</f>
        <v>1.137557922519469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0.69172546285221881</v>
      </c>
      <c r="M544" t="str">
        <f>IF(OR((NHL2025_26Results[[#This Row],[Winning Team]]="")),"-",IF(Table4[[#This Row],[Predicted Winner]]=NHL2025_26Results[[#This Row],[Winning Team]],"YES","NO"))</f>
        <v>-</v>
      </c>
      <c r="N544" t="str">
        <f>IF(Table4[[#This Row],[Adjusted Correct]]="-", "",IF(Table4[[#This Row],[Adjusted Correct]]="YES",(Table4[[#This Row],[Strength of Win]]-1)^2,(Table4[[#This Row],[Strength of Win]]-0)^2))</f>
        <v/>
      </c>
      <c r="P544" s="11"/>
    </row>
    <row r="545" spans="4:16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0.34329638981067145</v>
      </c>
      <c r="H545" t="s">
        <v>39</v>
      </c>
      <c r="I545">
        <f>VLOOKUP(Table4[[#This Row],[Visitor]],'NHL Model'!$A$6:$B$38,2,FALSE)</f>
        <v>4.3828122498436855E-3</v>
      </c>
      <c r="J545">
        <f>($B$1+Table4[[#This Row],[Home Differential]])-Table4[[#This Row],[Away Differential]]</f>
        <v>0.47645696653324415</v>
      </c>
      <c r="K545" t="str">
        <f>IF(Table4[[#This Row],[HomeIce Differential]]&gt;0,Table4[[#This Row],[Home]],Table4[[#This Row],[Visitor]])</f>
        <v>Anaheim Ducks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0.62051101244522611</v>
      </c>
      <c r="M545" t="str">
        <f>IF(OR((NHL2025_26Results[[#This Row],[Winning Team]]="")),"-",IF(Table4[[#This Row],[Predicted Winner]]=NHL2025_26Results[[#This Row],[Winning Team]],"YES","NO"))</f>
        <v>-</v>
      </c>
      <c r="N545" t="str">
        <f>IF(Table4[[#This Row],[Adjusted Correct]]="-", "",IF(Table4[[#This Row],[Adjusted Correct]]="YES",(Table4[[#This Row],[Strength of Win]]-1)^2,(Table4[[#This Row],[Strength of Win]]-0)^2))</f>
        <v/>
      </c>
      <c r="P545" s="11"/>
    </row>
    <row r="546" spans="4:16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1.4458345276269271</v>
      </c>
      <c r="H546" t="s">
        <v>40</v>
      </c>
      <c r="I546">
        <f>VLOOKUP(Table4[[#This Row],[Visitor]],'NHL Model'!$A$6:$B$38,2,FALSE)</f>
        <v>-6.0247860940930854E-2</v>
      </c>
      <c r="J546">
        <f>($B$1+Table4[[#This Row],[Home Differential]])-Table4[[#This Row],[Away Differential]]</f>
        <v>1.6436257775402745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0.7906524693210043</v>
      </c>
      <c r="M546" t="str">
        <f>IF(OR((NHL2025_26Results[[#This Row],[Winning Team]]="")),"-",IF(Table4[[#This Row],[Predicted Winner]]=NHL2025_26Results[[#This Row],[Winning Team]],"YES","NO"))</f>
        <v>-</v>
      </c>
      <c r="N546" t="str">
        <f>IF(Table4[[#This Row],[Adjusted Correct]]="-", "",IF(Table4[[#This Row],[Adjusted Correct]]="YES",(Table4[[#This Row],[Strength of Win]]-1)^2,(Table4[[#This Row],[Strength of Win]]-0)^2))</f>
        <v/>
      </c>
      <c r="P546" s="11"/>
    </row>
    <row r="547" spans="4:16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-0.37836939589441088</v>
      </c>
      <c r="H547" t="s">
        <v>25</v>
      </c>
      <c r="I547">
        <f>VLOOKUP(Table4[[#This Row],[Visitor]],'NHL Model'!$A$6:$B$38,2,FALSE)</f>
        <v>0.42515174825138019</v>
      </c>
      <c r="J547">
        <f>($B$1+Table4[[#This Row],[Home Differential]])-Table4[[#This Row],[Away Differential]]</f>
        <v>-0.66597775517337476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0.5688269345697714</v>
      </c>
      <c r="M547" t="str">
        <f>IF(OR((NHL2025_26Results[[#This Row],[Winning Team]]="")),"-",IF(Table4[[#This Row],[Predicted Winner]]=NHL2025_26Results[[#This Row],[Winning Team]],"YES","NO"))</f>
        <v>-</v>
      </c>
      <c r="N547" t="str">
        <f>IF(Table4[[#This Row],[Adjusted Correct]]="-", "",IF(Table4[[#This Row],[Adjusted Correct]]="YES",(Table4[[#This Row],[Strength of Win]]-1)^2,(Table4[[#This Row],[Strength of Win]]-0)^2))</f>
        <v/>
      </c>
      <c r="P547" s="11"/>
    </row>
    <row r="548" spans="4:16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3.838472305373858E-3</v>
      </c>
      <c r="H548" t="s">
        <v>38</v>
      </c>
      <c r="I548">
        <f>VLOOKUP(Table4[[#This Row],[Visitor]],'NHL Model'!$A$6:$B$38,2,FALSE)</f>
        <v>-1.1236485959014608</v>
      </c>
      <c r="J548">
        <f>($B$1+Table4[[#This Row],[Home Differential]])-Table4[[#This Row],[Away Differential]]</f>
        <v>1.265030457179251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0.68795829319945823</v>
      </c>
      <c r="M548" t="str">
        <f>IF(OR((NHL2025_26Results[[#This Row],[Winning Team]]="")),"-",IF(Table4[[#This Row],[Predicted Winner]]=NHL2025_26Results[[#This Row],[Winning Team]],"YES","NO"))</f>
        <v>-</v>
      </c>
      <c r="N548" t="str">
        <f>IF(Table4[[#This Row],[Adjusted Correct]]="-", "",IF(Table4[[#This Row],[Adjusted Correct]]="YES",(Table4[[#This Row],[Strength of Win]]-1)^2,(Table4[[#This Row],[Strength of Win]]-0)^2))</f>
        <v/>
      </c>
      <c r="P548" s="11"/>
    </row>
    <row r="549" spans="4:16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-0.30969050963205513</v>
      </c>
      <c r="H549" t="s">
        <v>24</v>
      </c>
      <c r="I549">
        <f>VLOOKUP(Table4[[#This Row],[Visitor]],'NHL Model'!$A$6:$B$38,2,FALSE)</f>
        <v>-1.8032585202533785E-2</v>
      </c>
      <c r="J549">
        <f>($B$1+Table4[[#This Row],[Home Differential]])-Table4[[#This Row],[Away Differential]]</f>
        <v>-0.15411453545710499</v>
      </c>
      <c r="K549" t="str">
        <f>IF(Table4[[#This Row],[HomeIce Differential]]&gt;0,Table4[[#This Row],[Home]],Table4[[#This Row],[Visitor]])</f>
        <v>New Jersey Devils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0.4296464331320014</v>
      </c>
      <c r="M549" t="str">
        <f>IF(OR((NHL2025_26Results[[#This Row],[Winning Team]]="")),"-",IF(Table4[[#This Row],[Predicted Winner]]=NHL2025_26Results[[#This Row],[Winning Team]],"YES","NO"))</f>
        <v>-</v>
      </c>
      <c r="N549" t="str">
        <f>IF(Table4[[#This Row],[Adjusted Correct]]="-", "",IF(Table4[[#This Row],[Adjusted Correct]]="YES",(Table4[[#This Row],[Strength of Win]]-1)^2,(Table4[[#This Row],[Strength of Win]]-0)^2))</f>
        <v/>
      </c>
      <c r="P549" s="11"/>
    </row>
    <row r="550" spans="4:16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0.34329638981067145</v>
      </c>
      <c r="H550" t="s">
        <v>28</v>
      </c>
      <c r="I550">
        <f>VLOOKUP(Table4[[#This Row],[Visitor]],'NHL Model'!$A$6:$B$38,2,FALSE)</f>
        <v>-0.59418600019583889</v>
      </c>
      <c r="J550">
        <f>($B$1+Table4[[#This Row],[Home Differential]])-Table4[[#This Row],[Away Differential]]</f>
        <v>1.0750257789789268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0.77753137765778313</v>
      </c>
      <c r="M550" t="str">
        <f>IF(OR((NHL2025_26Results[[#This Row],[Winning Team]]="")),"-",IF(Table4[[#This Row],[Predicted Winner]]=NHL2025_26Results[[#This Row],[Winning Team]],"YES","NO"))</f>
        <v>-</v>
      </c>
      <c r="N550" t="str">
        <f>IF(Table4[[#This Row],[Adjusted Correct]]="-", "",IF(Table4[[#This Row],[Adjusted Correct]]="YES",(Table4[[#This Row],[Strength of Win]]-1)^2,(Table4[[#This Row],[Strength of Win]]-0)^2))</f>
        <v/>
      </c>
      <c r="P550" s="11"/>
    </row>
    <row r="551" spans="4:16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-0.14464931395309213</v>
      </c>
      <c r="H551" t="s">
        <v>38</v>
      </c>
      <c r="I551">
        <f>VLOOKUP(Table4[[#This Row],[Visitor]],'NHL Model'!$A$6:$B$38,2,FALSE)</f>
        <v>-1.1236485959014608</v>
      </c>
      <c r="J551">
        <f>($B$1+Table4[[#This Row],[Home Differential]])-Table4[[#This Row],[Away Differential]]</f>
        <v>1.1165426709207851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0.72035105720802362</v>
      </c>
      <c r="M551" t="str">
        <f>IF(OR((NHL2025_26Results[[#This Row],[Winning Team]]="")),"-",IF(Table4[[#This Row],[Predicted Winner]]=NHL2025_26Results[[#This Row],[Winning Team]],"YES","NO"))</f>
        <v>-</v>
      </c>
      <c r="N551" t="str">
        <f>IF(Table4[[#This Row],[Adjusted Correct]]="-", "",IF(Table4[[#This Row],[Adjusted Correct]]="YES",(Table4[[#This Row],[Strength of Win]]-1)^2,(Table4[[#This Row],[Strength of Win]]-0)^2))</f>
        <v/>
      </c>
      <c r="P551" s="11"/>
    </row>
    <row r="552" spans="4:16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-0.51535072045188635</v>
      </c>
      <c r="H552" t="s">
        <v>30</v>
      </c>
      <c r="I552">
        <f>VLOOKUP(Table4[[#This Row],[Visitor]],'NHL Model'!$A$6:$B$38,2,FALSE)</f>
        <v>3.838472305373858E-3</v>
      </c>
      <c r="J552">
        <f>($B$1+Table4[[#This Row],[Home Differential]])-Table4[[#This Row],[Away Differential]]</f>
        <v>-0.38164580378484386</v>
      </c>
      <c r="K552" t="str">
        <f>IF(Table4[[#This Row],[HomeIce Differential]]&gt;0,Table4[[#This Row],[Home]],Table4[[#This Row],[Visitor]])</f>
        <v>New York Islanders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0.56942176052364957</v>
      </c>
      <c r="M552" t="str">
        <f>IF(OR((NHL2025_26Results[[#This Row],[Winning Team]]="")),"-",IF(Table4[[#This Row],[Predicted Winner]]=NHL2025_26Results[[#This Row],[Winning Team]],"YES","NO"))</f>
        <v>-</v>
      </c>
      <c r="N552" t="str">
        <f>IF(Table4[[#This Row],[Adjusted Correct]]="-", "",IF(Table4[[#This Row],[Adjusted Correct]]="YES",(Table4[[#This Row],[Strength of Win]]-1)^2,(Table4[[#This Row],[Strength of Win]]-0)^2))</f>
        <v/>
      </c>
      <c r="P552" s="11"/>
    </row>
    <row r="553" spans="4:16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-1.0952038865534519</v>
      </c>
      <c r="H553" t="s">
        <v>20</v>
      </c>
      <c r="I553">
        <f>VLOOKUP(Table4[[#This Row],[Visitor]],'NHL Model'!$A$6:$B$38,2,FALSE)</f>
        <v>0.12073374225454764</v>
      </c>
      <c r="J553">
        <f>($B$1+Table4[[#This Row],[Home Differential]])-Table4[[#This Row],[Away Differential]]</f>
        <v>-1.0783942398355832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0.62460354631233228</v>
      </c>
      <c r="M553" t="str">
        <f>IF(OR((NHL2025_26Results[[#This Row],[Winning Team]]="")),"-",IF(Table4[[#This Row],[Predicted Winner]]=NHL2025_26Results[[#This Row],[Winning Team]],"YES","NO"))</f>
        <v>-</v>
      </c>
      <c r="N553" t="str">
        <f>IF(Table4[[#This Row],[Adjusted Correct]]="-", "",IF(Table4[[#This Row],[Adjusted Correct]]="YES",(Table4[[#This Row],[Strength of Win]]-1)^2,(Table4[[#This Row],[Strength of Win]]-0)^2))</f>
        <v/>
      </c>
      <c r="P553" s="11"/>
    </row>
    <row r="554" spans="4:16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-0.37836939589441088</v>
      </c>
      <c r="H554" t="s">
        <v>35</v>
      </c>
      <c r="I554">
        <f>VLOOKUP(Table4[[#This Row],[Visitor]],'NHL Model'!$A$6:$B$38,2,FALSE)</f>
        <v>-1.5569791149906038</v>
      </c>
      <c r="J554">
        <f>($B$1+Table4[[#This Row],[Home Differential]])-Table4[[#This Row],[Away Differential]]</f>
        <v>1.3161531080686093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0.76726214901662759</v>
      </c>
      <c r="M554" t="str">
        <f>IF(OR((NHL2025_26Results[[#This Row],[Winning Team]]="")),"-",IF(Table4[[#This Row],[Predicted Winner]]=NHL2025_26Results[[#This Row],[Winning Team]],"YES","NO"))</f>
        <v>-</v>
      </c>
      <c r="N554" t="str">
        <f>IF(Table4[[#This Row],[Adjusted Correct]]="-", "",IF(Table4[[#This Row],[Adjusted Correct]]="YES",(Table4[[#This Row],[Strength of Win]]-1)^2,(Table4[[#This Row],[Strength of Win]]-0)^2))</f>
        <v/>
      </c>
      <c r="P554" s="11"/>
    </row>
    <row r="555" spans="4:16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-0.16358905079701039</v>
      </c>
      <c r="H555" t="s">
        <v>17</v>
      </c>
      <c r="I555">
        <f>VLOOKUP(Table4[[#This Row],[Visitor]],'NHL Model'!$A$6:$B$38,2,FALSE)</f>
        <v>-0.87263145033954281</v>
      </c>
      <c r="J555">
        <f>($B$1+Table4[[#This Row],[Home Differential]])-Table4[[#This Row],[Away Differential]]</f>
        <v>0.84658578851494881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0.65291611447973796</v>
      </c>
      <c r="M555" t="str">
        <f>IF(OR((NHL2025_26Results[[#This Row],[Winning Team]]="")),"-",IF(Table4[[#This Row],[Predicted Winner]]=NHL2025_26Results[[#This Row],[Winning Team]],"YES","NO"))</f>
        <v>-</v>
      </c>
      <c r="N555" t="str">
        <f>IF(Table4[[#This Row],[Adjusted Correct]]="-", "",IF(Table4[[#This Row],[Adjusted Correct]]="YES",(Table4[[#This Row],[Strength of Win]]-1)^2,(Table4[[#This Row],[Strength of Win]]-0)^2))</f>
        <v/>
      </c>
      <c r="P555" s="11"/>
    </row>
    <row r="556" spans="4:16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-0.74754136228530599</v>
      </c>
      <c r="H556" t="s">
        <v>14</v>
      </c>
      <c r="I556">
        <f>VLOOKUP(Table4[[#This Row],[Visitor]],'NHL Model'!$A$6:$B$38,2,FALSE)</f>
        <v>-0.2090057419115289</v>
      </c>
      <c r="J556">
        <f>($B$1+Table4[[#This Row],[Home Differential]])-Table4[[#This Row],[Away Differential]]</f>
        <v>-0.40099223140136075</v>
      </c>
      <c r="K556" t="str">
        <f>IF(Table4[[#This Row],[HomeIce Differential]]&gt;0,Table4[[#This Row],[Home]],Table4[[#This Row],[Visitor]])</f>
        <v>Pittsburgh Penguins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0.5134836342880591</v>
      </c>
      <c r="M556" t="str">
        <f>IF(OR((NHL2025_26Results[[#This Row],[Winning Team]]="")),"-",IF(Table4[[#This Row],[Predicted Winner]]=NHL2025_26Results[[#This Row],[Winning Team]],"YES","NO"))</f>
        <v>-</v>
      </c>
      <c r="N556" t="str">
        <f>IF(Table4[[#This Row],[Adjusted Correct]]="-", "",IF(Table4[[#This Row],[Adjusted Correct]]="YES",(Table4[[#This Row],[Strength of Win]]-1)^2,(Table4[[#This Row],[Strength of Win]]-0)^2))</f>
        <v/>
      </c>
      <c r="P556" s="11"/>
    </row>
    <row r="557" spans="4:16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-1.4957350924899622</v>
      </c>
      <c r="H557" t="s">
        <v>19</v>
      </c>
      <c r="I557">
        <f>VLOOKUP(Table4[[#This Row],[Visitor]],'NHL Model'!$A$6:$B$38,2,FALSE)</f>
        <v>-0.93520311342823803</v>
      </c>
      <c r="J557">
        <f>($B$1+Table4[[#This Row],[Home Differential]])-Table4[[#This Row],[Away Differential]]</f>
        <v>-0.42298859008930767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0.51641746968837032</v>
      </c>
      <c r="M557" t="str">
        <f>IF(OR((NHL2025_26Results[[#This Row],[Winning Team]]="")),"-",IF(Table4[[#This Row],[Predicted Winner]]=NHL2025_26Results[[#This Row],[Winning Team]],"YES","NO"))</f>
        <v>-</v>
      </c>
      <c r="N557" t="str">
        <f>IF(Table4[[#This Row],[Adjusted Correct]]="-", "",IF(Table4[[#This Row],[Adjusted Correct]]="YES",(Table4[[#This Row],[Strength of Win]]-1)^2,(Table4[[#This Row],[Strength of Win]]-0)^2))</f>
        <v/>
      </c>
      <c r="P557" s="11"/>
    </row>
    <row r="558" spans="4:16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-0.49835870184734621</v>
      </c>
      <c r="H558" t="s">
        <v>27</v>
      </c>
      <c r="I558">
        <f>VLOOKUP(Table4[[#This Row],[Visitor]],'NHL Model'!$A$6:$B$38,2,FALSE)</f>
        <v>-0.42203126246971279</v>
      </c>
      <c r="J558">
        <f>($B$1+Table4[[#This Row],[Home Differential]])-Table4[[#This Row],[Away Differential]]</f>
        <v>6.1215949594782937E-2</v>
      </c>
      <c r="K558" t="str">
        <f>IF(Table4[[#This Row],[HomeIce Differential]]&gt;0,Table4[[#This Row],[Home]],Table4[[#This Row],[Visitor]])</f>
        <v>New York Rangers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0.54816487503830613</v>
      </c>
      <c r="M558" t="str">
        <f>IF(OR((NHL2025_26Results[[#This Row],[Winning Team]]="")),"-",IF(Table4[[#This Row],[Predicted Winner]]=NHL2025_26Results[[#This Row],[Winning Team]],"YES","NO"))</f>
        <v>-</v>
      </c>
      <c r="N558" t="str">
        <f>IF(Table4[[#This Row],[Adjusted Correct]]="-", "",IF(Table4[[#This Row],[Adjusted Correct]]="YES",(Table4[[#This Row],[Strength of Win]]-1)^2,(Table4[[#This Row],[Strength of Win]]-0)^2))</f>
        <v/>
      </c>
      <c r="P558" s="11"/>
    </row>
    <row r="559" spans="4:16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-0.31751962084606655</v>
      </c>
      <c r="H559" t="s">
        <v>10</v>
      </c>
      <c r="I559">
        <f>VLOOKUP(Table4[[#This Row],[Visitor]],'NHL Model'!$A$6:$B$38,2,FALSE)</f>
        <v>-0.15263505358797036</v>
      </c>
      <c r="J559">
        <f>($B$1+Table4[[#This Row],[Home Differential]])-Table4[[#This Row],[Away Differential]]</f>
        <v>-2.7341178285679835E-2</v>
      </c>
      <c r="K559" t="str">
        <f>IF(Table4[[#This Row],[HomeIce Differential]]&gt;0,Table4[[#This Row],[Home]],Table4[[#This Row],[Visitor]])</f>
        <v>Chicago Blackhawks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0.46115123877651859</v>
      </c>
      <c r="M559" t="str">
        <f>IF(OR((NHL2025_26Results[[#This Row],[Winning Team]]="")),"-",IF(Table4[[#This Row],[Predicted Winner]]=NHL2025_26Results[[#This Row],[Winning Team]],"YES","NO"))</f>
        <v>-</v>
      </c>
      <c r="N559" t="str">
        <f>IF(Table4[[#This Row],[Adjusted Correct]]="-", "",IF(Table4[[#This Row],[Adjusted Correct]]="YES",(Table4[[#This Row],[Strength of Win]]-1)^2,(Table4[[#This Row],[Strength of Win]]-0)^2))</f>
        <v/>
      </c>
      <c r="P559" s="11"/>
    </row>
    <row r="560" spans="4:16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-0.36178381286707545</v>
      </c>
      <c r="H560" t="s">
        <v>32</v>
      </c>
      <c r="I560">
        <f>VLOOKUP(Table4[[#This Row],[Visitor]],'NHL Model'!$A$6:$B$38,2,FALSE)</f>
        <v>-0.45007023285116615</v>
      </c>
      <c r="J560">
        <f>($B$1+Table4[[#This Row],[Home Differential]])-Table4[[#This Row],[Away Differential]]</f>
        <v>0.22582980895650706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0.57012078032375335</v>
      </c>
      <c r="M560" t="str">
        <f>IF(OR((NHL2025_26Results[[#This Row],[Winning Team]]="")),"-",IF(Table4[[#This Row],[Predicted Winner]]=NHL2025_26Results[[#This Row],[Winning Team]],"YES","NO"))</f>
        <v>-</v>
      </c>
      <c r="N560" t="str">
        <f>IF(Table4[[#This Row],[Adjusted Correct]]="-", "",IF(Table4[[#This Row],[Adjusted Correct]]="YES",(Table4[[#This Row],[Strength of Win]]-1)^2,(Table4[[#This Row],[Strength of Win]]-0)^2))</f>
        <v/>
      </c>
      <c r="P560" s="11"/>
    </row>
    <row r="561" spans="4:16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7.1667377873261273E-2</v>
      </c>
      <c r="H561" t="s">
        <v>25</v>
      </c>
      <c r="I561">
        <f>VLOOKUP(Table4[[#This Row],[Visitor]],'NHL Model'!$A$6:$B$38,2,FALSE)</f>
        <v>0.42515174825138019</v>
      </c>
      <c r="J561">
        <f>($B$1+Table4[[#This Row],[Home Differential]])-Table4[[#This Row],[Away Differential]]</f>
        <v>-0.21594098140570256</v>
      </c>
      <c r="K561" t="str">
        <f>IF(Table4[[#This Row],[HomeIce Differential]]&gt;0,Table4[[#This Row],[Home]],Table4[[#This Row],[Visitor]])</f>
        <v>Carolina Hurricanes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0.55892230793053743</v>
      </c>
      <c r="M561" t="str">
        <f>IF(OR((NHL2025_26Results[[#This Row],[Winning Team]]="")),"-",IF(Table4[[#This Row],[Predicted Winner]]=NHL2025_26Results[[#This Row],[Winning Team]],"YES","NO"))</f>
        <v>-</v>
      </c>
      <c r="N561" t="str">
        <f>IF(Table4[[#This Row],[Adjusted Correct]]="-", "",IF(Table4[[#This Row],[Adjusted Correct]]="YES",(Table4[[#This Row],[Strength of Win]]-1)^2,(Table4[[#This Row],[Strength of Win]]-0)^2))</f>
        <v/>
      </c>
      <c r="P561" s="11"/>
    </row>
    <row r="562" spans="4:16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6.4811420118814619E-2</v>
      </c>
      <c r="H562" t="s">
        <v>26</v>
      </c>
      <c r="I562">
        <f>VLOOKUP(Table4[[#This Row],[Visitor]],'NHL Model'!$A$6:$B$38,2,FALSE)</f>
        <v>-0.66335717753705836</v>
      </c>
      <c r="J562">
        <f>($B$1+Table4[[#This Row],[Home Differential]])-Table4[[#This Row],[Away Differential]]</f>
        <v>0.86571198662828941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0.60836774146048755</v>
      </c>
      <c r="M562" t="str">
        <f>IF(OR((NHL2025_26Results[[#This Row],[Winning Team]]="")),"-",IF(Table4[[#This Row],[Predicted Winner]]=NHL2025_26Results[[#This Row],[Winning Team]],"YES","NO"))</f>
        <v>-</v>
      </c>
      <c r="N562" t="str">
        <f>IF(Table4[[#This Row],[Adjusted Correct]]="-", "",IF(Table4[[#This Row],[Adjusted Correct]]="YES",(Table4[[#This Row],[Strength of Win]]-1)^2,(Table4[[#This Row],[Strength of Win]]-0)^2))</f>
        <v/>
      </c>
      <c r="P562" s="11"/>
    </row>
    <row r="563" spans="4:16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-0.14464931395309213</v>
      </c>
      <c r="H563" t="s">
        <v>36</v>
      </c>
      <c r="I563">
        <f>VLOOKUP(Table4[[#This Row],[Visitor]],'NHL Model'!$A$6:$B$38,2,FALSE)</f>
        <v>-0.31751962084606655</v>
      </c>
      <c r="J563">
        <f>($B$1+Table4[[#This Row],[Home Differential]])-Table4[[#This Row],[Away Differential]]</f>
        <v>0.3104136958653908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0.61283100092115694</v>
      </c>
      <c r="M563" t="str">
        <f>IF(OR((NHL2025_26Results[[#This Row],[Winning Team]]="")),"-",IF(Table4[[#This Row],[Predicted Winner]]=NHL2025_26Results[[#This Row],[Winning Team]],"YES","NO"))</f>
        <v>-</v>
      </c>
      <c r="N563" t="str">
        <f>IF(Table4[[#This Row],[Adjusted Correct]]="-", "",IF(Table4[[#This Row],[Adjusted Correct]]="YES",(Table4[[#This Row],[Strength of Win]]-1)^2,(Table4[[#This Row],[Strength of Win]]-0)^2))</f>
        <v/>
      </c>
      <c r="P563" s="11"/>
    </row>
    <row r="564" spans="4:16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4.3828122498436855E-3</v>
      </c>
      <c r="H564" t="s">
        <v>19</v>
      </c>
      <c r="I564">
        <f>VLOOKUP(Table4[[#This Row],[Visitor]],'NHL Model'!$A$6:$B$38,2,FALSE)</f>
        <v>-0.93520311342823803</v>
      </c>
      <c r="J564">
        <f>($B$1+Table4[[#This Row],[Home Differential]])-Table4[[#This Row],[Away Differential]]</f>
        <v>1.0771293146504981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0.6861610812644785</v>
      </c>
      <c r="M564" t="str">
        <f>IF(OR((NHL2025_26Results[[#This Row],[Winning Team]]="")),"-",IF(Table4[[#This Row],[Predicted Winner]]=NHL2025_26Results[[#This Row],[Winning Team]],"YES","NO"))</f>
        <v>-</v>
      </c>
      <c r="N564" t="str">
        <f>IF(Table4[[#This Row],[Adjusted Correct]]="-", "",IF(Table4[[#This Row],[Adjusted Correct]]="YES",(Table4[[#This Row],[Strength of Win]]-1)^2,(Table4[[#This Row],[Strength of Win]]-0)^2))</f>
        <v/>
      </c>
      <c r="P564" s="11"/>
    </row>
    <row r="565" spans="4:16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-0.66335717753705836</v>
      </c>
      <c r="H565" t="s">
        <v>22</v>
      </c>
      <c r="I565">
        <f>VLOOKUP(Table4[[#This Row],[Visitor]],'NHL Model'!$A$6:$B$38,2,FALSE)</f>
        <v>6.4811420118814619E-2</v>
      </c>
      <c r="J565">
        <f>($B$1+Table4[[#This Row],[Home Differential]])-Table4[[#This Row],[Away Differential]]</f>
        <v>-0.59062520868345658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0.52705240732057845</v>
      </c>
      <c r="M565" t="str">
        <f>IF(OR((NHL2025_26Results[[#This Row],[Winning Team]]="")),"-",IF(Table4[[#This Row],[Predicted Winner]]=NHL2025_26Results[[#This Row],[Winning Team]],"YES","NO"))</f>
        <v>-</v>
      </c>
      <c r="N565" t="str">
        <f>IF(Table4[[#This Row],[Adjusted Correct]]="-", "",IF(Table4[[#This Row],[Adjusted Correct]]="YES",(Table4[[#This Row],[Strength of Win]]-1)^2,(Table4[[#This Row],[Strength of Win]]-0)^2))</f>
        <v/>
      </c>
      <c r="P565" s="11"/>
    </row>
    <row r="566" spans="4:16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-0.87263145033954281</v>
      </c>
      <c r="H566" t="s">
        <v>20</v>
      </c>
      <c r="I566">
        <f>VLOOKUP(Table4[[#This Row],[Visitor]],'NHL Model'!$A$6:$B$38,2,FALSE)</f>
        <v>0.12073374225454764</v>
      </c>
      <c r="J566">
        <f>($B$1+Table4[[#This Row],[Home Differential]])-Table4[[#This Row],[Away Differential]]</f>
        <v>-0.85582180362167404</v>
      </c>
      <c r="K566" t="str">
        <f>IF(Table4[[#This Row],[HomeIce Differential]]&gt;0,Table4[[#This Row],[Home]],Table4[[#This Row],[Visitor]])</f>
        <v>Vegas Golden Knights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0.55859244227643767</v>
      </c>
      <c r="M566" t="str">
        <f>IF(OR((NHL2025_26Results[[#This Row],[Winning Team]]="")),"-",IF(Table4[[#This Row],[Predicted Winner]]=NHL2025_26Results[[#This Row],[Winning Team]],"YES","NO"))</f>
        <v>-</v>
      </c>
      <c r="N566" t="str">
        <f>IF(Table4[[#This Row],[Adjusted Correct]]="-", "",IF(Table4[[#This Row],[Adjusted Correct]]="YES",(Table4[[#This Row],[Strength of Win]]-1)^2,(Table4[[#This Row],[Strength of Win]]-0)^2))</f>
        <v/>
      </c>
      <c r="P566" s="11"/>
    </row>
    <row r="567" spans="4:16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-0.16358905079701039</v>
      </c>
      <c r="H567" t="s">
        <v>12</v>
      </c>
      <c r="I567">
        <f>VLOOKUP(Table4[[#This Row],[Visitor]],'NHL Model'!$A$6:$B$38,2,FALSE)</f>
        <v>1.4458345276269271</v>
      </c>
      <c r="J567">
        <f>($B$1+Table4[[#This Row],[Home Differential]])-Table4[[#This Row],[Away Differential]]</f>
        <v>-1.4718801894515212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0.74880296309392547</v>
      </c>
      <c r="M567" t="str">
        <f>IF(OR((NHL2025_26Results[[#This Row],[Winning Team]]="")),"-",IF(Table4[[#This Row],[Predicted Winner]]=NHL2025_26Results[[#This Row],[Winning Team]],"YES","NO"))</f>
        <v>-</v>
      </c>
      <c r="N567" t="str">
        <f>IF(Table4[[#This Row],[Adjusted Correct]]="-", "",IF(Table4[[#This Row],[Adjusted Correct]]="YES",(Table4[[#This Row],[Strength of Win]]-1)^2,(Table4[[#This Row],[Strength of Win]]-0)^2))</f>
        <v/>
      </c>
      <c r="P567" s="11"/>
    </row>
    <row r="568" spans="4:16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-1.8032585202533785E-2</v>
      </c>
      <c r="H568" t="s">
        <v>23</v>
      </c>
      <c r="I568">
        <f>VLOOKUP(Table4[[#This Row],[Visitor]],'NHL Model'!$A$6:$B$38,2,FALSE)</f>
        <v>-0.51535072045188635</v>
      </c>
      <c r="J568">
        <f>($B$1+Table4[[#This Row],[Home Differential]])-Table4[[#This Row],[Away Differential]]</f>
        <v>0.63486152422176889</v>
      </c>
      <c r="K568" t="str">
        <f>IF(Table4[[#This Row],[HomeIce Differential]]&gt;0,Table4[[#This Row],[Home]],Table4[[#This Row],[Visitor]])</f>
        <v>New Jersey Devils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0.74010741835459071</v>
      </c>
      <c r="M568" t="str">
        <f>IF(OR((NHL2025_26Results[[#This Row],[Winning Team]]="")),"-",IF(Table4[[#This Row],[Predicted Winner]]=NHL2025_26Results[[#This Row],[Winning Team]],"YES","NO"))</f>
        <v>-</v>
      </c>
      <c r="N568" t="str">
        <f>IF(Table4[[#This Row],[Adjusted Correct]]="-", "",IF(Table4[[#This Row],[Adjusted Correct]]="YES",(Table4[[#This Row],[Strength of Win]]-1)^2,(Table4[[#This Row],[Strength of Win]]-0)^2))</f>
        <v/>
      </c>
      <c r="P568" s="11"/>
    </row>
    <row r="569" spans="4:16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-1.4957350924899622</v>
      </c>
      <c r="H569" t="s">
        <v>15</v>
      </c>
      <c r="I569">
        <f>VLOOKUP(Table4[[#This Row],[Visitor]],'NHL Model'!$A$6:$B$38,2,FALSE)</f>
        <v>-0.49835870184734621</v>
      </c>
      <c r="J569">
        <f>($B$1+Table4[[#This Row],[Home Differential]])-Table4[[#This Row],[Away Differential]]</f>
        <v>-0.85983300167019949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0.65816126519965101</v>
      </c>
      <c r="M569" t="str">
        <f>IF(OR((NHL2025_26Results[[#This Row],[Winning Team]]="")),"-",IF(Table4[[#This Row],[Predicted Winner]]=NHL2025_26Results[[#This Row],[Winning Team]],"YES","NO"))</f>
        <v>-</v>
      </c>
      <c r="N569" t="str">
        <f>IF(Table4[[#This Row],[Adjusted Correct]]="-", "",IF(Table4[[#This Row],[Adjusted Correct]]="YES",(Table4[[#This Row],[Strength of Win]]-1)^2,(Table4[[#This Row],[Strength of Win]]-0)^2))</f>
        <v/>
      </c>
      <c r="P569" s="11"/>
    </row>
    <row r="570" spans="4:16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-0.2090057419115289</v>
      </c>
      <c r="H570" t="s">
        <v>18</v>
      </c>
      <c r="I570">
        <f>VLOOKUP(Table4[[#This Row],[Visitor]],'NHL Model'!$A$6:$B$38,2,FALSE)</f>
        <v>-0.74754136228530599</v>
      </c>
      <c r="J570">
        <f>($B$1+Table4[[#This Row],[Home Differential]])-Table4[[#This Row],[Away Differential]]</f>
        <v>0.67607900934619347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0.58307483049693354</v>
      </c>
      <c r="M570" t="str">
        <f>IF(OR((NHL2025_26Results[[#This Row],[Winning Team]]="")),"-",IF(Table4[[#This Row],[Predicted Winner]]=NHL2025_26Results[[#This Row],[Winning Team]],"YES","NO"))</f>
        <v>-</v>
      </c>
      <c r="N570" t="str">
        <f>IF(Table4[[#This Row],[Adjusted Correct]]="-", "",IF(Table4[[#This Row],[Adjusted Correct]]="YES",(Table4[[#This Row],[Strength of Win]]-1)^2,(Table4[[#This Row],[Strength of Win]]-0)^2))</f>
        <v/>
      </c>
      <c r="P570" s="11"/>
    </row>
    <row r="571" spans="4:16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-0.30969050963205513</v>
      </c>
      <c r="H571" t="s">
        <v>40</v>
      </c>
      <c r="I571">
        <f>VLOOKUP(Table4[[#This Row],[Visitor]],'NHL Model'!$A$6:$B$38,2,FALSE)</f>
        <v>-6.0247860940930854E-2</v>
      </c>
      <c r="J571">
        <f>($B$1+Table4[[#This Row],[Home Differential]])-Table4[[#This Row],[Away Differential]]</f>
        <v>-0.11189925971870793</v>
      </c>
      <c r="K571" t="str">
        <f>IF(Table4[[#This Row],[HomeIce Differential]]&gt;0,Table4[[#This Row],[Home]],Table4[[#This Row],[Visitor]])</f>
        <v>Winnipeg Jets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0.48860913578729831</v>
      </c>
      <c r="M571" t="str">
        <f>IF(OR((NHL2025_26Results[[#This Row],[Winning Team]]="")),"-",IF(Table4[[#This Row],[Predicted Winner]]=NHL2025_26Results[[#This Row],[Winning Team]],"YES","NO"))</f>
        <v>-</v>
      </c>
      <c r="N571" t="str">
        <f>IF(Table4[[#This Row],[Adjusted Correct]]="-", "",IF(Table4[[#This Row],[Adjusted Correct]]="YES",(Table4[[#This Row],[Strength of Win]]-1)^2,(Table4[[#This Row],[Strength of Win]]-0)^2))</f>
        <v/>
      </c>
      <c r="P571" s="11"/>
    </row>
    <row r="572" spans="4:16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0.34329638981067145</v>
      </c>
      <c r="H572" t="s">
        <v>32</v>
      </c>
      <c r="I572">
        <f>VLOOKUP(Table4[[#This Row],[Visitor]],'NHL Model'!$A$6:$B$38,2,FALSE)</f>
        <v>-0.45007023285116615</v>
      </c>
      <c r="J572">
        <f>($B$1+Table4[[#This Row],[Home Differential]])-Table4[[#This Row],[Away Differential]]</f>
        <v>0.93091001163425391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0.75908376507241337</v>
      </c>
      <c r="M572" t="str">
        <f>IF(OR((NHL2025_26Results[[#This Row],[Winning Team]]="")),"-",IF(Table4[[#This Row],[Predicted Winner]]=NHL2025_26Results[[#This Row],[Winning Team]],"YES","NO"))</f>
        <v>-</v>
      </c>
      <c r="N572" t="str">
        <f>IF(Table4[[#This Row],[Adjusted Correct]]="-", "",IF(Table4[[#This Row],[Adjusted Correct]]="YES",(Table4[[#This Row],[Strength of Win]]-1)^2,(Table4[[#This Row],[Strength of Win]]-0)^2))</f>
        <v/>
      </c>
      <c r="P572" s="11"/>
    </row>
    <row r="573" spans="4:16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-0.36134162888396865</v>
      </c>
      <c r="H573" t="s">
        <v>28</v>
      </c>
      <c r="I573">
        <f>VLOOKUP(Table4[[#This Row],[Visitor]],'NHL Model'!$A$6:$B$38,2,FALSE)</f>
        <v>-0.59418600019583889</v>
      </c>
      <c r="J573">
        <f>($B$1+Table4[[#This Row],[Home Differential]])-Table4[[#This Row],[Away Differential]]</f>
        <v>0.3703877602842866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0.58857217099602954</v>
      </c>
      <c r="M573" t="str">
        <f>IF(OR((NHL2025_26Results[[#This Row],[Winning Team]]="")),"-",IF(Table4[[#This Row],[Predicted Winner]]=NHL2025_26Results[[#This Row],[Winning Team]],"YES","NO"))</f>
        <v>-</v>
      </c>
      <c r="N573" t="str">
        <f>IF(Table4[[#This Row],[Adjusted Correct]]="-", "",IF(Table4[[#This Row],[Adjusted Correct]]="YES",(Table4[[#This Row],[Strength of Win]]-1)^2,(Table4[[#This Row],[Strength of Win]]-0)^2))</f>
        <v/>
      </c>
      <c r="P573" s="11"/>
    </row>
    <row r="574" spans="4:16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-0.42203126246971279</v>
      </c>
      <c r="H574" t="s">
        <v>38</v>
      </c>
      <c r="I574">
        <f>VLOOKUP(Table4[[#This Row],[Visitor]],'NHL Model'!$A$6:$B$38,2,FALSE)</f>
        <v>-1.1236485959014608</v>
      </c>
      <c r="J574">
        <f>($B$1+Table4[[#This Row],[Home Differential]])-Table4[[#This Row],[Away Differential]]</f>
        <v>0.83916072240416439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0.66364991023120934</v>
      </c>
      <c r="M574" t="str">
        <f>IF(OR((NHL2025_26Results[[#This Row],[Winning Team]]="")),"-",IF(Table4[[#This Row],[Predicted Winner]]=NHL2025_26Results[[#This Row],[Winning Team]],"YES","NO"))</f>
        <v>-</v>
      </c>
      <c r="N574" t="str">
        <f>IF(Table4[[#This Row],[Adjusted Correct]]="-", "",IF(Table4[[#This Row],[Adjusted Correct]]="YES",(Table4[[#This Row],[Strength of Win]]-1)^2,(Table4[[#This Row],[Strength of Win]]-0)^2))</f>
        <v/>
      </c>
      <c r="P574" s="11"/>
    </row>
    <row r="575" spans="4:16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7.1667377873261273E-2</v>
      </c>
      <c r="H575" t="s">
        <v>35</v>
      </c>
      <c r="I575">
        <f>VLOOKUP(Table4[[#This Row],[Visitor]],'NHL Model'!$A$6:$B$38,2,FALSE)</f>
        <v>-1.5569791149906038</v>
      </c>
      <c r="J575">
        <f>($B$1+Table4[[#This Row],[Home Differential]])-Table4[[#This Row],[Away Differential]]</f>
        <v>1.7661898818362816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0.77806676045655154</v>
      </c>
      <c r="M575" t="str">
        <f>IF(OR((NHL2025_26Results[[#This Row],[Winning Team]]="")),"-",IF(Table4[[#This Row],[Predicted Winner]]=NHL2025_26Results[[#This Row],[Winning Team]],"YES","NO"))</f>
        <v>-</v>
      </c>
      <c r="N575" t="str">
        <f>IF(Table4[[#This Row],[Adjusted Correct]]="-", "",IF(Table4[[#This Row],[Adjusted Correct]]="YES",(Table4[[#This Row],[Strength of Win]]-1)^2,(Table4[[#This Row],[Strength of Win]]-0)^2))</f>
        <v/>
      </c>
      <c r="P575" s="11"/>
    </row>
    <row r="576" spans="4:16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-0.14464931395309213</v>
      </c>
      <c r="H576" t="s">
        <v>18</v>
      </c>
      <c r="I576">
        <f>VLOOKUP(Table4[[#This Row],[Visitor]],'NHL Model'!$A$6:$B$38,2,FALSE)</f>
        <v>-0.74754136228530599</v>
      </c>
      <c r="J576">
        <f>($B$1+Table4[[#This Row],[Home Differential]])-Table4[[#This Row],[Away Differential]]</f>
        <v>0.74043543730463024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0.64421251391773571</v>
      </c>
      <c r="M576" t="str">
        <f>IF(OR((NHL2025_26Results[[#This Row],[Winning Team]]="")),"-",IF(Table4[[#This Row],[Predicted Winner]]=NHL2025_26Results[[#This Row],[Winning Team]],"YES","NO"))</f>
        <v>-</v>
      </c>
      <c r="N576" t="str">
        <f>IF(Table4[[#This Row],[Adjusted Correct]]="-", "",IF(Table4[[#This Row],[Adjusted Correct]]="YES",(Table4[[#This Row],[Strength of Win]]-1)^2,(Table4[[#This Row],[Strength of Win]]-0)^2))</f>
        <v/>
      </c>
      <c r="P576" s="11"/>
    </row>
    <row r="577" spans="4:16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0.42515174825138019</v>
      </c>
      <c r="H577" t="s">
        <v>11</v>
      </c>
      <c r="I577">
        <f>VLOOKUP(Table4[[#This Row],[Visitor]],'NHL Model'!$A$6:$B$38,2,FALSE)</f>
        <v>-0.37836939589441088</v>
      </c>
      <c r="J577">
        <f>($B$1+Table4[[#This Row],[Home Differential]])-Table4[[#This Row],[Away Differential]]</f>
        <v>0.94106453311820737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0.71723349859073704</v>
      </c>
      <c r="M577" t="str">
        <f>IF(OR((NHL2025_26Results[[#This Row],[Winning Team]]="")),"-",IF(Table4[[#This Row],[Predicted Winner]]=NHL2025_26Results[[#This Row],[Winning Team]],"YES","NO"))</f>
        <v>-</v>
      </c>
      <c r="N577" t="str">
        <f>IF(Table4[[#This Row],[Adjusted Correct]]="-", "",IF(Table4[[#This Row],[Adjusted Correct]]="YES",(Table4[[#This Row],[Strength of Win]]-1)^2,(Table4[[#This Row],[Strength of Win]]-0)^2))</f>
        <v/>
      </c>
      <c r="P577" s="11"/>
    </row>
    <row r="578" spans="4:16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-0.15263505358797036</v>
      </c>
      <c r="H578" t="s">
        <v>27</v>
      </c>
      <c r="I578">
        <f>VLOOKUP(Table4[[#This Row],[Visitor]],'NHL Model'!$A$6:$B$38,2,FALSE)</f>
        <v>-0.42203126246971279</v>
      </c>
      <c r="J578">
        <f>($B$1+Table4[[#This Row],[Home Differential]])-Table4[[#This Row],[Away Differential]]</f>
        <v>0.40693959785415879</v>
      </c>
      <c r="K578" t="str">
        <f>IF(Table4[[#This Row],[HomeIce Differential]]&gt;0,Table4[[#This Row],[Home]],Table4[[#This Row],[Visitor]])</f>
        <v>Chicago Blackhawks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0.59427688350195751</v>
      </c>
      <c r="M578" t="str">
        <f>IF(OR((NHL2025_26Results[[#This Row],[Winning Team]]="")),"-",IF(Table4[[#This Row],[Predicted Winner]]=NHL2025_26Results[[#This Row],[Winning Team]],"YES","NO"))</f>
        <v>-</v>
      </c>
      <c r="N578" t="str">
        <f>IF(Table4[[#This Row],[Adjusted Correct]]="-", "",IF(Table4[[#This Row],[Adjusted Correct]]="YES",(Table4[[#This Row],[Strength of Win]]-1)^2,(Table4[[#This Row],[Strength of Win]]-0)^2))</f>
        <v/>
      </c>
      <c r="P578" s="11"/>
    </row>
    <row r="579" spans="4:16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1.4458345276269271</v>
      </c>
      <c r="H579" t="s">
        <v>55</v>
      </c>
      <c r="I579">
        <f>VLOOKUP(Table4[[#This Row],[Visitor]],'NHL Model'!$A$6:$B$38,2,FALSE)</f>
        <v>-0.30969050963205513</v>
      </c>
      <c r="J579">
        <f>($B$1+Table4[[#This Row],[Home Differential]])-Table4[[#This Row],[Away Differential]]</f>
        <v>1.8930684262313986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0.88741475191885266</v>
      </c>
      <c r="M579" t="str">
        <f>IF(OR((NHL2025_26Results[[#This Row],[Winning Team]]="")),"-",IF(Table4[[#This Row],[Predicted Winner]]=NHL2025_26Results[[#This Row],[Winning Team]],"YES","NO"))</f>
        <v>-</v>
      </c>
      <c r="N579" t="str">
        <f>IF(Table4[[#This Row],[Adjusted Correct]]="-", "",IF(Table4[[#This Row],[Adjusted Correct]]="YES",(Table4[[#This Row],[Strength of Win]]-1)^2,(Table4[[#This Row],[Strength of Win]]-0)^2))</f>
        <v/>
      </c>
      <c r="P579" s="11"/>
    </row>
    <row r="580" spans="4:16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-0.66335717753705836</v>
      </c>
      <c r="H580" t="s">
        <v>39</v>
      </c>
      <c r="I580">
        <f>VLOOKUP(Table4[[#This Row],[Visitor]],'NHL Model'!$A$6:$B$38,2,FALSE)</f>
        <v>4.3828122498436855E-3</v>
      </c>
      <c r="J580">
        <f>($B$1+Table4[[#This Row],[Home Differential]])-Table4[[#This Row],[Away Differential]]</f>
        <v>-0.53019660081448572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0.57909657272768922</v>
      </c>
      <c r="M580" t="str">
        <f>IF(OR((NHL2025_26Results[[#This Row],[Winning Team]]="")),"-",IF(Table4[[#This Row],[Predicted Winner]]=NHL2025_26Results[[#This Row],[Winning Team]],"YES","NO"))</f>
        <v>-</v>
      </c>
      <c r="N580" t="str">
        <f>IF(Table4[[#This Row],[Adjusted Correct]]="-", "",IF(Table4[[#This Row],[Adjusted Correct]]="YES",(Table4[[#This Row],[Strength of Win]]-1)^2,(Table4[[#This Row],[Strength of Win]]-0)^2))</f>
        <v/>
      </c>
      <c r="P580" s="11"/>
    </row>
    <row r="581" spans="4:16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-0.87263145033954281</v>
      </c>
      <c r="H581" t="s">
        <v>16</v>
      </c>
      <c r="I581">
        <f>VLOOKUP(Table4[[#This Row],[Visitor]],'NHL Model'!$A$6:$B$38,2,FALSE)</f>
        <v>-1.0952038865534519</v>
      </c>
      <c r="J581">
        <f>($B$1+Table4[[#This Row],[Home Differential]])-Table4[[#This Row],[Away Differential]]</f>
        <v>0.36011582518632546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0.6240684779153578</v>
      </c>
      <c r="M581" t="str">
        <f>IF(OR((NHL2025_26Results[[#This Row],[Winning Team]]="")),"-",IF(Table4[[#This Row],[Predicted Winner]]=NHL2025_26Results[[#This Row],[Winning Team]],"YES","NO"))</f>
        <v>-</v>
      </c>
      <c r="N581" t="str">
        <f>IF(Table4[[#This Row],[Adjusted Correct]]="-", "",IF(Table4[[#This Row],[Adjusted Correct]]="YES",(Table4[[#This Row],[Strength of Win]]-1)^2,(Table4[[#This Row],[Strength of Win]]-0)^2))</f>
        <v/>
      </c>
      <c r="P581" s="11"/>
    </row>
    <row r="582" spans="4:16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-0.36134162888396865</v>
      </c>
      <c r="H582" t="s">
        <v>32</v>
      </c>
      <c r="I582">
        <f>VLOOKUP(Table4[[#This Row],[Visitor]],'NHL Model'!$A$6:$B$38,2,FALSE)</f>
        <v>-0.45007023285116615</v>
      </c>
      <c r="J582">
        <f>($B$1+Table4[[#This Row],[Home Differential]])-Table4[[#This Row],[Away Differential]]</f>
        <v>0.22627199293961386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0.57017975804099708</v>
      </c>
      <c r="M582" t="str">
        <f>IF(OR((NHL2025_26Results[[#This Row],[Winning Team]]="")),"-",IF(Table4[[#This Row],[Predicted Winner]]=NHL2025_26Results[[#This Row],[Winning Team]],"YES","NO"))</f>
        <v>-</v>
      </c>
      <c r="N582" t="str">
        <f>IF(Table4[[#This Row],[Adjusted Correct]]="-", "",IF(Table4[[#This Row],[Adjusted Correct]]="YES",(Table4[[#This Row],[Strength of Win]]-1)^2,(Table4[[#This Row],[Strength of Win]]-0)^2))</f>
        <v/>
      </c>
      <c r="P582" s="11"/>
    </row>
    <row r="583" spans="4:16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-0.16358905079701039</v>
      </c>
      <c r="H583" t="s">
        <v>29</v>
      </c>
      <c r="I583">
        <f>VLOOKUP(Table4[[#This Row],[Visitor]],'NHL Model'!$A$6:$B$38,2,FALSE)</f>
        <v>-1.4957350924899622</v>
      </c>
      <c r="J583">
        <f>($B$1+Table4[[#This Row],[Home Differential]])-Table4[[#This Row],[Away Differential]]</f>
        <v>1.4696894306653681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0.7360245757181656</v>
      </c>
      <c r="M583" t="str">
        <f>IF(OR((NHL2025_26Results[[#This Row],[Winning Team]]="")),"-",IF(Table4[[#This Row],[Predicted Winner]]=NHL2025_26Results[[#This Row],[Winning Team]],"YES","NO"))</f>
        <v>-</v>
      </c>
      <c r="N583" t="str">
        <f>IF(Table4[[#This Row],[Adjusted Correct]]="-", "",IF(Table4[[#This Row],[Adjusted Correct]]="YES",(Table4[[#This Row],[Strength of Win]]-1)^2,(Table4[[#This Row],[Strength of Win]]-0)^2))</f>
        <v/>
      </c>
      <c r="P583" s="11"/>
    </row>
    <row r="584" spans="4:16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3.838472305373858E-3</v>
      </c>
      <c r="H584" t="s">
        <v>24</v>
      </c>
      <c r="I584">
        <f>VLOOKUP(Table4[[#This Row],[Visitor]],'NHL Model'!$A$6:$B$38,2,FALSE)</f>
        <v>-1.8032585202533785E-2</v>
      </c>
      <c r="J584">
        <f>($B$1+Table4[[#This Row],[Home Differential]])-Table4[[#This Row],[Away Differential]]</f>
        <v>0.15941444648032399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0.56043292370787678</v>
      </c>
      <c r="M584" t="str">
        <f>IF(OR((NHL2025_26Results[[#This Row],[Winning Team]]="")),"-",IF(Table4[[#This Row],[Predicted Winner]]=NHL2025_26Results[[#This Row],[Winning Team]],"YES","NO"))</f>
        <v>-</v>
      </c>
      <c r="N584" t="str">
        <f>IF(Table4[[#This Row],[Adjusted Correct]]="-", "",IF(Table4[[#This Row],[Adjusted Correct]]="YES",(Table4[[#This Row],[Strength of Win]]-1)^2,(Table4[[#This Row],[Strength of Win]]-0)^2))</f>
        <v/>
      </c>
      <c r="P584" s="11"/>
    </row>
    <row r="585" spans="4:16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-0.31751962084606655</v>
      </c>
      <c r="H585" t="s">
        <v>23</v>
      </c>
      <c r="I585">
        <f>VLOOKUP(Table4[[#This Row],[Visitor]],'NHL Model'!$A$6:$B$38,2,FALSE)</f>
        <v>-0.51535072045188635</v>
      </c>
      <c r="J585">
        <f>($B$1+Table4[[#This Row],[Home Differential]])-Table4[[#This Row],[Away Differential]]</f>
        <v>0.33537448857823615</v>
      </c>
      <c r="K585" t="str">
        <f>IF(Table4[[#This Row],[HomeIce Differential]]&gt;0,Table4[[#This Row],[Home]],Table4[[#This Row],[Visitor]])</f>
        <v>Ottawa Senators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0.58722713506205571</v>
      </c>
      <c r="M585" t="str">
        <f>IF(OR((NHL2025_26Results[[#This Row],[Winning Team]]="")),"-",IF(Table4[[#This Row],[Predicted Winner]]=NHL2025_26Results[[#This Row],[Winning Team]],"YES","NO"))</f>
        <v>-</v>
      </c>
      <c r="N585" t="str">
        <f>IF(Table4[[#This Row],[Adjusted Correct]]="-", "",IF(Table4[[#This Row],[Adjusted Correct]]="YES",(Table4[[#This Row],[Strength of Win]]-1)^2,(Table4[[#This Row],[Strength of Win]]-0)^2))</f>
        <v/>
      </c>
      <c r="P585" s="11"/>
    </row>
    <row r="586" spans="4:16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-0.93520311342823803</v>
      </c>
      <c r="H586" t="s">
        <v>14</v>
      </c>
      <c r="I586">
        <f>VLOOKUP(Table4[[#This Row],[Visitor]],'NHL Model'!$A$6:$B$38,2,FALSE)</f>
        <v>-0.2090057419115289</v>
      </c>
      <c r="J586">
        <f>($B$1+Table4[[#This Row],[Home Differential]])-Table4[[#This Row],[Away Differential]]</f>
        <v>-0.5886539825442928</v>
      </c>
      <c r="K586" t="str">
        <f>IF(Table4[[#This Row],[HomeIce Differential]]&gt;0,Table4[[#This Row],[Home]],Table4[[#This Row],[Visitor]])</f>
        <v>Pittsburgh Penguins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0.53851362659716007</v>
      </c>
      <c r="M586" t="str">
        <f>IF(OR((NHL2025_26Results[[#This Row],[Winning Team]]="")),"-",IF(Table4[[#This Row],[Predicted Winner]]=NHL2025_26Results[[#This Row],[Winning Team]],"YES","NO"))</f>
        <v>-</v>
      </c>
      <c r="N586" t="str">
        <f>IF(Table4[[#This Row],[Adjusted Correct]]="-", "",IF(Table4[[#This Row],[Adjusted Correct]]="YES",(Table4[[#This Row],[Strength of Win]]-1)^2,(Table4[[#This Row],[Strength of Win]]-0)^2))</f>
        <v/>
      </c>
      <c r="P586" s="11"/>
    </row>
    <row r="587" spans="4:16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0.12073374225454764</v>
      </c>
      <c r="H587" t="s">
        <v>33</v>
      </c>
      <c r="I587">
        <f>VLOOKUP(Table4[[#This Row],[Visitor]],'NHL Model'!$A$6:$B$38,2,FALSE)</f>
        <v>-0.36178381286707545</v>
      </c>
      <c r="J587">
        <f>($B$1+Table4[[#This Row],[Home Differential]])-Table4[[#This Row],[Away Differential]]</f>
        <v>0.62006094409403945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0.62270263155557404</v>
      </c>
      <c r="M587" t="str">
        <f>IF(OR((NHL2025_26Results[[#This Row],[Winning Team]]="")),"-",IF(Table4[[#This Row],[Predicted Winner]]=NHL2025_26Results[[#This Row],[Winning Team]],"YES","NO"))</f>
        <v>-</v>
      </c>
      <c r="N587" t="str">
        <f>IF(Table4[[#This Row],[Adjusted Correct]]="-", "",IF(Table4[[#This Row],[Adjusted Correct]]="YES",(Table4[[#This Row],[Strength of Win]]-1)^2,(Table4[[#This Row],[Strength of Win]]-0)^2))</f>
        <v/>
      </c>
      <c r="P587" s="11"/>
    </row>
    <row r="588" spans="4:16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6.4811420118814619E-2</v>
      </c>
      <c r="H588" t="s">
        <v>15</v>
      </c>
      <c r="I588">
        <f>VLOOKUP(Table4[[#This Row],[Visitor]],'NHL Model'!$A$6:$B$38,2,FALSE)</f>
        <v>-0.49835870184734621</v>
      </c>
      <c r="J588">
        <f>($B$1+Table4[[#This Row],[Home Differential]])-Table4[[#This Row],[Away Differential]]</f>
        <v>0.70071351093857714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0.54998166734093812</v>
      </c>
      <c r="M588" t="str">
        <f>IF(OR((NHL2025_26Results[[#This Row],[Winning Team]]="")),"-",IF(Table4[[#This Row],[Predicted Winner]]=NHL2025_26Results[[#This Row],[Winning Team]],"YES","NO"))</f>
        <v>-</v>
      </c>
      <c r="N588" t="str">
        <f>IF(Table4[[#This Row],[Adjusted Correct]]="-", "",IF(Table4[[#This Row],[Adjusted Correct]]="YES",(Table4[[#This Row],[Strength of Win]]-1)^2,(Table4[[#This Row],[Strength of Win]]-0)^2))</f>
        <v/>
      </c>
      <c r="P588" s="11"/>
    </row>
    <row r="589" spans="4:16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-0.51535072045188635</v>
      </c>
      <c r="H589" t="s">
        <v>21</v>
      </c>
      <c r="I589">
        <f>VLOOKUP(Table4[[#This Row],[Visitor]],'NHL Model'!$A$6:$B$38,2,FALSE)</f>
        <v>-0.14464931395309213</v>
      </c>
      <c r="J589">
        <f>($B$1+Table4[[#This Row],[Home Differential]])-Table4[[#This Row],[Away Differential]]</f>
        <v>-0.23315801752637785</v>
      </c>
      <c r="K589" t="str">
        <f>IF(Table4[[#This Row],[HomeIce Differential]]&gt;0,Table4[[#This Row],[Home]],Table4[[#This Row],[Visitor]])</f>
        <v>Boston Bruins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0.47708158331727912</v>
      </c>
      <c r="M589" t="str">
        <f>IF(OR((NHL2025_26Results[[#This Row],[Winning Team]]="")),"-",IF(Table4[[#This Row],[Predicted Winner]]=NHL2025_26Results[[#This Row],[Winning Team]],"YES","NO"))</f>
        <v>-</v>
      </c>
      <c r="N589" t="str">
        <f>IF(Table4[[#This Row],[Adjusted Correct]]="-", "",IF(Table4[[#This Row],[Adjusted Correct]]="YES",(Table4[[#This Row],[Strength of Win]]-1)^2,(Table4[[#This Row],[Strength of Win]]-0)^2))</f>
        <v/>
      </c>
      <c r="P589" s="11"/>
    </row>
    <row r="590" spans="4:16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0.42515174825138019</v>
      </c>
      <c r="H590" t="s">
        <v>26</v>
      </c>
      <c r="I590">
        <f>VLOOKUP(Table4[[#This Row],[Visitor]],'NHL Model'!$A$6:$B$38,2,FALSE)</f>
        <v>-0.66335717753705836</v>
      </c>
      <c r="J590">
        <f>($B$1+Table4[[#This Row],[Home Differential]])-Table4[[#This Row],[Away Differential]]</f>
        <v>1.2260523147608549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0.70898323375739636</v>
      </c>
      <c r="M590" t="str">
        <f>IF(OR((NHL2025_26Results[[#This Row],[Winning Team]]="")),"-",IF(Table4[[#This Row],[Predicted Winner]]=NHL2025_26Results[[#This Row],[Winning Team]],"YES","NO"))</f>
        <v>-</v>
      </c>
      <c r="N590" t="str">
        <f>IF(Table4[[#This Row],[Adjusted Correct]]="-", "",IF(Table4[[#This Row],[Adjusted Correct]]="YES",(Table4[[#This Row],[Strength of Win]]-1)^2,(Table4[[#This Row],[Strength of Win]]-0)^2))</f>
        <v/>
      </c>
      <c r="P590" s="11"/>
    </row>
    <row r="591" spans="4:16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-1.0952038865534519</v>
      </c>
      <c r="H591" t="s">
        <v>17</v>
      </c>
      <c r="I591">
        <f>VLOOKUP(Table4[[#This Row],[Visitor]],'NHL Model'!$A$6:$B$38,2,FALSE)</f>
        <v>-0.87263145033954281</v>
      </c>
      <c r="J591">
        <f>($B$1+Table4[[#This Row],[Home Differential]])-Table4[[#This Row],[Away Differential]]</f>
        <v>-8.5029047241492739E-2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0.47134102386630594</v>
      </c>
      <c r="M591" t="str">
        <f>IF(OR((NHL2025_26Results[[#This Row],[Winning Team]]="")),"-",IF(Table4[[#This Row],[Predicted Winner]]=NHL2025_26Results[[#This Row],[Winning Team]],"YES","NO"))</f>
        <v>-</v>
      </c>
      <c r="N591" t="str">
        <f>IF(Table4[[#This Row],[Adjusted Correct]]="-", "",IF(Table4[[#This Row],[Adjusted Correct]]="YES",(Table4[[#This Row],[Strength of Win]]-1)^2,(Table4[[#This Row],[Strength of Win]]-0)^2))</f>
        <v/>
      </c>
      <c r="P591" s="11"/>
    </row>
    <row r="592" spans="4:16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4.3828122498436855E-3</v>
      </c>
      <c r="H592" t="s">
        <v>10</v>
      </c>
      <c r="I592">
        <f>VLOOKUP(Table4[[#This Row],[Visitor]],'NHL Model'!$A$6:$B$38,2,FALSE)</f>
        <v>-0.15263505358797036</v>
      </c>
      <c r="J592">
        <f>($B$1+Table4[[#This Row],[Home Differential]])-Table4[[#This Row],[Away Differential]]</f>
        <v>0.29456125481023043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0.58178353815911166</v>
      </c>
      <c r="M592" t="str">
        <f>IF(OR((NHL2025_26Results[[#This Row],[Winning Team]]="")),"-",IF(Table4[[#This Row],[Predicted Winner]]=NHL2025_26Results[[#This Row],[Winning Team]],"YES","NO"))</f>
        <v>-</v>
      </c>
      <c r="N592" t="str">
        <f>IF(Table4[[#This Row],[Adjusted Correct]]="-", "",IF(Table4[[#This Row],[Adjusted Correct]]="YES",(Table4[[#This Row],[Strength of Win]]-1)^2,(Table4[[#This Row],[Strength of Win]]-0)^2))</f>
        <v/>
      </c>
      <c r="P592" s="11"/>
    </row>
    <row r="593" spans="4:16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-0.37836939589441088</v>
      </c>
      <c r="H593" t="s">
        <v>37</v>
      </c>
      <c r="I593">
        <f>VLOOKUP(Table4[[#This Row],[Visitor]],'NHL Model'!$A$6:$B$38,2,FALSE)</f>
        <v>7.1667377873261273E-2</v>
      </c>
      <c r="J593">
        <f>($B$1+Table4[[#This Row],[Home Differential]])-Table4[[#This Row],[Away Differential]]</f>
        <v>-0.31249338479525579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0.51536402524845826</v>
      </c>
      <c r="M593" t="str">
        <f>IF(OR((NHL2025_26Results[[#This Row],[Winning Team]]="")),"-",IF(Table4[[#This Row],[Predicted Winner]]=NHL2025_26Results[[#This Row],[Winning Team]],"YES","NO"))</f>
        <v>-</v>
      </c>
      <c r="N593" t="str">
        <f>IF(Table4[[#This Row],[Adjusted Correct]]="-", "",IF(Table4[[#This Row],[Adjusted Correct]]="YES",(Table4[[#This Row],[Strength of Win]]-1)^2,(Table4[[#This Row],[Strength of Win]]-0)^2))</f>
        <v/>
      </c>
      <c r="P593" s="11"/>
    </row>
    <row r="594" spans="4:16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-0.36134162888396865</v>
      </c>
      <c r="H594" t="s">
        <v>31</v>
      </c>
      <c r="I594">
        <f>VLOOKUP(Table4[[#This Row],[Visitor]],'NHL Model'!$A$6:$B$38,2,FALSE)</f>
        <v>0.34329638981067145</v>
      </c>
      <c r="J594">
        <f>($B$1+Table4[[#This Row],[Home Differential]])-Table4[[#This Row],[Away Differential]]</f>
        <v>-0.56709462972222369</v>
      </c>
      <c r="K594" t="str">
        <f>IF(Table4[[#This Row],[HomeIce Differential]]&gt;0,Table4[[#This Row],[Home]],Table4[[#This Row],[Visitor]])</f>
        <v>Anaheim Ducks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0.55640730903520963</v>
      </c>
      <c r="M594" t="str">
        <f>IF(OR((NHL2025_26Results[[#This Row],[Winning Team]]="")),"-",IF(Table4[[#This Row],[Predicted Winner]]=NHL2025_26Results[[#This Row],[Winning Team]],"YES","NO"))</f>
        <v>-</v>
      </c>
      <c r="N594" t="str">
        <f>IF(Table4[[#This Row],[Adjusted Correct]]="-", "",IF(Table4[[#This Row],[Adjusted Correct]]="YES",(Table4[[#This Row],[Strength of Win]]-1)^2,(Table4[[#This Row],[Strength of Win]]-0)^2))</f>
        <v/>
      </c>
      <c r="P594" s="11"/>
    </row>
    <row r="595" spans="4:16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-1.8032585202533785E-2</v>
      </c>
      <c r="H595" t="s">
        <v>22</v>
      </c>
      <c r="I595">
        <f>VLOOKUP(Table4[[#This Row],[Visitor]],'NHL Model'!$A$6:$B$38,2,FALSE)</f>
        <v>6.4811420118814619E-2</v>
      </c>
      <c r="J595">
        <f>($B$1+Table4[[#This Row],[Home Differential]])-Table4[[#This Row],[Away Differential]]</f>
        <v>5.4699383651067954E-2</v>
      </c>
      <c r="K595" t="str">
        <f>IF(Table4[[#This Row],[HomeIce Differential]]&gt;0,Table4[[#This Row],[Home]],Table4[[#This Row],[Visitor]])</f>
        <v>New Jersey Devils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0.64365934336711628</v>
      </c>
      <c r="M595" t="str">
        <f>IF(OR((NHL2025_26Results[[#This Row],[Winning Team]]="")),"-",IF(Table4[[#This Row],[Predicted Winner]]=NHL2025_26Results[[#This Row],[Winning Team]],"YES","NO"))</f>
        <v>-</v>
      </c>
      <c r="N595" t="str">
        <f>IF(Table4[[#This Row],[Adjusted Correct]]="-", "",IF(Table4[[#This Row],[Adjusted Correct]]="YES",(Table4[[#This Row],[Strength of Win]]-1)^2,(Table4[[#This Row],[Strength of Win]]-0)^2))</f>
        <v/>
      </c>
      <c r="P595" s="11"/>
    </row>
    <row r="596" spans="4:16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3.838472305373858E-3</v>
      </c>
      <c r="H596" t="s">
        <v>15</v>
      </c>
      <c r="I596">
        <f>VLOOKUP(Table4[[#This Row],[Visitor]],'NHL Model'!$A$6:$B$38,2,FALSE)</f>
        <v>-0.49835870184734621</v>
      </c>
      <c r="J596">
        <f>($B$1+Table4[[#This Row],[Home Differential]])-Table4[[#This Row],[Away Differential]]</f>
        <v>0.63974056312513639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0.54184920345024756</v>
      </c>
      <c r="M596" t="str">
        <f>IF(OR((NHL2025_26Results[[#This Row],[Winning Team]]="")),"-",IF(Table4[[#This Row],[Predicted Winner]]=NHL2025_26Results[[#This Row],[Winning Team]],"YES","NO"))</f>
        <v>-</v>
      </c>
      <c r="N596" t="str">
        <f>IF(Table4[[#This Row],[Adjusted Correct]]="-", "",IF(Table4[[#This Row],[Adjusted Correct]]="YES",(Table4[[#This Row],[Strength of Win]]-1)^2,(Table4[[#This Row],[Strength of Win]]-0)^2))</f>
        <v/>
      </c>
      <c r="P596" s="11"/>
    </row>
    <row r="597" spans="4:16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-1.5569791149906038</v>
      </c>
      <c r="H597" t="s">
        <v>29</v>
      </c>
      <c r="I597">
        <f>VLOOKUP(Table4[[#This Row],[Visitor]],'NHL Model'!$A$6:$B$38,2,FALSE)</f>
        <v>-1.4957350924899622</v>
      </c>
      <c r="J597">
        <f>($B$1+Table4[[#This Row],[Home Differential]])-Table4[[#This Row],[Away Differential]]</f>
        <v>7.6299366471774821E-2</v>
      </c>
      <c r="K597" t="str">
        <f>IF(Table4[[#This Row],[HomeIce Differential]]&gt;0,Table4[[#This Row],[Home]],Table4[[#This Row],[Visitor]])</f>
        <v>St. Louis Blues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0.55017667449198659</v>
      </c>
      <c r="M597" t="str">
        <f>IF(OR((NHL2025_26Results[[#This Row],[Winning Team]]="")),"-",IF(Table4[[#This Row],[Predicted Winner]]=NHL2025_26Results[[#This Row],[Winning Team]],"YES","NO"))</f>
        <v>-</v>
      </c>
      <c r="N597" t="str">
        <f>IF(Table4[[#This Row],[Adjusted Correct]]="-", "",IF(Table4[[#This Row],[Adjusted Correct]]="YES",(Table4[[#This Row],[Strength of Win]]-1)^2,(Table4[[#This Row],[Strength of Win]]-0)^2))</f>
        <v/>
      </c>
      <c r="P597" s="11"/>
    </row>
    <row r="598" spans="4:16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-0.93520311342823803</v>
      </c>
      <c r="H598" t="s">
        <v>36</v>
      </c>
      <c r="I598">
        <f>VLOOKUP(Table4[[#This Row],[Visitor]],'NHL Model'!$A$6:$B$38,2,FALSE)</f>
        <v>-0.31751962084606655</v>
      </c>
      <c r="J598">
        <f>($B$1+Table4[[#This Row],[Home Differential]])-Table4[[#This Row],[Away Differential]]</f>
        <v>-0.48014010360975512</v>
      </c>
      <c r="K598" t="str">
        <f>IF(Table4[[#This Row],[HomeIce Differential]]&gt;0,Table4[[#This Row],[Home]],Table4[[#This Row],[Visitor]])</f>
        <v>Ottawa Senators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0.54480946820413423</v>
      </c>
      <c r="M598" t="str">
        <f>IF(OR((NHL2025_26Results[[#This Row],[Winning Team]]="")),"-",IF(Table4[[#This Row],[Predicted Winner]]=NHL2025_26Results[[#This Row],[Winning Team]],"YES","NO"))</f>
        <v>-</v>
      </c>
      <c r="N598" t="str">
        <f>IF(Table4[[#This Row],[Adjusted Correct]]="-", "",IF(Table4[[#This Row],[Adjusted Correct]]="YES",(Table4[[#This Row],[Strength of Win]]-1)^2,(Table4[[#This Row],[Strength of Win]]-0)^2))</f>
        <v/>
      </c>
      <c r="P598" s="11"/>
    </row>
    <row r="599" spans="4:16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-1.1236485959014608</v>
      </c>
      <c r="H599" t="s">
        <v>33</v>
      </c>
      <c r="I599">
        <f>VLOOKUP(Table4[[#This Row],[Visitor]],'NHL Model'!$A$6:$B$38,2,FALSE)</f>
        <v>-0.36178381286707545</v>
      </c>
      <c r="J599">
        <f>($B$1+Table4[[#This Row],[Home Differential]])-Table4[[#This Row],[Away Differential]]</f>
        <v>-0.62432139406196896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0.54327088283363745</v>
      </c>
      <c r="M599" t="str">
        <f>IF(OR((NHL2025_26Results[[#This Row],[Winning Team]]="")),"-",IF(Table4[[#This Row],[Predicted Winner]]=NHL2025_26Results[[#This Row],[Winning Team]],"YES","NO"))</f>
        <v>-</v>
      </c>
      <c r="N599" t="str">
        <f>IF(Table4[[#This Row],[Adjusted Correct]]="-", "",IF(Table4[[#This Row],[Adjusted Correct]]="YES",(Table4[[#This Row],[Strength of Win]]-1)^2,(Table4[[#This Row],[Strength of Win]]-0)^2))</f>
        <v/>
      </c>
      <c r="P599" s="11"/>
    </row>
    <row r="600" spans="4:16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0.12073374225454764</v>
      </c>
      <c r="H600" t="s">
        <v>12</v>
      </c>
      <c r="I600">
        <f>VLOOKUP(Table4[[#This Row],[Visitor]],'NHL Model'!$A$6:$B$38,2,FALSE)</f>
        <v>1.4458345276269271</v>
      </c>
      <c r="J600">
        <f>($B$1+Table4[[#This Row],[Home Differential]])-Table4[[#This Row],[Away Differential]]</f>
        <v>-1.1875573963999631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0.71088049205206527</v>
      </c>
      <c r="M600" t="str">
        <f>IF(OR((NHL2025_26Results[[#This Row],[Winning Team]]="")),"-",IF(Table4[[#This Row],[Predicted Winner]]=NHL2025_26Results[[#This Row],[Winning Team]],"YES","NO"))</f>
        <v>-</v>
      </c>
      <c r="N600" t="str">
        <f>IF(Table4[[#This Row],[Adjusted Correct]]="-", "",IF(Table4[[#This Row],[Adjusted Correct]]="YES",(Table4[[#This Row],[Strength of Win]]-1)^2,(Table4[[#This Row],[Strength of Win]]-0)^2))</f>
        <v/>
      </c>
      <c r="P600" s="11"/>
    </row>
    <row r="601" spans="4:16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-6.0247860940930854E-2</v>
      </c>
      <c r="H601" t="s">
        <v>34</v>
      </c>
      <c r="I601">
        <f>VLOOKUP(Table4[[#This Row],[Visitor]],'NHL Model'!$A$6:$B$38,2,FALSE)</f>
        <v>-0.16358905079701039</v>
      </c>
      <c r="J601">
        <f>($B$1+Table4[[#This Row],[Home Differential]])-Table4[[#This Row],[Away Differential]]</f>
        <v>0.2408845788284959</v>
      </c>
      <c r="K601" t="str">
        <f>IF(Table4[[#This Row],[HomeIce Differential]]&gt;0,Table4[[#This Row],[Home]],Table4[[#This Row],[Visitor]])</f>
        <v>Winnipeg Jets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0.55386788932537856</v>
      </c>
      <c r="M601" t="str">
        <f>IF(OR((NHL2025_26Results[[#This Row],[Winning Team]]="")),"-",IF(Table4[[#This Row],[Predicted Winner]]=NHL2025_26Results[[#This Row],[Winning Team]],"YES","NO"))</f>
        <v>-</v>
      </c>
      <c r="N601" t="str">
        <f>IF(Table4[[#This Row],[Adjusted Correct]]="-", "",IF(Table4[[#This Row],[Adjusted Correct]]="YES",(Table4[[#This Row],[Strength of Win]]-1)^2,(Table4[[#This Row],[Strength of Win]]-0)^2))</f>
        <v/>
      </c>
      <c r="P601" s="11"/>
    </row>
    <row r="602" spans="4:16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-0.59418600019583889</v>
      </c>
      <c r="H602" t="s">
        <v>30</v>
      </c>
      <c r="I602">
        <f>VLOOKUP(Table4[[#This Row],[Visitor]],'NHL Model'!$A$6:$B$38,2,FALSE)</f>
        <v>3.838472305373858E-3</v>
      </c>
      <c r="J602">
        <f>($B$1+Table4[[#This Row],[Home Differential]])-Table4[[#This Row],[Away Differential]]</f>
        <v>-0.46048108352879641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0.58696559737765974</v>
      </c>
      <c r="M602" t="str">
        <f>IF(OR((NHL2025_26Results[[#This Row],[Winning Team]]="")),"-",IF(Table4[[#This Row],[Predicted Winner]]=NHL2025_26Results[[#This Row],[Winning Team]],"YES","NO"))</f>
        <v>-</v>
      </c>
      <c r="N602" t="str">
        <f>IF(Table4[[#This Row],[Adjusted Correct]]="-", "",IF(Table4[[#This Row],[Adjusted Correct]]="YES",(Table4[[#This Row],[Strength of Win]]-1)^2,(Table4[[#This Row],[Strength of Win]]-0)^2))</f>
        <v/>
      </c>
      <c r="P602" s="11"/>
    </row>
    <row r="603" spans="4:16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-0.15263505358797036</v>
      </c>
      <c r="H603" t="s">
        <v>14</v>
      </c>
      <c r="I603">
        <f>VLOOKUP(Table4[[#This Row],[Visitor]],'NHL Model'!$A$6:$B$38,2,FALSE)</f>
        <v>-0.2090057419115289</v>
      </c>
      <c r="J603">
        <f>($B$1+Table4[[#This Row],[Home Differential]])-Table4[[#This Row],[Away Differential]]</f>
        <v>0.1939140772959749</v>
      </c>
      <c r="K603" t="str">
        <f>IF(Table4[[#This Row],[HomeIce Differential]]&gt;0,Table4[[#This Row],[Home]],Table4[[#This Row],[Visitor]])</f>
        <v>Chicago Blackhawks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0.56586391650820678</v>
      </c>
      <c r="M603" t="str">
        <f>IF(OR((NHL2025_26Results[[#This Row],[Winning Team]]="")),"-",IF(Table4[[#This Row],[Predicted Winner]]=NHL2025_26Results[[#This Row],[Winning Team]],"YES","NO"))</f>
        <v>-</v>
      </c>
      <c r="N603" t="str">
        <f>IF(Table4[[#This Row],[Adjusted Correct]]="-", "",IF(Table4[[#This Row],[Adjusted Correct]]="YES",(Table4[[#This Row],[Strength of Win]]-1)^2,(Table4[[#This Row],[Strength of Win]]-0)^2))</f>
        <v/>
      </c>
      <c r="P603" s="11"/>
    </row>
    <row r="604" spans="4:16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-0.66335717753705836</v>
      </c>
      <c r="H604" t="s">
        <v>19</v>
      </c>
      <c r="I604">
        <f>VLOOKUP(Table4[[#This Row],[Visitor]],'NHL Model'!$A$6:$B$38,2,FALSE)</f>
        <v>-0.93520311342823803</v>
      </c>
      <c r="J604">
        <f>($B$1+Table4[[#This Row],[Home Differential]])-Table4[[#This Row],[Away Differential]]</f>
        <v>0.40938932486359603</v>
      </c>
      <c r="K604" t="str">
        <f>IF(Table4[[#This Row],[HomeIce Differential]]&gt;0,Table4[[#This Row],[Home]],Table4[[#This Row],[Visitor]])</f>
        <v>Detroit Red Wings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0.62684968956410103</v>
      </c>
      <c r="M604" t="str">
        <f>IF(OR((NHL2025_26Results[[#This Row],[Winning Team]]="")),"-",IF(Table4[[#This Row],[Predicted Winner]]=NHL2025_26Results[[#This Row],[Winning Team]],"YES","NO"))</f>
        <v>-</v>
      </c>
      <c r="N604" t="str">
        <f>IF(Table4[[#This Row],[Adjusted Correct]]="-", "",IF(Table4[[#This Row],[Adjusted Correct]]="YES",(Table4[[#This Row],[Strength of Win]]-1)^2,(Table4[[#This Row],[Strength of Win]]-0)^2))</f>
        <v/>
      </c>
      <c r="P604" s="11"/>
    </row>
    <row r="605" spans="4:16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-0.45007023285116615</v>
      </c>
      <c r="H605" t="s">
        <v>27</v>
      </c>
      <c r="I605">
        <f>VLOOKUP(Table4[[#This Row],[Visitor]],'NHL Model'!$A$6:$B$38,2,FALSE)</f>
        <v>-0.42203126246971279</v>
      </c>
      <c r="J605">
        <f>($B$1+Table4[[#This Row],[Home Differential]])-Table4[[#This Row],[Away Differential]]</f>
        <v>0.10950441859096299</v>
      </c>
      <c r="K605" t="str">
        <f>IF(Table4[[#This Row],[HomeIce Differential]]&gt;0,Table4[[#This Row],[Home]],Table4[[#This Row],[Visitor]])</f>
        <v>Seattle Kraken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0.58064324143797541</v>
      </c>
      <c r="M605" t="str">
        <f>IF(OR((NHL2025_26Results[[#This Row],[Winning Team]]="")),"-",IF(Table4[[#This Row],[Predicted Winner]]=NHL2025_26Results[[#This Row],[Winning Team]],"YES","NO"))</f>
        <v>-</v>
      </c>
      <c r="N605" t="str">
        <f>IF(Table4[[#This Row],[Adjusted Correct]]="-", "",IF(Table4[[#This Row],[Adjusted Correct]]="YES",(Table4[[#This Row],[Strength of Win]]-1)^2,(Table4[[#This Row],[Strength of Win]]-0)^2))</f>
        <v/>
      </c>
      <c r="P605" s="11"/>
    </row>
    <row r="606" spans="4:16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7.1667377873261273E-2</v>
      </c>
      <c r="H606" t="s">
        <v>18</v>
      </c>
      <c r="I606">
        <f>VLOOKUP(Table4[[#This Row],[Visitor]],'NHL Model'!$A$6:$B$38,2,FALSE)</f>
        <v>-0.74754136228530599</v>
      </c>
      <c r="J606">
        <f>($B$1+Table4[[#This Row],[Home Differential]])-Table4[[#This Row],[Away Differential]]</f>
        <v>0.95675212913098362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0.62302275009381913</v>
      </c>
      <c r="M606" t="str">
        <f>IF(OR((NHL2025_26Results[[#This Row],[Winning Team]]="")),"-",IF(Table4[[#This Row],[Predicted Winner]]=NHL2025_26Results[[#This Row],[Winning Team]],"YES","NO"))</f>
        <v>-</v>
      </c>
      <c r="N606" t="str">
        <f>IF(Table4[[#This Row],[Adjusted Correct]]="-", "",IF(Table4[[#This Row],[Adjusted Correct]]="YES",(Table4[[#This Row],[Strength of Win]]-1)^2,(Table4[[#This Row],[Strength of Win]]-0)^2))</f>
        <v/>
      </c>
      <c r="P606" s="11"/>
    </row>
    <row r="607" spans="4:16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0.34329638981067145</v>
      </c>
      <c r="H607" t="s">
        <v>33</v>
      </c>
      <c r="I607">
        <f>VLOOKUP(Table4[[#This Row],[Visitor]],'NHL Model'!$A$6:$B$38,2,FALSE)</f>
        <v>-0.36178381286707545</v>
      </c>
      <c r="J607">
        <f>($B$1+Table4[[#This Row],[Home Differential]])-Table4[[#This Row],[Away Differential]]</f>
        <v>0.84262359165016321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0.74730827859346249</v>
      </c>
      <c r="M607" t="str">
        <f>IF(OR((NHL2025_26Results[[#This Row],[Winning Team]]="")),"-",IF(Table4[[#This Row],[Predicted Winner]]=NHL2025_26Results[[#This Row],[Winning Team]],"YES","NO"))</f>
        <v>-</v>
      </c>
      <c r="N607" t="str">
        <f>IF(Table4[[#This Row],[Adjusted Correct]]="-", "",IF(Table4[[#This Row],[Adjusted Correct]]="YES",(Table4[[#This Row],[Strength of Win]]-1)^2,(Table4[[#This Row],[Strength of Win]]-0)^2))</f>
        <v/>
      </c>
      <c r="P607" s="11"/>
    </row>
    <row r="608" spans="4:16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0.42515174825138019</v>
      </c>
      <c r="H608" t="s">
        <v>15</v>
      </c>
      <c r="I608">
        <f>VLOOKUP(Table4[[#This Row],[Visitor]],'NHL Model'!$A$6:$B$38,2,FALSE)</f>
        <v>-0.49835870184734621</v>
      </c>
      <c r="J608">
        <f>($B$1+Table4[[#This Row],[Home Differential]])-Table4[[#This Row],[Away Differential]]</f>
        <v>1.0610538390711426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0.65061239266304549</v>
      </c>
      <c r="M608" t="str">
        <f>IF(OR((NHL2025_26Results[[#This Row],[Winning Team]]="")),"-",IF(Table4[[#This Row],[Predicted Winner]]=NHL2025_26Results[[#This Row],[Winning Team]],"YES","NO"))</f>
        <v>-</v>
      </c>
      <c r="N608" t="str">
        <f>IF(Table4[[#This Row],[Adjusted Correct]]="-", "",IF(Table4[[#This Row],[Adjusted Correct]]="YES",(Table4[[#This Row],[Strength of Win]]-1)^2,(Table4[[#This Row],[Strength of Win]]-0)^2))</f>
        <v/>
      </c>
      <c r="P608" s="11"/>
    </row>
    <row r="609" spans="4:16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-1.0952038865534519</v>
      </c>
      <c r="H609" t="s">
        <v>21</v>
      </c>
      <c r="I609">
        <f>VLOOKUP(Table4[[#This Row],[Visitor]],'NHL Model'!$A$6:$B$38,2,FALSE)</f>
        <v>-0.14464931395309213</v>
      </c>
      <c r="J609">
        <f>($B$1+Table4[[#This Row],[Home Differential]])-Table4[[#This Row],[Away Differential]]</f>
        <v>-0.81301118362794345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0.56843799308853982</v>
      </c>
      <c r="M609" t="str">
        <f>IF(OR((NHL2025_26Results[[#This Row],[Winning Team]]="")),"-",IF(Table4[[#This Row],[Predicted Winner]]=NHL2025_26Results[[#This Row],[Winning Team]],"YES","NO"))</f>
        <v>-</v>
      </c>
      <c r="N609" t="str">
        <f>IF(Table4[[#This Row],[Adjusted Correct]]="-", "",IF(Table4[[#This Row],[Adjusted Correct]]="YES",(Table4[[#This Row],[Strength of Win]]-1)^2,(Table4[[#This Row],[Strength of Win]]-0)^2))</f>
        <v/>
      </c>
      <c r="P609" s="11"/>
    </row>
    <row r="610" spans="4:16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1.4458345276269271</v>
      </c>
      <c r="H610" t="s">
        <v>13</v>
      </c>
      <c r="I610">
        <f>VLOOKUP(Table4[[#This Row],[Visitor]],'NHL Model'!$A$6:$B$38,2,FALSE)</f>
        <v>-0.36134162888396865</v>
      </c>
      <c r="J610">
        <f>($B$1+Table4[[#This Row],[Home Differential]])-Table4[[#This Row],[Away Differential]]</f>
        <v>1.9447195454833122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0.81383869743444848</v>
      </c>
      <c r="M610" t="str">
        <f>IF(OR((NHL2025_26Results[[#This Row],[Winning Team]]="")),"-",IF(Table4[[#This Row],[Predicted Winner]]=NHL2025_26Results[[#This Row],[Winning Team]],"YES","NO"))</f>
        <v>-</v>
      </c>
      <c r="N610" t="str">
        <f>IF(Table4[[#This Row],[Adjusted Correct]]="-", "",IF(Table4[[#This Row],[Adjusted Correct]]="YES",(Table4[[#This Row],[Strength of Win]]-1)^2,(Table4[[#This Row],[Strength of Win]]-0)^2))</f>
        <v/>
      </c>
      <c r="P610" s="11"/>
    </row>
    <row r="611" spans="4:16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-0.37836939589441088</v>
      </c>
      <c r="H611" t="s">
        <v>22</v>
      </c>
      <c r="I611">
        <f>VLOOKUP(Table4[[#This Row],[Visitor]],'NHL Model'!$A$6:$B$38,2,FALSE)</f>
        <v>6.4811420118814619E-2</v>
      </c>
      <c r="J611">
        <f>($B$1+Table4[[#This Row],[Home Differential]])-Table4[[#This Row],[Away Differential]]</f>
        <v>-0.30563742704080915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0.46933680777956677</v>
      </c>
      <c r="M611" t="str">
        <f>IF(OR((NHL2025_26Results[[#This Row],[Winning Team]]="")),"-",IF(Table4[[#This Row],[Predicted Winner]]=NHL2025_26Results[[#This Row],[Winning Team]],"YES","NO"))</f>
        <v>-</v>
      </c>
      <c r="N611" t="str">
        <f>IF(Table4[[#This Row],[Adjusted Correct]]="-", "",IF(Table4[[#This Row],[Adjusted Correct]]="YES",(Table4[[#This Row],[Strength of Win]]-1)^2,(Table4[[#This Row],[Strength of Win]]-0)^2))</f>
        <v/>
      </c>
      <c r="P611" s="11"/>
    </row>
    <row r="612" spans="4:16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-0.31751962084606655</v>
      </c>
      <c r="H612" t="s">
        <v>28</v>
      </c>
      <c r="I612">
        <f>VLOOKUP(Table4[[#This Row],[Visitor]],'NHL Model'!$A$6:$B$38,2,FALSE)</f>
        <v>-0.59418600019583889</v>
      </c>
      <c r="J612">
        <f>($B$1+Table4[[#This Row],[Home Differential]])-Table4[[#This Row],[Away Differential]]</f>
        <v>0.4142097683221887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0.59691323264143681</v>
      </c>
      <c r="M612" t="str">
        <f>IF(OR((NHL2025_26Results[[#This Row],[Winning Team]]="")),"-",IF(Table4[[#This Row],[Predicted Winner]]=NHL2025_26Results[[#This Row],[Winning Team]],"YES","NO"))</f>
        <v>-</v>
      </c>
      <c r="N612" t="str">
        <f>IF(Table4[[#This Row],[Adjusted Correct]]="-", "",IF(Table4[[#This Row],[Adjusted Correct]]="YES",(Table4[[#This Row],[Strength of Win]]-1)^2,(Table4[[#This Row],[Strength of Win]]-0)^2))</f>
        <v/>
      </c>
      <c r="P612" s="11"/>
    </row>
    <row r="613" spans="4:16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-0.45007023285116615</v>
      </c>
      <c r="H613" t="s">
        <v>38</v>
      </c>
      <c r="I613">
        <f>VLOOKUP(Table4[[#This Row],[Visitor]],'NHL Model'!$A$6:$B$38,2,FALSE)</f>
        <v>-1.1236485959014608</v>
      </c>
      <c r="J613">
        <f>($B$1+Table4[[#This Row],[Home Differential]])-Table4[[#This Row],[Away Differential]]</f>
        <v>0.81112175202271097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0.65364052949883666</v>
      </c>
      <c r="M613" t="str">
        <f>IF(OR((NHL2025_26Results[[#This Row],[Winning Team]]="")),"-",IF(Table4[[#This Row],[Predicted Winner]]=NHL2025_26Results[[#This Row],[Winning Team]],"YES","NO"))</f>
        <v>-</v>
      </c>
      <c r="N613" t="str">
        <f>IF(Table4[[#This Row],[Adjusted Correct]]="-", "",IF(Table4[[#This Row],[Adjusted Correct]]="YES",(Table4[[#This Row],[Strength of Win]]-1)^2,(Table4[[#This Row],[Strength of Win]]-0)^2))</f>
        <v/>
      </c>
      <c r="P613" s="11"/>
    </row>
    <row r="614" spans="4:16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-1.5569791149906038</v>
      </c>
      <c r="H614" t="s">
        <v>23</v>
      </c>
      <c r="I614">
        <f>VLOOKUP(Table4[[#This Row],[Visitor]],'NHL Model'!$A$6:$B$38,2,FALSE)</f>
        <v>-0.51535072045188635</v>
      </c>
      <c r="J614">
        <f>($B$1+Table4[[#This Row],[Home Differential]])-Table4[[#This Row],[Away Differential]]</f>
        <v>-0.904085005566301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0.58058525830797869</v>
      </c>
      <c r="M614" t="str">
        <f>IF(OR((NHL2025_26Results[[#This Row],[Winning Team]]="")),"-",IF(Table4[[#This Row],[Predicted Winner]]=NHL2025_26Results[[#This Row],[Winning Team]],"YES","NO"))</f>
        <v>-</v>
      </c>
      <c r="N614" t="str">
        <f>IF(Table4[[#This Row],[Adjusted Correct]]="-", "",IF(Table4[[#This Row],[Adjusted Correct]]="YES",(Table4[[#This Row],[Strength of Win]]-1)^2,(Table4[[#This Row],[Strength of Win]]-0)^2))</f>
        <v/>
      </c>
      <c r="P614" s="11"/>
    </row>
    <row r="615" spans="4:16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-0.30969050963205513</v>
      </c>
      <c r="H615" t="s">
        <v>29</v>
      </c>
      <c r="I615">
        <f>VLOOKUP(Table4[[#This Row],[Visitor]],'NHL Model'!$A$6:$B$38,2,FALSE)</f>
        <v>-1.4957350924899622</v>
      </c>
      <c r="J615">
        <f>($B$1+Table4[[#This Row],[Home Differential]])-Table4[[#This Row],[Away Differential]]</f>
        <v>1.3235879718303234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0.76825379798953519</v>
      </c>
      <c r="M615" t="str">
        <f>IF(OR((NHL2025_26Results[[#This Row],[Winning Team]]="")),"-",IF(Table4[[#This Row],[Predicted Winner]]=NHL2025_26Results[[#This Row],[Winning Team]],"YES","NO"))</f>
        <v>-</v>
      </c>
      <c r="N615" t="str">
        <f>IF(Table4[[#This Row],[Adjusted Correct]]="-", "",IF(Table4[[#This Row],[Adjusted Correct]]="YES",(Table4[[#This Row],[Strength of Win]]-1)^2,(Table4[[#This Row],[Strength of Win]]-0)^2))</f>
        <v/>
      </c>
      <c r="P615" s="11"/>
    </row>
    <row r="616" spans="4:16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0.12073374225454764</v>
      </c>
      <c r="H616" t="s">
        <v>34</v>
      </c>
      <c r="I616">
        <f>VLOOKUP(Table4[[#This Row],[Visitor]],'NHL Model'!$A$6:$B$38,2,FALSE)</f>
        <v>-0.16358905079701039</v>
      </c>
      <c r="J616">
        <f>($B$1+Table4[[#This Row],[Home Differential]])-Table4[[#This Row],[Away Differential]]</f>
        <v>0.42186618202397441</v>
      </c>
      <c r="K616" t="str">
        <f>IF(Table4[[#This Row],[HomeIce Differential]]&gt;0,Table4[[#This Row],[Home]],Table4[[#This Row],[Visitor]])</f>
        <v>Vegas Golden Knights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0.5754985341174319</v>
      </c>
      <c r="M616" t="str">
        <f>IF(OR((NHL2025_26Results[[#This Row],[Winning Team]]="")),"-",IF(Table4[[#This Row],[Predicted Winner]]=NHL2025_26Results[[#This Row],[Winning Team]],"YES","NO"))</f>
        <v>-</v>
      </c>
      <c r="N616" t="str">
        <f>IF(Table4[[#This Row],[Adjusted Correct]]="-", "",IF(Table4[[#This Row],[Adjusted Correct]]="YES",(Table4[[#This Row],[Strength of Win]]-1)^2,(Table4[[#This Row],[Strength of Win]]-0)^2))</f>
        <v/>
      </c>
      <c r="P616" s="11"/>
    </row>
    <row r="617" spans="4:16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-6.0247860940930854E-2</v>
      </c>
      <c r="H617" t="s">
        <v>17</v>
      </c>
      <c r="I617">
        <f>VLOOKUP(Table4[[#This Row],[Visitor]],'NHL Model'!$A$6:$B$38,2,FALSE)</f>
        <v>-0.87263145033954281</v>
      </c>
      <c r="J617">
        <f>($B$1+Table4[[#This Row],[Home Differential]])-Table4[[#This Row],[Away Differential]]</f>
        <v>0.94992697837102835</v>
      </c>
      <c r="K617" t="str">
        <f>IF(Table4[[#This Row],[HomeIce Differential]]&gt;0,Table4[[#This Row],[Home]],Table4[[#This Row],[Visitor]])</f>
        <v>Winnipeg Jets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0.66919505872987139</v>
      </c>
      <c r="M617" t="str">
        <f>IF(OR((NHL2025_26Results[[#This Row],[Winning Team]]="")),"-",IF(Table4[[#This Row],[Predicted Winner]]=NHL2025_26Results[[#This Row],[Winning Team]],"YES","NO"))</f>
        <v>-</v>
      </c>
      <c r="N617" t="str">
        <f>IF(Table4[[#This Row],[Adjusted Correct]]="-", "",IF(Table4[[#This Row],[Adjusted Correct]]="YES",(Table4[[#This Row],[Strength of Win]]-1)^2,(Table4[[#This Row],[Strength of Win]]-0)^2))</f>
        <v/>
      </c>
      <c r="P617" s="11"/>
    </row>
    <row r="618" spans="4:16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-0.15263505358797036</v>
      </c>
      <c r="H618" t="s">
        <v>30</v>
      </c>
      <c r="I618">
        <f>VLOOKUP(Table4[[#This Row],[Visitor]],'NHL Model'!$A$6:$B$38,2,FALSE)</f>
        <v>3.838472305373858E-3</v>
      </c>
      <c r="J618">
        <f>($B$1+Table4[[#This Row],[Home Differential]])-Table4[[#This Row],[Away Differential]]</f>
        <v>-1.8930136920927858E-2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0.53514803727441285</v>
      </c>
      <c r="M618" t="str">
        <f>IF(OR((NHL2025_26Results[[#This Row],[Winning Team]]="")),"-",IF(Table4[[#This Row],[Predicted Winner]]=NHL2025_26Results[[#This Row],[Winning Team]],"YES","NO"))</f>
        <v>-</v>
      </c>
      <c r="N618" t="str">
        <f>IF(Table4[[#This Row],[Adjusted Correct]]="-", "",IF(Table4[[#This Row],[Adjusted Correct]]="YES",(Table4[[#This Row],[Strength of Win]]-1)^2,(Table4[[#This Row],[Strength of Win]]-0)^2))</f>
        <v/>
      </c>
      <c r="P618" s="11"/>
    </row>
    <row r="619" spans="4:16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-0.37836939589441088</v>
      </c>
      <c r="H619" t="s">
        <v>18</v>
      </c>
      <c r="I619">
        <f>VLOOKUP(Table4[[#This Row],[Visitor]],'NHL Model'!$A$6:$B$38,2,FALSE)</f>
        <v>-0.74754136228530599</v>
      </c>
      <c r="J619">
        <f>($B$1+Table4[[#This Row],[Home Differential]])-Table4[[#This Row],[Away Differential]]</f>
        <v>0.50671535536331147</v>
      </c>
      <c r="K619" t="str">
        <f>IF(Table4[[#This Row],[HomeIce Differential]]&gt;0,Table4[[#This Row],[Home]],Table4[[#This Row],[Visitor]])</f>
        <v>Florida Panthers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0.61303934294472251</v>
      </c>
      <c r="M619" t="str">
        <f>IF(OR((NHL2025_26Results[[#This Row],[Winning Team]]="")),"-",IF(Table4[[#This Row],[Predicted Winner]]=NHL2025_26Results[[#This Row],[Winning Team]],"YES","NO"))</f>
        <v>-</v>
      </c>
      <c r="N619" t="str">
        <f>IF(Table4[[#This Row],[Adjusted Correct]]="-", "",IF(Table4[[#This Row],[Adjusted Correct]]="YES",(Table4[[#This Row],[Strength of Win]]-1)^2,(Table4[[#This Row],[Strength of Win]]-0)^2))</f>
        <v/>
      </c>
      <c r="P619" s="11"/>
    </row>
    <row r="620" spans="4:16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-0.2090057419115289</v>
      </c>
      <c r="H620" t="s">
        <v>25</v>
      </c>
      <c r="I620">
        <f>VLOOKUP(Table4[[#This Row],[Visitor]],'NHL Model'!$A$6:$B$38,2,FALSE)</f>
        <v>0.42515174825138019</v>
      </c>
      <c r="J620">
        <f>($B$1+Table4[[#This Row],[Home Differential]])-Table4[[#This Row],[Away Differential]]</f>
        <v>-0.49661410119049276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0.59886067919014085</v>
      </c>
      <c r="M620" t="str">
        <f>IF(OR((NHL2025_26Results[[#This Row],[Winning Team]]="")),"-",IF(Table4[[#This Row],[Predicted Winner]]=NHL2025_26Results[[#This Row],[Winning Team]],"YES","NO"))</f>
        <v>-</v>
      </c>
      <c r="N620" t="str">
        <f>IF(Table4[[#This Row],[Adjusted Correct]]="-", "",IF(Table4[[#This Row],[Adjusted Correct]]="YES",(Table4[[#This Row],[Strength of Win]]-1)^2,(Table4[[#This Row],[Strength of Win]]-0)^2))</f>
        <v/>
      </c>
      <c r="P620" s="11"/>
    </row>
    <row r="621" spans="4:16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-0.93520311342823803</v>
      </c>
      <c r="H621" t="s">
        <v>24</v>
      </c>
      <c r="I621">
        <f>VLOOKUP(Table4[[#This Row],[Visitor]],'NHL Model'!$A$6:$B$38,2,FALSE)</f>
        <v>-1.8032585202533785E-2</v>
      </c>
      <c r="J621">
        <f>($B$1+Table4[[#This Row],[Home Differential]])-Table4[[#This Row],[Away Differential]]</f>
        <v>-0.77962713925328786</v>
      </c>
      <c r="K621" t="str">
        <f>IF(Table4[[#This Row],[HomeIce Differential]]&gt;0,Table4[[#This Row],[Home]],Table4[[#This Row],[Visitor]])</f>
        <v>New Jersey Devils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0.564814781408849</v>
      </c>
      <c r="M621" t="str">
        <f>IF(OR((NHL2025_26Results[[#This Row],[Winning Team]]="")),"-",IF(Table4[[#This Row],[Predicted Winner]]=NHL2025_26Results[[#This Row],[Winning Team]],"YES","NO"))</f>
        <v>-</v>
      </c>
      <c r="N621" t="str">
        <f>IF(Table4[[#This Row],[Adjusted Correct]]="-", "",IF(Table4[[#This Row],[Adjusted Correct]]="YES",(Table4[[#This Row],[Strength of Win]]-1)^2,(Table4[[#This Row],[Strength of Win]]-0)^2))</f>
        <v/>
      </c>
      <c r="P621" s="11"/>
    </row>
    <row r="622" spans="4:16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-1.1236485959014608</v>
      </c>
      <c r="H622" t="s">
        <v>27</v>
      </c>
      <c r="I622">
        <f>VLOOKUP(Table4[[#This Row],[Visitor]],'NHL Model'!$A$6:$B$38,2,FALSE)</f>
        <v>-0.42203126246971279</v>
      </c>
      <c r="J622">
        <f>($B$1+Table4[[#This Row],[Home Differential]])-Table4[[#This Row],[Away Differential]]</f>
        <v>-0.56407394445933168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0.53523518461057007</v>
      </c>
      <c r="M622" t="str">
        <f>IF(OR((NHL2025_26Results[[#This Row],[Winning Team]]="")),"-",IF(Table4[[#This Row],[Predicted Winner]]=NHL2025_26Results[[#This Row],[Winning Team]],"YES","NO"))</f>
        <v>-</v>
      </c>
      <c r="N622" t="str">
        <f>IF(Table4[[#This Row],[Adjusted Correct]]="-", "",IF(Table4[[#This Row],[Adjusted Correct]]="YES",(Table4[[#This Row],[Strength of Win]]-1)^2,(Table4[[#This Row],[Strength of Win]]-0)^2))</f>
        <v/>
      </c>
      <c r="P622" s="11"/>
    </row>
    <row r="623" spans="4:16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0.34329638981067145</v>
      </c>
      <c r="H623" t="s">
        <v>37</v>
      </c>
      <c r="I623">
        <f>VLOOKUP(Table4[[#This Row],[Visitor]],'NHL Model'!$A$6:$B$38,2,FALSE)</f>
        <v>7.1667377873261273E-2</v>
      </c>
      <c r="J623">
        <f>($B$1+Table4[[#This Row],[Home Differential]])-Table4[[#This Row],[Away Differential]]</f>
        <v>0.40917240090982654</v>
      </c>
      <c r="K623" t="str">
        <f>IF(Table4[[#This Row],[HomeIce Differential]]&gt;0,Table4[[#This Row],[Home]],Table4[[#This Row],[Visitor]])</f>
        <v>Anaheim Ducks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0.62600326225125758</v>
      </c>
      <c r="M623" t="str">
        <f>IF(OR((NHL2025_26Results[[#This Row],[Winning Team]]="")),"-",IF(Table4[[#This Row],[Predicted Winner]]=NHL2025_26Results[[#This Row],[Winning Team]],"YES","NO"))</f>
        <v>-</v>
      </c>
      <c r="N623" t="str">
        <f>IF(Table4[[#This Row],[Adjusted Correct]]="-", "",IF(Table4[[#This Row],[Adjusted Correct]]="YES",(Table4[[#This Row],[Strength of Win]]-1)^2,(Table4[[#This Row],[Strength of Win]]-0)^2))</f>
        <v/>
      </c>
      <c r="P623" s="11"/>
    </row>
    <row r="624" spans="4:16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-0.59418600019583889</v>
      </c>
      <c r="H624" t="s">
        <v>24</v>
      </c>
      <c r="I624">
        <f>VLOOKUP(Table4[[#This Row],[Visitor]],'NHL Model'!$A$6:$B$38,2,FALSE)</f>
        <v>-1.8032585202533785E-2</v>
      </c>
      <c r="J624">
        <f>($B$1+Table4[[#This Row],[Home Differential]])-Table4[[#This Row],[Away Differential]]</f>
        <v>-0.43861002602088872</v>
      </c>
      <c r="K624" t="str">
        <f>IF(Table4[[#This Row],[HomeIce Differential]]&gt;0,Table4[[#This Row],[Home]],Table4[[#This Row],[Visitor]])</f>
        <v>New Jersey Devils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0.51228254177659538</v>
      </c>
      <c r="M624" t="str">
        <f>IF(OR((NHL2025_26Results[[#This Row],[Winning Team]]="")),"-",IF(Table4[[#This Row],[Predicted Winner]]=NHL2025_26Results[[#This Row],[Winning Team]],"YES","NO"))</f>
        <v>-</v>
      </c>
      <c r="N624" t="str">
        <f>IF(Table4[[#This Row],[Adjusted Correct]]="-", "",IF(Table4[[#This Row],[Adjusted Correct]]="YES",(Table4[[#This Row],[Strength of Win]]-1)^2,(Table4[[#This Row],[Strength of Win]]-0)^2))</f>
        <v/>
      </c>
      <c r="P624" s="11"/>
    </row>
    <row r="625" spans="4:16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-1.0952038865534519</v>
      </c>
      <c r="H625" t="s">
        <v>27</v>
      </c>
      <c r="I625">
        <f>VLOOKUP(Table4[[#This Row],[Visitor]],'NHL Model'!$A$6:$B$38,2,FALSE)</f>
        <v>-0.42203126246971279</v>
      </c>
      <c r="J625">
        <f>($B$1+Table4[[#This Row],[Home Differential]])-Table4[[#This Row],[Away Differential]]</f>
        <v>-0.53562923511132277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0.53144127960926268</v>
      </c>
      <c r="M625" t="str">
        <f>IF(OR((NHL2025_26Results[[#This Row],[Winning Team]]="")),"-",IF(Table4[[#This Row],[Predicted Winner]]=NHL2025_26Results[[#This Row],[Winning Team]],"YES","NO"))</f>
        <v>-</v>
      </c>
      <c r="N625" t="str">
        <f>IF(Table4[[#This Row],[Adjusted Correct]]="-", "",IF(Table4[[#This Row],[Adjusted Correct]]="YES",(Table4[[#This Row],[Strength of Win]]-1)^2,(Table4[[#This Row],[Strength of Win]]-0)^2))</f>
        <v/>
      </c>
      <c r="P625" s="11"/>
    </row>
    <row r="626" spans="4:16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1.4458345276269271</v>
      </c>
      <c r="H626" t="s">
        <v>35</v>
      </c>
      <c r="I626">
        <f>VLOOKUP(Table4[[#This Row],[Visitor]],'NHL Model'!$A$6:$B$38,2,FALSE)</f>
        <v>-1.5569791149906038</v>
      </c>
      <c r="J626">
        <f>($B$1+Table4[[#This Row],[Home Differential]])-Table4[[#This Row],[Away Differential]]</f>
        <v>3.1403570315899474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626" t="str">
        <f>IF(OR((NHL2025_26Results[[#This Row],[Winning Team]]="")),"-",IF(Table4[[#This Row],[Predicted Winner]]=NHL2025_26Results[[#This Row],[Winning Team]],"YES","NO"))</f>
        <v>-</v>
      </c>
      <c r="N626" t="str">
        <f>IF(Table4[[#This Row],[Adjusted Correct]]="-", "",IF(Table4[[#This Row],[Adjusted Correct]]="YES",(Table4[[#This Row],[Strength of Win]]-1)^2,(Table4[[#This Row],[Strength of Win]]-0)^2))</f>
        <v/>
      </c>
      <c r="P626" s="11"/>
    </row>
    <row r="627" spans="4:16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4.3828122498436855E-3</v>
      </c>
      <c r="H627" t="s">
        <v>23</v>
      </c>
      <c r="I627">
        <f>VLOOKUP(Table4[[#This Row],[Visitor]],'NHL Model'!$A$6:$B$38,2,FALSE)</f>
        <v>-0.51535072045188635</v>
      </c>
      <c r="J627">
        <f>($B$1+Table4[[#This Row],[Home Differential]])-Table4[[#This Row],[Away Differential]]</f>
        <v>0.65727692167414642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0.63016191199768601</v>
      </c>
      <c r="M627" t="str">
        <f>IF(OR((NHL2025_26Results[[#This Row],[Winning Team]]="")),"-",IF(Table4[[#This Row],[Predicted Winner]]=NHL2025_26Results[[#This Row],[Winning Team]],"YES","NO"))</f>
        <v>-</v>
      </c>
      <c r="N627" t="str">
        <f>IF(Table4[[#This Row],[Adjusted Correct]]="-", "",IF(Table4[[#This Row],[Adjusted Correct]]="YES",(Table4[[#This Row],[Strength of Win]]-1)^2,(Table4[[#This Row],[Strength of Win]]-0)^2))</f>
        <v/>
      </c>
      <c r="P627" s="11"/>
    </row>
    <row r="628" spans="4:16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-0.66335717753705836</v>
      </c>
      <c r="H628" t="s">
        <v>40</v>
      </c>
      <c r="I628">
        <f>VLOOKUP(Table4[[#This Row],[Visitor]],'NHL Model'!$A$6:$B$38,2,FALSE)</f>
        <v>-6.0247860940930854E-2</v>
      </c>
      <c r="J628">
        <f>($B$1+Table4[[#This Row],[Home Differential]])-Table4[[#This Row],[Away Differential]]</f>
        <v>-0.46556592762371113</v>
      </c>
      <c r="K628" t="str">
        <f>IF(Table4[[#This Row],[HomeIce Differential]]&gt;0,Table4[[#This Row],[Home]],Table4[[#This Row],[Visitor]])</f>
        <v>Winnipeg Jets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0.5557672457061299</v>
      </c>
      <c r="M628" t="str">
        <f>IF(OR((NHL2025_26Results[[#This Row],[Winning Team]]="")),"-",IF(Table4[[#This Row],[Predicted Winner]]=NHL2025_26Results[[#This Row],[Winning Team]],"YES","NO"))</f>
        <v>-</v>
      </c>
      <c r="N628" t="str">
        <f>IF(Table4[[#This Row],[Adjusted Correct]]="-", "",IF(Table4[[#This Row],[Adjusted Correct]]="YES",(Table4[[#This Row],[Strength of Win]]-1)^2,(Table4[[#This Row],[Strength of Win]]-0)^2))</f>
        <v/>
      </c>
      <c r="P628" s="11"/>
    </row>
    <row r="629" spans="4:16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-0.87263145033954281</v>
      </c>
      <c r="H629" t="s">
        <v>21</v>
      </c>
      <c r="I629">
        <f>VLOOKUP(Table4[[#This Row],[Visitor]],'NHL Model'!$A$6:$B$38,2,FALSE)</f>
        <v>-0.14464931395309213</v>
      </c>
      <c r="J629">
        <f>($B$1+Table4[[#This Row],[Home Differential]])-Table4[[#This Row],[Away Differential]]</f>
        <v>-0.59043874741403435</v>
      </c>
      <c r="K629" t="str">
        <f>IF(Table4[[#This Row],[HomeIce Differential]]&gt;0,Table4[[#This Row],[Home]],Table4[[#This Row],[Visitor]])</f>
        <v>Boston Bruins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0.5027148090179846</v>
      </c>
      <c r="M629" t="str">
        <f>IF(OR((NHL2025_26Results[[#This Row],[Winning Team]]="")),"-",IF(Table4[[#This Row],[Predicted Winner]]=NHL2025_26Results[[#This Row],[Winning Team]],"YES","NO"))</f>
        <v>-</v>
      </c>
      <c r="N629" t="str">
        <f>IF(Table4[[#This Row],[Adjusted Correct]]="-", "",IF(Table4[[#This Row],[Adjusted Correct]]="YES",(Table4[[#This Row],[Strength of Win]]-1)^2,(Table4[[#This Row],[Strength of Win]]-0)^2))</f>
        <v/>
      </c>
      <c r="P629" s="11"/>
    </row>
    <row r="630" spans="4:16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-0.36178381286707545</v>
      </c>
      <c r="H630" t="s">
        <v>34</v>
      </c>
      <c r="I630">
        <f>VLOOKUP(Table4[[#This Row],[Visitor]],'NHL Model'!$A$6:$B$38,2,FALSE)</f>
        <v>-0.16358905079701039</v>
      </c>
      <c r="J630">
        <f>($B$1+Table4[[#This Row],[Home Differential]])-Table4[[#This Row],[Away Differential]]</f>
        <v>-6.0651373097648703E-2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0.48885880359333972</v>
      </c>
      <c r="M630" t="str">
        <f>IF(OR((NHL2025_26Results[[#This Row],[Winning Team]]="")),"-",IF(Table4[[#This Row],[Predicted Winner]]=NHL2025_26Results[[#This Row],[Winning Team]],"YES","NO"))</f>
        <v>-</v>
      </c>
      <c r="N630" t="str">
        <f>IF(Table4[[#This Row],[Adjusted Correct]]="-", "",IF(Table4[[#This Row],[Adjusted Correct]]="YES",(Table4[[#This Row],[Strength of Win]]-1)^2,(Table4[[#This Row],[Strength of Win]]-0)^2))</f>
        <v/>
      </c>
      <c r="P630" s="11"/>
    </row>
    <row r="631" spans="4:16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0.12073374225454764</v>
      </c>
      <c r="H631" t="s">
        <v>29</v>
      </c>
      <c r="I631">
        <f>VLOOKUP(Table4[[#This Row],[Visitor]],'NHL Model'!$A$6:$B$38,2,FALSE)</f>
        <v>-1.4957350924899622</v>
      </c>
      <c r="J631">
        <f>($B$1+Table4[[#This Row],[Home Differential]])-Table4[[#This Row],[Away Differential]]</f>
        <v>1.7540122237169262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0.7739470467600259</v>
      </c>
      <c r="M631" t="str">
        <f>IF(OR((NHL2025_26Results[[#This Row],[Winning Team]]="")),"-",IF(Table4[[#This Row],[Predicted Winner]]=NHL2025_26Results[[#This Row],[Winning Team]],"YES","NO"))</f>
        <v>-</v>
      </c>
      <c r="N631" t="str">
        <f>IF(Table4[[#This Row],[Adjusted Correct]]="-", "",IF(Table4[[#This Row],[Adjusted Correct]]="YES",(Table4[[#This Row],[Strength of Win]]-1)^2,(Table4[[#This Row],[Strength of Win]]-0)^2))</f>
        <v/>
      </c>
      <c r="P631" s="11"/>
    </row>
    <row r="632" spans="4:16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6.4811420118814619E-2</v>
      </c>
      <c r="H632" t="s">
        <v>15</v>
      </c>
      <c r="I632">
        <f>VLOOKUP(Table4[[#This Row],[Visitor]],'NHL Model'!$A$6:$B$38,2,FALSE)</f>
        <v>-0.49835870184734621</v>
      </c>
      <c r="J632">
        <f>($B$1+Table4[[#This Row],[Home Differential]])-Table4[[#This Row],[Away Differential]]</f>
        <v>0.70071351093857714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0.54998166734093812</v>
      </c>
      <c r="M632" t="str">
        <f>IF(OR((NHL2025_26Results[[#This Row],[Winning Team]]="")),"-",IF(Table4[[#This Row],[Predicted Winner]]=NHL2025_26Results[[#This Row],[Winning Team]],"YES","NO"))</f>
        <v>-</v>
      </c>
      <c r="N632" t="str">
        <f>IF(Table4[[#This Row],[Adjusted Correct]]="-", "",IF(Table4[[#This Row],[Adjusted Correct]]="YES",(Table4[[#This Row],[Strength of Win]]-1)^2,(Table4[[#This Row],[Strength of Win]]-0)^2))</f>
        <v/>
      </c>
      <c r="P632" s="11"/>
    </row>
    <row r="633" spans="4:16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0.42515174825138019</v>
      </c>
      <c r="H633" t="s">
        <v>18</v>
      </c>
      <c r="I633">
        <f>VLOOKUP(Table4[[#This Row],[Visitor]],'NHL Model'!$A$6:$B$38,2,FALSE)</f>
        <v>-0.74754136228530599</v>
      </c>
      <c r="J633">
        <f>($B$1+Table4[[#This Row],[Home Differential]])-Table4[[#This Row],[Away Differential]]</f>
        <v>1.3102364995091025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0.72021157135929625</v>
      </c>
      <c r="M633" t="str">
        <f>IF(OR((NHL2025_26Results[[#This Row],[Winning Team]]="")),"-",IF(Table4[[#This Row],[Predicted Winner]]=NHL2025_26Results[[#This Row],[Winning Team]],"YES","NO"))</f>
        <v>-</v>
      </c>
      <c r="N633" t="str">
        <f>IF(Table4[[#This Row],[Adjusted Correct]]="-", "",IF(Table4[[#This Row],[Adjusted Correct]]="YES",(Table4[[#This Row],[Strength of Win]]-1)^2,(Table4[[#This Row],[Strength of Win]]-0)^2))</f>
        <v/>
      </c>
      <c r="P633" s="11"/>
    </row>
    <row r="634" spans="4:16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-0.15263505358797036</v>
      </c>
      <c r="H634" t="s">
        <v>39</v>
      </c>
      <c r="I634">
        <f>VLOOKUP(Table4[[#This Row],[Visitor]],'NHL Model'!$A$6:$B$38,2,FALSE)</f>
        <v>4.3828122498436855E-3</v>
      </c>
      <c r="J634">
        <f>($B$1+Table4[[#This Row],[Home Differential]])-Table4[[#This Row],[Away Differential]]</f>
        <v>-1.9474476865397689E-2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0.54355574019870645</v>
      </c>
      <c r="M634" t="str">
        <f>IF(OR((NHL2025_26Results[[#This Row],[Winning Team]]="")),"-",IF(Table4[[#This Row],[Predicted Winner]]=NHL2025_26Results[[#This Row],[Winning Team]],"YES","NO"))</f>
        <v>-</v>
      </c>
      <c r="N634" t="str">
        <f>IF(Table4[[#This Row],[Adjusted Correct]]="-", "",IF(Table4[[#This Row],[Adjusted Correct]]="YES",(Table4[[#This Row],[Strength of Win]]-1)^2,(Table4[[#This Row],[Strength of Win]]-0)^2))</f>
        <v/>
      </c>
      <c r="P634" s="11"/>
    </row>
    <row r="635" spans="4:16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-0.36134162888396865</v>
      </c>
      <c r="H635" t="s">
        <v>37</v>
      </c>
      <c r="I635">
        <f>VLOOKUP(Table4[[#This Row],[Visitor]],'NHL Model'!$A$6:$B$38,2,FALSE)</f>
        <v>7.1667377873261273E-2</v>
      </c>
      <c r="J635">
        <f>($B$1+Table4[[#This Row],[Home Differential]])-Table4[[#This Row],[Away Differential]]</f>
        <v>-0.29546561778481356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0.56572447076177945</v>
      </c>
      <c r="M635" t="str">
        <f>IF(OR((NHL2025_26Results[[#This Row],[Winning Team]]="")),"-",IF(Table4[[#This Row],[Predicted Winner]]=NHL2025_26Results[[#This Row],[Winning Team]],"YES","NO"))</f>
        <v>-</v>
      </c>
      <c r="N635" t="str">
        <f>IF(Table4[[#This Row],[Adjusted Correct]]="-", "",IF(Table4[[#This Row],[Adjusted Correct]]="YES",(Table4[[#This Row],[Strength of Win]]-1)^2,(Table4[[#This Row],[Strength of Win]]-0)^2))</f>
        <v/>
      </c>
      <c r="P635" s="11"/>
    </row>
    <row r="636" spans="4:16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3.838472305373858E-3</v>
      </c>
      <c r="H636" t="s">
        <v>55</v>
      </c>
      <c r="I636">
        <f>VLOOKUP(Table4[[#This Row],[Visitor]],'NHL Model'!$A$6:$B$38,2,FALSE)</f>
        <v>-0.30969050963205513</v>
      </c>
      <c r="J636">
        <f>($B$1+Table4[[#This Row],[Home Differential]])-Table4[[#This Row],[Away Differential]]</f>
        <v>0.45107237090984531</v>
      </c>
      <c r="K636" t="str">
        <f>IF(Table4[[#This Row],[HomeIce Differential]]&gt;0,Table4[[#This Row],[Home]],Table4[[#This Row],[Visitor]])</f>
        <v>New York Islanders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0.60016323468132915</v>
      </c>
      <c r="M636" t="str">
        <f>IF(OR((NHL2025_26Results[[#This Row],[Winning Team]]="")),"-",IF(Table4[[#This Row],[Predicted Winner]]=NHL2025_26Results[[#This Row],[Winning Team]],"YES","NO"))</f>
        <v>-</v>
      </c>
      <c r="N636" t="str">
        <f>IF(Table4[[#This Row],[Adjusted Correct]]="-", "",IF(Table4[[#This Row],[Adjusted Correct]]="YES",(Table4[[#This Row],[Strength of Win]]-1)^2,(Table4[[#This Row],[Strength of Win]]-0)^2))</f>
        <v/>
      </c>
      <c r="P636" s="11"/>
    </row>
    <row r="637" spans="4:16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-0.31751962084606655</v>
      </c>
      <c r="H637" t="s">
        <v>22</v>
      </c>
      <c r="I637">
        <f>VLOOKUP(Table4[[#This Row],[Visitor]],'NHL Model'!$A$6:$B$38,2,FALSE)</f>
        <v>6.4811420118814619E-2</v>
      </c>
      <c r="J637">
        <f>($B$1+Table4[[#This Row],[Home Differential]])-Table4[[#This Row],[Away Differential]]</f>
        <v>-0.24478765199246483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0.51091021344812537</v>
      </c>
      <c r="M637" t="str">
        <f>IF(OR((NHL2025_26Results[[#This Row],[Winning Team]]="")),"-",IF(Table4[[#This Row],[Predicted Winner]]=NHL2025_26Results[[#This Row],[Winning Team]],"YES","NO"))</f>
        <v>-</v>
      </c>
      <c r="N637" t="str">
        <f>IF(Table4[[#This Row],[Adjusted Correct]]="-", "",IF(Table4[[#This Row],[Adjusted Correct]]="YES",(Table4[[#This Row],[Strength of Win]]-1)^2,(Table4[[#This Row],[Strength of Win]]-0)^2))</f>
        <v/>
      </c>
      <c r="P637" s="11"/>
    </row>
    <row r="638" spans="4:16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-0.2090057419115289</v>
      </c>
      <c r="H638" t="s">
        <v>26</v>
      </c>
      <c r="I638">
        <f>VLOOKUP(Table4[[#This Row],[Visitor]],'NHL Model'!$A$6:$B$38,2,FALSE)</f>
        <v>-0.66335717753705836</v>
      </c>
      <c r="J638">
        <f>($B$1+Table4[[#This Row],[Home Differential]])-Table4[[#This Row],[Away Differential]]</f>
        <v>0.59189482459794585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0.57184649289503364</v>
      </c>
      <c r="M638" t="str">
        <f>IF(OR((NHL2025_26Results[[#This Row],[Winning Team]]="")),"-",IF(Table4[[#This Row],[Predicted Winner]]=NHL2025_26Results[[#This Row],[Winning Team]],"YES","NO"))</f>
        <v>-</v>
      </c>
      <c r="N638" t="str">
        <f>IF(Table4[[#This Row],[Adjusted Correct]]="-", "",IF(Table4[[#This Row],[Adjusted Correct]]="YES",(Table4[[#This Row],[Strength of Win]]-1)^2,(Table4[[#This Row],[Strength of Win]]-0)^2))</f>
        <v/>
      </c>
      <c r="P638" s="11"/>
    </row>
    <row r="639" spans="4:16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-0.45007023285116615</v>
      </c>
      <c r="H639" t="s">
        <v>29</v>
      </c>
      <c r="I639">
        <f>VLOOKUP(Table4[[#This Row],[Visitor]],'NHL Model'!$A$6:$B$38,2,FALSE)</f>
        <v>-1.4957350924899622</v>
      </c>
      <c r="J639">
        <f>($B$1+Table4[[#This Row],[Home Differential]])-Table4[[#This Row],[Away Differential]]</f>
        <v>1.1832082486112123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0.7238519584193599</v>
      </c>
      <c r="M639" t="str">
        <f>IF(OR((NHL2025_26Results[[#This Row],[Winning Team]]="")),"-",IF(Table4[[#This Row],[Predicted Winner]]=NHL2025_26Results[[#This Row],[Winning Team]],"YES","NO"))</f>
        <v>-</v>
      </c>
      <c r="N639" t="str">
        <f>IF(Table4[[#This Row],[Adjusted Correct]]="-", "",IF(Table4[[#This Row],[Adjusted Correct]]="YES",(Table4[[#This Row],[Strength of Win]]-1)^2,(Table4[[#This Row],[Strength of Win]]-0)^2))</f>
        <v/>
      </c>
      <c r="P639" s="11"/>
    </row>
    <row r="640" spans="4:16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-0.93520311342823803</v>
      </c>
      <c r="H640" t="s">
        <v>40</v>
      </c>
      <c r="I640">
        <f>VLOOKUP(Table4[[#This Row],[Visitor]],'NHL Model'!$A$6:$B$38,2,FALSE)</f>
        <v>-6.0247860940930854E-2</v>
      </c>
      <c r="J640">
        <f>($B$1+Table4[[#This Row],[Home Differential]])-Table4[[#This Row],[Away Differential]]</f>
        <v>-0.73741186351489085</v>
      </c>
      <c r="K640" t="str">
        <f>IF(Table4[[#This Row],[HomeIce Differential]]&gt;0,Table4[[#This Row],[Home]],Table4[[#This Row],[Visitor]])</f>
        <v>Winnipeg Jets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0.62467047901486583</v>
      </c>
      <c r="M640" t="str">
        <f>IF(OR((NHL2025_26Results[[#This Row],[Winning Team]]="")),"-",IF(Table4[[#This Row],[Predicted Winner]]=NHL2025_26Results[[#This Row],[Winning Team]],"YES","NO"))</f>
        <v>-</v>
      </c>
      <c r="N640" t="str">
        <f>IF(Table4[[#This Row],[Adjusted Correct]]="-", "",IF(Table4[[#This Row],[Adjusted Correct]]="YES",(Table4[[#This Row],[Strength of Win]]-1)^2,(Table4[[#This Row],[Strength of Win]]-0)^2))</f>
        <v/>
      </c>
      <c r="P640" s="11"/>
    </row>
    <row r="641" spans="4:16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0.34329638981067145</v>
      </c>
      <c r="H641" t="s">
        <v>34</v>
      </c>
      <c r="I641">
        <f>VLOOKUP(Table4[[#This Row],[Visitor]],'NHL Model'!$A$6:$B$38,2,FALSE)</f>
        <v>-0.16358905079701039</v>
      </c>
      <c r="J641">
        <f>($B$1+Table4[[#This Row],[Home Differential]])-Table4[[#This Row],[Away Differential]]</f>
        <v>0.64442882958009817</v>
      </c>
      <c r="K641" t="str">
        <f>IF(Table4[[#This Row],[HomeIce Differential]]&gt;0,Table4[[#This Row],[Home]],Table4[[#This Row],[Visitor]])</f>
        <v>Anaheim Ducks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0.70133739238853154</v>
      </c>
      <c r="M641" t="str">
        <f>IF(OR((NHL2025_26Results[[#This Row],[Winning Team]]="")),"-",IF(Table4[[#This Row],[Predicted Winner]]=NHL2025_26Results[[#This Row],[Winning Team]],"YES","NO"))</f>
        <v>-</v>
      </c>
      <c r="N641" t="str">
        <f>IF(Table4[[#This Row],[Adjusted Correct]]="-", "",IF(Table4[[#This Row],[Adjusted Correct]]="YES",(Table4[[#This Row],[Strength of Win]]-1)^2,(Table4[[#This Row],[Strength of Win]]-0)^2))</f>
        <v/>
      </c>
      <c r="P641" s="11"/>
    </row>
    <row r="642" spans="4:16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-0.37836939589441088</v>
      </c>
      <c r="H642" t="s">
        <v>15</v>
      </c>
      <c r="I642">
        <f>VLOOKUP(Table4[[#This Row],[Visitor]],'NHL Model'!$A$6:$B$38,2,FALSE)</f>
        <v>-0.49835870184734621</v>
      </c>
      <c r="J642">
        <f>($B$1+Table4[[#This Row],[Home Differential]])-Table4[[#This Row],[Away Differential]]</f>
        <v>0.25753269492535169</v>
      </c>
      <c r="K642" t="str">
        <f>IF(Table4[[#This Row],[HomeIce Differential]]&gt;0,Table4[[#This Row],[Home]],Table4[[#This Row],[Visitor]])</f>
        <v>Florida Panthers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0.54344016424847175</v>
      </c>
      <c r="M642" t="str">
        <f>IF(OR((NHL2025_26Results[[#This Row],[Winning Team]]="")),"-",IF(Table4[[#This Row],[Predicted Winner]]=NHL2025_26Results[[#This Row],[Winning Team]],"YES","NO"))</f>
        <v>-</v>
      </c>
      <c r="N642" t="str">
        <f>IF(Table4[[#This Row],[Adjusted Correct]]="-", "",IF(Table4[[#This Row],[Adjusted Correct]]="YES",(Table4[[#This Row],[Strength of Win]]-1)^2,(Table4[[#This Row],[Strength of Win]]-0)^2))</f>
        <v/>
      </c>
      <c r="P642" s="11"/>
    </row>
    <row r="643" spans="4:16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-1.5569791149906038</v>
      </c>
      <c r="H643" t="s">
        <v>20</v>
      </c>
      <c r="I643">
        <f>VLOOKUP(Table4[[#This Row],[Visitor]],'NHL Model'!$A$6:$B$38,2,FALSE)</f>
        <v>0.12073374225454764</v>
      </c>
      <c r="J643">
        <f>($B$1+Table4[[#This Row],[Home Differential]])-Table4[[#This Row],[Away Differential]]</f>
        <v>-1.5401694682727349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0.6861943091924676</v>
      </c>
      <c r="M643" t="str">
        <f>IF(OR((NHL2025_26Results[[#This Row],[Winning Team]]="")),"-",IF(Table4[[#This Row],[Predicted Winner]]=NHL2025_26Results[[#This Row],[Winning Team]],"YES","NO"))</f>
        <v>-</v>
      </c>
      <c r="N643" t="str">
        <f>IF(Table4[[#This Row],[Adjusted Correct]]="-", "",IF(Table4[[#This Row],[Adjusted Correct]]="YES",(Table4[[#This Row],[Strength of Win]]-1)^2,(Table4[[#This Row],[Strength of Win]]-0)^2))</f>
        <v/>
      </c>
      <c r="P643" s="11"/>
    </row>
    <row r="644" spans="4:16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-1.1236485959014608</v>
      </c>
      <c r="H644" t="s">
        <v>32</v>
      </c>
      <c r="I644">
        <f>VLOOKUP(Table4[[#This Row],[Visitor]],'NHL Model'!$A$6:$B$38,2,FALSE)</f>
        <v>-0.45007023285116615</v>
      </c>
      <c r="J644">
        <f>($B$1+Table4[[#This Row],[Home Differential]])-Table4[[#This Row],[Away Differential]]</f>
        <v>-0.53603497407787826</v>
      </c>
      <c r="K644" t="str">
        <f>IF(Table4[[#This Row],[HomeIce Differential]]&gt;0,Table4[[#This Row],[Home]],Table4[[#This Row],[Visitor]])</f>
        <v>Seattle Kraken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0.53149539635468646</v>
      </c>
      <c r="M644" t="str">
        <f>IF(OR((NHL2025_26Results[[#This Row],[Winning Team]]="")),"-",IF(Table4[[#This Row],[Predicted Winner]]=NHL2025_26Results[[#This Row],[Winning Team]],"YES","NO"))</f>
        <v>-</v>
      </c>
      <c r="N644" t="str">
        <f>IF(Table4[[#This Row],[Adjusted Correct]]="-", "",IF(Table4[[#This Row],[Adjusted Correct]]="YES",(Table4[[#This Row],[Strength of Win]]-1)^2,(Table4[[#This Row],[Strength of Win]]-0)^2))</f>
        <v/>
      </c>
      <c r="P644" s="11"/>
    </row>
    <row r="645" spans="4:16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0.42515174825138019</v>
      </c>
      <c r="H645" t="s">
        <v>12</v>
      </c>
      <c r="I645">
        <f>VLOOKUP(Table4[[#This Row],[Visitor]],'NHL Model'!$A$6:$B$38,2,FALSE)</f>
        <v>1.4458345276269271</v>
      </c>
      <c r="J645">
        <f>($B$1+Table4[[#This Row],[Home Differential]])-Table4[[#This Row],[Away Differential]]</f>
        <v>-0.88313939040313061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0.61779156921976253</v>
      </c>
      <c r="M645" t="str">
        <f>IF(OR((NHL2025_26Results[[#This Row],[Winning Team]]="")),"-",IF(Table4[[#This Row],[Predicted Winner]]=NHL2025_26Results[[#This Row],[Winning Team]],"YES","NO"))</f>
        <v>-</v>
      </c>
      <c r="N645" t="str">
        <f>IF(Table4[[#This Row],[Adjusted Correct]]="-", "",IF(Table4[[#This Row],[Adjusted Correct]]="YES",(Table4[[#This Row],[Strength of Win]]-1)^2,(Table4[[#This Row],[Strength of Win]]-0)^2))</f>
        <v/>
      </c>
      <c r="P645" s="11"/>
    </row>
    <row r="646" spans="4:16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-0.59418600019583889</v>
      </c>
      <c r="H646" t="s">
        <v>23</v>
      </c>
      <c r="I646">
        <f>VLOOKUP(Table4[[#This Row],[Visitor]],'NHL Model'!$A$6:$B$38,2,FALSE)</f>
        <v>-0.51535072045188635</v>
      </c>
      <c r="J646">
        <f>($B$1+Table4[[#This Row],[Home Differential]])-Table4[[#This Row],[Away Differential]]</f>
        <v>5.8708109228463812E-2</v>
      </c>
      <c r="K646" t="str">
        <f>IF(Table4[[#This Row],[HomeIce Differential]]&gt;0,Table4[[#This Row],[Home]],Table4[[#This Row],[Visitor]])</f>
        <v>Columbus Blue Jackets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0.55487633558770433</v>
      </c>
      <c r="M646" t="str">
        <f>IF(OR((NHL2025_26Results[[#This Row],[Winning Team]]="")),"-",IF(Table4[[#This Row],[Predicted Winner]]=NHL2025_26Results[[#This Row],[Winning Team]],"YES","NO"))</f>
        <v>-</v>
      </c>
      <c r="N646" t="str">
        <f>IF(Table4[[#This Row],[Adjusted Correct]]="-", "",IF(Table4[[#This Row],[Adjusted Correct]]="YES",(Table4[[#This Row],[Strength of Win]]-1)^2,(Table4[[#This Row],[Strength of Win]]-0)^2))</f>
        <v/>
      </c>
      <c r="P646" s="11"/>
    </row>
    <row r="647" spans="4:16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-1.0952038865534519</v>
      </c>
      <c r="H647" t="s">
        <v>29</v>
      </c>
      <c r="I647">
        <f>VLOOKUP(Table4[[#This Row],[Visitor]],'NHL Model'!$A$6:$B$38,2,FALSE)</f>
        <v>-1.4957350924899622</v>
      </c>
      <c r="J647">
        <f>($B$1+Table4[[#This Row],[Home Differential]])-Table4[[#This Row],[Away Differential]]</f>
        <v>0.53807459490892662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0.6117674373721218</v>
      </c>
      <c r="M647" t="str">
        <f>IF(OR((NHL2025_26Results[[#This Row],[Winning Team]]="")),"-",IF(Table4[[#This Row],[Predicted Winner]]=NHL2025_26Results[[#This Row],[Winning Team]],"YES","NO"))</f>
        <v>-</v>
      </c>
      <c r="N647" t="str">
        <f>IF(Table4[[#This Row],[Adjusted Correct]]="-", "",IF(Table4[[#This Row],[Adjusted Correct]]="YES",(Table4[[#This Row],[Strength of Win]]-1)^2,(Table4[[#This Row],[Strength of Win]]-0)^2))</f>
        <v/>
      </c>
      <c r="P647" s="11"/>
    </row>
    <row r="648" spans="4:16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-0.66335717753705836</v>
      </c>
      <c r="H648" t="s">
        <v>14</v>
      </c>
      <c r="I648">
        <f>VLOOKUP(Table4[[#This Row],[Visitor]],'NHL Model'!$A$6:$B$38,2,FALSE)</f>
        <v>-0.2090057419115289</v>
      </c>
      <c r="J648">
        <f>($B$1+Table4[[#This Row],[Home Differential]])-Table4[[#This Row],[Away Differential]]</f>
        <v>-0.31680804665311313</v>
      </c>
      <c r="K648" t="str">
        <f>IF(Table4[[#This Row],[HomeIce Differential]]&gt;0,Table4[[#This Row],[Home]],Table4[[#This Row],[Visitor]])</f>
        <v>Pittsburgh Penguins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0.47000923087786151</v>
      </c>
      <c r="M648" t="str">
        <f>IF(OR((NHL2025_26Results[[#This Row],[Winning Team]]="")),"-",IF(Table4[[#This Row],[Predicted Winner]]=NHL2025_26Results[[#This Row],[Winning Team]],"YES","NO"))</f>
        <v>-</v>
      </c>
      <c r="N648" t="str">
        <f>IF(Table4[[#This Row],[Adjusted Correct]]="-", "",IF(Table4[[#This Row],[Adjusted Correct]]="YES",(Table4[[#This Row],[Strength of Win]]-1)^2,(Table4[[#This Row],[Strength of Win]]-0)^2))</f>
        <v/>
      </c>
      <c r="P648" s="11"/>
    </row>
    <row r="649" spans="4:16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-0.87263145033954281</v>
      </c>
      <c r="H649" t="s">
        <v>27</v>
      </c>
      <c r="I649">
        <f>VLOOKUP(Table4[[#This Row],[Visitor]],'NHL Model'!$A$6:$B$38,2,FALSE)</f>
        <v>-0.42203126246971279</v>
      </c>
      <c r="J649">
        <f>($B$1+Table4[[#This Row],[Home Differential]])-Table4[[#This Row],[Away Differential]]</f>
        <v>-0.31305679889741367</v>
      </c>
      <c r="K649" t="str">
        <f>IF(Table4[[#This Row],[HomeIce Differential]]&gt;0,Table4[[#This Row],[Home]],Table4[[#This Row],[Visitor]])</f>
        <v>Philadelphia Flyers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0.46571809553870741</v>
      </c>
      <c r="M649" t="str">
        <f>IF(OR((NHL2025_26Results[[#This Row],[Winning Team]]="")),"-",IF(Table4[[#This Row],[Predicted Winner]]=NHL2025_26Results[[#This Row],[Winning Team]],"YES","NO"))</f>
        <v>-</v>
      </c>
      <c r="N649" t="str">
        <f>IF(Table4[[#This Row],[Adjusted Correct]]="-", "",IF(Table4[[#This Row],[Adjusted Correct]]="YES",(Table4[[#This Row],[Strength of Win]]-1)^2,(Table4[[#This Row],[Strength of Win]]-0)^2))</f>
        <v/>
      </c>
      <c r="P649" s="11"/>
    </row>
    <row r="650" spans="4:16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-0.36134162888396865</v>
      </c>
      <c r="H650" t="s">
        <v>34</v>
      </c>
      <c r="I650">
        <f>VLOOKUP(Table4[[#This Row],[Visitor]],'NHL Model'!$A$6:$B$38,2,FALSE)</f>
        <v>-0.16358905079701039</v>
      </c>
      <c r="J650">
        <f>($B$1+Table4[[#This Row],[Home Differential]])-Table4[[#This Row],[Away Differential]]</f>
        <v>-6.02091891145419E-2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0.48879982587609599</v>
      </c>
      <c r="M650" t="str">
        <f>IF(OR((NHL2025_26Results[[#This Row],[Winning Team]]="")),"-",IF(Table4[[#This Row],[Predicted Winner]]=NHL2025_26Results[[#This Row],[Winning Team]],"YES","NO"))</f>
        <v>-</v>
      </c>
      <c r="N650" t="str">
        <f>IF(Table4[[#This Row],[Adjusted Correct]]="-", "",IF(Table4[[#This Row],[Adjusted Correct]]="YES",(Table4[[#This Row],[Strength of Win]]-1)^2,(Table4[[#This Row],[Strength of Win]]-0)^2))</f>
        <v/>
      </c>
      <c r="P650" s="11"/>
    </row>
    <row r="651" spans="4:16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-1.8032585202533785E-2</v>
      </c>
      <c r="H651" t="s">
        <v>55</v>
      </c>
      <c r="I651">
        <f>VLOOKUP(Table4[[#This Row],[Visitor]],'NHL Model'!$A$6:$B$38,2,FALSE)</f>
        <v>-0.30969050963205513</v>
      </c>
      <c r="J651">
        <f>($B$1+Table4[[#This Row],[Home Differential]])-Table4[[#This Row],[Away Differential]]</f>
        <v>0.42920131340193768</v>
      </c>
      <c r="K651" t="str">
        <f>IF(Table4[[#This Row],[HomeIce Differential]]&gt;0,Table4[[#This Row],[Home]],Table4[[#This Row],[Visitor]])</f>
        <v>New Jersey Devils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0.71267682334118398</v>
      </c>
      <c r="M651" t="str">
        <f>IF(OR((NHL2025_26Results[[#This Row],[Winning Team]]="")),"-",IF(Table4[[#This Row],[Predicted Winner]]=NHL2025_26Results[[#This Row],[Winning Team]],"YES","NO"))</f>
        <v>-</v>
      </c>
      <c r="N651" t="str">
        <f>IF(Table4[[#This Row],[Adjusted Correct]]="-", "",IF(Table4[[#This Row],[Adjusted Correct]]="YES",(Table4[[#This Row],[Strength of Win]]-1)^2,(Table4[[#This Row],[Strength of Win]]-0)^2))</f>
        <v/>
      </c>
      <c r="P651" s="11"/>
    </row>
    <row r="652" spans="4:16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3.838472305373858E-3</v>
      </c>
      <c r="H652" t="s">
        <v>19</v>
      </c>
      <c r="I652">
        <f>VLOOKUP(Table4[[#This Row],[Visitor]],'NHL Model'!$A$6:$B$38,2,FALSE)</f>
        <v>-0.93520311342823803</v>
      </c>
      <c r="J652">
        <f>($B$1+Table4[[#This Row],[Home Differential]])-Table4[[#This Row],[Away Differential]]</f>
        <v>1.0765849747060283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0.68359299896152825</v>
      </c>
      <c r="M652" t="str">
        <f>IF(OR((NHL2025_26Results[[#This Row],[Winning Team]]="")),"-",IF(Table4[[#This Row],[Predicted Winner]]=NHL2025_26Results[[#This Row],[Winning Team]],"YES","NO"))</f>
        <v>-</v>
      </c>
      <c r="N652" t="str">
        <f>IF(Table4[[#This Row],[Adjusted Correct]]="-", "",IF(Table4[[#This Row],[Adjusted Correct]]="YES",(Table4[[#This Row],[Strength of Win]]-1)^2,(Table4[[#This Row],[Strength of Win]]-0)^2))</f>
        <v/>
      </c>
      <c r="P652" s="11"/>
    </row>
    <row r="653" spans="4:16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-0.31751962084606655</v>
      </c>
      <c r="H653" t="s">
        <v>40</v>
      </c>
      <c r="I653">
        <f>VLOOKUP(Table4[[#This Row],[Visitor]],'NHL Model'!$A$6:$B$38,2,FALSE)</f>
        <v>-6.0247860940930854E-2</v>
      </c>
      <c r="J653">
        <f>($B$1+Table4[[#This Row],[Home Differential]])-Table4[[#This Row],[Away Differential]]</f>
        <v>-0.11972837093271935</v>
      </c>
      <c r="K653" t="str">
        <f>IF(Table4[[#This Row],[HomeIce Differential]]&gt;0,Table4[[#This Row],[Home]],Table4[[#This Row],[Visitor]])</f>
        <v>Winnipeg Jets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0.53977868207099944</v>
      </c>
      <c r="M653" t="str">
        <f>IF(OR((NHL2025_26Results[[#This Row],[Winning Team]]="")),"-",IF(Table4[[#This Row],[Predicted Winner]]=NHL2025_26Results[[#This Row],[Winning Team]],"YES","NO"))</f>
        <v>-</v>
      </c>
      <c r="N653" t="str">
        <f>IF(Table4[[#This Row],[Adjusted Correct]]="-", "",IF(Table4[[#This Row],[Adjusted Correct]]="YES",(Table4[[#This Row],[Strength of Win]]-1)^2,(Table4[[#This Row],[Strength of Win]]-0)^2))</f>
        <v/>
      </c>
      <c r="P653" s="11"/>
    </row>
    <row r="654" spans="4:16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-0.36178381286707545</v>
      </c>
      <c r="H654" t="s">
        <v>37</v>
      </c>
      <c r="I654">
        <f>VLOOKUP(Table4[[#This Row],[Visitor]],'NHL Model'!$A$6:$B$38,2,FALSE)</f>
        <v>7.1667377873261273E-2</v>
      </c>
      <c r="J654">
        <f>($B$1+Table4[[#This Row],[Home Differential]])-Table4[[#This Row],[Away Differential]]</f>
        <v>-0.29590780176792036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0.56578344847902329</v>
      </c>
      <c r="M654" t="str">
        <f>IF(OR((NHL2025_26Results[[#This Row],[Winning Team]]="")),"-",IF(Table4[[#This Row],[Predicted Winner]]=NHL2025_26Results[[#This Row],[Winning Team]],"YES","NO"))</f>
        <v>-</v>
      </c>
      <c r="N654" t="str">
        <f>IF(Table4[[#This Row],[Adjusted Correct]]="-", "",IF(Table4[[#This Row],[Adjusted Correct]]="YES",(Table4[[#This Row],[Strength of Win]]-1)^2,(Table4[[#This Row],[Strength of Win]]-0)^2))</f>
        <v/>
      </c>
      <c r="P654" s="11"/>
    </row>
    <row r="655" spans="4:16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-1.5569791149906038</v>
      </c>
      <c r="H655" t="s">
        <v>18</v>
      </c>
      <c r="I655">
        <f>VLOOKUP(Table4[[#This Row],[Visitor]],'NHL Model'!$A$6:$B$38,2,FALSE)</f>
        <v>-0.74754136228530599</v>
      </c>
      <c r="J655">
        <f>($B$1+Table4[[#This Row],[Home Differential]])-Table4[[#This Row],[Away Differential]]</f>
        <v>-0.67189436373288136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0.59671547283101745</v>
      </c>
      <c r="M655" t="str">
        <f>IF(OR((NHL2025_26Results[[#This Row],[Winning Team]]="")),"-",IF(Table4[[#This Row],[Predicted Winner]]=NHL2025_26Results[[#This Row],[Winning Team]],"YES","NO"))</f>
        <v>-</v>
      </c>
      <c r="N655" t="str">
        <f>IF(Table4[[#This Row],[Adjusted Correct]]="-", "",IF(Table4[[#This Row],[Adjusted Correct]]="YES",(Table4[[#This Row],[Strength of Win]]-1)^2,(Table4[[#This Row],[Strength of Win]]-0)^2))</f>
        <v/>
      </c>
      <c r="P655" s="11"/>
    </row>
    <row r="656" spans="4:16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-1.1236485959014608</v>
      </c>
      <c r="H656" t="s">
        <v>21</v>
      </c>
      <c r="I656">
        <f>VLOOKUP(Table4[[#This Row],[Visitor]],'NHL Model'!$A$6:$B$38,2,FALSE)</f>
        <v>-0.14464931395309213</v>
      </c>
      <c r="J656">
        <f>($B$1+Table4[[#This Row],[Home Differential]])-Table4[[#This Row],[Away Differential]]</f>
        <v>-0.84145589297595236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0.57223189808984731</v>
      </c>
      <c r="M656" t="str">
        <f>IF(OR((NHL2025_26Results[[#This Row],[Winning Team]]="")),"-",IF(Table4[[#This Row],[Predicted Winner]]=NHL2025_26Results[[#This Row],[Winning Team]],"YES","NO"))</f>
        <v>-</v>
      </c>
      <c r="N656" t="str">
        <f>IF(Table4[[#This Row],[Adjusted Correct]]="-", "",IF(Table4[[#This Row],[Adjusted Correct]]="YES",(Table4[[#This Row],[Strength of Win]]-1)^2,(Table4[[#This Row],[Strength of Win]]-0)^2))</f>
        <v/>
      </c>
      <c r="P656" s="11"/>
    </row>
    <row r="657" spans="4:16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6.4811420118814619E-2</v>
      </c>
      <c r="H657" t="s">
        <v>10</v>
      </c>
      <c r="I657">
        <f>VLOOKUP(Table4[[#This Row],[Visitor]],'NHL Model'!$A$6:$B$38,2,FALSE)</f>
        <v>-0.15263505358797036</v>
      </c>
      <c r="J657">
        <f>($B$1+Table4[[#This Row],[Home Differential]])-Table4[[#This Row],[Away Differential]]</f>
        <v>0.35498986267920135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0.58734791974685197</v>
      </c>
      <c r="M657" t="str">
        <f>IF(OR((NHL2025_26Results[[#This Row],[Winning Team]]="")),"-",IF(Table4[[#This Row],[Predicted Winner]]=NHL2025_26Results[[#This Row],[Winning Team]],"YES","NO"))</f>
        <v>-</v>
      </c>
      <c r="N657" t="str">
        <f>IF(Table4[[#This Row],[Adjusted Correct]]="-", "",IF(Table4[[#This Row],[Adjusted Correct]]="YES",(Table4[[#This Row],[Strength of Win]]-1)^2,(Table4[[#This Row],[Strength of Win]]-0)^2))</f>
        <v/>
      </c>
      <c r="P657" s="11"/>
    </row>
    <row r="658" spans="4:16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-0.59418600019583889</v>
      </c>
      <c r="H658" t="s">
        <v>14</v>
      </c>
      <c r="I658">
        <f>VLOOKUP(Table4[[#This Row],[Visitor]],'NHL Model'!$A$6:$B$38,2,FALSE)</f>
        <v>-0.2090057419115289</v>
      </c>
      <c r="J658">
        <f>($B$1+Table4[[#This Row],[Home Differential]])-Table4[[#This Row],[Away Differential]]</f>
        <v>-0.24763686931189363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0.48598341558746572</v>
      </c>
      <c r="M658" t="str">
        <f>IF(OR((NHL2025_26Results[[#This Row],[Winning Team]]="")),"-",IF(Table4[[#This Row],[Predicted Winner]]=NHL2025_26Results[[#This Row],[Winning Team]],"YES","NO"))</f>
        <v>-</v>
      </c>
      <c r="N658" t="str">
        <f>IF(Table4[[#This Row],[Adjusted Correct]]="-", "",IF(Table4[[#This Row],[Adjusted Correct]]="YES",(Table4[[#This Row],[Strength of Win]]-1)^2,(Table4[[#This Row],[Strength of Win]]-0)^2))</f>
        <v/>
      </c>
      <c r="P658" s="11"/>
    </row>
    <row r="659" spans="4:16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-0.15263505358797036</v>
      </c>
      <c r="H659" t="s">
        <v>20</v>
      </c>
      <c r="I659">
        <f>VLOOKUP(Table4[[#This Row],[Visitor]],'NHL Model'!$A$6:$B$38,2,FALSE)</f>
        <v>0.12073374225454764</v>
      </c>
      <c r="J659">
        <f>($B$1+Table4[[#This Row],[Home Differential]])-Table4[[#This Row],[Away Differential]]</f>
        <v>-0.13582540687010164</v>
      </c>
      <c r="K659" t="str">
        <f>IF(Table4[[#This Row],[HomeIce Differential]]&gt;0,Table4[[#This Row],[Home]],Table4[[#This Row],[Visitor]])</f>
        <v>Vegas Golden Knights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0.4988853832011122</v>
      </c>
      <c r="M659" t="str">
        <f>IF(OR((NHL2025_26Results[[#This Row],[Winning Team]]="")),"-",IF(Table4[[#This Row],[Predicted Winner]]=NHL2025_26Results[[#This Row],[Winning Team]],"YES","NO"))</f>
        <v>-</v>
      </c>
      <c r="N659" t="str">
        <f>IF(Table4[[#This Row],[Adjusted Correct]]="-", "",IF(Table4[[#This Row],[Adjusted Correct]]="YES",(Table4[[#This Row],[Strength of Win]]-1)^2,(Table4[[#This Row],[Strength of Win]]-0)^2))</f>
        <v/>
      </c>
      <c r="P659" s="11"/>
    </row>
    <row r="660" spans="4:16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4.3828122498436855E-3</v>
      </c>
      <c r="H660" t="s">
        <v>18</v>
      </c>
      <c r="I660">
        <f>VLOOKUP(Table4[[#This Row],[Visitor]],'NHL Model'!$A$6:$B$38,2,FALSE)</f>
        <v>-0.74754136228530599</v>
      </c>
      <c r="J660">
        <f>($B$1+Table4[[#This Row],[Home Differential]])-Table4[[#This Row],[Away Differential]]</f>
        <v>0.88946756350756606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0.61404845378773476</v>
      </c>
      <c r="M660" t="str">
        <f>IF(OR((NHL2025_26Results[[#This Row],[Winning Team]]="")),"-",IF(Table4[[#This Row],[Predicted Winner]]=NHL2025_26Results[[#This Row],[Winning Team]],"YES","NO"))</f>
        <v>-</v>
      </c>
      <c r="N660" t="str">
        <f>IF(Table4[[#This Row],[Adjusted Correct]]="-", "",IF(Table4[[#This Row],[Adjusted Correct]]="YES",(Table4[[#This Row],[Strength of Win]]-1)^2,(Table4[[#This Row],[Strength of Win]]-0)^2))</f>
        <v/>
      </c>
      <c r="P660" s="11"/>
    </row>
    <row r="661" spans="4:16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-0.37836939589441088</v>
      </c>
      <c r="H661" t="s">
        <v>12</v>
      </c>
      <c r="I661">
        <f>VLOOKUP(Table4[[#This Row],[Visitor]],'NHL Model'!$A$6:$B$38,2,FALSE)</f>
        <v>1.4458345276269271</v>
      </c>
      <c r="J661">
        <f>($B$1+Table4[[#This Row],[Home Differential]])-Table4[[#This Row],[Away Differential]]</f>
        <v>-1.6866605345489216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0.72496379763433627</v>
      </c>
      <c r="M661" t="str">
        <f>IF(OR((NHL2025_26Results[[#This Row],[Winning Team]]="")),"-",IF(Table4[[#This Row],[Predicted Winner]]=NHL2025_26Results[[#This Row],[Winning Team]],"YES","NO"))</f>
        <v>-</v>
      </c>
      <c r="N661" t="str">
        <f>IF(Table4[[#This Row],[Adjusted Correct]]="-", "",IF(Table4[[#This Row],[Adjusted Correct]]="YES",(Table4[[#This Row],[Strength of Win]]-1)^2,(Table4[[#This Row],[Strength of Win]]-0)^2))</f>
        <v/>
      </c>
      <c r="P661" s="11"/>
    </row>
    <row r="662" spans="4:16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-1.8032585202533785E-2</v>
      </c>
      <c r="H662" t="s">
        <v>25</v>
      </c>
      <c r="I662">
        <f>VLOOKUP(Table4[[#This Row],[Visitor]],'NHL Model'!$A$6:$B$38,2,FALSE)</f>
        <v>0.42515174825138019</v>
      </c>
      <c r="J662">
        <f>($B$1+Table4[[#This Row],[Home Differential]])-Table4[[#This Row],[Away Differential]]</f>
        <v>-0.30564094448149759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0.45366907416460484</v>
      </c>
      <c r="M662" t="str">
        <f>IF(OR((NHL2025_26Results[[#This Row],[Winning Team]]="")),"-",IF(Table4[[#This Row],[Predicted Winner]]=NHL2025_26Results[[#This Row],[Winning Team]],"YES","NO"))</f>
        <v>-</v>
      </c>
      <c r="N662" t="str">
        <f>IF(Table4[[#This Row],[Adjusted Correct]]="-", "",IF(Table4[[#This Row],[Adjusted Correct]]="YES",(Table4[[#This Row],[Strength of Win]]-1)^2,(Table4[[#This Row],[Strength of Win]]-0)^2))</f>
        <v/>
      </c>
      <c r="P662" s="11"/>
    </row>
    <row r="663" spans="4:16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-1.0952038865534519</v>
      </c>
      <c r="H663" t="s">
        <v>32</v>
      </c>
      <c r="I663">
        <f>VLOOKUP(Table4[[#This Row],[Visitor]],'NHL Model'!$A$6:$B$38,2,FALSE)</f>
        <v>-0.45007023285116615</v>
      </c>
      <c r="J663">
        <f>($B$1+Table4[[#This Row],[Home Differential]])-Table4[[#This Row],[Away Differential]]</f>
        <v>-0.50759026472986934</v>
      </c>
      <c r="K663" t="str">
        <f>IF(Table4[[#This Row],[HomeIce Differential]]&gt;0,Table4[[#This Row],[Home]],Table4[[#This Row],[Visitor]])</f>
        <v>Seattle Kraken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0.52770149135337907</v>
      </c>
      <c r="M663" t="str">
        <f>IF(OR((NHL2025_26Results[[#This Row],[Winning Team]]="")),"-",IF(Table4[[#This Row],[Predicted Winner]]=NHL2025_26Results[[#This Row],[Winning Team]],"YES","NO"))</f>
        <v>-</v>
      </c>
      <c r="N663" t="str">
        <f>IF(Table4[[#This Row],[Adjusted Correct]]="-", "",IF(Table4[[#This Row],[Adjusted Correct]]="YES",(Table4[[#This Row],[Strength of Win]]-1)^2,(Table4[[#This Row],[Strength of Win]]-0)^2))</f>
        <v/>
      </c>
      <c r="P663" s="11"/>
    </row>
    <row r="664" spans="4:16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-0.36134162888396865</v>
      </c>
      <c r="H664" t="s">
        <v>34</v>
      </c>
      <c r="I664">
        <f>VLOOKUP(Table4[[#This Row],[Visitor]],'NHL Model'!$A$6:$B$38,2,FALSE)</f>
        <v>-0.16358905079701039</v>
      </c>
      <c r="J664">
        <f>($B$1+Table4[[#This Row],[Home Differential]])-Table4[[#This Row],[Away Differential]]</f>
        <v>-6.02091891145419E-2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0.48879982587609599</v>
      </c>
      <c r="M664" t="str">
        <f>IF(OR((NHL2025_26Results[[#This Row],[Winning Team]]="")),"-",IF(Table4[[#This Row],[Predicted Winner]]=NHL2025_26Results[[#This Row],[Winning Team]],"YES","NO"))</f>
        <v>-</v>
      </c>
      <c r="N664" t="str">
        <f>IF(Table4[[#This Row],[Adjusted Correct]]="-", "",IF(Table4[[#This Row],[Adjusted Correct]]="YES",(Table4[[#This Row],[Strength of Win]]-1)^2,(Table4[[#This Row],[Strength of Win]]-0)^2))</f>
        <v/>
      </c>
      <c r="P664" s="11"/>
    </row>
    <row r="665" spans="4:16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-0.49835870184734621</v>
      </c>
      <c r="H665" t="s">
        <v>55</v>
      </c>
      <c r="I665">
        <f>VLOOKUP(Table4[[#This Row],[Visitor]],'NHL Model'!$A$6:$B$38,2,FALSE)</f>
        <v>-0.30969050963205513</v>
      </c>
      <c r="J665">
        <f>($B$1+Table4[[#This Row],[Home Differential]])-Table4[[#This Row],[Away Differential]]</f>
        <v>-5.1124803242874717E-2</v>
      </c>
      <c r="K665" t="str">
        <f>IF(Table4[[#This Row],[HomeIce Differential]]&gt;0,Table4[[#This Row],[Home]],Table4[[#This Row],[Visitor]])</f>
        <v>Utah Mammoth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0.46681893579368133</v>
      </c>
      <c r="M665" t="str">
        <f>IF(OR((NHL2025_26Results[[#This Row],[Winning Team]]="")),"-",IF(Table4[[#This Row],[Predicted Winner]]=NHL2025_26Results[[#This Row],[Winning Team]],"YES","NO"))</f>
        <v>-</v>
      </c>
      <c r="N665" t="str">
        <f>IF(Table4[[#This Row],[Adjusted Correct]]="-", "",IF(Table4[[#This Row],[Adjusted Correct]]="YES",(Table4[[#This Row],[Strength of Win]]-1)^2,(Table4[[#This Row],[Strength of Win]]-0)^2))</f>
        <v/>
      </c>
      <c r="P665" s="11"/>
    </row>
    <row r="666" spans="4:16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-0.31751962084606655</v>
      </c>
      <c r="H666" t="s">
        <v>26</v>
      </c>
      <c r="I666">
        <f>VLOOKUP(Table4[[#This Row],[Visitor]],'NHL Model'!$A$6:$B$38,2,FALSE)</f>
        <v>-0.66335717753705836</v>
      </c>
      <c r="J666">
        <f>($B$1+Table4[[#This Row],[Home Differential]])-Table4[[#This Row],[Away Differential]]</f>
        <v>0.48338094566340817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0.55988533925020456</v>
      </c>
      <c r="M666" t="str">
        <f>IF(OR((NHL2025_26Results[[#This Row],[Winning Team]]="")),"-",IF(Table4[[#This Row],[Predicted Winner]]=NHL2025_26Results[[#This Row],[Winning Team]],"YES","NO"))</f>
        <v>-</v>
      </c>
      <c r="N666" t="str">
        <f>IF(Table4[[#This Row],[Adjusted Correct]]="-", "",IF(Table4[[#This Row],[Adjusted Correct]]="YES",(Table4[[#This Row],[Strength of Win]]-1)^2,(Table4[[#This Row],[Strength of Win]]-0)^2))</f>
        <v/>
      </c>
      <c r="P666" s="11"/>
    </row>
    <row r="667" spans="4:16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6.4811420118814619E-2</v>
      </c>
      <c r="H667" t="s">
        <v>31</v>
      </c>
      <c r="I667">
        <f>VLOOKUP(Table4[[#This Row],[Visitor]],'NHL Model'!$A$6:$B$38,2,FALSE)</f>
        <v>0.34329638981067145</v>
      </c>
      <c r="J667">
        <f>($B$1+Table4[[#This Row],[Home Differential]])-Table4[[#This Row],[Away Differential]]</f>
        <v>-0.14094158071944046</v>
      </c>
      <c r="K667" t="str">
        <f>IF(Table4[[#This Row],[HomeIce Differential]]&gt;0,Table4[[#This Row],[Home]],Table4[[#This Row],[Visitor]])</f>
        <v>Anaheim Ducks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0.49956776941631614</v>
      </c>
      <c r="M667" t="str">
        <f>IF(OR((NHL2025_26Results[[#This Row],[Winning Team]]="")),"-",IF(Table4[[#This Row],[Predicted Winner]]=NHL2025_26Results[[#This Row],[Winning Team]],"YES","NO"))</f>
        <v>-</v>
      </c>
      <c r="N667" t="str">
        <f>IF(Table4[[#This Row],[Adjusted Correct]]="-", "",IF(Table4[[#This Row],[Adjusted Correct]]="YES",(Table4[[#This Row],[Strength of Win]]-1)^2,(Table4[[#This Row],[Strength of Win]]-0)^2))</f>
        <v/>
      </c>
      <c r="P667" s="11"/>
    </row>
    <row r="668" spans="4:16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-0.51535072045188635</v>
      </c>
      <c r="H668" t="s">
        <v>38</v>
      </c>
      <c r="I668">
        <f>VLOOKUP(Table4[[#This Row],[Visitor]],'NHL Model'!$A$6:$B$38,2,FALSE)</f>
        <v>-1.1236485959014608</v>
      </c>
      <c r="J668">
        <f>($B$1+Table4[[#This Row],[Home Differential]])-Table4[[#This Row],[Away Differential]]</f>
        <v>0.74584126442199083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0.63281232145208899</v>
      </c>
      <c r="M668" t="str">
        <f>IF(OR((NHL2025_26Results[[#This Row],[Winning Team]]="")),"-",IF(Table4[[#This Row],[Predicted Winner]]=NHL2025_26Results[[#This Row],[Winning Team]],"YES","NO"))</f>
        <v>-</v>
      </c>
      <c r="N668" t="str">
        <f>IF(Table4[[#This Row],[Adjusted Correct]]="-", "",IF(Table4[[#This Row],[Adjusted Correct]]="YES",(Table4[[#This Row],[Strength of Win]]-1)^2,(Table4[[#This Row],[Strength of Win]]-0)^2))</f>
        <v/>
      </c>
      <c r="P668" s="11"/>
    </row>
    <row r="669" spans="4:16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0.42515174825138019</v>
      </c>
      <c r="H669" t="s">
        <v>39</v>
      </c>
      <c r="I669">
        <f>VLOOKUP(Table4[[#This Row],[Visitor]],'NHL Model'!$A$6:$B$38,2,FALSE)</f>
        <v>4.3828122498436855E-3</v>
      </c>
      <c r="J669">
        <f>($B$1+Table4[[#This Row],[Home Differential]])-Table4[[#This Row],[Away Differential]]</f>
        <v>0.55831232497395278</v>
      </c>
      <c r="K669" t="str">
        <f>IF(Table4[[#This Row],[HomeIce Differential]]&gt;0,Table4[[#This Row],[Home]],Table4[[#This Row],[Visitor]])</f>
        <v>Carolina Hurricanes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0.58609461697526</v>
      </c>
      <c r="M669" t="str">
        <f>IF(OR((NHL2025_26Results[[#This Row],[Winning Team]]="")),"-",IF(Table4[[#This Row],[Predicted Winner]]=NHL2025_26Results[[#This Row],[Winning Team]],"YES","NO"))</f>
        <v>-</v>
      </c>
      <c r="N669" t="str">
        <f>IF(Table4[[#This Row],[Adjusted Correct]]="-", "",IF(Table4[[#This Row],[Adjusted Correct]]="YES",(Table4[[#This Row],[Strength of Win]]-1)^2,(Table4[[#This Row],[Strength of Win]]-0)^2))</f>
        <v/>
      </c>
      <c r="P669" s="11"/>
    </row>
    <row r="670" spans="4:16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-0.87263145033954281</v>
      </c>
      <c r="H670" t="s">
        <v>29</v>
      </c>
      <c r="I670">
        <f>VLOOKUP(Table4[[#This Row],[Visitor]],'NHL Model'!$A$6:$B$38,2,FALSE)</f>
        <v>-1.4957350924899622</v>
      </c>
      <c r="J670">
        <f>($B$1+Table4[[#This Row],[Home Differential]])-Table4[[#This Row],[Away Differential]]</f>
        <v>0.76064703112283572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0.67749062144267724</v>
      </c>
      <c r="M670" t="str">
        <f>IF(OR((NHL2025_26Results[[#This Row],[Winning Team]]="")),"-",IF(Table4[[#This Row],[Predicted Winner]]=NHL2025_26Results[[#This Row],[Winning Team]],"YES","NO"))</f>
        <v>-</v>
      </c>
      <c r="N670" t="str">
        <f>IF(Table4[[#This Row],[Adjusted Correct]]="-", "",IF(Table4[[#This Row],[Adjusted Correct]]="YES",(Table4[[#This Row],[Strength of Win]]-1)^2,(Table4[[#This Row],[Strength of Win]]-0)^2))</f>
        <v/>
      </c>
      <c r="P670" s="11"/>
    </row>
    <row r="671" spans="4:16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3.838472305373858E-3</v>
      </c>
      <c r="H671" t="s">
        <v>24</v>
      </c>
      <c r="I671">
        <f>VLOOKUP(Table4[[#This Row],[Visitor]],'NHL Model'!$A$6:$B$38,2,FALSE)</f>
        <v>-1.8032585202533785E-2</v>
      </c>
      <c r="J671">
        <f>($B$1+Table4[[#This Row],[Home Differential]])-Table4[[#This Row],[Away Differential]]</f>
        <v>0.15941444648032399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0.56043292370787678</v>
      </c>
      <c r="M671" t="str">
        <f>IF(OR((NHL2025_26Results[[#This Row],[Winning Team]]="")),"-",IF(Table4[[#This Row],[Predicted Winner]]=NHL2025_26Results[[#This Row],[Winning Team]],"YES","NO"))</f>
        <v>-</v>
      </c>
      <c r="N671" t="str">
        <f>IF(Table4[[#This Row],[Adjusted Correct]]="-", "",IF(Table4[[#This Row],[Adjusted Correct]]="YES",(Table4[[#This Row],[Strength of Win]]-1)^2,(Table4[[#This Row],[Strength of Win]]-0)^2))</f>
        <v/>
      </c>
      <c r="P671" s="11"/>
    </row>
    <row r="672" spans="4:16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-0.42203126246971279</v>
      </c>
      <c r="H672" t="s">
        <v>31</v>
      </c>
      <c r="I672">
        <f>VLOOKUP(Table4[[#This Row],[Visitor]],'NHL Model'!$A$6:$B$38,2,FALSE)</f>
        <v>0.34329638981067145</v>
      </c>
      <c r="J672">
        <f>($B$1+Table4[[#This Row],[Home Differential]])-Table4[[#This Row],[Away Differential]]</f>
        <v>-0.62778426330796788</v>
      </c>
      <c r="K672" t="str">
        <f>IF(Table4[[#This Row],[HomeIce Differential]]&gt;0,Table4[[#This Row],[Home]],Table4[[#This Row],[Visitor]])</f>
        <v>Anaheim Ducks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0.53200861627525553</v>
      </c>
      <c r="M672" t="str">
        <f>IF(OR((NHL2025_26Results[[#This Row],[Winning Team]]="")),"-",IF(Table4[[#This Row],[Predicted Winner]]=NHL2025_26Results[[#This Row],[Winning Team]],"YES","NO"))</f>
        <v>-</v>
      </c>
      <c r="N672" t="str">
        <f>IF(Table4[[#This Row],[Adjusted Correct]]="-", "",IF(Table4[[#This Row],[Adjusted Correct]]="YES",(Table4[[#This Row],[Strength of Win]]-1)^2,(Table4[[#This Row],[Strength of Win]]-0)^2))</f>
        <v/>
      </c>
      <c r="P672" s="11"/>
    </row>
    <row r="673" spans="4:16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-0.45007023285116615</v>
      </c>
      <c r="H673" t="s">
        <v>21</v>
      </c>
      <c r="I673">
        <f>VLOOKUP(Table4[[#This Row],[Visitor]],'NHL Model'!$A$6:$B$38,2,FALSE)</f>
        <v>-0.14464931395309213</v>
      </c>
      <c r="J673">
        <f>($B$1+Table4[[#This Row],[Home Differential]])-Table4[[#This Row],[Away Differential]]</f>
        <v>-0.16787752992565766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0.45635347204130178</v>
      </c>
      <c r="M673" t="str">
        <f>IF(OR((NHL2025_26Results[[#This Row],[Winning Team]]="")),"-",IF(Table4[[#This Row],[Predicted Winner]]=NHL2025_26Results[[#This Row],[Winning Team]],"YES","NO"))</f>
        <v>-</v>
      </c>
      <c r="N673" t="str">
        <f>IF(Table4[[#This Row],[Adjusted Correct]]="-", "",IF(Table4[[#This Row],[Adjusted Correct]]="YES",(Table4[[#This Row],[Strength of Win]]-1)^2,(Table4[[#This Row],[Strength of Win]]-0)^2))</f>
        <v/>
      </c>
      <c r="P673" s="11"/>
    </row>
    <row r="674" spans="4:16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-0.36178381286707545</v>
      </c>
      <c r="H674" t="s">
        <v>28</v>
      </c>
      <c r="I674">
        <f>VLOOKUP(Table4[[#This Row],[Visitor]],'NHL Model'!$A$6:$B$38,2,FALSE)</f>
        <v>-0.59418600019583889</v>
      </c>
      <c r="J674">
        <f>($B$1+Table4[[#This Row],[Home Differential]])-Table4[[#This Row],[Away Differential]]</f>
        <v>0.3699455763011798</v>
      </c>
      <c r="K674" t="str">
        <f>IF(Table4[[#This Row],[HomeIce Differential]]&gt;0,Table4[[#This Row],[Home]],Table4[[#This Row],[Visitor]])</f>
        <v>San Jose Sharks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0.58851319327878582</v>
      </c>
      <c r="M674" t="str">
        <f>IF(OR((NHL2025_26Results[[#This Row],[Winning Team]]="")),"-",IF(Table4[[#This Row],[Predicted Winner]]=NHL2025_26Results[[#This Row],[Winning Team]],"YES","NO"))</f>
        <v>-</v>
      </c>
      <c r="N674" t="str">
        <f>IF(Table4[[#This Row],[Adjusted Correct]]="-", "",IF(Table4[[#This Row],[Adjusted Correct]]="YES",(Table4[[#This Row],[Strength of Win]]-1)^2,(Table4[[#This Row],[Strength of Win]]-0)^2))</f>
        <v/>
      </c>
      <c r="P674" s="11"/>
    </row>
    <row r="675" spans="4:16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7.1667377873261273E-2</v>
      </c>
      <c r="H675" t="s">
        <v>12</v>
      </c>
      <c r="I675">
        <f>VLOOKUP(Table4[[#This Row],[Visitor]],'NHL Model'!$A$6:$B$38,2,FALSE)</f>
        <v>1.4458345276269271</v>
      </c>
      <c r="J675">
        <f>($B$1+Table4[[#This Row],[Home Differential]])-Table4[[#This Row],[Away Differential]]</f>
        <v>-1.2366237607812494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0.71493868906739144</v>
      </c>
      <c r="M675" t="str">
        <f>IF(OR((NHL2025_26Results[[#This Row],[Winning Team]]="")),"-",IF(Table4[[#This Row],[Predicted Winner]]=NHL2025_26Results[[#This Row],[Winning Team]],"YES","NO"))</f>
        <v>-</v>
      </c>
      <c r="N675" t="str">
        <f>IF(Table4[[#This Row],[Adjusted Correct]]="-", "",IF(Table4[[#This Row],[Adjusted Correct]]="YES",(Table4[[#This Row],[Strength of Win]]-1)^2,(Table4[[#This Row],[Strength of Win]]-0)^2))</f>
        <v/>
      </c>
      <c r="P675" s="11"/>
    </row>
    <row r="676" spans="4:16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-0.93520311342823803</v>
      </c>
      <c r="H676" t="s">
        <v>11</v>
      </c>
      <c r="I676">
        <f>VLOOKUP(Table4[[#This Row],[Visitor]],'NHL Model'!$A$6:$B$38,2,FALSE)</f>
        <v>-0.37836939589441088</v>
      </c>
      <c r="J676">
        <f>($B$1+Table4[[#This Row],[Home Differential]])-Table4[[#This Row],[Away Differential]]</f>
        <v>-0.4192903285614108</v>
      </c>
      <c r="K676" t="str">
        <f>IF(Table4[[#This Row],[HomeIce Differential]]&gt;0,Table4[[#This Row],[Home]],Table4[[#This Row],[Visitor]])</f>
        <v>Florida Panthers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0.51592420210967338</v>
      </c>
      <c r="M676" t="str">
        <f>IF(OR((NHL2025_26Results[[#This Row],[Winning Team]]="")),"-",IF(Table4[[#This Row],[Predicted Winner]]=NHL2025_26Results[[#This Row],[Winning Team]],"YES","NO"))</f>
        <v>-</v>
      </c>
      <c r="N676" t="str">
        <f>IF(Table4[[#This Row],[Adjusted Correct]]="-", "",IF(Table4[[#This Row],[Adjusted Correct]]="YES",(Table4[[#This Row],[Strength of Win]]-1)^2,(Table4[[#This Row],[Strength of Win]]-0)^2))</f>
        <v/>
      </c>
      <c r="P676" s="11"/>
    </row>
    <row r="677" spans="4:16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-6.0247860940930854E-2</v>
      </c>
      <c r="H677" t="s">
        <v>20</v>
      </c>
      <c r="I677">
        <f>VLOOKUP(Table4[[#This Row],[Visitor]],'NHL Model'!$A$6:$B$38,2,FALSE)</f>
        <v>0.12073374225454764</v>
      </c>
      <c r="J677">
        <f>($B$1+Table4[[#This Row],[Home Differential]])-Table4[[#This Row],[Away Differential]]</f>
        <v>-4.3438214223062127E-2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0.48405458171648164</v>
      </c>
      <c r="M677" t="str">
        <f>IF(OR((NHL2025_26Results[[#This Row],[Winning Team]]="")),"-",IF(Table4[[#This Row],[Predicted Winner]]=NHL2025_26Results[[#This Row],[Winning Team]],"YES","NO"))</f>
        <v>-</v>
      </c>
      <c r="N677" t="str">
        <f>IF(Table4[[#This Row],[Adjusted Correct]]="-", "",IF(Table4[[#This Row],[Adjusted Correct]]="YES",(Table4[[#This Row],[Strength of Win]]-1)^2,(Table4[[#This Row],[Strength of Win]]-0)^2))</f>
        <v/>
      </c>
      <c r="P677" s="11"/>
    </row>
    <row r="678" spans="4:16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-0.15263505358797036</v>
      </c>
      <c r="H678" t="s">
        <v>35</v>
      </c>
      <c r="I678">
        <f>VLOOKUP(Table4[[#This Row],[Visitor]],'NHL Model'!$A$6:$B$38,2,FALSE)</f>
        <v>-1.5569791149906038</v>
      </c>
      <c r="J678">
        <f>($B$1+Table4[[#This Row],[Home Differential]])-Table4[[#This Row],[Away Differential]]</f>
        <v>1.5418874503750497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0.74565421983615787</v>
      </c>
      <c r="M678" t="str">
        <f>IF(OR((NHL2025_26Results[[#This Row],[Winning Team]]="")),"-",IF(Table4[[#This Row],[Predicted Winner]]=NHL2025_26Results[[#This Row],[Winning Team]],"YES","NO"))</f>
        <v>-</v>
      </c>
      <c r="N678" t="str">
        <f>IF(Table4[[#This Row],[Adjusted Correct]]="-", "",IF(Table4[[#This Row],[Adjusted Correct]]="YES",(Table4[[#This Row],[Strength of Win]]-1)^2,(Table4[[#This Row],[Strength of Win]]-0)^2))</f>
        <v/>
      </c>
      <c r="P678" s="11"/>
    </row>
    <row r="679" spans="4:16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-0.36134162888396865</v>
      </c>
      <c r="H679" t="s">
        <v>33</v>
      </c>
      <c r="I679">
        <f>VLOOKUP(Table4[[#This Row],[Visitor]],'NHL Model'!$A$6:$B$38,2,FALSE)</f>
        <v>-0.36178381286707545</v>
      </c>
      <c r="J679">
        <f>($B$1+Table4[[#This Row],[Home Differential]])-Table4[[#This Row],[Away Differential]]</f>
        <v>0.13798557295552316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0.55840427156204619</v>
      </c>
      <c r="M679" t="str">
        <f>IF(OR((NHL2025_26Results[[#This Row],[Winning Team]]="")),"-",IF(Table4[[#This Row],[Predicted Winner]]=NHL2025_26Results[[#This Row],[Winning Team]],"YES","NO"))</f>
        <v>-</v>
      </c>
      <c r="N679" t="str">
        <f>IF(Table4[[#This Row],[Adjusted Correct]]="-", "",IF(Table4[[#This Row],[Adjusted Correct]]="YES",(Table4[[#This Row],[Strength of Win]]-1)^2,(Table4[[#This Row],[Strength of Win]]-0)^2))</f>
        <v/>
      </c>
      <c r="P679" s="11"/>
    </row>
    <row r="680" spans="4:16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-0.74754136228530599</v>
      </c>
      <c r="H680" t="s">
        <v>16</v>
      </c>
      <c r="I680">
        <f>VLOOKUP(Table4[[#This Row],[Visitor]],'NHL Model'!$A$6:$B$38,2,FALSE)</f>
        <v>-1.0952038865534519</v>
      </c>
      <c r="J680">
        <f>($B$1+Table4[[#This Row],[Home Differential]])-Table4[[#This Row],[Away Differential]]</f>
        <v>0.48520591324056228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0.60471590615975679</v>
      </c>
      <c r="M680" t="str">
        <f>IF(OR((NHL2025_26Results[[#This Row],[Winning Team]]="")),"-",IF(Table4[[#This Row],[Predicted Winner]]=NHL2025_26Results[[#This Row],[Winning Team]],"YES","NO"))</f>
        <v>-</v>
      </c>
      <c r="N680" t="str">
        <f>IF(Table4[[#This Row],[Adjusted Correct]]="-", "",IF(Table4[[#This Row],[Adjusted Correct]]="YES",(Table4[[#This Row],[Strength of Win]]-1)^2,(Table4[[#This Row],[Strength of Win]]-0)^2))</f>
        <v/>
      </c>
      <c r="P680" s="11"/>
    </row>
    <row r="681" spans="4:16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-0.30969050963205513</v>
      </c>
      <c r="H681" t="s">
        <v>36</v>
      </c>
      <c r="I681">
        <f>VLOOKUP(Table4[[#This Row],[Visitor]],'NHL Model'!$A$6:$B$38,2,FALSE)</f>
        <v>-0.31751962084606655</v>
      </c>
      <c r="J681">
        <f>($B$1+Table4[[#This Row],[Home Differential]])-Table4[[#This Row],[Away Differential]]</f>
        <v>0.14537250018642778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0.59081809827386722</v>
      </c>
      <c r="M681" t="str">
        <f>IF(OR((NHL2025_26Results[[#This Row],[Winning Team]]="")),"-",IF(Table4[[#This Row],[Predicted Winner]]=NHL2025_26Results[[#This Row],[Winning Team]],"YES","NO"))</f>
        <v>-</v>
      </c>
      <c r="N681" t="str">
        <f>IF(Table4[[#This Row],[Adjusted Correct]]="-", "",IF(Table4[[#This Row],[Adjusted Correct]]="YES",(Table4[[#This Row],[Strength of Win]]-1)^2,(Table4[[#This Row],[Strength of Win]]-0)^2))</f>
        <v/>
      </c>
      <c r="P681" s="11"/>
    </row>
    <row r="682" spans="4:16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6.4811420118814619E-2</v>
      </c>
      <c r="H682" t="s">
        <v>39</v>
      </c>
      <c r="I682">
        <f>VLOOKUP(Table4[[#This Row],[Visitor]],'NHL Model'!$A$6:$B$38,2,FALSE)</f>
        <v>4.3828122498436855E-3</v>
      </c>
      <c r="J682">
        <f>($B$1+Table4[[#This Row],[Home Differential]])-Table4[[#This Row],[Away Differential]]</f>
        <v>0.1979719968413873</v>
      </c>
      <c r="K682" t="str">
        <f>IF(Table4[[#This Row],[HomeIce Differential]]&gt;0,Table4[[#This Row],[Home]],Table4[[#This Row],[Visitor]])</f>
        <v>Washington Capitals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0.48544688570334321</v>
      </c>
      <c r="M682" t="str">
        <f>IF(OR((NHL2025_26Results[[#This Row],[Winning Team]]="")),"-",IF(Table4[[#This Row],[Predicted Winner]]=NHL2025_26Results[[#This Row],[Winning Team]],"YES","NO"))</f>
        <v>-</v>
      </c>
      <c r="N682" t="str">
        <f>IF(Table4[[#This Row],[Adjusted Correct]]="-", "",IF(Table4[[#This Row],[Adjusted Correct]]="YES",(Table4[[#This Row],[Strength of Win]]-1)^2,(Table4[[#This Row],[Strength of Win]]-0)^2))</f>
        <v/>
      </c>
      <c r="P682" s="11"/>
    </row>
    <row r="683" spans="4:16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-0.14464931395309213</v>
      </c>
      <c r="H683" t="s">
        <v>16</v>
      </c>
      <c r="I683">
        <f>VLOOKUP(Table4[[#This Row],[Visitor]],'NHL Model'!$A$6:$B$38,2,FALSE)</f>
        <v>-1.0952038865534519</v>
      </c>
      <c r="J683">
        <f>($B$1+Table4[[#This Row],[Home Differential]])-Table4[[#This Row],[Away Differential]]</f>
        <v>1.0880979615727762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0.73684455710950547</v>
      </c>
      <c r="M683" t="str">
        <f>IF(OR((NHL2025_26Results[[#This Row],[Winning Team]]="")),"-",IF(Table4[[#This Row],[Predicted Winner]]=NHL2025_26Results[[#This Row],[Winning Team]],"YES","NO"))</f>
        <v>-</v>
      </c>
      <c r="N683" t="str">
        <f>IF(Table4[[#This Row],[Adjusted Correct]]="-", "",IF(Table4[[#This Row],[Adjusted Correct]]="YES",(Table4[[#This Row],[Strength of Win]]-1)^2,(Table4[[#This Row],[Strength of Win]]-0)^2))</f>
        <v/>
      </c>
      <c r="P683" s="11"/>
    </row>
    <row r="684" spans="4:16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0.42515174825138019</v>
      </c>
      <c r="H684" t="s">
        <v>31</v>
      </c>
      <c r="I684">
        <f>VLOOKUP(Table4[[#This Row],[Visitor]],'NHL Model'!$A$6:$B$38,2,FALSE)</f>
        <v>0.34329638981067145</v>
      </c>
      <c r="J684">
        <f>($B$1+Table4[[#This Row],[Home Differential]])-Table4[[#This Row],[Away Differential]]</f>
        <v>0.21939874741312504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0.60069158814311929</v>
      </c>
      <c r="M684" t="str">
        <f>IF(OR((NHL2025_26Results[[#This Row],[Winning Team]]="")),"-",IF(Table4[[#This Row],[Predicted Winner]]=NHL2025_26Results[[#This Row],[Winning Team]],"YES","NO"))</f>
        <v>-</v>
      </c>
      <c r="N684" t="str">
        <f>IF(Table4[[#This Row],[Adjusted Correct]]="-", "",IF(Table4[[#This Row],[Adjusted Correct]]="YES",(Table4[[#This Row],[Strength of Win]]-1)^2,(Table4[[#This Row],[Strength of Win]]-0)^2))</f>
        <v/>
      </c>
      <c r="P684" s="11"/>
    </row>
    <row r="685" spans="4:16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1.4458345276269271</v>
      </c>
      <c r="H685" t="s">
        <v>36</v>
      </c>
      <c r="I685">
        <f>VLOOKUP(Table4[[#This Row],[Visitor]],'NHL Model'!$A$6:$B$38,2,FALSE)</f>
        <v>-0.31751962084606655</v>
      </c>
      <c r="J685">
        <f>($B$1+Table4[[#This Row],[Home Differential]])-Table4[[#This Row],[Away Differential]]</f>
        <v>1.90089753744541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0.86892296538332636</v>
      </c>
      <c r="M685" t="str">
        <f>IF(OR((NHL2025_26Results[[#This Row],[Winning Team]]="")),"-",IF(Table4[[#This Row],[Predicted Winner]]=NHL2025_26Results[[#This Row],[Winning Team]],"YES","NO"))</f>
        <v>-</v>
      </c>
      <c r="N685" t="str">
        <f>IF(Table4[[#This Row],[Adjusted Correct]]="-", "",IF(Table4[[#This Row],[Adjusted Correct]]="YES",(Table4[[#This Row],[Strength of Win]]-1)^2,(Table4[[#This Row],[Strength of Win]]-0)^2))</f>
        <v/>
      </c>
      <c r="P685" s="11"/>
    </row>
    <row r="686" spans="4:16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-0.66335717753705836</v>
      </c>
      <c r="H686" t="s">
        <v>38</v>
      </c>
      <c r="I686">
        <f>VLOOKUP(Table4[[#This Row],[Visitor]],'NHL Model'!$A$6:$B$38,2,FALSE)</f>
        <v>-1.1236485959014608</v>
      </c>
      <c r="J686">
        <f>($B$1+Table4[[#This Row],[Home Differential]])-Table4[[#This Row],[Away Differential]]</f>
        <v>0.59783480733681882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0.63146228669399862</v>
      </c>
      <c r="M686" t="str">
        <f>IF(OR((NHL2025_26Results[[#This Row],[Winning Team]]="")),"-",IF(Table4[[#This Row],[Predicted Winner]]=NHL2025_26Results[[#This Row],[Winning Team]],"YES","NO"))</f>
        <v>-</v>
      </c>
      <c r="N686" t="str">
        <f>IF(Table4[[#This Row],[Adjusted Correct]]="-", "",IF(Table4[[#This Row],[Adjusted Correct]]="YES",(Table4[[#This Row],[Strength of Win]]-1)^2,(Table4[[#This Row],[Strength of Win]]-0)^2))</f>
        <v/>
      </c>
      <c r="P686" s="11"/>
    </row>
    <row r="687" spans="4:16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-0.74754136228530599</v>
      </c>
      <c r="H687" t="s">
        <v>11</v>
      </c>
      <c r="I687">
        <f>VLOOKUP(Table4[[#This Row],[Visitor]],'NHL Model'!$A$6:$B$38,2,FALSE)</f>
        <v>-0.37836939589441088</v>
      </c>
      <c r="J687">
        <f>($B$1+Table4[[#This Row],[Home Differential]])-Table4[[#This Row],[Away Differential]]</f>
        <v>-0.23162857741847875</v>
      </c>
      <c r="K687" t="str">
        <f>IF(Table4[[#This Row],[HomeIce Differential]]&gt;0,Table4[[#This Row],[Home]],Table4[[#This Row],[Visitor]])</f>
        <v>Florida Panthers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0.49089420980057236</v>
      </c>
      <c r="M687" t="str">
        <f>IF(OR((NHL2025_26Results[[#This Row],[Winning Team]]="")),"-",IF(Table4[[#This Row],[Predicted Winner]]=NHL2025_26Results[[#This Row],[Winning Team]],"YES","NO"))</f>
        <v>-</v>
      </c>
      <c r="N687" t="str">
        <f>IF(Table4[[#This Row],[Adjusted Correct]]="-", "",IF(Table4[[#This Row],[Adjusted Correct]]="YES",(Table4[[#This Row],[Strength of Win]]-1)^2,(Table4[[#This Row],[Strength of Win]]-0)^2))</f>
        <v/>
      </c>
      <c r="P687" s="11"/>
    </row>
    <row r="688" spans="4:16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-1.4957350924899622</v>
      </c>
      <c r="H688" t="s">
        <v>30</v>
      </c>
      <c r="I688">
        <f>VLOOKUP(Table4[[#This Row],[Visitor]],'NHL Model'!$A$6:$B$38,2,FALSE)</f>
        <v>3.838472305373858E-3</v>
      </c>
      <c r="J688">
        <f>($B$1+Table4[[#This Row],[Home Differential]])-Table4[[#This Row],[Away Differential]]</f>
        <v>-1.3620301758229196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0.71428834391295237</v>
      </c>
      <c r="M688" t="str">
        <f>IF(OR((NHL2025_26Results[[#This Row],[Winning Team]]="")),"-",IF(Table4[[#This Row],[Predicted Winner]]=NHL2025_26Results[[#This Row],[Winning Team]],"YES","NO"))</f>
        <v>-</v>
      </c>
      <c r="N688" t="str">
        <f>IF(Table4[[#This Row],[Adjusted Correct]]="-", "",IF(Table4[[#This Row],[Adjusted Correct]]="YES",(Table4[[#This Row],[Strength of Win]]-1)^2,(Table4[[#This Row],[Strength of Win]]-0)^2))</f>
        <v/>
      </c>
      <c r="P688" s="11"/>
    </row>
    <row r="689" spans="4:16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-0.49835870184734621</v>
      </c>
      <c r="H689" t="s">
        <v>23</v>
      </c>
      <c r="I689">
        <f>VLOOKUP(Table4[[#This Row],[Visitor]],'NHL Model'!$A$6:$B$38,2,FALSE)</f>
        <v>-0.51535072045188635</v>
      </c>
      <c r="J689">
        <f>($B$1+Table4[[#This Row],[Home Differential]])-Table4[[#This Row],[Away Differential]]</f>
        <v>0.1545354075769565</v>
      </c>
      <c r="K689" t="str">
        <f>IF(Table4[[#This Row],[HomeIce Differential]]&gt;0,Table4[[#This Row],[Home]],Table4[[#This Row],[Visitor]])</f>
        <v>New York Rangers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0.56061165921972533</v>
      </c>
      <c r="M689" t="str">
        <f>IF(OR((NHL2025_26Results[[#This Row],[Winning Team]]="")),"-",IF(Table4[[#This Row],[Predicted Winner]]=NHL2025_26Results[[#This Row],[Winning Team]],"YES","NO"))</f>
        <v>-</v>
      </c>
      <c r="N689" t="str">
        <f>IF(Table4[[#This Row],[Adjusted Correct]]="-", "",IF(Table4[[#This Row],[Adjusted Correct]]="YES",(Table4[[#This Row],[Strength of Win]]-1)^2,(Table4[[#This Row],[Strength of Win]]-0)^2))</f>
        <v/>
      </c>
      <c r="P689" s="11"/>
    </row>
    <row r="690" spans="4:16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-0.42203126246971279</v>
      </c>
      <c r="H690" t="s">
        <v>19</v>
      </c>
      <c r="I690">
        <f>VLOOKUP(Table4[[#This Row],[Visitor]],'NHL Model'!$A$6:$B$38,2,FALSE)</f>
        <v>-0.93520311342823803</v>
      </c>
      <c r="J690">
        <f>($B$1+Table4[[#This Row],[Home Differential]])-Table4[[#This Row],[Away Differential]]</f>
        <v>0.6507152399309416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0.65903731310131175</v>
      </c>
      <c r="M690" t="str">
        <f>IF(OR((NHL2025_26Results[[#This Row],[Winning Team]]="")),"-",IF(Table4[[#This Row],[Predicted Winner]]=NHL2025_26Results[[#This Row],[Winning Team]],"YES","NO"))</f>
        <v>-</v>
      </c>
      <c r="N690" t="str">
        <f>IF(Table4[[#This Row],[Adjusted Correct]]="-", "",IF(Table4[[#This Row],[Adjusted Correct]]="YES",(Table4[[#This Row],[Strength of Win]]-1)^2,(Table4[[#This Row],[Strength of Win]]-0)^2))</f>
        <v/>
      </c>
      <c r="P690" s="11"/>
    </row>
    <row r="691" spans="4:16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-0.2090057419115289</v>
      </c>
      <c r="H691" t="s">
        <v>24</v>
      </c>
      <c r="I691">
        <f>VLOOKUP(Table4[[#This Row],[Visitor]],'NHL Model'!$A$6:$B$38,2,FALSE)</f>
        <v>-1.8032585202533785E-2</v>
      </c>
      <c r="J691">
        <f>($B$1+Table4[[#This Row],[Home Differential]])-Table4[[#This Row],[Away Differential]]</f>
        <v>-5.3429767736578759E-2</v>
      </c>
      <c r="K691" t="str">
        <f>IF(Table4[[#This Row],[HomeIce Differential]]&gt;0,Table4[[#This Row],[Home]],Table4[[#This Row],[Visitor]])</f>
        <v>New Jersey Devils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0.46795586096688652</v>
      </c>
      <c r="M691" t="str">
        <f>IF(OR((NHL2025_26Results[[#This Row],[Winning Team]]="")),"-",IF(Table4[[#This Row],[Predicted Winner]]=NHL2025_26Results[[#This Row],[Winning Team]],"YES","NO"))</f>
        <v>-</v>
      </c>
      <c r="N691" t="str">
        <f>IF(Table4[[#This Row],[Adjusted Correct]]="-", "",IF(Table4[[#This Row],[Adjusted Correct]]="YES",(Table4[[#This Row],[Strength of Win]]-1)^2,(Table4[[#This Row],[Strength of Win]]-0)^2))</f>
        <v/>
      </c>
      <c r="P691" s="11"/>
    </row>
    <row r="692" spans="4:16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-0.45007023285116615</v>
      </c>
      <c r="H692" t="s">
        <v>34</v>
      </c>
      <c r="I692">
        <f>VLOOKUP(Table4[[#This Row],[Visitor]],'NHL Model'!$A$6:$B$38,2,FALSE)</f>
        <v>-0.16358905079701039</v>
      </c>
      <c r="J692">
        <f>($B$1+Table4[[#This Row],[Home Differential]])-Table4[[#This Row],[Away Differential]]</f>
        <v>-0.14893779308173941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0.47441051384851446</v>
      </c>
      <c r="M692" t="str">
        <f>IF(OR((NHL2025_26Results[[#This Row],[Winning Team]]="")),"-",IF(Table4[[#This Row],[Predicted Winner]]=NHL2025_26Results[[#This Row],[Winning Team]],"YES","NO"))</f>
        <v>-</v>
      </c>
      <c r="N692" t="str">
        <f>IF(Table4[[#This Row],[Adjusted Correct]]="-", "",IF(Table4[[#This Row],[Adjusted Correct]]="YES",(Table4[[#This Row],[Strength of Win]]-1)^2,(Table4[[#This Row],[Strength of Win]]-0)^2))</f>
        <v/>
      </c>
      <c r="P692" s="11"/>
    </row>
    <row r="693" spans="4:16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0.12073374225454764</v>
      </c>
      <c r="H693" t="s">
        <v>28</v>
      </c>
      <c r="I693">
        <f>VLOOKUP(Table4[[#This Row],[Visitor]],'NHL Model'!$A$6:$B$38,2,FALSE)</f>
        <v>-0.59418600019583889</v>
      </c>
      <c r="J693">
        <f>($B$1+Table4[[#This Row],[Home Differential]])-Table4[[#This Row],[Away Differential]]</f>
        <v>0.85246313142280283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0.65287053098955738</v>
      </c>
      <c r="M693" t="str">
        <f>IF(OR((NHL2025_26Results[[#This Row],[Winning Team]]="")),"-",IF(Table4[[#This Row],[Predicted Winner]]=NHL2025_26Results[[#This Row],[Winning Team]],"YES","NO"))</f>
        <v>-</v>
      </c>
      <c r="N693" t="str">
        <f>IF(Table4[[#This Row],[Adjusted Correct]]="-", "",IF(Table4[[#This Row],[Adjusted Correct]]="YES",(Table4[[#This Row],[Strength of Win]]-1)^2,(Table4[[#This Row],[Strength of Win]]-0)^2))</f>
        <v/>
      </c>
      <c r="P693" s="11"/>
    </row>
    <row r="694" spans="4:16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-6.0247860940930854E-2</v>
      </c>
      <c r="H694" t="s">
        <v>17</v>
      </c>
      <c r="I694">
        <f>VLOOKUP(Table4[[#This Row],[Visitor]],'NHL Model'!$A$6:$B$38,2,FALSE)</f>
        <v>-0.87263145033954281</v>
      </c>
      <c r="J694">
        <f>($B$1+Table4[[#This Row],[Home Differential]])-Table4[[#This Row],[Away Differential]]</f>
        <v>0.94992697837102835</v>
      </c>
      <c r="K694" t="str">
        <f>IF(Table4[[#This Row],[HomeIce Differential]]&gt;0,Table4[[#This Row],[Home]],Table4[[#This Row],[Visitor]])</f>
        <v>Winnipeg Jets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0.66919505872987139</v>
      </c>
      <c r="M694" t="str">
        <f>IF(OR((NHL2025_26Results[[#This Row],[Winning Team]]="")),"-",IF(Table4[[#This Row],[Predicted Winner]]=NHL2025_26Results[[#This Row],[Winning Team]],"YES","NO"))</f>
        <v>-</v>
      </c>
      <c r="N694" t="str">
        <f>IF(Table4[[#This Row],[Adjusted Correct]]="-", "",IF(Table4[[#This Row],[Adjusted Correct]]="YES",(Table4[[#This Row],[Strength of Win]]-1)^2,(Table4[[#This Row],[Strength of Win]]-0)^2))</f>
        <v/>
      </c>
      <c r="P694" s="11"/>
    </row>
    <row r="695" spans="4:16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-0.15263505358797036</v>
      </c>
      <c r="H695" t="s">
        <v>22</v>
      </c>
      <c r="I695">
        <f>VLOOKUP(Table4[[#This Row],[Visitor]],'NHL Model'!$A$6:$B$38,2,FALSE)</f>
        <v>6.4811420118814619E-2</v>
      </c>
      <c r="J695">
        <f>($B$1+Table4[[#This Row],[Home Differential]])-Table4[[#This Row],[Away Differential]]</f>
        <v>-7.9903084734368621E-2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0.49142656282647779</v>
      </c>
      <c r="M695" t="str">
        <f>IF(OR((NHL2025_26Results[[#This Row],[Winning Team]]="")),"-",IF(Table4[[#This Row],[Predicted Winner]]=NHL2025_26Results[[#This Row],[Winning Team]],"YES","NO"))</f>
        <v>-</v>
      </c>
      <c r="N695" t="str">
        <f>IF(Table4[[#This Row],[Adjusted Correct]]="-", "",IF(Table4[[#This Row],[Adjusted Correct]]="YES",(Table4[[#This Row],[Strength of Win]]-1)^2,(Table4[[#This Row],[Strength of Win]]-0)^2))</f>
        <v/>
      </c>
      <c r="P695" s="11"/>
    </row>
    <row r="696" spans="4:16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-0.30969050963205513</v>
      </c>
      <c r="H696" t="s">
        <v>35</v>
      </c>
      <c r="I696">
        <f>VLOOKUP(Table4[[#This Row],[Visitor]],'NHL Model'!$A$6:$B$38,2,FALSE)</f>
        <v>-1.5569791149906038</v>
      </c>
      <c r="J696">
        <f>($B$1+Table4[[#This Row],[Home Differential]])-Table4[[#This Row],[Away Differential]]</f>
        <v>1.384831994330965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0.77642241734235107</v>
      </c>
      <c r="M696" t="str">
        <f>IF(OR((NHL2025_26Results[[#This Row],[Winning Team]]="")),"-",IF(Table4[[#This Row],[Predicted Winner]]=NHL2025_26Results[[#This Row],[Winning Team]],"YES","NO"))</f>
        <v>-</v>
      </c>
      <c r="N696" t="str">
        <f>IF(Table4[[#This Row],[Adjusted Correct]]="-", "",IF(Table4[[#This Row],[Adjusted Correct]]="YES",(Table4[[#This Row],[Strength of Win]]-1)^2,(Table4[[#This Row],[Strength of Win]]-0)^2))</f>
        <v/>
      </c>
      <c r="P696" s="11"/>
    </row>
    <row r="697" spans="4:16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-6.0247860940930854E-2</v>
      </c>
      <c r="H697" t="s">
        <v>13</v>
      </c>
      <c r="I697">
        <f>VLOOKUP(Table4[[#This Row],[Visitor]],'NHL Model'!$A$6:$B$38,2,FALSE)</f>
        <v>-0.36134162888396865</v>
      </c>
      <c r="J697">
        <f>($B$1+Table4[[#This Row],[Home Differential]])-Table4[[#This Row],[Away Differential]]</f>
        <v>0.43863715691545413</v>
      </c>
      <c r="K697" t="str">
        <f>IF(Table4[[#This Row],[HomeIce Differential]]&gt;0,Table4[[#This Row],[Home]],Table4[[#This Row],[Visitor]])</f>
        <v>Winnipeg Jets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0.51752104128488663</v>
      </c>
      <c r="M697" t="str">
        <f>IF(OR((NHL2025_26Results[[#This Row],[Winning Team]]="")),"-",IF(Table4[[#This Row],[Predicted Winner]]=NHL2025_26Results[[#This Row],[Winning Team]],"YES","NO"))</f>
        <v>-</v>
      </c>
      <c r="N697" t="str">
        <f>IF(Table4[[#This Row],[Adjusted Correct]]="-", "",IF(Table4[[#This Row],[Adjusted Correct]]="YES",(Table4[[#This Row],[Strength of Win]]-1)^2,(Table4[[#This Row],[Strength of Win]]-0)^2))</f>
        <v/>
      </c>
      <c r="P697" s="11"/>
    </row>
    <row r="698" spans="4:16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-0.14464931395309213</v>
      </c>
      <c r="H698" t="s">
        <v>15</v>
      </c>
      <c r="I698">
        <f>VLOOKUP(Table4[[#This Row],[Visitor]],'NHL Model'!$A$6:$B$38,2,FALSE)</f>
        <v>-0.49835870184734621</v>
      </c>
      <c r="J698">
        <f>($B$1+Table4[[#This Row],[Home Differential]])-Table4[[#This Row],[Away Differential]]</f>
        <v>0.49125277686667046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0.57461333522148494</v>
      </c>
      <c r="M698" t="str">
        <f>IF(OR((NHL2025_26Results[[#This Row],[Winning Team]]="")),"-",IF(Table4[[#This Row],[Predicted Winner]]=NHL2025_26Results[[#This Row],[Winning Team]],"YES","NO"))</f>
        <v>-</v>
      </c>
      <c r="N698" t="str">
        <f>IF(Table4[[#This Row],[Adjusted Correct]]="-", "",IF(Table4[[#This Row],[Adjusted Correct]]="YES",(Table4[[#This Row],[Strength of Win]]-1)^2,(Table4[[#This Row],[Strength of Win]]-0)^2))</f>
        <v/>
      </c>
      <c r="P698" s="11"/>
    </row>
    <row r="699" spans="4:16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-0.51535072045188635</v>
      </c>
      <c r="H699" t="s">
        <v>31</v>
      </c>
      <c r="I699">
        <f>VLOOKUP(Table4[[#This Row],[Visitor]],'NHL Model'!$A$6:$B$38,2,FALSE)</f>
        <v>0.34329638981067145</v>
      </c>
      <c r="J699">
        <f>($B$1+Table4[[#This Row],[Home Differential]])-Table4[[#This Row],[Away Differential]]</f>
        <v>-0.72110372129014144</v>
      </c>
      <c r="K699" t="str">
        <f>IF(Table4[[#This Row],[HomeIce Differential]]&gt;0,Table4[[#This Row],[Home]],Table4[[#This Row],[Visitor]])</f>
        <v>Anaheim Ducks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0.56284620505437588</v>
      </c>
      <c r="M699" t="str">
        <f>IF(OR((NHL2025_26Results[[#This Row],[Winning Team]]="")),"-",IF(Table4[[#This Row],[Predicted Winner]]=NHL2025_26Results[[#This Row],[Winning Team]],"YES","NO"))</f>
        <v>-</v>
      </c>
      <c r="N699" t="str">
        <f>IF(Table4[[#This Row],[Adjusted Correct]]="-", "",IF(Table4[[#This Row],[Adjusted Correct]]="YES",(Table4[[#This Row],[Strength of Win]]-1)^2,(Table4[[#This Row],[Strength of Win]]-0)^2))</f>
        <v/>
      </c>
      <c r="P699" s="11"/>
    </row>
    <row r="700" spans="4:16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0.42515174825138019</v>
      </c>
      <c r="H700" t="s">
        <v>32</v>
      </c>
      <c r="I700">
        <f>VLOOKUP(Table4[[#This Row],[Visitor]],'NHL Model'!$A$6:$B$38,2,FALSE)</f>
        <v>-0.45007023285116615</v>
      </c>
      <c r="J700">
        <f>($B$1+Table4[[#This Row],[Home Differential]])-Table4[[#This Row],[Away Differential]]</f>
        <v>1.0127653700749626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0.72679682935288459</v>
      </c>
      <c r="M700" t="str">
        <f>IF(OR((NHL2025_26Results[[#This Row],[Winning Team]]="")),"-",IF(Table4[[#This Row],[Predicted Winner]]=NHL2025_26Results[[#This Row],[Winning Team]],"YES","NO"))</f>
        <v>-</v>
      </c>
      <c r="N700" t="str">
        <f>IF(Table4[[#This Row],[Adjusted Correct]]="-", "",IF(Table4[[#This Row],[Adjusted Correct]]="YES",(Table4[[#This Row],[Strength of Win]]-1)^2,(Table4[[#This Row],[Strength of Win]]-0)^2))</f>
        <v/>
      </c>
      <c r="P700" s="11"/>
    </row>
    <row r="701" spans="4:16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1.4458345276269271</v>
      </c>
      <c r="H701" t="s">
        <v>28</v>
      </c>
      <c r="I701">
        <f>VLOOKUP(Table4[[#This Row],[Visitor]],'NHL Model'!$A$6:$B$38,2,FALSE)</f>
        <v>-0.59418600019583889</v>
      </c>
      <c r="J701">
        <f>($B$1+Table4[[#This Row],[Home Differential]])-Table4[[#This Row],[Away Differential]]</f>
        <v>2.1775639167951826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0.92458596359209344</v>
      </c>
      <c r="M701" t="str">
        <f>IF(OR((NHL2025_26Results[[#This Row],[Winning Team]]="")),"-",IF(Table4[[#This Row],[Predicted Winner]]=NHL2025_26Results[[#This Row],[Winning Team]],"YES","NO"))</f>
        <v>-</v>
      </c>
      <c r="N701" t="str">
        <f>IF(Table4[[#This Row],[Adjusted Correct]]="-", "",IF(Table4[[#This Row],[Adjusted Correct]]="YES",(Table4[[#This Row],[Strength of Win]]-1)^2,(Table4[[#This Row],[Strength of Win]]-0)^2))</f>
        <v/>
      </c>
      <c r="P701" s="11"/>
    </row>
    <row r="702" spans="4:16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-0.87263145033954281</v>
      </c>
      <c r="H702" t="s">
        <v>13</v>
      </c>
      <c r="I702">
        <f>VLOOKUP(Table4[[#This Row],[Visitor]],'NHL Model'!$A$6:$B$38,2,FALSE)</f>
        <v>-0.36134162888396865</v>
      </c>
      <c r="J702">
        <f>($B$1+Table4[[#This Row],[Home Differential]])-Table4[[#This Row],[Away Differential]]</f>
        <v>-0.37374643248315781</v>
      </c>
      <c r="K702" t="str">
        <f>IF(Table4[[#This Row],[HomeIce Differential]]&gt;0,Table4[[#This Row],[Home]],Table4[[#This Row],[Visitor]])</f>
        <v>Los Angeles Kings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0.55689189135959227</v>
      </c>
      <c r="M702" t="str">
        <f>IF(OR((NHL2025_26Results[[#This Row],[Winning Team]]="")),"-",IF(Table4[[#This Row],[Predicted Winner]]=NHL2025_26Results[[#This Row],[Winning Team]],"YES","NO"))</f>
        <v>-</v>
      </c>
      <c r="N702" t="str">
        <f>IF(Table4[[#This Row],[Adjusted Correct]]="-", "",IF(Table4[[#This Row],[Adjusted Correct]]="YES",(Table4[[#This Row],[Strength of Win]]-1)^2,(Table4[[#This Row],[Strength of Win]]-0)^2))</f>
        <v/>
      </c>
      <c r="P702" s="11"/>
    </row>
    <row r="703" spans="4:16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-0.16358905079701039</v>
      </c>
      <c r="H703" t="s">
        <v>30</v>
      </c>
      <c r="I703">
        <f>VLOOKUP(Table4[[#This Row],[Visitor]],'NHL Model'!$A$6:$B$38,2,FALSE)</f>
        <v>3.838472305373858E-3</v>
      </c>
      <c r="J703">
        <f>($B$1+Table4[[#This Row],[Home Differential]])-Table4[[#This Row],[Away Differential]]</f>
        <v>-2.9884134129967887E-2</v>
      </c>
      <c r="K703" t="str">
        <f>IF(Table4[[#This Row],[HomeIce Differential]]&gt;0,Table4[[#This Row],[Home]],Table4[[#This Row],[Visitor]])</f>
        <v>New York Islanders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0.53660906203958914</v>
      </c>
      <c r="M703" t="str">
        <f>IF(OR((NHL2025_26Results[[#This Row],[Winning Team]]="")),"-",IF(Table4[[#This Row],[Predicted Winner]]=NHL2025_26Results[[#This Row],[Winning Team]],"YES","NO"))</f>
        <v>-</v>
      </c>
      <c r="N703" t="str">
        <f>IF(Table4[[#This Row],[Adjusted Correct]]="-", "",IF(Table4[[#This Row],[Adjusted Correct]]="YES",(Table4[[#This Row],[Strength of Win]]-1)^2,(Table4[[#This Row],[Strength of Win]]-0)^2))</f>
        <v/>
      </c>
      <c r="P703" s="11"/>
    </row>
    <row r="704" spans="4:16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-0.74754136228530599</v>
      </c>
      <c r="H704" t="s">
        <v>26</v>
      </c>
      <c r="I704">
        <f>VLOOKUP(Table4[[#This Row],[Visitor]],'NHL Model'!$A$6:$B$38,2,FALSE)</f>
        <v>-0.66335717753705836</v>
      </c>
      <c r="J704">
        <f>($B$1+Table4[[#This Row],[Home Differential]])-Table4[[#This Row],[Away Differential]]</f>
        <v>5.3359204224168733E-2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0.50001756476217218</v>
      </c>
      <c r="M704" t="str">
        <f>IF(OR((NHL2025_26Results[[#This Row],[Winning Team]]="")),"-",IF(Table4[[#This Row],[Predicted Winner]]=NHL2025_26Results[[#This Row],[Winning Team]],"YES","NO"))</f>
        <v>-</v>
      </c>
      <c r="N704" t="str">
        <f>IF(Table4[[#This Row],[Adjusted Correct]]="-", "",IF(Table4[[#This Row],[Adjusted Correct]]="YES",(Table4[[#This Row],[Strength of Win]]-1)^2,(Table4[[#This Row],[Strength of Win]]-0)^2))</f>
        <v/>
      </c>
      <c r="P704" s="11"/>
    </row>
    <row r="705" spans="4:16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-1.4957350924899622</v>
      </c>
      <c r="H705" t="s">
        <v>10</v>
      </c>
      <c r="I705">
        <f>VLOOKUP(Table4[[#This Row],[Visitor]],'NHL Model'!$A$6:$B$38,2,FALSE)</f>
        <v>-0.15263505358797036</v>
      </c>
      <c r="J705">
        <f>($B$1+Table4[[#This Row],[Home Differential]])-Table4[[#This Row],[Away Differential]]</f>
        <v>-1.2055566499295753</v>
      </c>
      <c r="K705" t="str">
        <f>IF(Table4[[#This Row],[HomeIce Differential]]&gt;0,Table4[[#This Row],[Home]],Table4[[#This Row],[Visitor]])</f>
        <v>Chicago Blackhawks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0.62079501279373717</v>
      </c>
      <c r="M705" t="str">
        <f>IF(OR((NHL2025_26Results[[#This Row],[Winning Team]]="")),"-",IF(Table4[[#This Row],[Predicted Winner]]=NHL2025_26Results[[#This Row],[Winning Team]],"YES","NO"))</f>
        <v>-</v>
      </c>
      <c r="N705" t="str">
        <f>IF(Table4[[#This Row],[Adjusted Correct]]="-", "",IF(Table4[[#This Row],[Adjusted Correct]]="YES",(Table4[[#This Row],[Strength of Win]]-1)^2,(Table4[[#This Row],[Strength of Win]]-0)^2))</f>
        <v/>
      </c>
      <c r="P705" s="11"/>
    </row>
    <row r="706" spans="4:16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-0.31751962084606655</v>
      </c>
      <c r="H706" t="s">
        <v>11</v>
      </c>
      <c r="I706">
        <f>VLOOKUP(Table4[[#This Row],[Visitor]],'NHL Model'!$A$6:$B$38,2,FALSE)</f>
        <v>-0.37836939589441088</v>
      </c>
      <c r="J706">
        <f>($B$1+Table4[[#This Row],[Home Differential]])-Table4[[#This Row],[Away Differential]]</f>
        <v>0.19839316402076068</v>
      </c>
      <c r="K706" t="str">
        <f>IF(Table4[[#This Row],[HomeIce Differential]]&gt;0,Table4[[#This Row],[Home]],Table4[[#This Row],[Visitor]])</f>
        <v>Ottawa Senators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0.56895680837437246</v>
      </c>
      <c r="M706" t="str">
        <f>IF(OR((NHL2025_26Results[[#This Row],[Winning Team]]="")),"-",IF(Table4[[#This Row],[Predicted Winner]]=NHL2025_26Results[[#This Row],[Winning Team]],"YES","NO"))</f>
        <v>-</v>
      </c>
      <c r="N706" t="str">
        <f>IF(Table4[[#This Row],[Adjusted Correct]]="-", "",IF(Table4[[#This Row],[Adjusted Correct]]="YES",(Table4[[#This Row],[Strength of Win]]-1)^2,(Table4[[#This Row],[Strength of Win]]-0)^2))</f>
        <v/>
      </c>
      <c r="P706" s="11"/>
    </row>
    <row r="707" spans="4:16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-0.42203126246971279</v>
      </c>
      <c r="H707" t="s">
        <v>37</v>
      </c>
      <c r="I707">
        <f>VLOOKUP(Table4[[#This Row],[Visitor]],'NHL Model'!$A$6:$B$38,2,FALSE)</f>
        <v>7.1667377873261273E-2</v>
      </c>
      <c r="J707">
        <f>($B$1+Table4[[#This Row],[Home Differential]])-Table4[[#This Row],[Away Differential]]</f>
        <v>-0.3561552513705577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0.54117424330435571</v>
      </c>
      <c r="M707" t="str">
        <f>IF(OR((NHL2025_26Results[[#This Row],[Winning Team]]="")),"-",IF(Table4[[#This Row],[Predicted Winner]]=NHL2025_26Results[[#This Row],[Winning Team]],"YES","NO"))</f>
        <v>-</v>
      </c>
      <c r="N707" t="str">
        <f>IF(Table4[[#This Row],[Adjusted Correct]]="-", "",IF(Table4[[#This Row],[Adjusted Correct]]="YES",(Table4[[#This Row],[Strength of Win]]-1)^2,(Table4[[#This Row],[Strength of Win]]-0)^2))</f>
        <v/>
      </c>
      <c r="P707" s="11"/>
    </row>
    <row r="708" spans="4:16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-0.2090057419115289</v>
      </c>
      <c r="H708" t="s">
        <v>16</v>
      </c>
      <c r="I708">
        <f>VLOOKUP(Table4[[#This Row],[Visitor]],'NHL Model'!$A$6:$B$38,2,FALSE)</f>
        <v>-1.0952038865534519</v>
      </c>
      <c r="J708">
        <f>($B$1+Table4[[#This Row],[Home Differential]])-Table4[[#This Row],[Away Differential]]</f>
        <v>1.0237415336143394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0.67654483429261825</v>
      </c>
      <c r="M708" t="str">
        <f>IF(OR((NHL2025_26Results[[#This Row],[Winning Team]]="")),"-",IF(Table4[[#This Row],[Predicted Winner]]=NHL2025_26Results[[#This Row],[Winning Team]],"YES","NO"))</f>
        <v>-</v>
      </c>
      <c r="N708" t="str">
        <f>IF(Table4[[#This Row],[Adjusted Correct]]="-", "",IF(Table4[[#This Row],[Adjusted Correct]]="YES",(Table4[[#This Row],[Strength of Win]]-1)^2,(Table4[[#This Row],[Strength of Win]]-0)^2))</f>
        <v/>
      </c>
      <c r="P708" s="11"/>
    </row>
    <row r="709" spans="4:16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-0.36178381286707545</v>
      </c>
      <c r="H709" t="s">
        <v>39</v>
      </c>
      <c r="I709">
        <f>VLOOKUP(Table4[[#This Row],[Visitor]],'NHL Model'!$A$6:$B$38,2,FALSE)</f>
        <v>4.3828122498436855E-3</v>
      </c>
      <c r="J709">
        <f>($B$1+Table4[[#This Row],[Home Differential]])-Table4[[#This Row],[Away Differential]]</f>
        <v>-0.22862323614450278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0.57145163163279411</v>
      </c>
      <c r="M709" t="str">
        <f>IF(OR((NHL2025_26Results[[#This Row],[Winning Team]]="")),"-",IF(Table4[[#This Row],[Predicted Winner]]=NHL2025_26Results[[#This Row],[Winning Team]],"YES","NO"))</f>
        <v>-</v>
      </c>
      <c r="N709" t="str">
        <f>IF(Table4[[#This Row],[Adjusted Correct]]="-", "",IF(Table4[[#This Row],[Adjusted Correct]]="YES",(Table4[[#This Row],[Strength of Win]]-1)^2,(Table4[[#This Row],[Strength of Win]]-0)^2))</f>
        <v/>
      </c>
      <c r="P709" s="11"/>
    </row>
    <row r="710" spans="4:16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-0.93520311342823803</v>
      </c>
      <c r="H710" t="s">
        <v>38</v>
      </c>
      <c r="I710">
        <f>VLOOKUP(Table4[[#This Row],[Visitor]],'NHL Model'!$A$6:$B$38,2,FALSE)</f>
        <v>-1.1236485959014608</v>
      </c>
      <c r="J710">
        <f>($B$1+Table4[[#This Row],[Home Differential]])-Table4[[#This Row],[Away Differential]]</f>
        <v>0.32598887144563915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0.56271058808273244</v>
      </c>
      <c r="M710" t="str">
        <f>IF(OR((NHL2025_26Results[[#This Row],[Winning Team]]="")),"-",IF(Table4[[#This Row],[Predicted Winner]]=NHL2025_26Results[[#This Row],[Winning Team]],"YES","NO"))</f>
        <v>-</v>
      </c>
      <c r="N710" t="str">
        <f>IF(Table4[[#This Row],[Adjusted Correct]]="-", "",IF(Table4[[#This Row],[Adjusted Correct]]="YES",(Table4[[#This Row],[Strength of Win]]-1)^2,(Table4[[#This Row],[Strength of Win]]-0)^2))</f>
        <v/>
      </c>
      <c r="P710" s="11"/>
    </row>
    <row r="711" spans="4:16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0.12073374225454764</v>
      </c>
      <c r="H711" t="s">
        <v>35</v>
      </c>
      <c r="I711">
        <f>VLOOKUP(Table4[[#This Row],[Visitor]],'NHL Model'!$A$6:$B$38,2,FALSE)</f>
        <v>-1.5569791149906038</v>
      </c>
      <c r="J711">
        <f>($B$1+Table4[[#This Row],[Home Differential]])-Table4[[#This Row],[Away Differential]]</f>
        <v>1.8152562462175679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0.78211566611284178</v>
      </c>
      <c r="M711" t="str">
        <f>IF(OR((NHL2025_26Results[[#This Row],[Winning Team]]="")),"-",IF(Table4[[#This Row],[Predicted Winner]]=NHL2025_26Results[[#This Row],[Winning Team]],"YES","NO"))</f>
        <v>-</v>
      </c>
      <c r="N711" t="str">
        <f>IF(Table4[[#This Row],[Adjusted Correct]]="-", "",IF(Table4[[#This Row],[Adjusted Correct]]="YES",(Table4[[#This Row],[Strength of Win]]-1)^2,(Table4[[#This Row],[Strength of Win]]-0)^2))</f>
        <v/>
      </c>
      <c r="P711" s="11"/>
    </row>
    <row r="712" spans="4:16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-0.14464931395309213</v>
      </c>
      <c r="H712" t="s">
        <v>14</v>
      </c>
      <c r="I712">
        <f>VLOOKUP(Table4[[#This Row],[Visitor]],'NHL Model'!$A$6:$B$38,2,FALSE)</f>
        <v>-0.2090057419115289</v>
      </c>
      <c r="J712">
        <f>($B$1+Table4[[#This Row],[Home Differential]])-Table4[[#This Row],[Away Differential]]</f>
        <v>0.20189981693085313</v>
      </c>
      <c r="K712" t="str">
        <f>IF(Table4[[#This Row],[HomeIce Differential]]&gt;0,Table4[[#This Row],[Home]],Table4[[#This Row],[Visitor]])</f>
        <v>Boston Bruins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0.6186450166616897</v>
      </c>
      <c r="M712" t="str">
        <f>IF(OR((NHL2025_26Results[[#This Row],[Winning Team]]="")),"-",IF(Table4[[#This Row],[Predicted Winner]]=NHL2025_26Results[[#This Row],[Winning Team]],"YES","NO"))</f>
        <v>-</v>
      </c>
      <c r="N712" t="str">
        <f>IF(Table4[[#This Row],[Adjusted Correct]]="-", "",IF(Table4[[#This Row],[Adjusted Correct]]="YES",(Table4[[#This Row],[Strength of Win]]-1)^2,(Table4[[#This Row],[Strength of Win]]-0)^2))</f>
        <v/>
      </c>
      <c r="P712" s="11"/>
    </row>
    <row r="713" spans="4:16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-1.4957350924899622</v>
      </c>
      <c r="H713" t="s">
        <v>22</v>
      </c>
      <c r="I713">
        <f>VLOOKUP(Table4[[#This Row],[Visitor]],'NHL Model'!$A$6:$B$38,2,FALSE)</f>
        <v>6.4811420118814619E-2</v>
      </c>
      <c r="J713">
        <f>($B$1+Table4[[#This Row],[Home Differential]])-Table4[[#This Row],[Away Differential]]</f>
        <v>-1.4230031236363603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0.67056686946501731</v>
      </c>
      <c r="M713" t="str">
        <f>IF(OR((NHL2025_26Results[[#This Row],[Winning Team]]="")),"-",IF(Table4[[#This Row],[Predicted Winner]]=NHL2025_26Results[[#This Row],[Winning Team]],"YES","NO"))</f>
        <v>-</v>
      </c>
      <c r="N713" t="str">
        <f>IF(Table4[[#This Row],[Adjusted Correct]]="-", "",IF(Table4[[#This Row],[Adjusted Correct]]="YES",(Table4[[#This Row],[Strength of Win]]-1)^2,(Table4[[#This Row],[Strength of Win]]-0)^2))</f>
        <v/>
      </c>
      <c r="P713" s="11"/>
    </row>
    <row r="714" spans="4:16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-0.36178381286707545</v>
      </c>
      <c r="H714" t="s">
        <v>20</v>
      </c>
      <c r="I714">
        <f>VLOOKUP(Table4[[#This Row],[Visitor]],'NHL Model'!$A$6:$B$38,2,FALSE)</f>
        <v>0.12073374225454764</v>
      </c>
      <c r="J714">
        <f>($B$1+Table4[[#This Row],[Home Differential]])-Table4[[#This Row],[Away Differential]]</f>
        <v>-0.34497416614920673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0.52678127463519997</v>
      </c>
      <c r="M714" t="str">
        <f>IF(OR((NHL2025_26Results[[#This Row],[Winning Team]]="")),"-",IF(Table4[[#This Row],[Predicted Winner]]=NHL2025_26Results[[#This Row],[Winning Team]],"YES","NO"))</f>
        <v>-</v>
      </c>
      <c r="N714" t="str">
        <f>IF(Table4[[#This Row],[Adjusted Correct]]="-", "",IF(Table4[[#This Row],[Adjusted Correct]]="YES",(Table4[[#This Row],[Strength of Win]]-1)^2,(Table4[[#This Row],[Strength of Win]]-0)^2))</f>
        <v/>
      </c>
      <c r="P714" s="11"/>
    </row>
    <row r="715" spans="4:16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-0.30969050963205513</v>
      </c>
      <c r="H715" t="s">
        <v>28</v>
      </c>
      <c r="I715">
        <f>VLOOKUP(Table4[[#This Row],[Visitor]],'NHL Model'!$A$6:$B$38,2,FALSE)</f>
        <v>-0.59418600019583889</v>
      </c>
      <c r="J715">
        <f>($B$1+Table4[[#This Row],[Home Differential]])-Table4[[#This Row],[Away Differential]]</f>
        <v>0.42203887953620012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0.64719988988435428</v>
      </c>
      <c r="M715" t="str">
        <f>IF(OR((NHL2025_26Results[[#This Row],[Winning Team]]="")),"-",IF(Table4[[#This Row],[Predicted Winner]]=NHL2025_26Results[[#This Row],[Winning Team]],"YES","NO"))</f>
        <v>-</v>
      </c>
      <c r="N715" t="str">
        <f>IF(Table4[[#This Row],[Adjusted Correct]]="-", "",IF(Table4[[#This Row],[Adjusted Correct]]="YES",(Table4[[#This Row],[Strength of Win]]-1)^2,(Table4[[#This Row],[Strength of Win]]-0)^2))</f>
        <v/>
      </c>
      <c r="P715" s="11"/>
    </row>
    <row r="716" spans="4:16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-6.0247860940930854E-2</v>
      </c>
      <c r="H716" t="s">
        <v>24</v>
      </c>
      <c r="I716">
        <f>VLOOKUP(Table4[[#This Row],[Visitor]],'NHL Model'!$A$6:$B$38,2,FALSE)</f>
        <v>-1.8032585202533785E-2</v>
      </c>
      <c r="J716">
        <f>($B$1+Table4[[#This Row],[Home Differential]])-Table4[[#This Row],[Away Differential]]</f>
        <v>9.5328113234019296E-2</v>
      </c>
      <c r="K716" t="str">
        <f>IF(Table4[[#This Row],[HomeIce Differential]]&gt;0,Table4[[#This Row],[Home]],Table4[[#This Row],[Visitor]])</f>
        <v>Winnipeg Jets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0.55438136173135921</v>
      </c>
      <c r="M716" t="str">
        <f>IF(OR((NHL2025_26Results[[#This Row],[Winning Team]]="")),"-",IF(Table4[[#This Row],[Predicted Winner]]=NHL2025_26Results[[#This Row],[Winning Team]],"YES","NO"))</f>
        <v>-</v>
      </c>
      <c r="N716" t="str">
        <f>IF(Table4[[#This Row],[Adjusted Correct]]="-", "",IF(Table4[[#This Row],[Adjusted Correct]]="YES",(Table4[[#This Row],[Strength of Win]]-1)^2,(Table4[[#This Row],[Strength of Win]]-0)^2))</f>
        <v/>
      </c>
      <c r="P716" s="11"/>
    </row>
    <row r="717" spans="4:16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-0.51535072045188635</v>
      </c>
      <c r="H717" t="s">
        <v>11</v>
      </c>
      <c r="I717">
        <f>VLOOKUP(Table4[[#This Row],[Visitor]],'NHL Model'!$A$6:$B$38,2,FALSE)</f>
        <v>-0.37836939589441088</v>
      </c>
      <c r="J717">
        <f>($B$1+Table4[[#This Row],[Home Differential]])-Table4[[#This Row],[Away Differential]]</f>
        <v>5.6206441494088821E-4</v>
      </c>
      <c r="K717" t="str">
        <f>IF(Table4[[#This Row],[HomeIce Differential]]&gt;0,Table4[[#This Row],[Home]],Table4[[#This Row],[Visitor]])</f>
        <v>Buffalo Sabres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0.55409158765573419</v>
      </c>
      <c r="M717" t="str">
        <f>IF(OR((NHL2025_26Results[[#This Row],[Winning Team]]="")),"-",IF(Table4[[#This Row],[Predicted Winner]]=NHL2025_26Results[[#This Row],[Winning Team]],"YES","NO"))</f>
        <v>-</v>
      </c>
      <c r="N717" t="str">
        <f>IF(Table4[[#This Row],[Adjusted Correct]]="-", "",IF(Table4[[#This Row],[Adjusted Correct]]="YES",(Table4[[#This Row],[Strength of Win]]-1)^2,(Table4[[#This Row],[Strength of Win]]-0)^2))</f>
        <v/>
      </c>
      <c r="P717" s="11"/>
    </row>
    <row r="718" spans="4:16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-0.15263505358797036</v>
      </c>
      <c r="H718" t="s">
        <v>17</v>
      </c>
      <c r="I718">
        <f>VLOOKUP(Table4[[#This Row],[Visitor]],'NHL Model'!$A$6:$B$38,2,FALSE)</f>
        <v>-0.87263145033954281</v>
      </c>
      <c r="J718">
        <f>($B$1+Table4[[#This Row],[Home Differential]])-Table4[[#This Row],[Away Differential]]</f>
        <v>0.85753978572398881</v>
      </c>
      <c r="K718" t="str">
        <f>IF(Table4[[#This Row],[HomeIce Differential]]&gt;0,Table4[[#This Row],[Home]],Table4[[#This Row],[Visitor]])</f>
        <v>Chicago Blackhawks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0.65437713924491425</v>
      </c>
      <c r="M718" t="str">
        <f>IF(OR((NHL2025_26Results[[#This Row],[Winning Team]]="")),"-",IF(Table4[[#This Row],[Predicted Winner]]=NHL2025_26Results[[#This Row],[Winning Team]],"YES","NO"))</f>
        <v>-</v>
      </c>
      <c r="N718" t="str">
        <f>IF(Table4[[#This Row],[Adjusted Correct]]="-", "",IF(Table4[[#This Row],[Adjusted Correct]]="YES",(Table4[[#This Row],[Strength of Win]]-1)^2,(Table4[[#This Row],[Strength of Win]]-0)^2))</f>
        <v/>
      </c>
      <c r="P718" s="11"/>
    </row>
    <row r="719" spans="4:16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1.4458345276269271</v>
      </c>
      <c r="H719" t="s">
        <v>19</v>
      </c>
      <c r="I719">
        <f>VLOOKUP(Table4[[#This Row],[Visitor]],'NHL Model'!$A$6:$B$38,2,FALSE)</f>
        <v>-0.93520311342823803</v>
      </c>
      <c r="J719">
        <f>($B$1+Table4[[#This Row],[Home Differential]])-Table4[[#This Row],[Away Differential]]</f>
        <v>2.5185810300275815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0.97084451619905188</v>
      </c>
      <c r="M719" t="str">
        <f>IF(OR((NHL2025_26Results[[#This Row],[Winning Team]]="")),"-",IF(Table4[[#This Row],[Predicted Winner]]=NHL2025_26Results[[#This Row],[Winning Team]],"YES","NO"))</f>
        <v>-</v>
      </c>
      <c r="N719" t="str">
        <f>IF(Table4[[#This Row],[Adjusted Correct]]="-", "",IF(Table4[[#This Row],[Adjusted Correct]]="YES",(Table4[[#This Row],[Strength of Win]]-1)^2,(Table4[[#This Row],[Strength of Win]]-0)^2))</f>
        <v/>
      </c>
      <c r="P719" s="11"/>
    </row>
    <row r="720" spans="4:16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-0.66335717753705836</v>
      </c>
      <c r="H720" t="s">
        <v>25</v>
      </c>
      <c r="I720">
        <f>VLOOKUP(Table4[[#This Row],[Visitor]],'NHL Model'!$A$6:$B$38,2,FALSE)</f>
        <v>0.42515174825138019</v>
      </c>
      <c r="J720">
        <f>($B$1+Table4[[#This Row],[Home Differential]])-Table4[[#This Row],[Away Differential]]</f>
        <v>-0.95096553681602214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0.62683810061324607</v>
      </c>
      <c r="M720" t="str">
        <f>IF(OR((NHL2025_26Results[[#This Row],[Winning Team]]="")),"-",IF(Table4[[#This Row],[Predicted Winner]]=NHL2025_26Results[[#This Row],[Winning Team]],"YES","NO"))</f>
        <v>-</v>
      </c>
      <c r="N720" t="str">
        <f>IF(Table4[[#This Row],[Adjusted Correct]]="-", "",IF(Table4[[#This Row],[Adjusted Correct]]="YES",(Table4[[#This Row],[Strength of Win]]-1)^2,(Table4[[#This Row],[Strength of Win]]-0)^2))</f>
        <v/>
      </c>
      <c r="P720" s="11"/>
    </row>
    <row r="721" spans="4:16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-0.36134162888396865</v>
      </c>
      <c r="H721" t="s">
        <v>39</v>
      </c>
      <c r="I721">
        <f>VLOOKUP(Table4[[#This Row],[Visitor]],'NHL Model'!$A$6:$B$38,2,FALSE)</f>
        <v>4.3828122498436855E-3</v>
      </c>
      <c r="J721">
        <f>($B$1+Table4[[#This Row],[Home Differential]])-Table4[[#This Row],[Away Differential]]</f>
        <v>-0.22818105216139598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0.57139265391555039</v>
      </c>
      <c r="M721" t="str">
        <f>IF(OR((NHL2025_26Results[[#This Row],[Winning Team]]="")),"-",IF(Table4[[#This Row],[Predicted Winner]]=NHL2025_26Results[[#This Row],[Winning Team]],"YES","NO"))</f>
        <v>-</v>
      </c>
      <c r="N721" t="str">
        <f>IF(Table4[[#This Row],[Adjusted Correct]]="-", "",IF(Table4[[#This Row],[Adjusted Correct]]="YES",(Table4[[#This Row],[Strength of Win]]-1)^2,(Table4[[#This Row],[Strength of Win]]-0)^2))</f>
        <v/>
      </c>
      <c r="P721" s="11"/>
    </row>
    <row r="722" spans="4:16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-0.16358905079701039</v>
      </c>
      <c r="H722" t="s">
        <v>24</v>
      </c>
      <c r="I722">
        <f>VLOOKUP(Table4[[#This Row],[Visitor]],'NHL Model'!$A$6:$B$38,2,FALSE)</f>
        <v>-1.8032585202533785E-2</v>
      </c>
      <c r="J722">
        <f>($B$1+Table4[[#This Row],[Home Differential]])-Table4[[#This Row],[Away Differential]]</f>
        <v>-8.0130766220602445E-3</v>
      </c>
      <c r="K722" t="str">
        <f>IF(Table4[[#This Row],[HomeIce Differential]]&gt;0,Table4[[#This Row],[Home]],Table4[[#This Row],[Visitor]])</f>
        <v>New Jersey Devils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0.4618982630686585</v>
      </c>
      <c r="M722" t="str">
        <f>IF(OR((NHL2025_26Results[[#This Row],[Winning Team]]="")),"-",IF(Table4[[#This Row],[Predicted Winner]]=NHL2025_26Results[[#This Row],[Winning Team]],"YES","NO"))</f>
        <v>-</v>
      </c>
      <c r="N722" t="str">
        <f>IF(Table4[[#This Row],[Adjusted Correct]]="-", "",IF(Table4[[#This Row],[Adjusted Correct]]="YES",(Table4[[#This Row],[Strength of Win]]-1)^2,(Table4[[#This Row],[Strength of Win]]-0)^2))</f>
        <v/>
      </c>
      <c r="P722" s="11"/>
    </row>
    <row r="723" spans="4:16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-0.74754136228530599</v>
      </c>
      <c r="H723" t="s">
        <v>38</v>
      </c>
      <c r="I723">
        <f>VLOOKUP(Table4[[#This Row],[Visitor]],'NHL Model'!$A$6:$B$38,2,FALSE)</f>
        <v>-1.1236485959014608</v>
      </c>
      <c r="J723">
        <f>($B$1+Table4[[#This Row],[Home Differential]])-Table4[[#This Row],[Away Differential]]</f>
        <v>0.51365062258857119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0.58774058039183341</v>
      </c>
      <c r="M723" t="str">
        <f>IF(OR((NHL2025_26Results[[#This Row],[Winning Team]]="")),"-",IF(Table4[[#This Row],[Predicted Winner]]=NHL2025_26Results[[#This Row],[Winning Team]],"YES","NO"))</f>
        <v>-</v>
      </c>
      <c r="N723" t="str">
        <f>IF(Table4[[#This Row],[Adjusted Correct]]="-", "",IF(Table4[[#This Row],[Adjusted Correct]]="YES",(Table4[[#This Row],[Strength of Win]]-1)^2,(Table4[[#This Row],[Strength of Win]]-0)^2))</f>
        <v/>
      </c>
      <c r="P723" s="11"/>
    </row>
    <row r="724" spans="4:16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-0.49835870184734621</v>
      </c>
      <c r="H724" t="s">
        <v>32</v>
      </c>
      <c r="I724">
        <f>VLOOKUP(Table4[[#This Row],[Visitor]],'NHL Model'!$A$6:$B$38,2,FALSE)</f>
        <v>-0.45007023285116615</v>
      </c>
      <c r="J724">
        <f>($B$1+Table4[[#This Row],[Home Differential]])-Table4[[#This Row],[Away Differential]]</f>
        <v>8.9254919976236302E-2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0.55190466329418975</v>
      </c>
      <c r="M724" t="str">
        <f>IF(OR((NHL2025_26Results[[#This Row],[Winning Team]]="")),"-",IF(Table4[[#This Row],[Predicted Winner]]=NHL2025_26Results[[#This Row],[Winning Team]],"YES","NO"))</f>
        <v>-</v>
      </c>
      <c r="N724" t="str">
        <f>IF(Table4[[#This Row],[Adjusted Correct]]="-", "",IF(Table4[[#This Row],[Adjusted Correct]]="YES",(Table4[[#This Row],[Strength of Win]]-1)^2,(Table4[[#This Row],[Strength of Win]]-0)^2))</f>
        <v/>
      </c>
      <c r="P724" s="11"/>
    </row>
    <row r="725" spans="4:16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-0.42203126246971279</v>
      </c>
      <c r="H725" t="s">
        <v>37</v>
      </c>
      <c r="I725">
        <f>VLOOKUP(Table4[[#This Row],[Visitor]],'NHL Model'!$A$6:$B$38,2,FALSE)</f>
        <v>7.1667377873261273E-2</v>
      </c>
      <c r="J725">
        <f>($B$1+Table4[[#This Row],[Home Differential]])-Table4[[#This Row],[Away Differential]]</f>
        <v>-0.3561552513705577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0.54117424330435571</v>
      </c>
      <c r="M725" t="str">
        <f>IF(OR((NHL2025_26Results[[#This Row],[Winning Team]]="")),"-",IF(Table4[[#This Row],[Predicted Winner]]=NHL2025_26Results[[#This Row],[Winning Team]],"YES","NO"))</f>
        <v>-</v>
      </c>
      <c r="N725" t="str">
        <f>IF(Table4[[#This Row],[Adjusted Correct]]="-", "",IF(Table4[[#This Row],[Adjusted Correct]]="YES",(Table4[[#This Row],[Strength of Win]]-1)^2,(Table4[[#This Row],[Strength of Win]]-0)^2))</f>
        <v/>
      </c>
      <c r="P725" s="11"/>
    </row>
    <row r="726" spans="4:16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0.34329638981067145</v>
      </c>
      <c r="H726" t="s">
        <v>39</v>
      </c>
      <c r="I726">
        <f>VLOOKUP(Table4[[#This Row],[Visitor]],'NHL Model'!$A$6:$B$38,2,FALSE)</f>
        <v>4.3828122498436855E-3</v>
      </c>
      <c r="J726">
        <f>($B$1+Table4[[#This Row],[Home Differential]])-Table4[[#This Row],[Away Differential]]</f>
        <v>0.47645696653324415</v>
      </c>
      <c r="K726" t="str">
        <f>IF(Table4[[#This Row],[HomeIce Differential]]&gt;0,Table4[[#This Row],[Home]],Table4[[#This Row],[Visitor]])</f>
        <v>Anaheim Ducks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0.62051101244522611</v>
      </c>
      <c r="M726" t="str">
        <f>IF(OR((NHL2025_26Results[[#This Row],[Winning Team]]="")),"-",IF(Table4[[#This Row],[Predicted Winner]]=NHL2025_26Results[[#This Row],[Winning Team]],"YES","NO"))</f>
        <v>-</v>
      </c>
      <c r="N726" t="str">
        <f>IF(Table4[[#This Row],[Adjusted Correct]]="-", "",IF(Table4[[#This Row],[Adjusted Correct]]="YES",(Table4[[#This Row],[Strength of Win]]-1)^2,(Table4[[#This Row],[Strength of Win]]-0)^2))</f>
        <v/>
      </c>
      <c r="P726" s="11"/>
    </row>
    <row r="727" spans="4:16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-0.14464931395309213</v>
      </c>
      <c r="H727" t="s">
        <v>26</v>
      </c>
      <c r="I727">
        <f>VLOOKUP(Table4[[#This Row],[Visitor]],'NHL Model'!$A$6:$B$38,2,FALSE)</f>
        <v>-0.66335717753705836</v>
      </c>
      <c r="J727">
        <f>($B$1+Table4[[#This Row],[Home Differential]])-Table4[[#This Row],[Away Differential]]</f>
        <v>0.65625125255638261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0.6329841763158357</v>
      </c>
      <c r="M727" t="str">
        <f>IF(OR((NHL2025_26Results[[#This Row],[Winning Team]]="")),"-",IF(Table4[[#This Row],[Predicted Winner]]=NHL2025_26Results[[#This Row],[Winning Team]],"YES","NO"))</f>
        <v>-</v>
      </c>
      <c r="N727" t="str">
        <f>IF(Table4[[#This Row],[Adjusted Correct]]="-", "",IF(Table4[[#This Row],[Adjusted Correct]]="YES",(Table4[[#This Row],[Strength of Win]]-1)^2,(Table4[[#This Row],[Strength of Win]]-0)^2))</f>
        <v/>
      </c>
      <c r="P727" s="11"/>
    </row>
    <row r="728" spans="4:16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-0.59418600019583889</v>
      </c>
      <c r="H728" t="s">
        <v>16</v>
      </c>
      <c r="I728">
        <f>VLOOKUP(Table4[[#This Row],[Visitor]],'NHL Model'!$A$6:$B$38,2,FALSE)</f>
        <v>-1.0952038865534519</v>
      </c>
      <c r="J728">
        <f>($B$1+Table4[[#This Row],[Home Differential]])-Table4[[#This Row],[Away Differential]]</f>
        <v>0.63856127533002938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0.63221612486035017</v>
      </c>
      <c r="M728" t="str">
        <f>IF(OR((NHL2025_26Results[[#This Row],[Winning Team]]="")),"-",IF(Table4[[#This Row],[Predicted Winner]]=NHL2025_26Results[[#This Row],[Winning Team]],"YES","NO"))</f>
        <v>-</v>
      </c>
      <c r="N728" t="str">
        <f>IF(Table4[[#This Row],[Adjusted Correct]]="-", "",IF(Table4[[#This Row],[Adjusted Correct]]="YES",(Table4[[#This Row],[Strength of Win]]-1)^2,(Table4[[#This Row],[Strength of Win]]-0)^2))</f>
        <v/>
      </c>
      <c r="P728" s="11"/>
    </row>
    <row r="729" spans="4:16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-1.4957350924899622</v>
      </c>
      <c r="H729" t="s">
        <v>17</v>
      </c>
      <c r="I729">
        <f>VLOOKUP(Table4[[#This Row],[Visitor]],'NHL Model'!$A$6:$B$38,2,FALSE)</f>
        <v>-0.87263145033954281</v>
      </c>
      <c r="J729">
        <f>($B$1+Table4[[#This Row],[Home Differential]])-Table4[[#This Row],[Away Differential]]</f>
        <v>-0.48556025317800289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0.52476316739362527</v>
      </c>
      <c r="M729" t="str">
        <f>IF(OR((NHL2025_26Results[[#This Row],[Winning Team]]="")),"-",IF(Table4[[#This Row],[Predicted Winner]]=NHL2025_26Results[[#This Row],[Winning Team]],"YES","NO"))</f>
        <v>-</v>
      </c>
      <c r="N729" t="str">
        <f>IF(Table4[[#This Row],[Adjusted Correct]]="-", "",IF(Table4[[#This Row],[Adjusted Correct]]="YES",(Table4[[#This Row],[Strength of Win]]-1)^2,(Table4[[#This Row],[Strength of Win]]-0)^2))</f>
        <v/>
      </c>
      <c r="P729" s="11"/>
    </row>
    <row r="730" spans="4:16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-0.31751962084606655</v>
      </c>
      <c r="H730" t="s">
        <v>38</v>
      </c>
      <c r="I730">
        <f>VLOOKUP(Table4[[#This Row],[Visitor]],'NHL Model'!$A$6:$B$38,2,FALSE)</f>
        <v>-1.1236485959014608</v>
      </c>
      <c r="J730">
        <f>($B$1+Table4[[#This Row],[Home Differential]])-Table4[[#This Row],[Away Differential]]</f>
        <v>0.94367236402781063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0.64760448056645159</v>
      </c>
      <c r="M730" t="str">
        <f>IF(OR((NHL2025_26Results[[#This Row],[Winning Team]]="")),"-",IF(Table4[[#This Row],[Predicted Winner]]=NHL2025_26Results[[#This Row],[Winning Team]],"YES","NO"))</f>
        <v>-</v>
      </c>
      <c r="N730" t="str">
        <f>IF(Table4[[#This Row],[Adjusted Correct]]="-", "",IF(Table4[[#This Row],[Adjusted Correct]]="YES",(Table4[[#This Row],[Strength of Win]]-1)^2,(Table4[[#This Row],[Strength of Win]]-0)^2))</f>
        <v/>
      </c>
      <c r="P730" s="11"/>
    </row>
    <row r="731" spans="4:16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-0.2090057419115289</v>
      </c>
      <c r="H731" t="s">
        <v>37</v>
      </c>
      <c r="I731">
        <f>VLOOKUP(Table4[[#This Row],[Visitor]],'NHL Model'!$A$6:$B$38,2,FALSE)</f>
        <v>7.1667377873261273E-2</v>
      </c>
      <c r="J731">
        <f>($B$1+Table4[[#This Row],[Home Differential]])-Table4[[#This Row],[Away Differential]]</f>
        <v>-0.14312973081237382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0.54540617970833982</v>
      </c>
      <c r="M731" t="str">
        <f>IF(OR((NHL2025_26Results[[#This Row],[Winning Team]]="")),"-",IF(Table4[[#This Row],[Predicted Winner]]=NHL2025_26Results[[#This Row],[Winning Team]],"YES","NO"))</f>
        <v>-</v>
      </c>
      <c r="N731" t="str">
        <f>IF(Table4[[#This Row],[Adjusted Correct]]="-", "",IF(Table4[[#This Row],[Adjusted Correct]]="YES",(Table4[[#This Row],[Strength of Win]]-1)^2,(Table4[[#This Row],[Strength of Win]]-0)^2))</f>
        <v/>
      </c>
      <c r="P731" s="11"/>
    </row>
    <row r="732" spans="4:16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-1.5569791149906038</v>
      </c>
      <c r="H732" t="s">
        <v>25</v>
      </c>
      <c r="I732">
        <f>VLOOKUP(Table4[[#This Row],[Visitor]],'NHL Model'!$A$6:$B$38,2,FALSE)</f>
        <v>0.42515174825138019</v>
      </c>
      <c r="J732">
        <f>($B$1+Table4[[#This Row],[Home Differential]])-Table4[[#This Row],[Away Differential]]</f>
        <v>-1.8445874742695676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0.77865098251809195</v>
      </c>
      <c r="M732" t="str">
        <f>IF(OR((NHL2025_26Results[[#This Row],[Winning Team]]="")),"-",IF(Table4[[#This Row],[Predicted Winner]]=NHL2025_26Results[[#This Row],[Winning Team]],"YES","NO"))</f>
        <v>-</v>
      </c>
      <c r="N732" t="str">
        <f>IF(Table4[[#This Row],[Adjusted Correct]]="-", "",IF(Table4[[#This Row],[Adjusted Correct]]="YES",(Table4[[#This Row],[Strength of Win]]-1)^2,(Table4[[#This Row],[Strength of Win]]-0)^2))</f>
        <v/>
      </c>
      <c r="P732" s="11"/>
    </row>
    <row r="733" spans="4:16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-0.30969050963205513</v>
      </c>
      <c r="H733" t="s">
        <v>19</v>
      </c>
      <c r="I733">
        <f>VLOOKUP(Table4[[#This Row],[Visitor]],'NHL Model'!$A$6:$B$38,2,FALSE)</f>
        <v>-0.93520311342823803</v>
      </c>
      <c r="J733">
        <f>($B$1+Table4[[#This Row],[Home Differential]])-Table4[[#This Row],[Away Differential]]</f>
        <v>0.76305599276859926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0.6934910344563624</v>
      </c>
      <c r="M733" t="str">
        <f>IF(OR((NHL2025_26Results[[#This Row],[Winning Team]]="")),"-",IF(Table4[[#This Row],[Predicted Winner]]=NHL2025_26Results[[#This Row],[Winning Team]],"YES","NO"))</f>
        <v>-</v>
      </c>
      <c r="N733" t="str">
        <f>IF(Table4[[#This Row],[Adjusted Correct]]="-", "",IF(Table4[[#This Row],[Adjusted Correct]]="YES",(Table4[[#This Row],[Strength of Win]]-1)^2,(Table4[[#This Row],[Strength of Win]]-0)^2))</f>
        <v/>
      </c>
      <c r="P733" s="11"/>
    </row>
    <row r="734" spans="4:16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-6.0247860940930854E-2</v>
      </c>
      <c r="H734" t="s">
        <v>30</v>
      </c>
      <c r="I734">
        <f>VLOOKUP(Table4[[#This Row],[Visitor]],'NHL Model'!$A$6:$B$38,2,FALSE)</f>
        <v>3.838472305373858E-3</v>
      </c>
      <c r="J734">
        <f>($B$1+Table4[[#This Row],[Home Differential]])-Table4[[#This Row],[Away Differential]]</f>
        <v>7.345705572611165E-2</v>
      </c>
      <c r="K734" t="str">
        <f>IF(Table4[[#This Row],[HomeIce Differential]]&gt;0,Table4[[#This Row],[Home]],Table4[[#This Row],[Visitor]])</f>
        <v>Winnipeg Jets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0.47967709018634974</v>
      </c>
      <c r="M734" t="str">
        <f>IF(OR((NHL2025_26Results[[#This Row],[Winning Team]]="")),"-",IF(Table4[[#This Row],[Predicted Winner]]=NHL2025_26Results[[#This Row],[Winning Team]],"YES","NO"))</f>
        <v>-</v>
      </c>
      <c r="N734" t="str">
        <f>IF(Table4[[#This Row],[Adjusted Correct]]="-", "",IF(Table4[[#This Row],[Adjusted Correct]]="YES",(Table4[[#This Row],[Strength of Win]]-1)^2,(Table4[[#This Row],[Strength of Win]]-0)^2))</f>
        <v/>
      </c>
      <c r="P734" s="11"/>
    </row>
    <row r="735" spans="4:16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6.4811420118814619E-2</v>
      </c>
      <c r="H735" t="s">
        <v>18</v>
      </c>
      <c r="I735">
        <f>VLOOKUP(Table4[[#This Row],[Visitor]],'NHL Model'!$A$6:$B$38,2,FALSE)</f>
        <v>-0.74754136228530599</v>
      </c>
      <c r="J735">
        <f>($B$1+Table4[[#This Row],[Home Differential]])-Table4[[#This Row],[Away Differential]]</f>
        <v>0.94989617137653704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0.61959607906238745</v>
      </c>
      <c r="M735" t="str">
        <f>IF(OR((NHL2025_26Results[[#This Row],[Winning Team]]="")),"-",IF(Table4[[#This Row],[Predicted Winner]]=NHL2025_26Results[[#This Row],[Winning Team]],"YES","NO"))</f>
        <v>-</v>
      </c>
      <c r="N735" t="str">
        <f>IF(Table4[[#This Row],[Adjusted Correct]]="-", "",IF(Table4[[#This Row],[Adjusted Correct]]="YES",(Table4[[#This Row],[Strength of Win]]-1)^2,(Table4[[#This Row],[Strength of Win]]-0)^2))</f>
        <v/>
      </c>
      <c r="P735" s="11"/>
    </row>
    <row r="736" spans="4:16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-0.51535072045188635</v>
      </c>
      <c r="H736" t="s">
        <v>27</v>
      </c>
      <c r="I736">
        <f>VLOOKUP(Table4[[#This Row],[Visitor]],'NHL Model'!$A$6:$B$38,2,FALSE)</f>
        <v>-0.42203126246971279</v>
      </c>
      <c r="J736">
        <f>($B$1+Table4[[#This Row],[Home Differential]])-Table4[[#This Row],[Away Differential]]</f>
        <v>4.4223930990242799E-2</v>
      </c>
      <c r="K736" t="str">
        <f>IF(Table4[[#This Row],[HomeIce Differential]]&gt;0,Table4[[#This Row],[Home]],Table4[[#This Row],[Visitor]])</f>
        <v>Buffalo Sabres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0.55991513016199812</v>
      </c>
      <c r="M736" t="str">
        <f>IF(OR((NHL2025_26Results[[#This Row],[Winning Team]]="")),"-",IF(Table4[[#This Row],[Predicted Winner]]=NHL2025_26Results[[#This Row],[Winning Team]],"YES","NO"))</f>
        <v>-</v>
      </c>
      <c r="N736" t="str">
        <f>IF(Table4[[#This Row],[Adjusted Correct]]="-", "",IF(Table4[[#This Row],[Adjusted Correct]]="YES",(Table4[[#This Row],[Strength of Win]]-1)^2,(Table4[[#This Row],[Strength of Win]]-0)^2))</f>
        <v/>
      </c>
      <c r="P736" s="11"/>
    </row>
    <row r="737" spans="4:16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-0.36134162888396865</v>
      </c>
      <c r="H737" t="s">
        <v>20</v>
      </c>
      <c r="I737">
        <f>VLOOKUP(Table4[[#This Row],[Visitor]],'NHL Model'!$A$6:$B$38,2,FALSE)</f>
        <v>0.12073374225454764</v>
      </c>
      <c r="J737">
        <f>($B$1+Table4[[#This Row],[Home Differential]])-Table4[[#This Row],[Away Differential]]</f>
        <v>-0.34453198216609993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0.52672229691795625</v>
      </c>
      <c r="M737" t="str">
        <f>IF(OR((NHL2025_26Results[[#This Row],[Winning Team]]="")),"-",IF(Table4[[#This Row],[Predicted Winner]]=NHL2025_26Results[[#This Row],[Winning Team]],"YES","NO"))</f>
        <v>-</v>
      </c>
      <c r="N737" t="str">
        <f>IF(Table4[[#This Row],[Adjusted Correct]]="-", "",IF(Table4[[#This Row],[Adjusted Correct]]="YES",(Table4[[#This Row],[Strength of Win]]-1)^2,(Table4[[#This Row],[Strength of Win]]-0)^2))</f>
        <v/>
      </c>
      <c r="P737" s="11"/>
    </row>
    <row r="738" spans="4:16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-1.8032585202533785E-2</v>
      </c>
      <c r="H738" t="s">
        <v>32</v>
      </c>
      <c r="I738">
        <f>VLOOKUP(Table4[[#This Row],[Visitor]],'NHL Model'!$A$6:$B$38,2,FALSE)</f>
        <v>-0.45007023285116615</v>
      </c>
      <c r="J738">
        <f>($B$1+Table4[[#This Row],[Home Differential]])-Table4[[#This Row],[Away Differential]]</f>
        <v>0.56958103662104875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0.73140042242905501</v>
      </c>
      <c r="M738" t="str">
        <f>IF(OR((NHL2025_26Results[[#This Row],[Winning Team]]="")),"-",IF(Table4[[#This Row],[Predicted Winner]]=NHL2025_26Results[[#This Row],[Winning Team]],"YES","NO"))</f>
        <v>-</v>
      </c>
      <c r="N738" t="str">
        <f>IF(Table4[[#This Row],[Adjusted Correct]]="-", "",IF(Table4[[#This Row],[Adjusted Correct]]="YES",(Table4[[#This Row],[Strength of Win]]-1)^2,(Table4[[#This Row],[Strength of Win]]-0)^2))</f>
        <v/>
      </c>
      <c r="P738" s="11"/>
    </row>
    <row r="739" spans="4:16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-0.49835870184734621</v>
      </c>
      <c r="H739" t="s">
        <v>36</v>
      </c>
      <c r="I739">
        <f>VLOOKUP(Table4[[#This Row],[Visitor]],'NHL Model'!$A$6:$B$38,2,FALSE)</f>
        <v>-0.31751962084606655</v>
      </c>
      <c r="J739">
        <f>($B$1+Table4[[#This Row],[Home Differential]])-Table4[[#This Row],[Away Differential]]</f>
        <v>-4.3295692028863297E-2</v>
      </c>
      <c r="K739" t="str">
        <f>IF(Table4[[#This Row],[HomeIce Differential]]&gt;0,Table4[[#This Row],[Home]],Table4[[#This Row],[Visitor]])</f>
        <v>Ottawa Senators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0.48654393356241882</v>
      </c>
      <c r="M739" t="str">
        <f>IF(OR((NHL2025_26Results[[#This Row],[Winning Team]]="")),"-",IF(Table4[[#This Row],[Predicted Winner]]=NHL2025_26Results[[#This Row],[Winning Team]],"YES","NO"))</f>
        <v>-</v>
      </c>
      <c r="N739" t="str">
        <f>IF(Table4[[#This Row],[Adjusted Correct]]="-", "",IF(Table4[[#This Row],[Adjusted Correct]]="YES",(Table4[[#This Row],[Strength of Win]]-1)^2,(Table4[[#This Row],[Strength of Win]]-0)^2))</f>
        <v/>
      </c>
      <c r="P739" s="11"/>
    </row>
    <row r="740" spans="4:16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-0.14464931395309213</v>
      </c>
      <c r="H740" t="s">
        <v>32</v>
      </c>
      <c r="I740">
        <f>VLOOKUP(Table4[[#This Row],[Visitor]],'NHL Model'!$A$6:$B$38,2,FALSE)</f>
        <v>-0.45007023285116615</v>
      </c>
      <c r="J740">
        <f>($B$1+Table4[[#This Row],[Home Differential]])-Table4[[#This Row],[Away Differential]]</f>
        <v>0.44296430787049035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0.65079777191132404</v>
      </c>
      <c r="M740" t="str">
        <f>IF(OR((NHL2025_26Results[[#This Row],[Winning Team]]="")),"-",IF(Table4[[#This Row],[Predicted Winner]]=NHL2025_26Results[[#This Row],[Winning Team]],"YES","NO"))</f>
        <v>-</v>
      </c>
      <c r="N740" t="str">
        <f>IF(Table4[[#This Row],[Adjusted Correct]]="-", "",IF(Table4[[#This Row],[Adjusted Correct]]="YES",(Table4[[#This Row],[Strength of Win]]-1)^2,(Table4[[#This Row],[Strength of Win]]-0)^2))</f>
        <v/>
      </c>
      <c r="P740" s="11"/>
    </row>
    <row r="741" spans="4:16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-0.51535072045188635</v>
      </c>
      <c r="H741" t="s">
        <v>18</v>
      </c>
      <c r="I741">
        <f>VLOOKUP(Table4[[#This Row],[Visitor]],'NHL Model'!$A$6:$B$38,2,FALSE)</f>
        <v>-0.74754136228530599</v>
      </c>
      <c r="J741">
        <f>($B$1+Table4[[#This Row],[Home Differential]])-Table4[[#This Row],[Away Differential]]</f>
        <v>0.369734030805836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0.5563567243236206</v>
      </c>
      <c r="M741" t="str">
        <f>IF(OR((NHL2025_26Results[[#This Row],[Winning Team]]="")),"-",IF(Table4[[#This Row],[Predicted Winner]]=NHL2025_26Results[[#This Row],[Winning Team]],"YES","NO"))</f>
        <v>-</v>
      </c>
      <c r="N741" t="str">
        <f>IF(Table4[[#This Row],[Adjusted Correct]]="-", "",IF(Table4[[#This Row],[Adjusted Correct]]="YES",(Table4[[#This Row],[Strength of Win]]-1)^2,(Table4[[#This Row],[Strength of Win]]-0)^2))</f>
        <v/>
      </c>
      <c r="P741" s="11"/>
    </row>
    <row r="742" spans="4:16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-0.59418600019583889</v>
      </c>
      <c r="H742" t="s">
        <v>38</v>
      </c>
      <c r="I742">
        <f>VLOOKUP(Table4[[#This Row],[Visitor]],'NHL Model'!$A$6:$B$38,2,FALSE)</f>
        <v>-1.1236485959014608</v>
      </c>
      <c r="J742">
        <f>($B$1+Table4[[#This Row],[Home Differential]])-Table4[[#This Row],[Away Differential]]</f>
        <v>0.66700598467803829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0.61527986747538543</v>
      </c>
      <c r="M742" t="str">
        <f>IF(OR((NHL2025_26Results[[#This Row],[Winning Team]]="")),"-",IF(Table4[[#This Row],[Predicted Winner]]=NHL2025_26Results[[#This Row],[Winning Team]],"YES","NO"))</f>
        <v>-</v>
      </c>
      <c r="N742" t="str">
        <f>IF(Table4[[#This Row],[Adjusted Correct]]="-", "",IF(Table4[[#This Row],[Adjusted Correct]]="YES",(Table4[[#This Row],[Strength of Win]]-1)^2,(Table4[[#This Row],[Strength of Win]]-0)^2))</f>
        <v/>
      </c>
      <c r="P742" s="11"/>
    </row>
    <row r="743" spans="4:16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-0.15263505358797036</v>
      </c>
      <c r="H743" t="s">
        <v>16</v>
      </c>
      <c r="I743">
        <f>VLOOKUP(Table4[[#This Row],[Visitor]],'NHL Model'!$A$6:$B$38,2,FALSE)</f>
        <v>-1.0952038865534519</v>
      </c>
      <c r="J743">
        <f>($B$1+Table4[[#This Row],[Home Differential]])-Table4[[#This Row],[Away Differential]]</f>
        <v>1.080112221937898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0.68406345695602266</v>
      </c>
      <c r="M743" t="str">
        <f>IF(OR((NHL2025_26Results[[#This Row],[Winning Team]]="")),"-",IF(Table4[[#This Row],[Predicted Winner]]=NHL2025_26Results[[#This Row],[Winning Team]],"YES","NO"))</f>
        <v>-</v>
      </c>
      <c r="N743" t="str">
        <f>IF(Table4[[#This Row],[Adjusted Correct]]="-", "",IF(Table4[[#This Row],[Adjusted Correct]]="YES",(Table4[[#This Row],[Strength of Win]]-1)^2,(Table4[[#This Row],[Strength of Win]]-0)^2))</f>
        <v/>
      </c>
      <c r="P743" s="11"/>
    </row>
    <row r="744" spans="4:16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-0.87263145033954281</v>
      </c>
      <c r="H744" t="s">
        <v>30</v>
      </c>
      <c r="I744">
        <f>VLOOKUP(Table4[[#This Row],[Visitor]],'NHL Model'!$A$6:$B$38,2,FALSE)</f>
        <v>3.838472305373858E-3</v>
      </c>
      <c r="J744">
        <f>($B$1+Table4[[#This Row],[Home Differential]])-Table4[[#This Row],[Away Differential]]</f>
        <v>-0.73892653367250027</v>
      </c>
      <c r="K744" t="str">
        <f>IF(Table4[[#This Row],[HomeIce Differential]]&gt;0,Table4[[#This Row],[Home]],Table4[[#This Row],[Visitor]])</f>
        <v>New York Islanders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0.59468074457442033</v>
      </c>
      <c r="M744" t="str">
        <f>IF(OR((NHL2025_26Results[[#This Row],[Winning Team]]="")),"-",IF(Table4[[#This Row],[Predicted Winner]]=NHL2025_26Results[[#This Row],[Winning Team]],"YES","NO"))</f>
        <v>-</v>
      </c>
      <c r="N744" t="str">
        <f>IF(Table4[[#This Row],[Adjusted Correct]]="-", "",IF(Table4[[#This Row],[Adjusted Correct]]="YES",(Table4[[#This Row],[Strength of Win]]-1)^2,(Table4[[#This Row],[Strength of Win]]-0)^2))</f>
        <v/>
      </c>
      <c r="P744" s="11"/>
    </row>
    <row r="745" spans="4:16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-0.16358905079701039</v>
      </c>
      <c r="H745" t="s">
        <v>40</v>
      </c>
      <c r="I745">
        <f>VLOOKUP(Table4[[#This Row],[Visitor]],'NHL Model'!$A$6:$B$38,2,FALSE)</f>
        <v>-6.0247860940930854E-2</v>
      </c>
      <c r="J745">
        <f>($B$1+Table4[[#This Row],[Home Differential]])-Table4[[#This Row],[Away Differential]]</f>
        <v>3.4202199116336825E-2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0.47824603932532456</v>
      </c>
      <c r="M745" t="str">
        <f>IF(OR((NHL2025_26Results[[#This Row],[Winning Team]]="")),"-",IF(Table4[[#This Row],[Predicted Winner]]=NHL2025_26Results[[#This Row],[Winning Team]],"YES","NO"))</f>
        <v>-</v>
      </c>
      <c r="N745" t="str">
        <f>IF(Table4[[#This Row],[Adjusted Correct]]="-", "",IF(Table4[[#This Row],[Adjusted Correct]]="YES",(Table4[[#This Row],[Strength of Win]]-1)^2,(Table4[[#This Row],[Strength of Win]]-0)^2))</f>
        <v/>
      </c>
      <c r="P745" s="11"/>
    </row>
    <row r="746" spans="4:16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-0.2090057419115289</v>
      </c>
      <c r="H746" t="s">
        <v>27</v>
      </c>
      <c r="I746">
        <f>VLOOKUP(Table4[[#This Row],[Visitor]],'NHL Model'!$A$6:$B$38,2,FALSE)</f>
        <v>-0.42203126246971279</v>
      </c>
      <c r="J746">
        <f>($B$1+Table4[[#This Row],[Home Differential]])-Table4[[#This Row],[Away Differential]]</f>
        <v>0.35056890953060027</v>
      </c>
      <c r="K746" t="str">
        <f>IF(Table4[[#This Row],[HomeIce Differential]]&gt;0,Table4[[#This Row],[Home]],Table4[[#This Row],[Visitor]])</f>
        <v>Pittsburgh Penguins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0.58675826083855309</v>
      </c>
      <c r="M746" t="str">
        <f>IF(OR((NHL2025_26Results[[#This Row],[Winning Team]]="")),"-",IF(Table4[[#This Row],[Predicted Winner]]=NHL2025_26Results[[#This Row],[Winning Team]],"YES","NO"))</f>
        <v>-</v>
      </c>
      <c r="N746" t="str">
        <f>IF(Table4[[#This Row],[Adjusted Correct]]="-", "",IF(Table4[[#This Row],[Adjusted Correct]]="YES",(Table4[[#This Row],[Strength of Win]]-1)^2,(Table4[[#This Row],[Strength of Win]]-0)^2))</f>
        <v/>
      </c>
      <c r="P746" s="11"/>
    </row>
    <row r="747" spans="4:16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-0.30969050963205513</v>
      </c>
      <c r="H747" t="s">
        <v>39</v>
      </c>
      <c r="I747">
        <f>VLOOKUP(Table4[[#This Row],[Visitor]],'NHL Model'!$A$6:$B$38,2,FALSE)</f>
        <v>4.3828122498436855E-3</v>
      </c>
      <c r="J747">
        <f>($B$1+Table4[[#This Row],[Home Differential]])-Table4[[#This Row],[Away Differential]]</f>
        <v>-0.17652993290948246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0.51191734311359038</v>
      </c>
      <c r="M747" t="str">
        <f>IF(OR((NHL2025_26Results[[#This Row],[Winning Team]]="")),"-",IF(Table4[[#This Row],[Predicted Winner]]=NHL2025_26Results[[#This Row],[Winning Team]],"YES","NO"))</f>
        <v>-</v>
      </c>
      <c r="N747" t="str">
        <f>IF(Table4[[#This Row],[Adjusted Correct]]="-", "",IF(Table4[[#This Row],[Adjusted Correct]]="YES",(Table4[[#This Row],[Strength of Win]]-1)^2,(Table4[[#This Row],[Strength of Win]]-0)^2))</f>
        <v/>
      </c>
      <c r="P747" s="11"/>
    </row>
    <row r="748" spans="4:16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0.12073374225454764</v>
      </c>
      <c r="H748" t="s">
        <v>19</v>
      </c>
      <c r="I748">
        <f>VLOOKUP(Table4[[#This Row],[Visitor]],'NHL Model'!$A$6:$B$38,2,FALSE)</f>
        <v>-0.93520311342823803</v>
      </c>
      <c r="J748">
        <f>($B$1+Table4[[#This Row],[Home Differential]])-Table4[[#This Row],[Away Differential]]</f>
        <v>1.193480244655202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0.69918428322685311</v>
      </c>
      <c r="M748" t="str">
        <f>IF(OR((NHL2025_26Results[[#This Row],[Winning Team]]="")),"-",IF(Table4[[#This Row],[Predicted Winner]]=NHL2025_26Results[[#This Row],[Winning Team]],"YES","NO"))</f>
        <v>-</v>
      </c>
      <c r="N748" t="str">
        <f>IF(Table4[[#This Row],[Adjusted Correct]]="-", "",IF(Table4[[#This Row],[Adjusted Correct]]="YES",(Table4[[#This Row],[Strength of Win]]-1)^2,(Table4[[#This Row],[Strength of Win]]-0)^2))</f>
        <v/>
      </c>
      <c r="P748" s="11"/>
    </row>
    <row r="749" spans="4:16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6.4811420118814619E-2</v>
      </c>
      <c r="H749" t="s">
        <v>33</v>
      </c>
      <c r="I749">
        <f>VLOOKUP(Table4[[#This Row],[Visitor]],'NHL Model'!$A$6:$B$38,2,FALSE)</f>
        <v>-0.36178381286707545</v>
      </c>
      <c r="J749">
        <f>($B$1+Table4[[#This Row],[Home Differential]])-Table4[[#This Row],[Away Differential]]</f>
        <v>0.56413862195830644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0.61524381118093974</v>
      </c>
      <c r="M749" t="str">
        <f>IF(OR((NHL2025_26Results[[#This Row],[Winning Team]]="")),"-",IF(Table4[[#This Row],[Predicted Winner]]=NHL2025_26Results[[#This Row],[Winning Team]],"YES","NO"))</f>
        <v>-</v>
      </c>
      <c r="N749" t="str">
        <f>IF(Table4[[#This Row],[Adjusted Correct]]="-", "",IF(Table4[[#This Row],[Adjusted Correct]]="YES",(Table4[[#This Row],[Strength of Win]]-1)^2,(Table4[[#This Row],[Strength of Win]]-0)^2))</f>
        <v/>
      </c>
      <c r="P749" s="11"/>
    </row>
    <row r="750" spans="4:16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0.42515174825138019</v>
      </c>
      <c r="H750" t="s">
        <v>11</v>
      </c>
      <c r="I750">
        <f>VLOOKUP(Table4[[#This Row],[Visitor]],'NHL Model'!$A$6:$B$38,2,FALSE)</f>
        <v>-0.37836939589441088</v>
      </c>
      <c r="J750">
        <f>($B$1+Table4[[#This Row],[Home Differential]])-Table4[[#This Row],[Away Differential]]</f>
        <v>0.94106453311820737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0.71723349859073704</v>
      </c>
      <c r="M750" t="str">
        <f>IF(OR((NHL2025_26Results[[#This Row],[Winning Team]]="")),"-",IF(Table4[[#This Row],[Predicted Winner]]=NHL2025_26Results[[#This Row],[Winning Team]],"YES","NO"))</f>
        <v>-</v>
      </c>
      <c r="N750" t="str">
        <f>IF(Table4[[#This Row],[Adjusted Correct]]="-", "",IF(Table4[[#This Row],[Adjusted Correct]]="YES",(Table4[[#This Row],[Strength of Win]]-1)^2,(Table4[[#This Row],[Strength of Win]]-0)^2))</f>
        <v/>
      </c>
      <c r="P750" s="11"/>
    </row>
    <row r="751" spans="4:16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1.4458345276269271</v>
      </c>
      <c r="H751" t="s">
        <v>29</v>
      </c>
      <c r="I751">
        <f>VLOOKUP(Table4[[#This Row],[Visitor]],'NHL Model'!$A$6:$B$38,2,FALSE)</f>
        <v>-1.4957350924899622</v>
      </c>
      <c r="J751">
        <f>($B$1+Table4[[#This Row],[Home Differential]])-Table4[[#This Row],[Away Differential]]</f>
        <v>3.0791130090893057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751" t="str">
        <f>IF(OR((NHL2025_26Results[[#This Row],[Winning Team]]="")),"-",IF(Table4[[#This Row],[Predicted Winner]]=NHL2025_26Results[[#This Row],[Winning Team]],"YES","NO"))</f>
        <v>-</v>
      </c>
      <c r="N751" t="str">
        <f>IF(Table4[[#This Row],[Adjusted Correct]]="-", "",IF(Table4[[#This Row],[Adjusted Correct]]="YES",(Table4[[#This Row],[Strength of Win]]-1)^2,(Table4[[#This Row],[Strength of Win]]-0)^2))</f>
        <v/>
      </c>
      <c r="P751" s="11"/>
    </row>
    <row r="752" spans="4:16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-0.66335717753705836</v>
      </c>
      <c r="H752" t="s">
        <v>33</v>
      </c>
      <c r="I752">
        <f>VLOOKUP(Table4[[#This Row],[Visitor]],'NHL Model'!$A$6:$B$38,2,FALSE)</f>
        <v>-0.36178381286707545</v>
      </c>
      <c r="J752">
        <f>($B$1+Table4[[#This Row],[Home Differential]])-Table4[[#This Row],[Away Differential]]</f>
        <v>-0.16402997569756655</v>
      </c>
      <c r="K752" t="str">
        <f>IF(Table4[[#This Row],[HomeIce Differential]]&gt;0,Table4[[#This Row],[Home]],Table4[[#This Row],[Visitor]])</f>
        <v>San Jose Sharks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0.44963196210717815</v>
      </c>
      <c r="M752" t="str">
        <f>IF(OR((NHL2025_26Results[[#This Row],[Winning Team]]="")),"-",IF(Table4[[#This Row],[Predicted Winner]]=NHL2025_26Results[[#This Row],[Winning Team]],"YES","NO"))</f>
        <v>-</v>
      </c>
      <c r="N752" t="str">
        <f>IF(Table4[[#This Row],[Adjusted Correct]]="-", "",IF(Table4[[#This Row],[Adjusted Correct]]="YES",(Table4[[#This Row],[Strength of Win]]-1)^2,(Table4[[#This Row],[Strength of Win]]-0)^2))</f>
        <v/>
      </c>
      <c r="P752" s="11"/>
    </row>
    <row r="753" spans="4:16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-0.36134162888396865</v>
      </c>
      <c r="H753" t="s">
        <v>31</v>
      </c>
      <c r="I753">
        <f>VLOOKUP(Table4[[#This Row],[Visitor]],'NHL Model'!$A$6:$B$38,2,FALSE)</f>
        <v>0.34329638981067145</v>
      </c>
      <c r="J753">
        <f>($B$1+Table4[[#This Row],[Home Differential]])-Table4[[#This Row],[Away Differential]]</f>
        <v>-0.56709462972222369</v>
      </c>
      <c r="K753" t="str">
        <f>IF(Table4[[#This Row],[HomeIce Differential]]&gt;0,Table4[[#This Row],[Home]],Table4[[#This Row],[Visitor]])</f>
        <v>Anaheim Ducks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0.55640730903520963</v>
      </c>
      <c r="M753" t="str">
        <f>IF(OR((NHL2025_26Results[[#This Row],[Winning Team]]="")),"-",IF(Table4[[#This Row],[Predicted Winner]]=NHL2025_26Results[[#This Row],[Winning Team]],"YES","NO"))</f>
        <v>-</v>
      </c>
      <c r="N753" t="str">
        <f>IF(Table4[[#This Row],[Adjusted Correct]]="-", "",IF(Table4[[#This Row],[Adjusted Correct]]="YES",(Table4[[#This Row],[Strength of Win]]-1)^2,(Table4[[#This Row],[Strength of Win]]-0)^2))</f>
        <v/>
      </c>
      <c r="P753" s="11"/>
    </row>
    <row r="754" spans="4:16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-1.5569791149906038</v>
      </c>
      <c r="H754" t="s">
        <v>37</v>
      </c>
      <c r="I754">
        <f>VLOOKUP(Table4[[#This Row],[Visitor]],'NHL Model'!$A$6:$B$38,2,FALSE)</f>
        <v>7.1667377873261273E-2</v>
      </c>
      <c r="J754">
        <f>($B$1+Table4[[#This Row],[Home Differential]])-Table4[[#This Row],[Away Differential]]</f>
        <v>-1.4911031038914486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0.72519648303629092</v>
      </c>
      <c r="M754" t="str">
        <f>IF(OR((NHL2025_26Results[[#This Row],[Winning Team]]="")),"-",IF(Table4[[#This Row],[Predicted Winner]]=NHL2025_26Results[[#This Row],[Winning Team]],"YES","NO"))</f>
        <v>-</v>
      </c>
      <c r="N754" t="str">
        <f>IF(Table4[[#This Row],[Adjusted Correct]]="-", "",IF(Table4[[#This Row],[Adjusted Correct]]="YES",(Table4[[#This Row],[Strength of Win]]-1)^2,(Table4[[#This Row],[Strength of Win]]-0)^2))</f>
        <v/>
      </c>
      <c r="P754" s="11"/>
    </row>
    <row r="755" spans="4:16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0.34329638981067145</v>
      </c>
      <c r="H755" t="s">
        <v>13</v>
      </c>
      <c r="I755">
        <f>VLOOKUP(Table4[[#This Row],[Visitor]],'NHL Model'!$A$6:$B$38,2,FALSE)</f>
        <v>-0.36134162888396865</v>
      </c>
      <c r="J755">
        <f>($B$1+Table4[[#This Row],[Home Differential]])-Table4[[#This Row],[Away Differential]]</f>
        <v>0.8421814076670564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0.66678411150013817</v>
      </c>
      <c r="M755" t="str">
        <f>IF(OR((NHL2025_26Results[[#This Row],[Winning Team]]="")),"-",IF(Table4[[#This Row],[Predicted Winner]]=NHL2025_26Results[[#This Row],[Winning Team]],"YES","NO"))</f>
        <v>-</v>
      </c>
      <c r="N755" t="str">
        <f>IF(Table4[[#This Row],[Adjusted Correct]]="-", "",IF(Table4[[#This Row],[Adjusted Correct]]="YES",(Table4[[#This Row],[Strength of Win]]-1)^2,(Table4[[#This Row],[Strength of Win]]-0)^2))</f>
        <v/>
      </c>
      <c r="P755" s="11"/>
    </row>
    <row r="756" spans="4:16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-0.51535072045188635</v>
      </c>
      <c r="H756" t="s">
        <v>34</v>
      </c>
      <c r="I756">
        <f>VLOOKUP(Table4[[#This Row],[Visitor]],'NHL Model'!$A$6:$B$38,2,FALSE)</f>
        <v>-0.16358905079701039</v>
      </c>
      <c r="J756">
        <f>($B$1+Table4[[#This Row],[Home Differential]])-Table4[[#This Row],[Away Differential]]</f>
        <v>-0.2142182806824596</v>
      </c>
      <c r="K756" t="str">
        <f>IF(Table4[[#This Row],[HomeIce Differential]]&gt;0,Table4[[#This Row],[Home]],Table4[[#This Row],[Visitor]])</f>
        <v>Minnesota Wild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0.49523872189526225</v>
      </c>
      <c r="M756" t="str">
        <f>IF(OR((NHL2025_26Results[[#This Row],[Winning Team]]="")),"-",IF(Table4[[#This Row],[Predicted Winner]]=NHL2025_26Results[[#This Row],[Winning Team]],"YES","NO"))</f>
        <v>-</v>
      </c>
      <c r="N756" t="str">
        <f>IF(Table4[[#This Row],[Adjusted Correct]]="-", "",IF(Table4[[#This Row],[Adjusted Correct]]="YES",(Table4[[#This Row],[Strength of Win]]-1)^2,(Table4[[#This Row],[Strength of Win]]-0)^2))</f>
        <v/>
      </c>
      <c r="P756" s="11"/>
    </row>
    <row r="757" spans="4:16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-1.0952038865534519</v>
      </c>
      <c r="H757" t="s">
        <v>30</v>
      </c>
      <c r="I757">
        <f>VLOOKUP(Table4[[#This Row],[Visitor]],'NHL Model'!$A$6:$B$38,2,FALSE)</f>
        <v>3.838472305373858E-3</v>
      </c>
      <c r="J757">
        <f>($B$1+Table4[[#This Row],[Home Differential]])-Table4[[#This Row],[Away Differential]]</f>
        <v>-0.96149896988640937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0.66086620038563293</v>
      </c>
      <c r="M757" t="str">
        <f>IF(OR((NHL2025_26Results[[#This Row],[Winning Team]]="")),"-",IF(Table4[[#This Row],[Predicted Winner]]=NHL2025_26Results[[#This Row],[Winning Team]],"YES","NO"))</f>
        <v>-</v>
      </c>
      <c r="N757" t="str">
        <f>IF(Table4[[#This Row],[Adjusted Correct]]="-", "",IF(Table4[[#This Row],[Adjusted Correct]]="YES",(Table4[[#This Row],[Strength of Win]]-1)^2,(Table4[[#This Row],[Strength of Win]]-0)^2))</f>
        <v/>
      </c>
      <c r="P757" s="11"/>
    </row>
    <row r="758" spans="4:16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-0.15263505358797036</v>
      </c>
      <c r="H758" t="s">
        <v>21</v>
      </c>
      <c r="I758">
        <f>VLOOKUP(Table4[[#This Row],[Visitor]],'NHL Model'!$A$6:$B$38,2,FALSE)</f>
        <v>-0.14464931395309213</v>
      </c>
      <c r="J758">
        <f>($B$1+Table4[[#This Row],[Home Differential]])-Table4[[#This Row],[Away Differential]]</f>
        <v>0.12955764933753813</v>
      </c>
      <c r="K758" t="str">
        <f>IF(Table4[[#This Row],[HomeIce Differential]]&gt;0,Table4[[#This Row],[Home]],Table4[[#This Row],[Visitor]])</f>
        <v>Chicago Blackhawks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0.55728017002268038</v>
      </c>
      <c r="M758" t="str">
        <f>IF(OR((NHL2025_26Results[[#This Row],[Winning Team]]="")),"-",IF(Table4[[#This Row],[Predicted Winner]]=NHL2025_26Results[[#This Row],[Winning Team]],"YES","NO"))</f>
        <v>-</v>
      </c>
      <c r="N758" t="str">
        <f>IF(Table4[[#This Row],[Adjusted Correct]]="-", "",IF(Table4[[#This Row],[Adjusted Correct]]="YES",(Table4[[#This Row],[Strength of Win]]-1)^2,(Table4[[#This Row],[Strength of Win]]-0)^2))</f>
        <v/>
      </c>
      <c r="P758" s="11"/>
    </row>
    <row r="759" spans="4:16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-1.8032585202533785E-2</v>
      </c>
      <c r="H759" t="s">
        <v>25</v>
      </c>
      <c r="I759">
        <f>VLOOKUP(Table4[[#This Row],[Visitor]],'NHL Model'!$A$6:$B$38,2,FALSE)</f>
        <v>0.42515174825138019</v>
      </c>
      <c r="J759">
        <f>($B$1+Table4[[#This Row],[Home Differential]])-Table4[[#This Row],[Away Differential]]</f>
        <v>-0.30564094448149759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0.45366907416460484</v>
      </c>
      <c r="M759" t="str">
        <f>IF(OR((NHL2025_26Results[[#This Row],[Winning Team]]="")),"-",IF(Table4[[#This Row],[Predicted Winner]]=NHL2025_26Results[[#This Row],[Winning Team]],"YES","NO"))</f>
        <v>-</v>
      </c>
      <c r="N759" t="str">
        <f>IF(Table4[[#This Row],[Adjusted Correct]]="-", "",IF(Table4[[#This Row],[Adjusted Correct]]="YES",(Table4[[#This Row],[Strength of Win]]-1)^2,(Table4[[#This Row],[Strength of Win]]-0)^2))</f>
        <v/>
      </c>
      <c r="P759" s="11"/>
    </row>
    <row r="760" spans="4:16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-0.31751962084606655</v>
      </c>
      <c r="H760" t="s">
        <v>18</v>
      </c>
      <c r="I760">
        <f>VLOOKUP(Table4[[#This Row],[Visitor]],'NHL Model'!$A$6:$B$38,2,FALSE)</f>
        <v>-0.74754136228530599</v>
      </c>
      <c r="J760">
        <f>($B$1+Table4[[#This Row],[Home Differential]])-Table4[[#This Row],[Away Differential]]</f>
        <v>0.56756513041165579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0.57111367685210457</v>
      </c>
      <c r="M760" t="str">
        <f>IF(OR((NHL2025_26Results[[#This Row],[Winning Team]]="")),"-",IF(Table4[[#This Row],[Predicted Winner]]=NHL2025_26Results[[#This Row],[Winning Team]],"YES","NO"))</f>
        <v>-</v>
      </c>
      <c r="N760" t="str">
        <f>IF(Table4[[#This Row],[Adjusted Correct]]="-", "",IF(Table4[[#This Row],[Adjusted Correct]]="YES",(Table4[[#This Row],[Strength of Win]]-1)^2,(Table4[[#This Row],[Strength of Win]]-0)^2))</f>
        <v/>
      </c>
      <c r="P760" s="11"/>
    </row>
    <row r="761" spans="4:16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-0.42203126246971279</v>
      </c>
      <c r="H761" t="s">
        <v>15</v>
      </c>
      <c r="I761">
        <f>VLOOKUP(Table4[[#This Row],[Visitor]],'NHL Model'!$A$6:$B$38,2,FALSE)</f>
        <v>-0.49835870184734621</v>
      </c>
      <c r="J761">
        <f>($B$1+Table4[[#This Row],[Home Differential]])-Table4[[#This Row],[Away Differential]]</f>
        <v>0.21387082835004978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0.51760868208361321</v>
      </c>
      <c r="M761" t="str">
        <f>IF(OR((NHL2025_26Results[[#This Row],[Winning Team]]="")),"-",IF(Table4[[#This Row],[Predicted Winner]]=NHL2025_26Results[[#This Row],[Winning Team]],"YES","NO"))</f>
        <v>-</v>
      </c>
      <c r="N761" t="str">
        <f>IF(Table4[[#This Row],[Adjusted Correct]]="-", "",IF(Table4[[#This Row],[Adjusted Correct]]="YES",(Table4[[#This Row],[Strength of Win]]-1)^2,(Table4[[#This Row],[Strength of Win]]-0)^2))</f>
        <v/>
      </c>
      <c r="P761" s="11"/>
    </row>
    <row r="762" spans="4:16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-0.2090057419115289</v>
      </c>
      <c r="H762" t="s">
        <v>28</v>
      </c>
      <c r="I762">
        <f>VLOOKUP(Table4[[#This Row],[Visitor]],'NHL Model'!$A$6:$B$38,2,FALSE)</f>
        <v>-0.59418600019583889</v>
      </c>
      <c r="J762">
        <f>($B$1+Table4[[#This Row],[Home Differential]])-Table4[[#This Row],[Away Differential]]</f>
        <v>0.52272364725672638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0.60889046204946917</v>
      </c>
      <c r="M762" t="str">
        <f>IF(OR((NHL2025_26Results[[#This Row],[Winning Team]]="")),"-",IF(Table4[[#This Row],[Predicted Winner]]=NHL2025_26Results[[#This Row],[Winning Team]],"YES","NO"))</f>
        <v>-</v>
      </c>
      <c r="N762" t="str">
        <f>IF(Table4[[#This Row],[Adjusted Correct]]="-", "",IF(Table4[[#This Row],[Adjusted Correct]]="YES",(Table4[[#This Row],[Strength of Win]]-1)^2,(Table4[[#This Row],[Strength of Win]]-0)^2))</f>
        <v/>
      </c>
      <c r="P762" s="11"/>
    </row>
    <row r="763" spans="4:16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-0.30969050963205513</v>
      </c>
      <c r="H763" t="s">
        <v>32</v>
      </c>
      <c r="I763">
        <f>VLOOKUP(Table4[[#This Row],[Visitor]],'NHL Model'!$A$6:$B$38,2,FALSE)</f>
        <v>-0.45007023285116615</v>
      </c>
      <c r="J763">
        <f>($B$1+Table4[[#This Row],[Home Differential]])-Table4[[#This Row],[Away Differential]]</f>
        <v>0.27792311219152738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0.62878486926403432</v>
      </c>
      <c r="M763" t="str">
        <f>IF(OR((NHL2025_26Results[[#This Row],[Winning Team]]="")),"-",IF(Table4[[#This Row],[Predicted Winner]]=NHL2025_26Results[[#This Row],[Winning Team]],"YES","NO"))</f>
        <v>-</v>
      </c>
      <c r="N763" t="str">
        <f>IF(Table4[[#This Row],[Adjusted Correct]]="-", "",IF(Table4[[#This Row],[Adjusted Correct]]="YES",(Table4[[#This Row],[Strength of Win]]-1)^2,(Table4[[#This Row],[Strength of Win]]-0)^2))</f>
        <v/>
      </c>
      <c r="P763" s="11"/>
    </row>
    <row r="764" spans="4:16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-1.1236485959014608</v>
      </c>
      <c r="H764" t="s">
        <v>17</v>
      </c>
      <c r="I764">
        <f>VLOOKUP(Table4[[#This Row],[Visitor]],'NHL Model'!$A$6:$B$38,2,FALSE)</f>
        <v>-0.87263145033954281</v>
      </c>
      <c r="J764">
        <f>($B$1+Table4[[#This Row],[Home Differential]])-Table4[[#This Row],[Away Differential]]</f>
        <v>-0.11347375658950165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0.47513492886761333</v>
      </c>
      <c r="M764" t="str">
        <f>IF(OR((NHL2025_26Results[[#This Row],[Winning Team]]="")),"-",IF(Table4[[#This Row],[Predicted Winner]]=NHL2025_26Results[[#This Row],[Winning Team]],"YES","NO"))</f>
        <v>-</v>
      </c>
      <c r="N764" t="str">
        <f>IF(Table4[[#This Row],[Adjusted Correct]]="-", "",IF(Table4[[#This Row],[Adjusted Correct]]="YES",(Table4[[#This Row],[Strength of Win]]-1)^2,(Table4[[#This Row],[Strength of Win]]-0)^2))</f>
        <v/>
      </c>
      <c r="P764" s="11"/>
    </row>
    <row r="765" spans="4:16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0.12073374225454764</v>
      </c>
      <c r="H765" t="s">
        <v>29</v>
      </c>
      <c r="I765">
        <f>VLOOKUP(Table4[[#This Row],[Visitor]],'NHL Model'!$A$6:$B$38,2,FALSE)</f>
        <v>-1.4957350924899622</v>
      </c>
      <c r="J765">
        <f>($B$1+Table4[[#This Row],[Home Differential]])-Table4[[#This Row],[Away Differential]]</f>
        <v>1.7540122237169262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0.7739470467600259</v>
      </c>
      <c r="M765" t="str">
        <f>IF(OR((NHL2025_26Results[[#This Row],[Winning Team]]="")),"-",IF(Table4[[#This Row],[Predicted Winner]]=NHL2025_26Results[[#This Row],[Winning Team]],"YES","NO"))</f>
        <v>-</v>
      </c>
      <c r="N765" t="str">
        <f>IF(Table4[[#This Row],[Adjusted Correct]]="-", "",IF(Table4[[#This Row],[Adjusted Correct]]="YES",(Table4[[#This Row],[Strength of Win]]-1)^2,(Table4[[#This Row],[Strength of Win]]-0)^2))</f>
        <v/>
      </c>
      <c r="P765" s="11"/>
    </row>
    <row r="766" spans="4:16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-6.0247860940930854E-2</v>
      </c>
      <c r="H766" t="s">
        <v>19</v>
      </c>
      <c r="I766">
        <f>VLOOKUP(Table4[[#This Row],[Visitor]],'NHL Model'!$A$6:$B$38,2,FALSE)</f>
        <v>-0.93520311342823803</v>
      </c>
      <c r="J766">
        <f>($B$1+Table4[[#This Row],[Home Differential]])-Table4[[#This Row],[Away Differential]]</f>
        <v>1.0124986414597235</v>
      </c>
      <c r="K766" t="str">
        <f>IF(Table4[[#This Row],[HomeIce Differential]]&gt;0,Table4[[#This Row],[Home]],Table4[[#This Row],[Visitor]])</f>
        <v>Winnipeg Jets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0.67754075643512635</v>
      </c>
      <c r="M766" t="str">
        <f>IF(OR((NHL2025_26Results[[#This Row],[Winning Team]]="")),"-",IF(Table4[[#This Row],[Predicted Winner]]=NHL2025_26Results[[#This Row],[Winning Team]],"YES","NO"))</f>
        <v>-</v>
      </c>
      <c r="N766" t="str">
        <f>IF(Table4[[#This Row],[Adjusted Correct]]="-", "",IF(Table4[[#This Row],[Adjusted Correct]]="YES",(Table4[[#This Row],[Strength of Win]]-1)^2,(Table4[[#This Row],[Strength of Win]]-0)^2))</f>
        <v/>
      </c>
      <c r="P766" s="11"/>
    </row>
    <row r="767" spans="4:16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6.4811420118814619E-2</v>
      </c>
      <c r="H767" t="s">
        <v>11</v>
      </c>
      <c r="I767">
        <f>VLOOKUP(Table4[[#This Row],[Visitor]],'NHL Model'!$A$6:$B$38,2,FALSE)</f>
        <v>-0.37836939589441088</v>
      </c>
      <c r="J767">
        <f>($B$1+Table4[[#This Row],[Home Differential]])-Table4[[#This Row],[Away Differential]]</f>
        <v>0.58072420498564181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0.61745596689774307</v>
      </c>
      <c r="M767" t="str">
        <f>IF(OR((NHL2025_26Results[[#This Row],[Winning Team]]="")),"-",IF(Table4[[#This Row],[Predicted Winner]]=NHL2025_26Results[[#This Row],[Winning Team]],"YES","NO"))</f>
        <v>-</v>
      </c>
      <c r="N767" t="str">
        <f>IF(Table4[[#This Row],[Adjusted Correct]]="-", "",IF(Table4[[#This Row],[Adjusted Correct]]="YES",(Table4[[#This Row],[Strength of Win]]-1)^2,(Table4[[#This Row],[Strength of Win]]-0)^2))</f>
        <v/>
      </c>
      <c r="P767" s="11"/>
    </row>
    <row r="768" spans="4:16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4.3828122498436855E-3</v>
      </c>
      <c r="H768" t="s">
        <v>37</v>
      </c>
      <c r="I768">
        <f>VLOOKUP(Table4[[#This Row],[Visitor]],'NHL Model'!$A$6:$B$38,2,FALSE)</f>
        <v>7.1667377873261273E-2</v>
      </c>
      <c r="J768">
        <f>($B$1+Table4[[#This Row],[Home Differential]])-Table4[[#This Row],[Away Differential]]</f>
        <v>7.0258823348998772E-2</v>
      </c>
      <c r="K768" t="str">
        <f>IF(Table4[[#This Row],[HomeIce Differential]]&gt;0,Table4[[#This Row],[Home]],Table4[[#This Row],[Visitor]])</f>
        <v>Dallas Stars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0.48556147372919412</v>
      </c>
      <c r="M768" t="str">
        <f>IF(OR((NHL2025_26Results[[#This Row],[Winning Team]]="")),"-",IF(Table4[[#This Row],[Predicted Winner]]=NHL2025_26Results[[#This Row],[Winning Team]],"YES","NO"))</f>
        <v>-</v>
      </c>
      <c r="N768" t="str">
        <f>IF(Table4[[#This Row],[Adjusted Correct]]="-", "",IF(Table4[[#This Row],[Adjusted Correct]]="YES",(Table4[[#This Row],[Strength of Win]]-1)^2,(Table4[[#This Row],[Strength of Win]]-0)^2))</f>
        <v/>
      </c>
      <c r="P768" s="11"/>
    </row>
    <row r="769" spans="4:16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-0.66335717753705836</v>
      </c>
      <c r="H769" t="s">
        <v>36</v>
      </c>
      <c r="I769">
        <f>VLOOKUP(Table4[[#This Row],[Visitor]],'NHL Model'!$A$6:$B$38,2,FALSE)</f>
        <v>-0.31751962084606655</v>
      </c>
      <c r="J769">
        <f>($B$1+Table4[[#This Row],[Home Differential]])-Table4[[#This Row],[Away Differential]]</f>
        <v>-0.20829416771857545</v>
      </c>
      <c r="K769" t="str">
        <f>IF(Table4[[#This Row],[HomeIce Differential]]&gt;0,Table4[[#This Row],[Home]],Table4[[#This Row],[Visitor]])</f>
        <v>Ottawa Senators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0.47605776959286805</v>
      </c>
      <c r="M769" t="str">
        <f>IF(OR((NHL2025_26Results[[#This Row],[Winning Team]]="")),"-",IF(Table4[[#This Row],[Predicted Winner]]=NHL2025_26Results[[#This Row],[Winning Team]],"YES","NO"))</f>
        <v>-</v>
      </c>
      <c r="N769" t="str">
        <f>IF(Table4[[#This Row],[Adjusted Correct]]="-", "",IF(Table4[[#This Row],[Adjusted Correct]]="YES",(Table4[[#This Row],[Strength of Win]]-1)^2,(Table4[[#This Row],[Strength of Win]]-0)^2))</f>
        <v/>
      </c>
      <c r="P769" s="11"/>
    </row>
    <row r="770" spans="4:16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-0.87263145033954281</v>
      </c>
      <c r="H770" t="s">
        <v>35</v>
      </c>
      <c r="I770">
        <f>VLOOKUP(Table4[[#This Row],[Visitor]],'NHL Model'!$A$6:$B$38,2,FALSE)</f>
        <v>-1.5569791149906038</v>
      </c>
      <c r="J770">
        <f>($B$1+Table4[[#This Row],[Home Differential]])-Table4[[#This Row],[Away Differential]]</f>
        <v>0.82189105362347736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0.68565924079549312</v>
      </c>
      <c r="M770" t="str">
        <f>IF(OR((NHL2025_26Results[[#This Row],[Winning Team]]="")),"-",IF(Table4[[#This Row],[Predicted Winner]]=NHL2025_26Results[[#This Row],[Winning Team]],"YES","NO"))</f>
        <v>-</v>
      </c>
      <c r="N770" t="str">
        <f>IF(Table4[[#This Row],[Adjusted Correct]]="-", "",IF(Table4[[#This Row],[Adjusted Correct]]="YES",(Table4[[#This Row],[Strength of Win]]-1)^2,(Table4[[#This Row],[Strength of Win]]-0)^2))</f>
        <v/>
      </c>
      <c r="P770" s="11"/>
    </row>
    <row r="771" spans="4:16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0.34329638981067145</v>
      </c>
      <c r="H771" t="s">
        <v>15</v>
      </c>
      <c r="I771">
        <f>VLOOKUP(Table4[[#This Row],[Visitor]],'NHL Model'!$A$6:$B$38,2,FALSE)</f>
        <v>-0.49835870184734621</v>
      </c>
      <c r="J771">
        <f>($B$1+Table4[[#This Row],[Home Differential]])-Table4[[#This Row],[Away Differential]]</f>
        <v>0.97919848063043402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0.68505920624694561</v>
      </c>
      <c r="M771" t="str">
        <f>IF(OR((NHL2025_26Results[[#This Row],[Winning Team]]="")),"-",IF(Table4[[#This Row],[Predicted Winner]]=NHL2025_26Results[[#This Row],[Winning Team]],"YES","NO"))</f>
        <v>-</v>
      </c>
      <c r="N771" t="str">
        <f>IF(Table4[[#This Row],[Adjusted Correct]]="-", "",IF(Table4[[#This Row],[Adjusted Correct]]="YES",(Table4[[#This Row],[Strength of Win]]-1)^2,(Table4[[#This Row],[Strength of Win]]-0)^2))</f>
        <v/>
      </c>
      <c r="P771" s="11"/>
    </row>
    <row r="772" spans="4:16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0.42515174825138019</v>
      </c>
      <c r="H772" t="s">
        <v>23</v>
      </c>
      <c r="I772">
        <f>VLOOKUP(Table4[[#This Row],[Visitor]],'NHL Model'!$A$6:$B$38,2,FALSE)</f>
        <v>-0.51535072045188635</v>
      </c>
      <c r="J772">
        <f>($B$1+Table4[[#This Row],[Home Differential]])-Table4[[#This Row],[Away Differential]]</f>
        <v>1.0780458576756828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0.73550382527842029</v>
      </c>
      <c r="M772" t="str">
        <f>IF(OR((NHL2025_26Results[[#This Row],[Winning Team]]="")),"-",IF(Table4[[#This Row],[Predicted Winner]]=NHL2025_26Results[[#This Row],[Winning Team]],"YES","NO"))</f>
        <v>-</v>
      </c>
      <c r="N772" t="str">
        <f>IF(Table4[[#This Row],[Adjusted Correct]]="-", "",IF(Table4[[#This Row],[Adjusted Correct]]="YES",(Table4[[#This Row],[Strength of Win]]-1)^2,(Table4[[#This Row],[Strength of Win]]-0)^2))</f>
        <v/>
      </c>
      <c r="P772" s="11"/>
    </row>
    <row r="773" spans="4:16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-1.0952038865534519</v>
      </c>
      <c r="H773" t="s">
        <v>24</v>
      </c>
      <c r="I773">
        <f>VLOOKUP(Table4[[#This Row],[Visitor]],'NHL Model'!$A$6:$B$38,2,FALSE)</f>
        <v>-1.8032585202533785E-2</v>
      </c>
      <c r="J773">
        <f>($B$1+Table4[[#This Row],[Home Differential]])-Table4[[#This Row],[Away Differential]]</f>
        <v>-0.93962791237850174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0.58615540141470235</v>
      </c>
      <c r="M773" t="str">
        <f>IF(OR((NHL2025_26Results[[#This Row],[Winning Team]]="")),"-",IF(Table4[[#This Row],[Predicted Winner]]=NHL2025_26Results[[#This Row],[Winning Team]],"YES","NO"))</f>
        <v>-</v>
      </c>
      <c r="N773" t="str">
        <f>IF(Table4[[#This Row],[Adjusted Correct]]="-", "",IF(Table4[[#This Row],[Adjusted Correct]]="YES",(Table4[[#This Row],[Strength of Win]]-1)^2,(Table4[[#This Row],[Strength of Win]]-0)^2))</f>
        <v/>
      </c>
      <c r="P773" s="11"/>
    </row>
    <row r="774" spans="4:16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-0.15263505358797036</v>
      </c>
      <c r="H774" t="s">
        <v>40</v>
      </c>
      <c r="I774">
        <f>VLOOKUP(Table4[[#This Row],[Visitor]],'NHL Model'!$A$6:$B$38,2,FALSE)</f>
        <v>-6.0247860940930854E-2</v>
      </c>
      <c r="J774">
        <f>($B$1+Table4[[#This Row],[Home Differential]])-Table4[[#This Row],[Away Differential]]</f>
        <v>4.5156196325376853E-2</v>
      </c>
      <c r="K774" t="str">
        <f>IF(Table4[[#This Row],[HomeIce Differential]]&gt;0,Table4[[#This Row],[Home]],Table4[[#This Row],[Visitor]])</f>
        <v>Chicago Blackhawks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0.47970706409050096</v>
      </c>
      <c r="M774" t="str">
        <f>IF(OR((NHL2025_26Results[[#This Row],[Winning Team]]="")),"-",IF(Table4[[#This Row],[Predicted Winner]]=NHL2025_26Results[[#This Row],[Winning Team]],"YES","NO"))</f>
        <v>-</v>
      </c>
      <c r="N774" t="str">
        <f>IF(Table4[[#This Row],[Adjusted Correct]]="-", "",IF(Table4[[#This Row],[Adjusted Correct]]="YES",(Table4[[#This Row],[Strength of Win]]-1)^2,(Table4[[#This Row],[Strength of Win]]-0)^2))</f>
        <v/>
      </c>
      <c r="P774" s="11"/>
    </row>
    <row r="775" spans="4:16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1.4458345276269271</v>
      </c>
      <c r="H775" t="s">
        <v>22</v>
      </c>
      <c r="I775">
        <f>VLOOKUP(Table4[[#This Row],[Visitor]],'NHL Model'!$A$6:$B$38,2,FALSE)</f>
        <v>6.4811420118814619E-2</v>
      </c>
      <c r="J775">
        <f>($B$1+Table4[[#This Row],[Home Differential]])-Table4[[#This Row],[Away Differential]]</f>
        <v>1.518566496480529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0.81792832765561596</v>
      </c>
      <c r="M775" t="str">
        <f>IF(OR((NHL2025_26Results[[#This Row],[Winning Team]]="")),"-",IF(Table4[[#This Row],[Predicted Winner]]=NHL2025_26Results[[#This Row],[Winning Team]],"YES","NO"))</f>
        <v>-</v>
      </c>
      <c r="N775" t="str">
        <f>IF(Table4[[#This Row],[Adjusted Correct]]="-", "",IF(Table4[[#This Row],[Adjusted Correct]]="YES",(Table4[[#This Row],[Strength of Win]]-1)^2,(Table4[[#This Row],[Strength of Win]]-0)^2))</f>
        <v/>
      </c>
      <c r="P775" s="11"/>
    </row>
    <row r="776" spans="4:16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-0.37836939589441088</v>
      </c>
      <c r="H776" t="s">
        <v>33</v>
      </c>
      <c r="I776">
        <f>VLOOKUP(Table4[[#This Row],[Visitor]],'NHL Model'!$A$6:$B$38,2,FALSE)</f>
        <v>-0.36178381286707545</v>
      </c>
      <c r="J776">
        <f>($B$1+Table4[[#This Row],[Home Differential]])-Table4[[#This Row],[Away Differential]]</f>
        <v>0.12095780594508093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0.60784911445935996</v>
      </c>
      <c r="M776" t="str">
        <f>IF(OR((NHL2025_26Results[[#This Row],[Winning Team]]="")),"-",IF(Table4[[#This Row],[Predicted Winner]]=NHL2025_26Results[[#This Row],[Winning Team]],"YES","NO"))</f>
        <v>-</v>
      </c>
      <c r="N776" t="str">
        <f>IF(Table4[[#This Row],[Adjusted Correct]]="-", "",IF(Table4[[#This Row],[Adjusted Correct]]="YES",(Table4[[#This Row],[Strength of Win]]-1)^2,(Table4[[#This Row],[Strength of Win]]-0)^2))</f>
        <v/>
      </c>
      <c r="P776" s="11"/>
    </row>
    <row r="777" spans="4:16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-0.45007023285116615</v>
      </c>
      <c r="H777" t="s">
        <v>14</v>
      </c>
      <c r="I777">
        <f>VLOOKUP(Table4[[#This Row],[Visitor]],'NHL Model'!$A$6:$B$38,2,FALSE)</f>
        <v>-0.2090057419115289</v>
      </c>
      <c r="J777">
        <f>($B$1+Table4[[#This Row],[Home Differential]])-Table4[[#This Row],[Away Differential]]</f>
        <v>-0.10352110196722089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0.44776972555577532</v>
      </c>
      <c r="M777" t="str">
        <f>IF(OR((NHL2025_26Results[[#This Row],[Winning Team]]="")),"-",IF(Table4[[#This Row],[Predicted Winner]]=NHL2025_26Results[[#This Row],[Winning Team]],"YES","NO"))</f>
        <v>-</v>
      </c>
      <c r="N777" t="str">
        <f>IF(Table4[[#This Row],[Adjusted Correct]]="-", "",IF(Table4[[#This Row],[Adjusted Correct]]="YES",(Table4[[#This Row],[Strength of Win]]-1)^2,(Table4[[#This Row],[Strength of Win]]-0)^2))</f>
        <v/>
      </c>
      <c r="P777" s="11"/>
    </row>
    <row r="778" spans="4:16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-0.93520311342823803</v>
      </c>
      <c r="H778" t="s">
        <v>34</v>
      </c>
      <c r="I778">
        <f>VLOOKUP(Table4[[#This Row],[Visitor]],'NHL Model'!$A$6:$B$38,2,FALSE)</f>
        <v>-0.16358905079701039</v>
      </c>
      <c r="J778">
        <f>($B$1+Table4[[#This Row],[Home Differential]])-Table4[[#This Row],[Away Differential]]</f>
        <v>-0.63407067365881131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0.56534045526461885</v>
      </c>
      <c r="M778" t="str">
        <f>IF(OR((NHL2025_26Results[[#This Row],[Winning Team]]="")),"-",IF(Table4[[#This Row],[Predicted Winner]]=NHL2025_26Results[[#This Row],[Winning Team]],"YES","NO"))</f>
        <v>-</v>
      </c>
      <c r="N778" t="str">
        <f>IF(Table4[[#This Row],[Adjusted Correct]]="-", "",IF(Table4[[#This Row],[Adjusted Correct]]="YES",(Table4[[#This Row],[Strength of Win]]-1)^2,(Table4[[#This Row],[Strength of Win]]-0)^2))</f>
        <v/>
      </c>
      <c r="P778" s="11"/>
    </row>
    <row r="779" spans="4:16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-1.1236485959014608</v>
      </c>
      <c r="H779" t="s">
        <v>30</v>
      </c>
      <c r="I779">
        <f>VLOOKUP(Table4[[#This Row],[Visitor]],'NHL Model'!$A$6:$B$38,2,FALSE)</f>
        <v>3.838472305373858E-3</v>
      </c>
      <c r="J779">
        <f>($B$1+Table4[[#This Row],[Home Differential]])-Table4[[#This Row],[Away Differential]]</f>
        <v>-0.98994367923441828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0.66466010538694031</v>
      </c>
      <c r="M779" t="str">
        <f>IF(OR((NHL2025_26Results[[#This Row],[Winning Team]]="")),"-",IF(Table4[[#This Row],[Predicted Winner]]=NHL2025_26Results[[#This Row],[Winning Team]],"YES","NO"))</f>
        <v>-</v>
      </c>
      <c r="N779" t="str">
        <f>IF(Table4[[#This Row],[Adjusted Correct]]="-", "",IF(Table4[[#This Row],[Adjusted Correct]]="YES",(Table4[[#This Row],[Strength of Win]]-1)^2,(Table4[[#This Row],[Strength of Win]]-0)^2))</f>
        <v/>
      </c>
      <c r="P779" s="11"/>
    </row>
    <row r="780" spans="4:16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0.12073374225454764</v>
      </c>
      <c r="H780" t="s">
        <v>27</v>
      </c>
      <c r="I780">
        <f>VLOOKUP(Table4[[#This Row],[Visitor]],'NHL Model'!$A$6:$B$38,2,FALSE)</f>
        <v>-0.42203126246971279</v>
      </c>
      <c r="J780">
        <f>($B$1+Table4[[#This Row],[Home Differential]])-Table4[[#This Row],[Away Differential]]</f>
        <v>0.68030839369667673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0.63073832977864142</v>
      </c>
      <c r="M780" t="str">
        <f>IF(OR((NHL2025_26Results[[#This Row],[Winning Team]]="")),"-",IF(Table4[[#This Row],[Predicted Winner]]=NHL2025_26Results[[#This Row],[Winning Team]],"YES","NO"))</f>
        <v>-</v>
      </c>
      <c r="N780" t="str">
        <f>IF(Table4[[#This Row],[Adjusted Correct]]="-", "",IF(Table4[[#This Row],[Adjusted Correct]]="YES",(Table4[[#This Row],[Strength of Win]]-1)^2,(Table4[[#This Row],[Strength of Win]]-0)^2))</f>
        <v/>
      </c>
      <c r="P780" s="11"/>
    </row>
    <row r="781" spans="4:16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-0.59418600019583889</v>
      </c>
      <c r="H781" t="s">
        <v>36</v>
      </c>
      <c r="I781">
        <f>VLOOKUP(Table4[[#This Row],[Visitor]],'NHL Model'!$A$6:$B$38,2,FALSE)</f>
        <v>-0.31751962084606655</v>
      </c>
      <c r="J781">
        <f>($B$1+Table4[[#This Row],[Home Differential]])-Table4[[#This Row],[Away Differential]]</f>
        <v>-0.13912299037735598</v>
      </c>
      <c r="K781" t="str">
        <f>IF(Table4[[#This Row],[HomeIce Differential]]&gt;0,Table4[[#This Row],[Home]],Table4[[#This Row],[Visitor]])</f>
        <v>Ottawa Senators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0.49224018881148113</v>
      </c>
      <c r="M781" t="str">
        <f>IF(OR((NHL2025_26Results[[#This Row],[Winning Team]]="")),"-",IF(Table4[[#This Row],[Predicted Winner]]=NHL2025_26Results[[#This Row],[Winning Team]],"YES","NO"))</f>
        <v>-</v>
      </c>
      <c r="N781" t="str">
        <f>IF(Table4[[#This Row],[Adjusted Correct]]="-", "",IF(Table4[[#This Row],[Adjusted Correct]]="YES",(Table4[[#This Row],[Strength of Win]]-1)^2,(Table4[[#This Row],[Strength of Win]]-0)^2))</f>
        <v/>
      </c>
      <c r="P781" s="11"/>
    </row>
    <row r="782" spans="4:16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4.3828122498436855E-3</v>
      </c>
      <c r="H782" t="s">
        <v>21</v>
      </c>
      <c r="I782">
        <f>VLOOKUP(Table4[[#This Row],[Visitor]],'NHL Model'!$A$6:$B$38,2,FALSE)</f>
        <v>-0.14464931395309213</v>
      </c>
      <c r="J782">
        <f>($B$1+Table4[[#This Row],[Home Differential]])-Table4[[#This Row],[Away Differential]]</f>
        <v>0.28657551517535218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0.58071841433698956</v>
      </c>
      <c r="M782" t="str">
        <f>IF(OR((NHL2025_26Results[[#This Row],[Winning Team]]="")),"-",IF(Table4[[#This Row],[Predicted Winner]]=NHL2025_26Results[[#This Row],[Winning Team]],"YES","NO"))</f>
        <v>-</v>
      </c>
      <c r="N782" t="str">
        <f>IF(Table4[[#This Row],[Adjusted Correct]]="-", "",IF(Table4[[#This Row],[Adjusted Correct]]="YES",(Table4[[#This Row],[Strength of Win]]-1)^2,(Table4[[#This Row],[Strength of Win]]-0)^2))</f>
        <v/>
      </c>
      <c r="P782" s="11"/>
    </row>
    <row r="783" spans="4:16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-0.87263145033954281</v>
      </c>
      <c r="H783" t="s">
        <v>24</v>
      </c>
      <c r="I783">
        <f>VLOOKUP(Table4[[#This Row],[Visitor]],'NHL Model'!$A$6:$B$38,2,FALSE)</f>
        <v>-1.8032585202533785E-2</v>
      </c>
      <c r="J783">
        <f>($B$1+Table4[[#This Row],[Home Differential]])-Table4[[#This Row],[Away Differential]]</f>
        <v>-0.71705547616459264</v>
      </c>
      <c r="K783" t="str">
        <f>IF(Table4[[#This Row],[HomeIce Differential]]&gt;0,Table4[[#This Row],[Home]],Table4[[#This Row],[Visitor]])</f>
        <v>New Jersey Devils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0.52041835167798334</v>
      </c>
      <c r="M783" t="str">
        <f>IF(OR((NHL2025_26Results[[#This Row],[Winning Team]]="")),"-",IF(Table4[[#This Row],[Predicted Winner]]=NHL2025_26Results[[#This Row],[Winning Team]],"YES","NO"))</f>
        <v>-</v>
      </c>
      <c r="N783" t="str">
        <f>IF(Table4[[#This Row],[Adjusted Correct]]="-", "",IF(Table4[[#This Row],[Adjusted Correct]]="YES",(Table4[[#This Row],[Strength of Win]]-1)^2,(Table4[[#This Row],[Strength of Win]]-0)^2))</f>
        <v/>
      </c>
      <c r="P783" s="11"/>
    </row>
    <row r="784" spans="4:16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-0.36134162888396865</v>
      </c>
      <c r="H784" t="s">
        <v>15</v>
      </c>
      <c r="I784">
        <f>VLOOKUP(Table4[[#This Row],[Visitor]],'NHL Model'!$A$6:$B$38,2,FALSE)</f>
        <v>-0.49835870184734621</v>
      </c>
      <c r="J784">
        <f>($B$1+Table4[[#This Row],[Home Differential]])-Table4[[#This Row],[Away Differential]]</f>
        <v>0.27456046193579392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0.49314212772204463</v>
      </c>
      <c r="M784" t="str">
        <f>IF(OR((NHL2025_26Results[[#This Row],[Winning Team]]="")),"-",IF(Table4[[#This Row],[Predicted Winner]]=NHL2025_26Results[[#This Row],[Winning Team]],"YES","NO"))</f>
        <v>-</v>
      </c>
      <c r="N784" t="str">
        <f>IF(Table4[[#This Row],[Adjusted Correct]]="-", "",IF(Table4[[#This Row],[Adjusted Correct]]="YES",(Table4[[#This Row],[Strength of Win]]-1)^2,(Table4[[#This Row],[Strength of Win]]-0)^2))</f>
        <v/>
      </c>
      <c r="P784" s="11"/>
    </row>
    <row r="785" spans="4:16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-0.74754136228530599</v>
      </c>
      <c r="H785" t="s">
        <v>34</v>
      </c>
      <c r="I785">
        <f>VLOOKUP(Table4[[#This Row],[Visitor]],'NHL Model'!$A$6:$B$38,2,FALSE)</f>
        <v>-0.16358905079701039</v>
      </c>
      <c r="J785">
        <f>($B$1+Table4[[#This Row],[Home Differential]])-Table4[[#This Row],[Away Differential]]</f>
        <v>-0.44640892251587927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0.54031046295551777</v>
      </c>
      <c r="M785" t="str">
        <f>IF(OR((NHL2025_26Results[[#This Row],[Winning Team]]="")),"-",IF(Table4[[#This Row],[Predicted Winner]]=NHL2025_26Results[[#This Row],[Winning Team]],"YES","NO"))</f>
        <v>-</v>
      </c>
      <c r="N785" t="str">
        <f>IF(Table4[[#This Row],[Adjusted Correct]]="-", "",IF(Table4[[#This Row],[Adjusted Correct]]="YES",(Table4[[#This Row],[Strength of Win]]-1)^2,(Table4[[#This Row],[Strength of Win]]-0)^2))</f>
        <v/>
      </c>
      <c r="P785" s="11"/>
    </row>
    <row r="786" spans="4:16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-1.4957350924899622</v>
      </c>
      <c r="H786" t="s">
        <v>23</v>
      </c>
      <c r="I786">
        <f>VLOOKUP(Table4[[#This Row],[Visitor]],'NHL Model'!$A$6:$B$38,2,FALSE)</f>
        <v>-0.51535072045188635</v>
      </c>
      <c r="J786">
        <f>($B$1+Table4[[#This Row],[Home Differential]])-Table4[[#This Row],[Away Differential]]</f>
        <v>-0.84284098306565935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0.57241663895516282</v>
      </c>
      <c r="M786" t="str">
        <f>IF(OR((NHL2025_26Results[[#This Row],[Winning Team]]="")),"-",IF(Table4[[#This Row],[Predicted Winner]]=NHL2025_26Results[[#This Row],[Winning Team]],"YES","NO"))</f>
        <v>-</v>
      </c>
      <c r="N786" t="str">
        <f>IF(Table4[[#This Row],[Adjusted Correct]]="-", "",IF(Table4[[#This Row],[Adjusted Correct]]="YES",(Table4[[#This Row],[Strength of Win]]-1)^2,(Table4[[#This Row],[Strength of Win]]-0)^2))</f>
        <v/>
      </c>
      <c r="P786" s="11"/>
    </row>
    <row r="787" spans="4:16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7.1667377873261273E-2</v>
      </c>
      <c r="H787" t="s">
        <v>33</v>
      </c>
      <c r="I787">
        <f>VLOOKUP(Table4[[#This Row],[Visitor]],'NHL Model'!$A$6:$B$38,2,FALSE)</f>
        <v>-0.36178381286707545</v>
      </c>
      <c r="J787">
        <f>($B$1+Table4[[#This Row],[Home Differential]])-Table4[[#This Row],[Away Differential]]</f>
        <v>0.57099457971275314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0.6186537258992838</v>
      </c>
      <c r="M787" t="str">
        <f>IF(OR((NHL2025_26Results[[#This Row],[Winning Team]]="")),"-",IF(Table4[[#This Row],[Predicted Winner]]=NHL2025_26Results[[#This Row],[Winning Team]],"YES","NO"))</f>
        <v>-</v>
      </c>
      <c r="N787" t="str">
        <f>IF(Table4[[#This Row],[Adjusted Correct]]="-", "",IF(Table4[[#This Row],[Adjusted Correct]]="YES",(Table4[[#This Row],[Strength of Win]]-1)^2,(Table4[[#This Row],[Strength of Win]]-0)^2))</f>
        <v/>
      </c>
      <c r="P787" s="11"/>
    </row>
    <row r="788" spans="4:16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-6.0247860940930854E-2</v>
      </c>
      <c r="H788" t="s">
        <v>35</v>
      </c>
      <c r="I788">
        <f>VLOOKUP(Table4[[#This Row],[Visitor]],'NHL Model'!$A$6:$B$38,2,FALSE)</f>
        <v>-1.5569791149906038</v>
      </c>
      <c r="J788">
        <f>($B$1+Table4[[#This Row],[Home Differential]])-Table4[[#This Row],[Away Differential]]</f>
        <v>1.6342746430220894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0.76047213932111501</v>
      </c>
      <c r="M788" t="str">
        <f>IF(OR((NHL2025_26Results[[#This Row],[Winning Team]]="")),"-",IF(Table4[[#This Row],[Predicted Winner]]=NHL2025_26Results[[#This Row],[Winning Team]],"YES","NO"))</f>
        <v>-</v>
      </c>
      <c r="N788" t="str">
        <f>IF(Table4[[#This Row],[Adjusted Correct]]="-", "",IF(Table4[[#This Row],[Adjusted Correct]]="YES",(Table4[[#This Row],[Strength of Win]]-1)^2,(Table4[[#This Row],[Strength of Win]]-0)^2))</f>
        <v/>
      </c>
      <c r="P788" s="11"/>
    </row>
    <row r="789" spans="4:16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-1.0952038865534519</v>
      </c>
      <c r="H789" t="s">
        <v>14</v>
      </c>
      <c r="I789">
        <f>VLOOKUP(Table4[[#This Row],[Visitor]],'NHL Model'!$A$6:$B$38,2,FALSE)</f>
        <v>-0.2090057419115289</v>
      </c>
      <c r="J789">
        <f>($B$1+Table4[[#This Row],[Home Differential]])-Table4[[#This Row],[Away Differential]]</f>
        <v>-0.74865475566950668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0.55985424660301342</v>
      </c>
      <c r="M789" t="str">
        <f>IF(OR((NHL2025_26Results[[#This Row],[Winning Team]]="")),"-",IF(Table4[[#This Row],[Predicted Winner]]=NHL2025_26Results[[#This Row],[Winning Team]],"YES","NO"))</f>
        <v>-</v>
      </c>
      <c r="N789" t="str">
        <f>IF(Table4[[#This Row],[Adjusted Correct]]="-", "",IF(Table4[[#This Row],[Adjusted Correct]]="YES",(Table4[[#This Row],[Strength of Win]]-1)^2,(Table4[[#This Row],[Strength of Win]]-0)^2))</f>
        <v/>
      </c>
      <c r="P789" s="11"/>
    </row>
    <row r="790" spans="4:16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1.4458345276269271</v>
      </c>
      <c r="H790" t="s">
        <v>31</v>
      </c>
      <c r="I790">
        <f>VLOOKUP(Table4[[#This Row],[Visitor]],'NHL Model'!$A$6:$B$38,2,FALSE)</f>
        <v>0.34329638981067145</v>
      </c>
      <c r="J790">
        <f>($B$1+Table4[[#This Row],[Home Differential]])-Table4[[#This Row],[Away Differential]]</f>
        <v>1.2400815267886722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0.78078449516372816</v>
      </c>
      <c r="M790" t="str">
        <f>IF(OR((NHL2025_26Results[[#This Row],[Winning Team]]="")),"-",IF(Table4[[#This Row],[Predicted Winner]]=NHL2025_26Results[[#This Row],[Winning Team]],"YES","NO"))</f>
        <v>-</v>
      </c>
      <c r="N790" t="str">
        <f>IF(Table4[[#This Row],[Adjusted Correct]]="-", "",IF(Table4[[#This Row],[Adjusted Correct]]="YES",(Table4[[#This Row],[Strength of Win]]-1)^2,(Table4[[#This Row],[Strength of Win]]-0)^2))</f>
        <v/>
      </c>
      <c r="P790" s="11"/>
    </row>
    <row r="791" spans="4:16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-0.45007023285116615</v>
      </c>
      <c r="H791" t="s">
        <v>30</v>
      </c>
      <c r="I791">
        <f>VLOOKUP(Table4[[#This Row],[Visitor]],'NHL Model'!$A$6:$B$38,2,FALSE)</f>
        <v>3.838472305373858E-3</v>
      </c>
      <c r="J791">
        <f>($B$1+Table4[[#This Row],[Home Differential]])-Table4[[#This Row],[Away Differential]]</f>
        <v>-0.31636531618412367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0.54852536000364582</v>
      </c>
      <c r="M791" t="str">
        <f>IF(OR((NHL2025_26Results[[#This Row],[Winning Team]]="")),"-",IF(Table4[[#This Row],[Predicted Winner]]=NHL2025_26Results[[#This Row],[Winning Team]],"YES","NO"))</f>
        <v>-</v>
      </c>
      <c r="N791" t="str">
        <f>IF(Table4[[#This Row],[Adjusted Correct]]="-", "",IF(Table4[[#This Row],[Adjusted Correct]]="YES",(Table4[[#This Row],[Strength of Win]]-1)^2,(Table4[[#This Row],[Strength of Win]]-0)^2))</f>
        <v/>
      </c>
      <c r="P791" s="11"/>
    </row>
    <row r="792" spans="4:16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-0.93520311342823803</v>
      </c>
      <c r="H792" t="s">
        <v>26</v>
      </c>
      <c r="I792">
        <f>VLOOKUP(Table4[[#This Row],[Visitor]],'NHL Model'!$A$6:$B$38,2,FALSE)</f>
        <v>-0.66335717753705836</v>
      </c>
      <c r="J792">
        <f>($B$1+Table4[[#This Row],[Home Differential]])-Table4[[#This Row],[Away Differential]]</f>
        <v>-0.13430254691876331</v>
      </c>
      <c r="K792" t="str">
        <f>IF(Table4[[#This Row],[HomeIce Differential]]&gt;0,Table4[[#This Row],[Home]],Table4[[#This Row],[Visitor]])</f>
        <v>Detroit Red Wings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0.52501242754692878</v>
      </c>
      <c r="M792" t="str">
        <f>IF(OR((NHL2025_26Results[[#This Row],[Winning Team]]="")),"-",IF(Table4[[#This Row],[Predicted Winner]]=NHL2025_26Results[[#This Row],[Winning Team]],"YES","NO"))</f>
        <v>-</v>
      </c>
      <c r="N792" t="str">
        <f>IF(Table4[[#This Row],[Adjusted Correct]]="-", "",IF(Table4[[#This Row],[Adjusted Correct]]="YES",(Table4[[#This Row],[Strength of Win]]-1)^2,(Table4[[#This Row],[Strength of Win]]-0)^2))</f>
        <v/>
      </c>
      <c r="P792" s="11"/>
    </row>
    <row r="793" spans="4:16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-0.30969050963205513</v>
      </c>
      <c r="H793" t="s">
        <v>27</v>
      </c>
      <c r="I793">
        <f>VLOOKUP(Table4[[#This Row],[Visitor]],'NHL Model'!$A$6:$B$38,2,FALSE)</f>
        <v>-0.42203126246971279</v>
      </c>
      <c r="J793">
        <f>($B$1+Table4[[#This Row],[Home Differential]])-Table4[[#This Row],[Away Differential]]</f>
        <v>0.24988414181007401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0.6250450810081507</v>
      </c>
      <c r="M793" t="str">
        <f>IF(OR((NHL2025_26Results[[#This Row],[Winning Team]]="")),"-",IF(Table4[[#This Row],[Predicted Winner]]=NHL2025_26Results[[#This Row],[Winning Team]],"YES","NO"))</f>
        <v>-</v>
      </c>
      <c r="N793" t="str">
        <f>IF(Table4[[#This Row],[Adjusted Correct]]="-", "",IF(Table4[[#This Row],[Adjusted Correct]]="YES",(Table4[[#This Row],[Strength of Win]]-1)^2,(Table4[[#This Row],[Strength of Win]]-0)^2))</f>
        <v/>
      </c>
      <c r="P793" s="11"/>
    </row>
    <row r="794" spans="4:16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-1.1236485959014608</v>
      </c>
      <c r="H794" t="s">
        <v>22</v>
      </c>
      <c r="I794">
        <f>VLOOKUP(Table4[[#This Row],[Visitor]],'NHL Model'!$A$6:$B$38,2,FALSE)</f>
        <v>6.4811420118814619E-2</v>
      </c>
      <c r="J794">
        <f>($B$1+Table4[[#This Row],[Home Differential]])-Table4[[#This Row],[Away Differential]]</f>
        <v>-1.0509166270478592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0.62093863093900536</v>
      </c>
      <c r="M794" t="str">
        <f>IF(OR((NHL2025_26Results[[#This Row],[Winning Team]]="")),"-",IF(Table4[[#This Row],[Predicted Winner]]=NHL2025_26Results[[#This Row],[Winning Team]],"YES","NO"))</f>
        <v>-</v>
      </c>
      <c r="N794" t="str">
        <f>IF(Table4[[#This Row],[Adjusted Correct]]="-", "",IF(Table4[[#This Row],[Adjusted Correct]]="YES",(Table4[[#This Row],[Strength of Win]]-1)^2,(Table4[[#This Row],[Strength of Win]]-0)^2))</f>
        <v/>
      </c>
      <c r="P794" s="11"/>
    </row>
    <row r="795" spans="4:16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-0.14464931395309213</v>
      </c>
      <c r="H795" t="s">
        <v>20</v>
      </c>
      <c r="I795">
        <f>VLOOKUP(Table4[[#This Row],[Visitor]],'NHL Model'!$A$6:$B$38,2,FALSE)</f>
        <v>0.12073374225454764</v>
      </c>
      <c r="J795">
        <f>($B$1+Table4[[#This Row],[Home Differential]])-Table4[[#This Row],[Away Differential]]</f>
        <v>-0.12783966723522341</v>
      </c>
      <c r="K795" t="str">
        <f>IF(Table4[[#This Row],[HomeIce Differential]]&gt;0,Table4[[#This Row],[Home]],Table4[[#This Row],[Visitor]])</f>
        <v>Vegas Golden Knights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0.44562245718118798</v>
      </c>
      <c r="M795" t="str">
        <f>IF(OR((NHL2025_26Results[[#This Row],[Winning Team]]="")),"-",IF(Table4[[#This Row],[Predicted Winner]]=NHL2025_26Results[[#This Row],[Winning Team]],"YES","NO"))</f>
        <v>-</v>
      </c>
      <c r="N795" t="str">
        <f>IF(Table4[[#This Row],[Adjusted Correct]]="-", "",IF(Table4[[#This Row],[Adjusted Correct]]="YES",(Table4[[#This Row],[Strength of Win]]-1)^2,(Table4[[#This Row],[Strength of Win]]-0)^2))</f>
        <v/>
      </c>
      <c r="P795" s="11"/>
    </row>
    <row r="796" spans="4:16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0.42515174825138019</v>
      </c>
      <c r="H796" t="s">
        <v>10</v>
      </c>
      <c r="I796">
        <f>VLOOKUP(Table4[[#This Row],[Visitor]],'NHL Model'!$A$6:$B$38,2,FALSE)</f>
        <v>-0.15263505358797036</v>
      </c>
      <c r="J796">
        <f>($B$1+Table4[[#This Row],[Home Differential]])-Table4[[#This Row],[Away Differential]]</f>
        <v>0.71533019081176685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0.68712545143984594</v>
      </c>
      <c r="M796" t="str">
        <f>IF(OR((NHL2025_26Results[[#This Row],[Winning Team]]="")),"-",IF(Table4[[#This Row],[Predicted Winner]]=NHL2025_26Results[[#This Row],[Winning Team]],"YES","NO"))</f>
        <v>-</v>
      </c>
      <c r="N796" t="str">
        <f>IF(Table4[[#This Row],[Adjusted Correct]]="-", "",IF(Table4[[#This Row],[Adjusted Correct]]="YES",(Table4[[#This Row],[Strength of Win]]-1)^2,(Table4[[#This Row],[Strength of Win]]-0)^2))</f>
        <v/>
      </c>
      <c r="P796" s="11"/>
    </row>
    <row r="797" spans="4:16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-0.59418600019583889</v>
      </c>
      <c r="H797" t="s">
        <v>39</v>
      </c>
      <c r="I797">
        <f>VLOOKUP(Table4[[#This Row],[Visitor]],'NHL Model'!$A$6:$B$38,2,FALSE)</f>
        <v>4.3828122498436855E-3</v>
      </c>
      <c r="J797">
        <f>($B$1+Table4[[#This Row],[Home Differential]])-Table4[[#This Row],[Away Differential]]</f>
        <v>-0.46102542347326619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0.59538906030554128</v>
      </c>
      <c r="M797" t="str">
        <f>IF(OR((NHL2025_26Results[[#This Row],[Winning Team]]="")),"-",IF(Table4[[#This Row],[Predicted Winner]]=NHL2025_26Results[[#This Row],[Winning Team]],"YES","NO"))</f>
        <v>-</v>
      </c>
      <c r="N797" t="str">
        <f>IF(Table4[[#This Row],[Adjusted Correct]]="-", "",IF(Table4[[#This Row],[Adjusted Correct]]="YES",(Table4[[#This Row],[Strength of Win]]-1)^2,(Table4[[#This Row],[Strength of Win]]-0)^2))</f>
        <v/>
      </c>
      <c r="P797" s="11"/>
    </row>
    <row r="798" spans="4:16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-0.87263145033954281</v>
      </c>
      <c r="H798" t="s">
        <v>14</v>
      </c>
      <c r="I798">
        <f>VLOOKUP(Table4[[#This Row],[Visitor]],'NHL Model'!$A$6:$B$38,2,FALSE)</f>
        <v>-0.2090057419115289</v>
      </c>
      <c r="J798">
        <f>($B$1+Table4[[#This Row],[Home Differential]])-Table4[[#This Row],[Away Differential]]</f>
        <v>-0.52608231945559758</v>
      </c>
      <c r="K798" t="str">
        <f>IF(Table4[[#This Row],[HomeIce Differential]]&gt;0,Table4[[#This Row],[Home]],Table4[[#This Row],[Visitor]])</f>
        <v>Pittsburgh Penguins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0.49413106253245809</v>
      </c>
      <c r="M798" t="str">
        <f>IF(OR((NHL2025_26Results[[#This Row],[Winning Team]]="")),"-",IF(Table4[[#This Row],[Predicted Winner]]=NHL2025_26Results[[#This Row],[Winning Team]],"YES","NO"))</f>
        <v>-</v>
      </c>
      <c r="N798" t="str">
        <f>IF(Table4[[#This Row],[Adjusted Correct]]="-", "",IF(Table4[[#This Row],[Adjusted Correct]]="YES",(Table4[[#This Row],[Strength of Win]]-1)^2,(Table4[[#This Row],[Strength of Win]]-0)^2))</f>
        <v/>
      </c>
      <c r="P798" s="11"/>
    </row>
    <row r="799" spans="4:16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-0.16358905079701039</v>
      </c>
      <c r="H799" t="s">
        <v>26</v>
      </c>
      <c r="I799">
        <f>VLOOKUP(Table4[[#This Row],[Visitor]],'NHL Model'!$A$6:$B$38,2,FALSE)</f>
        <v>-0.66335717753705836</v>
      </c>
      <c r="J799">
        <f>($B$1+Table4[[#This Row],[Home Differential]])-Table4[[#This Row],[Away Differential]]</f>
        <v>0.63731151571246436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0.57790409079326166</v>
      </c>
      <c r="M799" t="str">
        <f>IF(OR((NHL2025_26Results[[#This Row],[Winning Team]]="")),"-",IF(Table4[[#This Row],[Predicted Winner]]=NHL2025_26Results[[#This Row],[Winning Team]],"YES","NO"))</f>
        <v>-</v>
      </c>
      <c r="N799" t="str">
        <f>IF(Table4[[#This Row],[Adjusted Correct]]="-", "",IF(Table4[[#This Row],[Adjusted Correct]]="YES",(Table4[[#This Row],[Strength of Win]]-1)^2,(Table4[[#This Row],[Strength of Win]]-0)^2))</f>
        <v/>
      </c>
      <c r="P799" s="11"/>
    </row>
    <row r="800" spans="4:16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-0.74754136228530599</v>
      </c>
      <c r="H800" t="s">
        <v>23</v>
      </c>
      <c r="I800">
        <f>VLOOKUP(Table4[[#This Row],[Visitor]],'NHL Model'!$A$6:$B$38,2,FALSE)</f>
        <v>-0.51535072045188635</v>
      </c>
      <c r="J800">
        <f>($B$1+Table4[[#This Row],[Home Differential]])-Table4[[#This Row],[Away Differential]]</f>
        <v>-9.4647252861003284E-2</v>
      </c>
      <c r="K800" t="str">
        <f>IF(Table4[[#This Row],[HomeIce Differential]]&gt;0,Table4[[#This Row],[Home]],Table4[[#This Row],[Visitor]])</f>
        <v>Buffalo Sabres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0.47262388311288911</v>
      </c>
      <c r="M800" t="str">
        <f>IF(OR((NHL2025_26Results[[#This Row],[Winning Team]]="")),"-",IF(Table4[[#This Row],[Predicted Winner]]=NHL2025_26Results[[#This Row],[Winning Team]],"YES","NO"))</f>
        <v>-</v>
      </c>
      <c r="N800" t="str">
        <f>IF(Table4[[#This Row],[Adjusted Correct]]="-", "",IF(Table4[[#This Row],[Adjusted Correct]]="YES",(Table4[[#This Row],[Strength of Win]]-1)^2,(Table4[[#This Row],[Strength of Win]]-0)^2))</f>
        <v/>
      </c>
      <c r="P800" s="11"/>
    </row>
    <row r="801" spans="4:16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-1.4957350924899622</v>
      </c>
      <c r="H801" t="s">
        <v>36</v>
      </c>
      <c r="I801">
        <f>VLOOKUP(Table4[[#This Row],[Visitor]],'NHL Model'!$A$6:$B$38,2,FALSE)</f>
        <v>-0.31751962084606655</v>
      </c>
      <c r="J801">
        <f>($B$1+Table4[[#This Row],[Home Differential]])-Table4[[#This Row],[Away Differential]]</f>
        <v>-1.0406720826714793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0.61957223173730691</v>
      </c>
      <c r="M801" t="str">
        <f>IF(OR((NHL2025_26Results[[#This Row],[Winning Team]]="")),"-",IF(Table4[[#This Row],[Predicted Winner]]=NHL2025_26Results[[#This Row],[Winning Team]],"YES","NO"))</f>
        <v>-</v>
      </c>
      <c r="N801" t="str">
        <f>IF(Table4[[#This Row],[Adjusted Correct]]="-", "",IF(Table4[[#This Row],[Adjusted Correct]]="YES",(Table4[[#This Row],[Strength of Win]]-1)^2,(Table4[[#This Row],[Strength of Win]]-0)^2))</f>
        <v/>
      </c>
      <c r="P801" s="11"/>
    </row>
    <row r="802" spans="4:16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-6.0247860940930854E-2</v>
      </c>
      <c r="H802" t="s">
        <v>11</v>
      </c>
      <c r="I802">
        <f>VLOOKUP(Table4[[#This Row],[Visitor]],'NHL Model'!$A$6:$B$38,2,FALSE)</f>
        <v>-0.37836939589441088</v>
      </c>
      <c r="J802">
        <f>($B$1+Table4[[#This Row],[Home Differential]])-Table4[[#This Row],[Away Differential]]</f>
        <v>0.45566492392589641</v>
      </c>
      <c r="K802" t="str">
        <f>IF(Table4[[#This Row],[HomeIce Differential]]&gt;0,Table4[[#This Row],[Home]],Table4[[#This Row],[Visitor]])</f>
        <v>Winnipeg Jets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0.60327126048065072</v>
      </c>
      <c r="M802" t="str">
        <f>IF(OR((NHL2025_26Results[[#This Row],[Winning Team]]="")),"-",IF(Table4[[#This Row],[Predicted Winner]]=NHL2025_26Results[[#This Row],[Winning Team]],"YES","NO"))</f>
        <v>-</v>
      </c>
      <c r="N802" t="str">
        <f>IF(Table4[[#This Row],[Adjusted Correct]]="-", "",IF(Table4[[#This Row],[Adjusted Correct]]="YES",(Table4[[#This Row],[Strength of Win]]-1)^2,(Table4[[#This Row],[Strength of Win]]-0)^2))</f>
        <v/>
      </c>
      <c r="P802" s="11"/>
    </row>
    <row r="803" spans="4:16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-1.0952038865534519</v>
      </c>
      <c r="H803" t="s">
        <v>22</v>
      </c>
      <c r="I803">
        <f>VLOOKUP(Table4[[#This Row],[Visitor]],'NHL Model'!$A$6:$B$38,2,FALSE)</f>
        <v>6.4811420118814619E-2</v>
      </c>
      <c r="J803">
        <f>($B$1+Table4[[#This Row],[Home Differential]])-Table4[[#This Row],[Away Differential]]</f>
        <v>-1.0224719176998502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0.61714472593769798</v>
      </c>
      <c r="M803" t="str">
        <f>IF(OR((NHL2025_26Results[[#This Row],[Winning Team]]="")),"-",IF(Table4[[#This Row],[Predicted Winner]]=NHL2025_26Results[[#This Row],[Winning Team]],"YES","NO"))</f>
        <v>-</v>
      </c>
      <c r="N803" t="str">
        <f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6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-0.15263505358797036</v>
      </c>
      <c r="H804" t="s">
        <v>37</v>
      </c>
      <c r="I804">
        <f>VLOOKUP(Table4[[#This Row],[Visitor]],'NHL Model'!$A$6:$B$38,2,FALSE)</f>
        <v>7.1667377873261273E-2</v>
      </c>
      <c r="J804">
        <f>($B$1+Table4[[#This Row],[Home Differential]])-Table4[[#This Row],[Away Differential]]</f>
        <v>-8.6759042488815274E-2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0.53788755704493552</v>
      </c>
      <c r="M804" t="str">
        <f>IF(OR((NHL2025_26Results[[#This Row],[Winning Team]]="")),"-",IF(Table4[[#This Row],[Predicted Winner]]=NHL2025_26Results[[#This Row],[Winning Team]],"YES","NO"))</f>
        <v>-</v>
      </c>
      <c r="N804" t="str">
        <f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6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1.4458345276269271</v>
      </c>
      <c r="H805" t="s">
        <v>27</v>
      </c>
      <c r="I805">
        <f>VLOOKUP(Table4[[#This Row],[Visitor]],'NHL Model'!$A$6:$B$38,2,FALSE)</f>
        <v>-0.42203126246971279</v>
      </c>
      <c r="J805">
        <f>($B$1+Table4[[#This Row],[Home Differential]])-Table4[[#This Row],[Away Differential]]</f>
        <v>2.0054091790690562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0.90239856275084007</v>
      </c>
      <c r="M805" t="str">
        <f>IF(OR((NHL2025_26Results[[#This Row],[Winning Team]]="")),"-",IF(Table4[[#This Row],[Predicted Winner]]=NHL2025_26Results[[#This Row],[Winning Team]],"YES","NO"))</f>
        <v>-</v>
      </c>
      <c r="N805" t="str">
        <f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6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4.3828122498436855E-3</v>
      </c>
      <c r="H806" t="s">
        <v>35</v>
      </c>
      <c r="I806">
        <f>VLOOKUP(Table4[[#This Row],[Visitor]],'NHL Model'!$A$6:$B$38,2,FALSE)</f>
        <v>-1.5569791149906038</v>
      </c>
      <c r="J806">
        <f>($B$1+Table4[[#This Row],[Home Differential]])-Table4[[#This Row],[Away Differential]]</f>
        <v>1.6989053162128638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0.76909246415046706</v>
      </c>
      <c r="M806" t="str">
        <f>IF(OR((NHL2025_26Results[[#This Row],[Winning Team]]="")),"-",IF(Table4[[#This Row],[Predicted Winner]]=NHL2025_26Results[[#This Row],[Winning Team]],"YES","NO"))</f>
        <v>-</v>
      </c>
      <c r="N806" t="str">
        <f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6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-0.45007023285116615</v>
      </c>
      <c r="H807" t="s">
        <v>31</v>
      </c>
      <c r="I807">
        <f>VLOOKUP(Table4[[#This Row],[Visitor]],'NHL Model'!$A$6:$B$38,2,FALSE)</f>
        <v>0.34329638981067145</v>
      </c>
      <c r="J807">
        <f>($B$1+Table4[[#This Row],[Home Differential]])-Table4[[#This Row],[Away Differential]]</f>
        <v>-0.65582323368942119</v>
      </c>
      <c r="K807" t="str">
        <f>IF(Table4[[#This Row],[HomeIce Differential]]&gt;0,Table4[[#This Row],[Home]],Table4[[#This Row],[Visitor]])</f>
        <v>Anaheim Ducks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0.54201799700762809</v>
      </c>
      <c r="M807" t="str">
        <f>IF(OR((NHL2025_26Results[[#This Row],[Winning Team]]="")),"-",IF(Table4[[#This Row],[Predicted Winner]]=NHL2025_26Results[[#This Row],[Winning Team]],"YES","NO"))</f>
        <v>-</v>
      </c>
      <c r="N807" t="str">
        <f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6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-0.36178381286707545</v>
      </c>
      <c r="H808" t="s">
        <v>15</v>
      </c>
      <c r="I808">
        <f>VLOOKUP(Table4[[#This Row],[Visitor]],'NHL Model'!$A$6:$B$38,2,FALSE)</f>
        <v>-0.49835870184734621</v>
      </c>
      <c r="J808">
        <f>($B$1+Table4[[#This Row],[Home Differential]])-Table4[[#This Row],[Away Differential]]</f>
        <v>0.27411827795268712</v>
      </c>
      <c r="K808" t="str">
        <f>IF(Table4[[#This Row],[HomeIce Differential]]&gt;0,Table4[[#This Row],[Home]],Table4[[#This Row],[Visitor]])</f>
        <v>San Jose Sharks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0.49308315000480091</v>
      </c>
      <c r="M808" t="str">
        <f>IF(OR((NHL2025_26Results[[#This Row],[Winning Team]]="")),"-",IF(Table4[[#This Row],[Predicted Winner]]=NHL2025_26Results[[#This Row],[Winning Team]],"YES","NO"))</f>
        <v>-</v>
      </c>
      <c r="N808" t="str">
        <f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6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-0.93520311342823803</v>
      </c>
      <c r="H809" t="s">
        <v>20</v>
      </c>
      <c r="I809">
        <f>VLOOKUP(Table4[[#This Row],[Visitor]],'NHL Model'!$A$6:$B$38,2,FALSE)</f>
        <v>0.12073374225454764</v>
      </c>
      <c r="J809">
        <f>($B$1+Table4[[#This Row],[Home Differential]])-Table4[[#This Row],[Away Differential]]</f>
        <v>-0.91839346671036926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0.60326292630647904</v>
      </c>
      <c r="M809" t="str">
        <f>IF(OR((NHL2025_26Results[[#This Row],[Winning Team]]="")),"-",IF(Table4[[#This Row],[Predicted Winner]]=NHL2025_26Results[[#This Row],[Winning Team]],"YES","NO"))</f>
        <v>-</v>
      </c>
      <c r="N809" t="str">
        <f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6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-1.1236485959014608</v>
      </c>
      <c r="H810" t="s">
        <v>24</v>
      </c>
      <c r="I810">
        <f>VLOOKUP(Table4[[#This Row],[Visitor]],'NHL Model'!$A$6:$B$38,2,FALSE)</f>
        <v>-1.8032585202533785E-2</v>
      </c>
      <c r="J810">
        <f>($B$1+Table4[[#This Row],[Home Differential]])-Table4[[#This Row],[Away Differential]]</f>
        <v>-0.96807262172651065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0.58994930641600973</v>
      </c>
      <c r="M810" t="str">
        <f>IF(OR((NHL2025_26Results[[#This Row],[Winning Team]]="")),"-",IF(Table4[[#This Row],[Predicted Winner]]=NHL2025_26Results[[#This Row],[Winning Team]],"YES","NO"))</f>
        <v>-</v>
      </c>
      <c r="N810" t="str">
        <f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6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-0.14464931395309213</v>
      </c>
      <c r="H811" t="s">
        <v>18</v>
      </c>
      <c r="I811">
        <f>VLOOKUP(Table4[[#This Row],[Visitor]],'NHL Model'!$A$6:$B$38,2,FALSE)</f>
        <v>-0.74754136228530599</v>
      </c>
      <c r="J811">
        <f>($B$1+Table4[[#This Row],[Home Differential]])-Table4[[#This Row],[Away Differential]]</f>
        <v>0.74043543730463024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0.64421251391773571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6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-0.59418600019583889</v>
      </c>
      <c r="H812" t="s">
        <v>37</v>
      </c>
      <c r="I812">
        <f>VLOOKUP(Table4[[#This Row],[Visitor]],'NHL Model'!$A$6:$B$38,2,FALSE)</f>
        <v>7.1667377873261273E-2</v>
      </c>
      <c r="J812">
        <f>($B$1+Table4[[#This Row],[Home Differential]])-Table4[[#This Row],[Away Differential]]</f>
        <v>-0.52830998909668381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0.58969582075764926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6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-0.87263145033954281</v>
      </c>
      <c r="H813" t="s">
        <v>22</v>
      </c>
      <c r="I813">
        <f>VLOOKUP(Table4[[#This Row],[Visitor]],'NHL Model'!$A$6:$B$38,2,FALSE)</f>
        <v>6.4811420118814619E-2</v>
      </c>
      <c r="J813">
        <f>($B$1+Table4[[#This Row],[Home Differential]])-Table4[[#This Row],[Away Differential]]</f>
        <v>-0.79989948148594103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0.55113362190180337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6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-0.16358905079701039</v>
      </c>
      <c r="H814" t="s">
        <v>11</v>
      </c>
      <c r="I814">
        <f>VLOOKUP(Table4[[#This Row],[Visitor]],'NHL Model'!$A$6:$B$38,2,FALSE)</f>
        <v>-0.37836939589441088</v>
      </c>
      <c r="J814">
        <f>($B$1+Table4[[#This Row],[Home Differential]])-Table4[[#This Row],[Away Differential]]</f>
        <v>0.35232373406981687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0.58699231623051717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6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-1.4957350924899622</v>
      </c>
      <c r="H815" t="s">
        <v>55</v>
      </c>
      <c r="I815">
        <f>VLOOKUP(Table4[[#This Row],[Visitor]],'NHL Model'!$A$6:$B$38,2,FALSE)</f>
        <v>-0.30969050963205513</v>
      </c>
      <c r="J815">
        <f>($B$1+Table4[[#This Row],[Home Differential]])-Table4[[#This Row],[Away Differential]]</f>
        <v>-1.0485011938854907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0.59984723396856954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6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3.838472305373858E-3</v>
      </c>
      <c r="H816" t="s">
        <v>23</v>
      </c>
      <c r="I816">
        <f>VLOOKUP(Table4[[#This Row],[Visitor]],'NHL Model'!$A$6:$B$38,2,FALSE)</f>
        <v>-0.51535072045188635</v>
      </c>
      <c r="J816">
        <f>($B$1+Table4[[#This Row],[Home Differential]])-Table4[[#This Row],[Away Differential]]</f>
        <v>0.65673258172967652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0.62759382969473576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-0.31751962084606655</v>
      </c>
      <c r="H817" t="s">
        <v>25</v>
      </c>
      <c r="I817">
        <f>VLOOKUP(Table4[[#This Row],[Visitor]],'NHL Model'!$A$6:$B$38,2,FALSE)</f>
        <v>0.42515174825138019</v>
      </c>
      <c r="J817">
        <f>($B$1+Table4[[#This Row],[Home Differential]])-Table4[[#This Row],[Away Differential]]</f>
        <v>-0.60512798012503044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0.61083138117225211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-1.5569791149906038</v>
      </c>
      <c r="H818" t="s">
        <v>13</v>
      </c>
      <c r="I818">
        <f>VLOOKUP(Table4[[#This Row],[Visitor]],'NHL Model'!$A$6:$B$38,2,FALSE)</f>
        <v>-0.36134162888396865</v>
      </c>
      <c r="J818">
        <f>($B$1+Table4[[#This Row],[Home Differential]])-Table4[[#This Row],[Away Differential]]</f>
        <v>-1.0580940971342188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0.68460497929927433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-6.0247860940930854E-2</v>
      </c>
      <c r="H819" t="s">
        <v>26</v>
      </c>
      <c r="I819">
        <f>VLOOKUP(Table4[[#This Row],[Visitor]],'NHL Model'!$A$6:$B$38,2,FALSE)</f>
        <v>-0.66335717753705836</v>
      </c>
      <c r="J819">
        <f>($B$1+Table4[[#This Row],[Home Differential]])-Table4[[#This Row],[Away Differential]]</f>
        <v>0.7406527055685439</v>
      </c>
      <c r="K819" t="str">
        <f>IF(Table4[[#This Row],[HomeIce Differential]]&gt;0,Table4[[#This Row],[Home]],Table4[[#This Row],[Visitor]])</f>
        <v>Winnipeg Jets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0.59419979135648271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-1.0952038865534519</v>
      </c>
      <c r="H820" t="s">
        <v>31</v>
      </c>
      <c r="I820">
        <f>VLOOKUP(Table4[[#This Row],[Visitor]],'NHL Model'!$A$6:$B$38,2,FALSE)</f>
        <v>0.34329638981067145</v>
      </c>
      <c r="J820">
        <f>($B$1+Table4[[#This Row],[Home Differential]])-Table4[[#This Row],[Away Differential]]</f>
        <v>-1.300956887391707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0.65428855842958578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-0.15263505358797036</v>
      </c>
      <c r="H821" t="s">
        <v>11</v>
      </c>
      <c r="I821">
        <f>VLOOKUP(Table4[[#This Row],[Visitor]],'NHL Model'!$A$6:$B$38,2,FALSE)</f>
        <v>-0.37836939589441088</v>
      </c>
      <c r="J821">
        <f>($B$1+Table4[[#This Row],[Home Differential]])-Table4[[#This Row],[Away Differential]]</f>
        <v>0.36327773127885687</v>
      </c>
      <c r="K821" t="str">
        <f>IF(Table4[[#This Row],[HomeIce Differential]]&gt;0,Table4[[#This Row],[Home]],Table4[[#This Row],[Visitor]])</f>
        <v>Chicago Blackhawks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0.58845334099569357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-0.31751962084606655</v>
      </c>
      <c r="H822" t="s">
        <v>20</v>
      </c>
      <c r="I822">
        <f>VLOOKUP(Table4[[#This Row],[Visitor]],'NHL Model'!$A$6:$B$38,2,FALSE)</f>
        <v>0.12073374225454764</v>
      </c>
      <c r="J822">
        <f>($B$1+Table4[[#This Row],[Home Differential]])-Table4[[#This Row],[Away Differential]]</f>
        <v>-0.30070997412819783</v>
      </c>
      <c r="K822" t="str">
        <f>IF(Table4[[#This Row],[HomeIce Differential]]&gt;0,Table4[[#This Row],[Home]],Table4[[#This Row],[Visitor]])</f>
        <v>Vegas Golden Knights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0.51836903382275978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-0.45007023285116615</v>
      </c>
      <c r="H823" t="s">
        <v>24</v>
      </c>
      <c r="I823">
        <f>VLOOKUP(Table4[[#This Row],[Visitor]],'NHL Model'!$A$6:$B$38,2,FALSE)</f>
        <v>-1.8032585202533785E-2</v>
      </c>
      <c r="J823">
        <f>($B$1+Table4[[#This Row],[Home Differential]])-Table4[[#This Row],[Away Differential]]</f>
        <v>-0.29449425867621604</v>
      </c>
      <c r="K823" t="str">
        <f>IF(Table4[[#This Row],[HomeIce Differential]]&gt;0,Table4[[#This Row],[Home]],Table4[[#This Row],[Visitor]])</f>
        <v>New Jersey Devils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0.47406173182461553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-0.93520311342823803</v>
      </c>
      <c r="H824" t="s">
        <v>12</v>
      </c>
      <c r="I824">
        <f>VLOOKUP(Table4[[#This Row],[Visitor]],'NHL Model'!$A$6:$B$38,2,FALSE)</f>
        <v>1.4458345276269271</v>
      </c>
      <c r="J824">
        <f>($B$1+Table4[[#This Row],[Home Differential]])-Table4[[#This Row],[Away Differential]]</f>
        <v>-2.2434942520827486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0.85171948143411591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-1.1236485959014608</v>
      </c>
      <c r="H825" t="s">
        <v>14</v>
      </c>
      <c r="I825">
        <f>VLOOKUP(Table4[[#This Row],[Visitor]],'NHL Model'!$A$6:$B$38,2,FALSE)</f>
        <v>-0.2090057419115289</v>
      </c>
      <c r="J825">
        <f>($B$1+Table4[[#This Row],[Home Differential]])-Table4[[#This Row],[Away Differential]]</f>
        <v>-0.77709946501751559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0.5636481516043208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-0.59418600019583889</v>
      </c>
      <c r="H826" t="s">
        <v>13</v>
      </c>
      <c r="I826">
        <f>VLOOKUP(Table4[[#This Row],[Visitor]],'NHL Model'!$A$6:$B$38,2,FALSE)</f>
        <v>-0.36134162888396865</v>
      </c>
      <c r="J826">
        <f>($B$1+Table4[[#This Row],[Home Differential]])-Table4[[#This Row],[Away Differential]]</f>
        <v>-9.5300982339453888E-2</v>
      </c>
      <c r="K826" t="str">
        <f>IF(Table4[[#This Row],[HomeIce Differential]]&gt;0,Table4[[#This Row],[Home]],Table4[[#This Row],[Visitor]])</f>
        <v>Los Angeles Kings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0.54913491745358489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-0.87263145033954281</v>
      </c>
      <c r="H827" t="s">
        <v>31</v>
      </c>
      <c r="I827">
        <f>VLOOKUP(Table4[[#This Row],[Visitor]],'NHL Model'!$A$6:$B$38,2,FALSE)</f>
        <v>0.34329638981067145</v>
      </c>
      <c r="J827">
        <f>($B$1+Table4[[#This Row],[Home Differential]])-Table4[[#This Row],[Away Differential]]</f>
        <v>-1.078384451177798</v>
      </c>
      <c r="K827" t="str">
        <f>IF(Table4[[#This Row],[HomeIce Differential]]&gt;0,Table4[[#This Row],[Home]],Table4[[#This Row],[Visitor]])</f>
        <v>Anaheim Ducks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0.58827745439369117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-0.49835870184734621</v>
      </c>
      <c r="H828" t="s">
        <v>21</v>
      </c>
      <c r="I828">
        <f>VLOOKUP(Table4[[#This Row],[Visitor]],'NHL Model'!$A$6:$B$38,2,FALSE)</f>
        <v>-0.14464931395309213</v>
      </c>
      <c r="J828">
        <f>($B$1+Table4[[#This Row],[Home Differential]])-Table4[[#This Row],[Away Differential]]</f>
        <v>-0.21616599892183772</v>
      </c>
      <c r="K828" t="str">
        <f>IF(Table4[[#This Row],[HomeIce Differential]]&gt;0,Table4[[#This Row],[Home]],Table4[[#This Row],[Visitor]])</f>
        <v>Boston Bruins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0.48883183844097111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-0.42203126246971279</v>
      </c>
      <c r="H829" t="s">
        <v>30</v>
      </c>
      <c r="I829">
        <f>VLOOKUP(Table4[[#This Row],[Visitor]],'NHL Model'!$A$6:$B$38,2,FALSE)</f>
        <v>3.838472305373858E-3</v>
      </c>
      <c r="J829">
        <f>($B$1+Table4[[#This Row],[Home Differential]])-Table4[[#This Row],[Away Differential]]</f>
        <v>-0.2883263458026703</v>
      </c>
      <c r="K829" t="str">
        <f>IF(Table4[[#This Row],[HomeIce Differential]]&gt;0,Table4[[#This Row],[Home]],Table4[[#This Row],[Visitor]])</f>
        <v>New York Islanders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0.53845645782371165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7.1667377873261273E-2</v>
      </c>
      <c r="H830" t="s">
        <v>55</v>
      </c>
      <c r="I830">
        <f>VLOOKUP(Table4[[#This Row],[Visitor]],'NHL Model'!$A$6:$B$38,2,FALSE)</f>
        <v>-0.30969050963205513</v>
      </c>
      <c r="J830">
        <f>($B$1+Table4[[#This Row],[Home Differential]])-Table4[[#This Row],[Away Differential]]</f>
        <v>0.51890127647773276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0.61170561329036377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-0.14464931395309213</v>
      </c>
      <c r="H831" t="s">
        <v>29</v>
      </c>
      <c r="I831">
        <f>VLOOKUP(Table4[[#This Row],[Visitor]],'NHL Model'!$A$6:$B$38,2,FALSE)</f>
        <v>-1.4957350924899622</v>
      </c>
      <c r="J831">
        <f>($B$1+Table4[[#This Row],[Home Differential]])-Table4[[#This Row],[Away Differential]]</f>
        <v>1.4886291675092864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0.79026670063682491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-0.66335717753705836</v>
      </c>
      <c r="H832" t="s">
        <v>13</v>
      </c>
      <c r="I832">
        <f>VLOOKUP(Table4[[#This Row],[Visitor]],'NHL Model'!$A$6:$B$38,2,FALSE)</f>
        <v>-0.36134162888396865</v>
      </c>
      <c r="J832">
        <f>($B$1+Table4[[#This Row],[Home Differential]])-Table4[[#This Row],[Away Differential]]</f>
        <v>-0.16447215968067336</v>
      </c>
      <c r="K832" t="str">
        <f>IF(Table4[[#This Row],[HomeIce Differential]]&gt;0,Table4[[#This Row],[Home]],Table4[[#This Row],[Visitor]])</f>
        <v>Los Angeles Kings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0.53285403620040506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-0.37836939589441088</v>
      </c>
      <c r="H833" t="s">
        <v>55</v>
      </c>
      <c r="I833">
        <f>VLOOKUP(Table4[[#This Row],[Visitor]],'NHL Model'!$A$6:$B$38,2,FALSE)</f>
        <v>-0.30969050963205513</v>
      </c>
      <c r="J833">
        <f>($B$1+Table4[[#This Row],[Home Differential]])-Table4[[#This Row],[Away Differential]]</f>
        <v>6.8864502710060616E-2</v>
      </c>
      <c r="K833" t="str">
        <f>IF(Table4[[#This Row],[HomeIce Differential]]&gt;0,Table4[[#This Row],[Home]],Table4[[#This Row],[Visitor]])</f>
        <v>Florida Panthers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0.60090100185043982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-0.16358905079701039</v>
      </c>
      <c r="H834" t="s">
        <v>10</v>
      </c>
      <c r="I834">
        <f>VLOOKUP(Table4[[#This Row],[Visitor]],'NHL Model'!$A$6:$B$38,2,FALSE)</f>
        <v>-0.15263505358797036</v>
      </c>
      <c r="J834">
        <f>($B$1+Table4[[#This Row],[Home Differential]])-Table4[[#This Row],[Away Differential]]</f>
        <v>0.12658939176337633</v>
      </c>
      <c r="K834" t="str">
        <f>IF(Table4[[#This Row],[HomeIce Differential]]&gt;0,Table4[[#This Row],[Home]],Table4[[#This Row],[Visitor]])</f>
        <v>Minnesota Wild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0.55688426907962607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-0.74754136228530599</v>
      </c>
      <c r="H835" t="s">
        <v>20</v>
      </c>
      <c r="I835">
        <f>VLOOKUP(Table4[[#This Row],[Visitor]],'NHL Model'!$A$6:$B$38,2,FALSE)</f>
        <v>0.12073374225454764</v>
      </c>
      <c r="J835">
        <f>($B$1+Table4[[#This Row],[Home Differential]])-Table4[[#This Row],[Away Differential]]</f>
        <v>-0.73073171556743732</v>
      </c>
      <c r="K835" t="str">
        <f>IF(Table4[[#This Row],[HomeIce Differential]]&gt;0,Table4[[#This Row],[Home]],Table4[[#This Row],[Visitor]])</f>
        <v>Vegas Golden Knights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0.57823293399737796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-1.8032585202533785E-2</v>
      </c>
      <c r="H836" t="s">
        <v>40</v>
      </c>
      <c r="I836">
        <f>VLOOKUP(Table4[[#This Row],[Visitor]],'NHL Model'!$A$6:$B$38,2,FALSE)</f>
        <v>-6.0247860940930854E-2</v>
      </c>
      <c r="J836">
        <f>($B$1+Table4[[#This Row],[Home Differential]])-Table4[[#This Row],[Away Differential]]</f>
        <v>0.17975866471081342</v>
      </c>
      <c r="K836" t="str">
        <f>IF(Table4[[#This Row],[HomeIce Differential]]&gt;0,Table4[[#This Row],[Home]],Table4[[#This Row],[Visitor]])</f>
        <v>New Jersey Devils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0.617196231607963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-0.45007023285116615</v>
      </c>
      <c r="H837" t="s">
        <v>22</v>
      </c>
      <c r="I837">
        <f>VLOOKUP(Table4[[#This Row],[Visitor]],'NHL Model'!$A$6:$B$38,2,FALSE)</f>
        <v>6.4811420118814619E-2</v>
      </c>
      <c r="J837">
        <f>($B$1+Table4[[#This Row],[Home Differential]])-Table4[[#This Row],[Away Differential]]</f>
        <v>-0.37733826399756443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0.5048741645157403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-1.5569791149906038</v>
      </c>
      <c r="H838" t="s">
        <v>39</v>
      </c>
      <c r="I838">
        <f>VLOOKUP(Table4[[#This Row],[Visitor]],'NHL Model'!$A$6:$B$38,2,FALSE)</f>
        <v>4.3828122498436855E-3</v>
      </c>
      <c r="J838">
        <f>($B$1+Table4[[#This Row],[Home Differential]])-Table4[[#This Row],[Away Differential]]</f>
        <v>-1.4238185382680311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0.73086466619006185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-0.93520311342823803</v>
      </c>
      <c r="H839" t="s">
        <v>23</v>
      </c>
      <c r="I839">
        <f>VLOOKUP(Table4[[#This Row],[Visitor]],'NHL Model'!$A$6:$B$38,2,FALSE)</f>
        <v>-0.51535072045188635</v>
      </c>
      <c r="J839">
        <f>($B$1+Table4[[#This Row],[Home Differential]])-Table4[[#This Row],[Away Differential]]</f>
        <v>-0.28230900400393533</v>
      </c>
      <c r="K839" t="str">
        <f>IF(Table4[[#This Row],[HomeIce Differential]]&gt;0,Table4[[#This Row],[Home]],Table4[[#This Row],[Visitor]])</f>
        <v>Buffalo Sabres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0.49765387542199013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-1.1236485959014608</v>
      </c>
      <c r="H840" t="s">
        <v>33</v>
      </c>
      <c r="I840">
        <f>VLOOKUP(Table4[[#This Row],[Visitor]],'NHL Model'!$A$6:$B$38,2,FALSE)</f>
        <v>-0.36178381286707545</v>
      </c>
      <c r="J840">
        <f>($B$1+Table4[[#This Row],[Home Differential]])-Table4[[#This Row],[Away Differential]]</f>
        <v>-0.62432139406196896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0.54327088283363745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-0.59418600019583889</v>
      </c>
      <c r="H841" t="s">
        <v>27</v>
      </c>
      <c r="I841">
        <f>VLOOKUP(Table4[[#This Row],[Visitor]],'NHL Model'!$A$6:$B$38,2,FALSE)</f>
        <v>-0.42203126246971279</v>
      </c>
      <c r="J841">
        <f>($B$1+Table4[[#This Row],[Home Differential]])-Table4[[#This Row],[Away Differential]]</f>
        <v>-3.4611348753709748E-2</v>
      </c>
      <c r="K841" t="str">
        <f>IF(Table4[[#This Row],[HomeIce Differential]]&gt;0,Table4[[#This Row],[Home]],Table4[[#This Row],[Visitor]])</f>
        <v>Philadelphia Flyers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0.45757044859371504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3.838472305373858E-3</v>
      </c>
      <c r="H842" t="s">
        <v>15</v>
      </c>
      <c r="I842">
        <f>VLOOKUP(Table4[[#This Row],[Visitor]],'NHL Model'!$A$6:$B$38,2,FALSE)</f>
        <v>-0.49835870184734621</v>
      </c>
      <c r="J842">
        <f>($B$1+Table4[[#This Row],[Home Differential]])-Table4[[#This Row],[Away Differential]]</f>
        <v>0.63974056312513639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0.54184920345024756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-0.31751962084606655</v>
      </c>
      <c r="H843" t="s">
        <v>12</v>
      </c>
      <c r="I843">
        <f>VLOOKUP(Table4[[#This Row],[Visitor]],'NHL Model'!$A$6:$B$38,2,FALSE)</f>
        <v>1.4458345276269271</v>
      </c>
      <c r="J843">
        <f>($B$1+Table4[[#This Row],[Home Differential]])-Table4[[#This Row],[Away Differential]]</f>
        <v>-1.6258107595005773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0.76684776230910612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-0.14464931395309213</v>
      </c>
      <c r="H844" t="s">
        <v>27</v>
      </c>
      <c r="I844">
        <f>VLOOKUP(Table4[[#This Row],[Visitor]],'NHL Model'!$A$6:$B$38,2,FALSE)</f>
        <v>-0.42203126246971279</v>
      </c>
      <c r="J844">
        <f>($B$1+Table4[[#This Row],[Home Differential]])-Table4[[#This Row],[Away Differential]]</f>
        <v>0.41492533748903704</v>
      </c>
      <c r="K844" t="str">
        <f>IF(Table4[[#This Row],[HomeIce Differential]]&gt;0,Table4[[#This Row],[Home]],Table4[[#This Row],[Visitor]])</f>
        <v>Boston Bruins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0.64705798365544043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-0.51535072045188635</v>
      </c>
      <c r="H845" t="s">
        <v>13</v>
      </c>
      <c r="I845">
        <f>VLOOKUP(Table4[[#This Row],[Visitor]],'NHL Model'!$A$6:$B$38,2,FALSE)</f>
        <v>-0.36134162888396865</v>
      </c>
      <c r="J845">
        <f>($B$1+Table4[[#This Row],[Home Differential]])-Table4[[#This Row],[Away Differential]]</f>
        <v>-1.6465702595501341E-2</v>
      </c>
      <c r="K845" t="str">
        <f>IF(Table4[[#This Row],[HomeIce Differential]]&gt;0,Table4[[#This Row],[Home]],Table4[[#This Row],[Visitor]])</f>
        <v>Los Angeles Kings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0.53160793098281023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0.42515174825138019</v>
      </c>
      <c r="H846" t="s">
        <v>55</v>
      </c>
      <c r="I846">
        <f>VLOOKUP(Table4[[#This Row],[Visitor]],'NHL Model'!$A$6:$B$38,2,FALSE)</f>
        <v>-0.30969050963205513</v>
      </c>
      <c r="J846">
        <f>($B$1+Table4[[#This Row],[Home Differential]])-Table4[[#This Row],[Away Differential]]</f>
        <v>0.87238564685585163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0.70807323026501356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-0.66335717753705836</v>
      </c>
      <c r="H847" t="s">
        <v>22</v>
      </c>
      <c r="I847">
        <f>VLOOKUP(Table4[[#This Row],[Visitor]],'NHL Model'!$A$6:$B$38,2,FALSE)</f>
        <v>6.4811420118814619E-2</v>
      </c>
      <c r="J847">
        <f>($B$1+Table4[[#This Row],[Home Differential]])-Table4[[#This Row],[Away Differential]]</f>
        <v>-0.59062520868345658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0.52705240732057845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-0.87263145033954281</v>
      </c>
      <c r="H848" t="s">
        <v>33</v>
      </c>
      <c r="I848">
        <f>VLOOKUP(Table4[[#This Row],[Visitor]],'NHL Model'!$A$6:$B$38,2,FALSE)</f>
        <v>-0.36178381286707545</v>
      </c>
      <c r="J848">
        <f>($B$1+Table4[[#This Row],[Home Differential]])-Table4[[#This Row],[Away Differential]]</f>
        <v>-0.37330424850005101</v>
      </c>
      <c r="K848" t="str">
        <f>IF(Table4[[#This Row],[HomeIce Differential]]&gt;0,Table4[[#This Row],[Home]],Table4[[#This Row],[Visitor]])</f>
        <v>San Jose Sharks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0.47375379376177473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-0.16358905079701039</v>
      </c>
      <c r="H849" t="s">
        <v>16</v>
      </c>
      <c r="I849">
        <f>VLOOKUP(Table4[[#This Row],[Visitor]],'NHL Model'!$A$6:$B$38,2,FALSE)</f>
        <v>-1.0952038865534519</v>
      </c>
      <c r="J849">
        <f>($B$1+Table4[[#This Row],[Home Differential]])-Table4[[#This Row],[Away Differential]]</f>
        <v>1.0691582247288578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0.68260243219084626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-0.74754136228530599</v>
      </c>
      <c r="H850" t="s">
        <v>12</v>
      </c>
      <c r="I850">
        <f>VLOOKUP(Table4[[#This Row],[Visitor]],'NHL Model'!$A$6:$B$38,2,FALSE)</f>
        <v>1.4458345276269271</v>
      </c>
      <c r="J850">
        <f>($B$1+Table4[[#This Row],[Home Differential]])-Table4[[#This Row],[Away Differential]]</f>
        <v>-2.0558325009398168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0.82668948912501494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-1.8032585202533785E-2</v>
      </c>
      <c r="H851" t="s">
        <v>29</v>
      </c>
      <c r="I851">
        <f>VLOOKUP(Table4[[#This Row],[Visitor]],'NHL Model'!$A$6:$B$38,2,FALSE)</f>
        <v>-1.4957350924899622</v>
      </c>
      <c r="J851">
        <f>($B$1+Table4[[#This Row],[Home Differential]])-Table4[[#This Row],[Away Differential]]</f>
        <v>1.6152458962598448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0.87086935115455599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-0.49835870184734621</v>
      </c>
      <c r="H852" t="s">
        <v>30</v>
      </c>
      <c r="I852">
        <f>VLOOKUP(Table4[[#This Row],[Visitor]],'NHL Model'!$A$6:$B$38,2,FALSE)</f>
        <v>3.838472305373858E-3</v>
      </c>
      <c r="J852">
        <f>($B$1+Table4[[#This Row],[Home Differential]])-Table4[[#This Row],[Away Differential]]</f>
        <v>-0.36465378518030372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0.58126004573806422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-0.2090057419115289</v>
      </c>
      <c r="H853" t="s">
        <v>10</v>
      </c>
      <c r="I853">
        <f>VLOOKUP(Table4[[#This Row],[Visitor]],'NHL Model'!$A$6:$B$38,2,FALSE)</f>
        <v>-0.15263505358797036</v>
      </c>
      <c r="J853">
        <f>($B$1+Table4[[#This Row],[Home Differential]])-Table4[[#This Row],[Away Differential]]</f>
        <v>8.1172700648857815E-2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0.55082667118139805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-0.45007023285116615</v>
      </c>
      <c r="H854" t="s">
        <v>19</v>
      </c>
      <c r="I854">
        <f>VLOOKUP(Table4[[#This Row],[Visitor]],'NHL Model'!$A$6:$B$38,2,FALSE)</f>
        <v>-0.93520311342823803</v>
      </c>
      <c r="J854">
        <f>($B$1+Table4[[#This Row],[Home Differential]])-Table4[[#This Row],[Away Differential]]</f>
        <v>0.62267626954948829</v>
      </c>
      <c r="K854" t="str">
        <f>IF(Table4[[#This Row],[HomeIce Differential]]&gt;0,Table4[[#This Row],[Home]],Table4[[#This Row],[Visitor]])</f>
        <v>Seattle Kraken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0.64908919488618722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-1.5569791149906038</v>
      </c>
      <c r="H855" t="s">
        <v>11</v>
      </c>
      <c r="I855">
        <f>VLOOKUP(Table4[[#This Row],[Visitor]],'NHL Model'!$A$6:$B$38,2,FALSE)</f>
        <v>-0.37836939589441088</v>
      </c>
      <c r="J855">
        <f>($B$1+Table4[[#This Row],[Home Differential]])-Table4[[#This Row],[Away Differential]]</f>
        <v>-1.0410663301237766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0.59885558499566194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7.1667377873261273E-2</v>
      </c>
      <c r="H856" t="s">
        <v>40</v>
      </c>
      <c r="I856">
        <f>VLOOKUP(Table4[[#This Row],[Visitor]],'NHL Model'!$A$6:$B$38,2,FALSE)</f>
        <v>-6.0247860940930854E-2</v>
      </c>
      <c r="J856">
        <f>($B$1+Table4[[#This Row],[Home Differential]])-Table4[[#This Row],[Away Differential]]</f>
        <v>0.26945862778660851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0.51213039117071502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-1.1236485959014608</v>
      </c>
      <c r="H857" t="s">
        <v>31</v>
      </c>
      <c r="I857">
        <f>VLOOKUP(Table4[[#This Row],[Visitor]],'NHL Model'!$A$6:$B$38,2,FALSE)</f>
        <v>0.34329638981067145</v>
      </c>
      <c r="J857">
        <f>($B$1+Table4[[#This Row],[Home Differential]])-Table4[[#This Row],[Away Differential]]</f>
        <v>-1.3294015967397159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0.65808246343089327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0.12073374225454764</v>
      </c>
      <c r="H858" t="s">
        <v>39</v>
      </c>
      <c r="I858">
        <f>VLOOKUP(Table4[[#This Row],[Visitor]],'NHL Model'!$A$6:$B$38,2,FALSE)</f>
        <v>4.3828122498436855E-3</v>
      </c>
      <c r="J858">
        <f>($B$1+Table4[[#This Row],[Home Differential]])-Table4[[#This Row],[Away Differential]]</f>
        <v>0.25389431897712034</v>
      </c>
      <c r="K858" t="str">
        <f>IF(Table4[[#This Row],[HomeIce Differential]]&gt;0,Table4[[#This Row],[Home]],Table4[[#This Row],[Visitor]])</f>
        <v>Vegas Golden Knights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0.49290570607797757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-0.15263505358797036</v>
      </c>
      <c r="H859" t="s">
        <v>28</v>
      </c>
      <c r="I859">
        <f>VLOOKUP(Table4[[#This Row],[Visitor]],'NHL Model'!$A$6:$B$38,2,FALSE)</f>
        <v>-0.59418600019583889</v>
      </c>
      <c r="J859">
        <f>($B$1+Table4[[#This Row],[Home Differential]])-Table4[[#This Row],[Away Differential]]</f>
        <v>0.57909433558028489</v>
      </c>
      <c r="K859" t="str">
        <f>IF(Table4[[#This Row],[HomeIce Differential]]&gt;0,Table4[[#This Row],[Home]],Table4[[#This Row],[Visitor]])</f>
        <v>Chicago Blackhawks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0.61640908471287348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-0.51535072045188635</v>
      </c>
      <c r="H860" t="s">
        <v>18</v>
      </c>
      <c r="I860">
        <f>VLOOKUP(Table4[[#This Row],[Visitor]],'NHL Model'!$A$6:$B$38,2,FALSE)</f>
        <v>-0.74754136228530599</v>
      </c>
      <c r="J860">
        <f>($B$1+Table4[[#This Row],[Home Differential]])-Table4[[#This Row],[Away Differential]]</f>
        <v>0.369734030805836</v>
      </c>
      <c r="K860" t="str">
        <f>IF(Table4[[#This Row],[HomeIce Differential]]&gt;0,Table4[[#This Row],[Home]],Table4[[#This Row],[Visitor]])</f>
        <v>Buffalo Sabres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0.5563567243236206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-1.0952038865534519</v>
      </c>
      <c r="H861" t="s">
        <v>33</v>
      </c>
      <c r="I861">
        <f>VLOOKUP(Table4[[#This Row],[Visitor]],'NHL Model'!$A$6:$B$38,2,FALSE)</f>
        <v>-0.36178381286707545</v>
      </c>
      <c r="J861">
        <f>($B$1+Table4[[#This Row],[Home Differential]])-Table4[[#This Row],[Away Differential]]</f>
        <v>-0.59587668471396005</v>
      </c>
      <c r="K861" t="str">
        <f>IF(Table4[[#This Row],[HomeIce Differential]]&gt;0,Table4[[#This Row],[Home]],Table4[[#This Row],[Visitor]])</f>
        <v>San Jose Sharks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0.53947697783233006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-0.66335717753705836</v>
      </c>
      <c r="H862" t="s">
        <v>12</v>
      </c>
      <c r="I862">
        <f>VLOOKUP(Table4[[#This Row],[Visitor]],'NHL Model'!$A$6:$B$38,2,FALSE)</f>
        <v>1.4458345276269271</v>
      </c>
      <c r="J862">
        <f>($B$1+Table4[[#This Row],[Home Differential]])-Table4[[#This Row],[Away Differential]]</f>
        <v>-1.971648316191569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0.78297496367781105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-0.87263145033954281</v>
      </c>
      <c r="H863" t="s">
        <v>34</v>
      </c>
      <c r="I863">
        <f>VLOOKUP(Table4[[#This Row],[Visitor]],'NHL Model'!$A$6:$B$38,2,FALSE)</f>
        <v>-0.16358905079701039</v>
      </c>
      <c r="J863">
        <f>($B$1+Table4[[#This Row],[Home Differential]])-Table4[[#This Row],[Away Differential]]</f>
        <v>-0.57149901057011609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0.52066997123457748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-0.37836939589441088</v>
      </c>
      <c r="H864" t="s">
        <v>40</v>
      </c>
      <c r="I864">
        <f>VLOOKUP(Table4[[#This Row],[Visitor]],'NHL Model'!$A$6:$B$38,2,FALSE)</f>
        <v>-6.0247860940930854E-2</v>
      </c>
      <c r="J864">
        <f>($B$1+Table4[[#This Row],[Home Differential]])-Table4[[#This Row],[Away Differential]]</f>
        <v>-0.18057814598106367</v>
      </c>
      <c r="K864" t="str">
        <f>IF(Table4[[#This Row],[HomeIce Differential]]&gt;0,Table4[[#This Row],[Home]],Table4[[#This Row],[Visitor]])</f>
        <v>Winnipeg Jets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0.49776940411302173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3.838472305373858E-3</v>
      </c>
      <c r="H865" t="s">
        <v>29</v>
      </c>
      <c r="I865">
        <f>VLOOKUP(Table4[[#This Row],[Visitor]],'NHL Model'!$A$6:$B$38,2,FALSE)</f>
        <v>-1.4957350924899622</v>
      </c>
      <c r="J865">
        <f>($B$1+Table4[[#This Row],[Home Differential]])-Table4[[#This Row],[Away Differential]]</f>
        <v>1.6371169537677523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0.75835576249470105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-0.31751962084606655</v>
      </c>
      <c r="H866" t="s">
        <v>24</v>
      </c>
      <c r="I866">
        <f>VLOOKUP(Table4[[#This Row],[Visitor]],'NHL Model'!$A$6:$B$38,2,FALSE)</f>
        <v>-1.8032585202533785E-2</v>
      </c>
      <c r="J866">
        <f>($B$1+Table4[[#This Row],[Home Differential]])-Table4[[#This Row],[Away Differential]]</f>
        <v>-0.16194364667111641</v>
      </c>
      <c r="K866" t="str">
        <f>IF(Table4[[#This Row],[HomeIce Differential]]&gt;0,Table4[[#This Row],[Home]],Table4[[#This Row],[Visitor]])</f>
        <v>New Jersey Devils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0.47993309037491882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-0.42203126246971279</v>
      </c>
      <c r="H867" t="s">
        <v>13</v>
      </c>
      <c r="I867">
        <f>VLOOKUP(Table4[[#This Row],[Visitor]],'NHL Model'!$A$6:$B$38,2,FALSE)</f>
        <v>-0.36134162888396865</v>
      </c>
      <c r="J867">
        <f>($B$1+Table4[[#This Row],[Home Differential]])-Table4[[#This Row],[Away Differential]]</f>
        <v>7.6853755386672218E-2</v>
      </c>
      <c r="K867" t="str">
        <f>IF(Table4[[#This Row],[HomeIce Differential]]&gt;0,Table4[[#This Row],[Home]],Table4[[#This Row],[Visitor]])</f>
        <v>Philadelphia Flyers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0.49933358733680577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-0.2090057419115289</v>
      </c>
      <c r="H868" t="s">
        <v>15</v>
      </c>
      <c r="I868">
        <f>VLOOKUP(Table4[[#This Row],[Visitor]],'NHL Model'!$A$6:$B$38,2,FALSE)</f>
        <v>-0.49835870184734621</v>
      </c>
      <c r="J868">
        <f>($B$1+Table4[[#This Row],[Home Differential]])-Table4[[#This Row],[Away Differential]]</f>
        <v>0.42689634890823369</v>
      </c>
      <c r="K868" t="str">
        <f>IF(Table4[[#This Row],[HomeIce Differential]]&gt;0,Table4[[#This Row],[Home]],Table4[[#This Row],[Visitor]])</f>
        <v>Pittsburgh Penguins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0.51346041877548421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-1.5569791149906038</v>
      </c>
      <c r="H869" t="s">
        <v>28</v>
      </c>
      <c r="I869">
        <f>VLOOKUP(Table4[[#This Row],[Visitor]],'NHL Model'!$A$6:$B$38,2,FALSE)</f>
        <v>-0.59418600019583889</v>
      </c>
      <c r="J869">
        <f>($B$1+Table4[[#This Row],[Home Differential]])-Table4[[#This Row],[Away Differential]]</f>
        <v>-0.82524972582234846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0.57089984127848181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-0.30969050963205513</v>
      </c>
      <c r="H870" t="s">
        <v>39</v>
      </c>
      <c r="I870">
        <f>VLOOKUP(Table4[[#This Row],[Visitor]],'NHL Model'!$A$6:$B$38,2,FALSE)</f>
        <v>4.3828122498436855E-3</v>
      </c>
      <c r="J870">
        <f>($B$1+Table4[[#This Row],[Home Differential]])-Table4[[#This Row],[Away Differential]]</f>
        <v>-0.17652993290948246</v>
      </c>
      <c r="K870" t="str">
        <f>IF(Table4[[#This Row],[HomeIce Differential]]&gt;0,Table4[[#This Row],[Home]],Table4[[#This Row],[Visitor]])</f>
        <v>Dallas Stars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0.51191734311359038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-1.1236485959014608</v>
      </c>
      <c r="H871" t="s">
        <v>19</v>
      </c>
      <c r="I871">
        <f>VLOOKUP(Table4[[#This Row],[Visitor]],'NHL Model'!$A$6:$B$38,2,FALSE)</f>
        <v>-0.93520311342823803</v>
      </c>
      <c r="J871">
        <f>($B$1+Table4[[#This Row],[Home Differential]])-Table4[[#This Row],[Away Differential]]</f>
        <v>-5.0902093500806433E-2</v>
      </c>
      <c r="K871" t="str">
        <f>IF(Table4[[#This Row],[HomeIce Differential]]&gt;0,Table4[[#This Row],[Home]],Table4[[#This Row],[Visitor]])</f>
        <v>Toronto Maple Leafs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0.46678923116235832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0.12073374225454764</v>
      </c>
      <c r="H872" t="s">
        <v>32</v>
      </c>
      <c r="I872">
        <f>VLOOKUP(Table4[[#This Row],[Visitor]],'NHL Model'!$A$6:$B$38,2,FALSE)</f>
        <v>-0.45007023285116615</v>
      </c>
      <c r="J872">
        <f>($B$1+Table4[[#This Row],[Home Differential]])-Table4[[#This Row],[Away Differential]]</f>
        <v>0.70834736407813015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0.63447811803452503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6.4811420118814619E-2</v>
      </c>
      <c r="H873" t="s">
        <v>25</v>
      </c>
      <c r="I873">
        <f>VLOOKUP(Table4[[#This Row],[Visitor]],'NHL Model'!$A$6:$B$38,2,FALSE)</f>
        <v>0.42515174825138019</v>
      </c>
      <c r="J873">
        <f>($B$1+Table4[[#This Row],[Home Differential]])-Table4[[#This Row],[Away Differential]]</f>
        <v>-0.2227969391601492</v>
      </c>
      <c r="K873" t="str">
        <f>IF(Table4[[#This Row],[HomeIce Differential]]&gt;0,Table4[[#This Row],[Home]],Table4[[#This Row],[Visitor]])</f>
        <v>Carolina Hurricanes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0.56233943062468705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0.34329638981067145</v>
      </c>
      <c r="H874" t="s">
        <v>20</v>
      </c>
      <c r="I874">
        <f>VLOOKUP(Table4[[#This Row],[Visitor]],'NHL Model'!$A$6:$B$38,2,FALSE)</f>
        <v>0.12073374225454764</v>
      </c>
      <c r="J874">
        <f>($B$1+Table4[[#This Row],[Home Differential]])-Table4[[#This Row],[Away Differential]]</f>
        <v>0.36010603652854017</v>
      </c>
      <c r="K874" t="str">
        <f>IF(Table4[[#This Row],[HomeIce Differential]]&gt;0,Table4[[#This Row],[Home]],Table4[[#This Row],[Visitor]])</f>
        <v>Anaheim Ducks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0.66341492134667135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0.42515174825138019</v>
      </c>
      <c r="H875" t="s">
        <v>13</v>
      </c>
      <c r="I875">
        <f>VLOOKUP(Table4[[#This Row],[Visitor]],'NHL Model'!$A$6:$B$38,2,FALSE)</f>
        <v>-0.36134162888396865</v>
      </c>
      <c r="J875">
        <f>($B$1+Table4[[#This Row],[Home Differential]])-Table4[[#This Row],[Away Differential]]</f>
        <v>0.92403676610776508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0.63233729791623816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7.1667377873261273E-2</v>
      </c>
      <c r="H876" t="s">
        <v>21</v>
      </c>
      <c r="I876">
        <f>VLOOKUP(Table4[[#This Row],[Visitor]],'NHL Model'!$A$6:$B$38,2,FALSE)</f>
        <v>-0.14464931395309213</v>
      </c>
      <c r="J876">
        <f>($B$1+Table4[[#This Row],[Home Differential]])-Table4[[#This Row],[Away Differential]]</f>
        <v>0.35386008079876974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0.58969271064307394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-1.0952038865534519</v>
      </c>
      <c r="H877" t="s">
        <v>19</v>
      </c>
      <c r="I877">
        <f>VLOOKUP(Table4[[#This Row],[Visitor]],'NHL Model'!$A$6:$B$38,2,FALSE)</f>
        <v>-0.93520311342823803</v>
      </c>
      <c r="J877">
        <f>($B$1+Table4[[#This Row],[Home Differential]])-Table4[[#This Row],[Away Differential]]</f>
        <v>-2.2457384152797522E-2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0.46299532616105094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-0.15263505358797036</v>
      </c>
      <c r="H878" t="s">
        <v>33</v>
      </c>
      <c r="I878">
        <f>VLOOKUP(Table4[[#This Row],[Visitor]],'NHL Model'!$A$6:$B$38,2,FALSE)</f>
        <v>-0.36178381286707545</v>
      </c>
      <c r="J878">
        <f>($B$1+Table4[[#This Row],[Home Differential]])-Table4[[#This Row],[Away Differential]]</f>
        <v>0.34669214825152145</v>
      </c>
      <c r="K878" t="str">
        <f>IF(Table4[[#This Row],[HomeIce Differential]]&gt;0,Table4[[#This Row],[Home]],Table4[[#This Row],[Visitor]])</f>
        <v>Chicago Blackhawks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0.58624118527889013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1.4458345276269271</v>
      </c>
      <c r="H879" t="s">
        <v>26</v>
      </c>
      <c r="I879">
        <f>VLOOKUP(Table4[[#This Row],[Visitor]],'NHL Model'!$A$6:$B$38,2,FALSE)</f>
        <v>-0.66335717753705836</v>
      </c>
      <c r="J879">
        <f>($B$1+Table4[[#This Row],[Home Differential]])-Table4[[#This Row],[Away Differential]]</f>
        <v>2.2467350941364019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0.88982948579364529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4.3828122498436855E-3</v>
      </c>
      <c r="H880" t="s">
        <v>40</v>
      </c>
      <c r="I880">
        <f>VLOOKUP(Table4[[#This Row],[Visitor]],'NHL Model'!$A$6:$B$38,2,FALSE)</f>
        <v>-6.0247860940930854E-2</v>
      </c>
      <c r="J880">
        <f>($B$1+Table4[[#This Row],[Home Differential]])-Table4[[#This Row],[Away Differential]]</f>
        <v>0.20217406216319089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0.50315609486463064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-0.37836939589441088</v>
      </c>
      <c r="H881" t="s">
        <v>23</v>
      </c>
      <c r="I881">
        <f>VLOOKUP(Table4[[#This Row],[Visitor]],'NHL Model'!$A$6:$B$38,2,FALSE)</f>
        <v>-0.51535072045188635</v>
      </c>
      <c r="J881">
        <f>($B$1+Table4[[#This Row],[Home Differential]])-Table4[[#This Row],[Away Differential]]</f>
        <v>0.27452471352989183</v>
      </c>
      <c r="K881" t="str">
        <f>IF(Table4[[#This Row],[HomeIce Differential]]&gt;0,Table4[[#This Row],[Home]],Table4[[#This Row],[Visitor]])</f>
        <v>Florida Panthers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0.62833159686384654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-0.16358905079701039</v>
      </c>
      <c r="H882" t="s">
        <v>18</v>
      </c>
      <c r="I882">
        <f>VLOOKUP(Table4[[#This Row],[Visitor]],'NHL Model'!$A$6:$B$38,2,FALSE)</f>
        <v>-0.74754136228530599</v>
      </c>
      <c r="J882">
        <f>($B$1+Table4[[#This Row],[Home Differential]])-Table4[[#This Row],[Away Differential]]</f>
        <v>0.72149570046071199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0.58913242839516167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-1.4957350924899622</v>
      </c>
      <c r="H883" t="s">
        <v>35</v>
      </c>
      <c r="I883">
        <f>VLOOKUP(Table4[[#This Row],[Visitor]],'NHL Model'!$A$6:$B$38,2,FALSE)</f>
        <v>-1.5569791149906038</v>
      </c>
      <c r="J883">
        <f>($B$1+Table4[[#This Row],[Home Differential]])-Table4[[#This Row],[Away Differential]]</f>
        <v>0.19878741147305812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0.56651391319761835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-0.2090057419115289</v>
      </c>
      <c r="H884" t="s">
        <v>36</v>
      </c>
      <c r="I884">
        <f>VLOOKUP(Table4[[#This Row],[Visitor]],'NHL Model'!$A$6:$B$38,2,FALSE)</f>
        <v>-0.31751962084606655</v>
      </c>
      <c r="J884">
        <f>($B$1+Table4[[#This Row],[Home Differential]])-Table4[[#This Row],[Away Differential]]</f>
        <v>0.24605726790695401</v>
      </c>
      <c r="K884" t="str">
        <f>IF(Table4[[#This Row],[HomeIce Differential]]&gt;0,Table4[[#This Row],[Home]],Table4[[#This Row],[Visitor]])</f>
        <v>Pittsburgh Penguins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0.5520494522378282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-0.30969050963205513</v>
      </c>
      <c r="H885" t="s">
        <v>38</v>
      </c>
      <c r="I885">
        <f>VLOOKUP(Table4[[#This Row],[Visitor]],'NHL Model'!$A$6:$B$38,2,FALSE)</f>
        <v>-1.1236485959014608</v>
      </c>
      <c r="J885">
        <f>($B$1+Table4[[#This Row],[Home Differential]])-Table4[[#This Row],[Away Differential]]</f>
        <v>0.95150147524182205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0.69833815456073378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6.4811420118814619E-2</v>
      </c>
      <c r="H886" t="s">
        <v>30</v>
      </c>
      <c r="I886">
        <f>VLOOKUP(Table4[[#This Row],[Visitor]],'NHL Model'!$A$6:$B$38,2,FALSE)</f>
        <v>3.838472305373858E-3</v>
      </c>
      <c r="J886">
        <f>($B$1+Table4[[#This Row],[Home Differential]])-Table4[[#This Row],[Away Differential]]</f>
        <v>0.19851633678585714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0.49385458862763676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0.34329638981067145</v>
      </c>
      <c r="H887" t="s">
        <v>32</v>
      </c>
      <c r="I887">
        <f>VLOOKUP(Table4[[#This Row],[Visitor]],'NHL Model'!$A$6:$B$38,2,FALSE)</f>
        <v>-0.45007023285116615</v>
      </c>
      <c r="J887">
        <f>($B$1+Table4[[#This Row],[Home Differential]])-Table4[[#This Row],[Away Differential]]</f>
        <v>0.93091001163425391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0.75908376507241337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0.42515174825138019</v>
      </c>
      <c r="H888" t="s">
        <v>36</v>
      </c>
      <c r="I888">
        <f>VLOOKUP(Table4[[#This Row],[Visitor]],'NHL Model'!$A$6:$B$38,2,FALSE)</f>
        <v>-0.31751962084606655</v>
      </c>
      <c r="J888">
        <f>($B$1+Table4[[#This Row],[Home Differential]])-Table4[[#This Row],[Away Differential]]</f>
        <v>0.88021475806986305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0.68883005836271749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-0.87263145033954281</v>
      </c>
      <c r="H889" t="s">
        <v>19</v>
      </c>
      <c r="I889">
        <f>VLOOKUP(Table4[[#This Row],[Visitor]],'NHL Model'!$A$6:$B$38,2,FALSE)</f>
        <v>-0.93520311342823803</v>
      </c>
      <c r="J889">
        <f>($B$1+Table4[[#This Row],[Home Differential]])-Table4[[#This Row],[Away Differential]]</f>
        <v>0.20011505206111158</v>
      </c>
      <c r="K889" t="str">
        <f>IF(Table4[[#This Row],[HomeIce Differential]]&gt;0,Table4[[#This Row],[Home]],Table4[[#This Row],[Visitor]])</f>
        <v>Edmonton Oilers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0.60272785790950445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-1.8032585202533785E-2</v>
      </c>
      <c r="H890" t="s">
        <v>28</v>
      </c>
      <c r="I890">
        <f>VLOOKUP(Table4[[#This Row],[Visitor]],'NHL Model'!$A$6:$B$38,2,FALSE)</f>
        <v>-0.59418600019583889</v>
      </c>
      <c r="J890">
        <f>($B$1+Table4[[#This Row],[Home Differential]])-Table4[[#This Row],[Away Differential]]</f>
        <v>0.71369680396572144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0.74986787585396386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3.838472305373858E-3</v>
      </c>
      <c r="H891" t="s">
        <v>14</v>
      </c>
      <c r="I891">
        <f>VLOOKUP(Table4[[#This Row],[Visitor]],'NHL Model'!$A$6:$B$38,2,FALSE)</f>
        <v>-0.2090057419115289</v>
      </c>
      <c r="J891">
        <f>($B$1+Table4[[#This Row],[Home Differential]])-Table4[[#This Row],[Away Differential]]</f>
        <v>0.35038760318931911</v>
      </c>
      <c r="K891" t="str">
        <f>IF(Table4[[#This Row],[HomeIce Differential]]&gt;0,Table4[[#This Row],[Home]],Table4[[#This Row],[Visitor]])</f>
        <v>New York Islanders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0.58673407851956583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-0.42203126246971279</v>
      </c>
      <c r="H892" t="s">
        <v>22</v>
      </c>
      <c r="I892">
        <f>VLOOKUP(Table4[[#This Row],[Visitor]],'NHL Model'!$A$6:$B$38,2,FALSE)</f>
        <v>6.4811420118814619E-2</v>
      </c>
      <c r="J892">
        <f>($B$1+Table4[[#This Row],[Home Differential]])-Table4[[#This Row],[Away Differential]]</f>
        <v>-0.34929929361611106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0.49486478378336768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7.1667377873261273E-2</v>
      </c>
      <c r="H893" t="s">
        <v>23</v>
      </c>
      <c r="I893">
        <f>VLOOKUP(Table4[[#This Row],[Visitor]],'NHL Model'!$A$6:$B$38,2,FALSE)</f>
        <v>-0.51535072045188635</v>
      </c>
      <c r="J893">
        <f>($B$1+Table4[[#This Row],[Home Differential]])-Table4[[#This Row],[Away Differential]]</f>
        <v>0.72456148729756398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0.63913620830377038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-0.59418600019583889</v>
      </c>
      <c r="H894" t="s">
        <v>10</v>
      </c>
      <c r="I894">
        <f>VLOOKUP(Table4[[#This Row],[Visitor]],'NHL Model'!$A$6:$B$38,2,FALSE)</f>
        <v>-0.15263505358797036</v>
      </c>
      <c r="J894">
        <f>($B$1+Table4[[#This Row],[Home Differential]])-Table4[[#This Row],[Away Differential]]</f>
        <v>-0.30400755763545217</v>
      </c>
      <c r="K894" t="str">
        <f>IF(Table4[[#This Row],[HomeIce Differential]]&gt;0,Table4[[#This Row],[Home]],Table4[[#This Row],[Visitor]])</f>
        <v>Chicago Blackhawks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0.49350203825087013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-1.0952038865534519</v>
      </c>
      <c r="H895" t="s">
        <v>17</v>
      </c>
      <c r="I895">
        <f>VLOOKUP(Table4[[#This Row],[Visitor]],'NHL Model'!$A$6:$B$38,2,FALSE)</f>
        <v>-0.87263145033954281</v>
      </c>
      <c r="J895">
        <f>($B$1+Table4[[#This Row],[Home Differential]])-Table4[[#This Row],[Away Differential]]</f>
        <v>-8.5029047241492739E-2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0.47134102386630594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1.4458345276269271</v>
      </c>
      <c r="H896" t="s">
        <v>33</v>
      </c>
      <c r="I896">
        <f>VLOOKUP(Table4[[#This Row],[Visitor]],'NHL Model'!$A$6:$B$38,2,FALSE)</f>
        <v>-0.36178381286707545</v>
      </c>
      <c r="J896">
        <f>($B$1+Table4[[#This Row],[Home Differential]])-Table4[[#This Row],[Away Differential]]</f>
        <v>1.945161729466419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0.89436286452777281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4.3828122498436855E-3</v>
      </c>
      <c r="H897" t="s">
        <v>35</v>
      </c>
      <c r="I897">
        <f>VLOOKUP(Table4[[#This Row],[Visitor]],'NHL Model'!$A$6:$B$38,2,FALSE)</f>
        <v>-1.5569791149906038</v>
      </c>
      <c r="J897">
        <f>($B$1+Table4[[#This Row],[Home Differential]])-Table4[[#This Row],[Away Differential]]</f>
        <v>1.6989053162128638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0.76909246415046706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-0.37836939589441088</v>
      </c>
      <c r="H898" t="s">
        <v>21</v>
      </c>
      <c r="I898">
        <f>VLOOKUP(Table4[[#This Row],[Visitor]],'NHL Model'!$A$6:$B$38,2,FALSE)</f>
        <v>-0.14464931395309213</v>
      </c>
      <c r="J898">
        <f>($B$1+Table4[[#This Row],[Home Differential]])-Table4[[#This Row],[Away Differential]]</f>
        <v>-9.6176692968902383E-2</v>
      </c>
      <c r="K898" t="str">
        <f>IF(Table4[[#This Row],[HomeIce Differential]]&gt;0,Table4[[#This Row],[Home]],Table4[[#This Row],[Visitor]])</f>
        <v>Boston Bruins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0.42111190079684985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-0.36134162888396865</v>
      </c>
      <c r="H899" t="s">
        <v>32</v>
      </c>
      <c r="I899">
        <f>VLOOKUP(Table4[[#This Row],[Visitor]],'NHL Model'!$A$6:$B$38,2,FALSE)</f>
        <v>-0.45007023285116615</v>
      </c>
      <c r="J899">
        <f>($B$1+Table4[[#This Row],[Home Differential]])-Table4[[#This Row],[Away Differential]]</f>
        <v>0.22627199293961386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0.57017975804099708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-1.4957350924899622</v>
      </c>
      <c r="H900" t="s">
        <v>34</v>
      </c>
      <c r="I900">
        <f>VLOOKUP(Table4[[#This Row],[Visitor]],'NHL Model'!$A$6:$B$38,2,FALSE)</f>
        <v>-0.16358905079701039</v>
      </c>
      <c r="J900">
        <f>($B$1+Table4[[#This Row],[Home Differential]])-Table4[[#This Row],[Away Differential]]</f>
        <v>-1.1946026527205353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0.64010321879779153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-0.30969050963205513</v>
      </c>
      <c r="H901" t="s">
        <v>26</v>
      </c>
      <c r="I901">
        <f>VLOOKUP(Table4[[#This Row],[Visitor]],'NHL Model'!$A$6:$B$38,2,FALSE)</f>
        <v>-0.66335717753705836</v>
      </c>
      <c r="J901">
        <f>($B$1+Table4[[#This Row],[Home Differential]])-Table4[[#This Row],[Away Differential]]</f>
        <v>0.49121005687741959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0.61097127366854598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0.12073374225454764</v>
      </c>
      <c r="H902" t="s">
        <v>38</v>
      </c>
      <c r="I902">
        <f>VLOOKUP(Table4[[#This Row],[Visitor]],'NHL Model'!$A$6:$B$38,2,FALSE)</f>
        <v>-1.1236485959014608</v>
      </c>
      <c r="J902">
        <f>($B$1+Table4[[#This Row],[Home Differential]])-Table4[[#This Row],[Away Differential]]</f>
        <v>1.3819257271284249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0.70354957746478308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-6.0247860940930854E-2</v>
      </c>
      <c r="H903" t="s">
        <v>18</v>
      </c>
      <c r="I903">
        <f>VLOOKUP(Table4[[#This Row],[Visitor]],'NHL Model'!$A$6:$B$38,2,FALSE)</f>
        <v>-0.74754136228530599</v>
      </c>
      <c r="J903">
        <f>($B$1+Table4[[#This Row],[Home Differential]])-Table4[[#This Row],[Away Differential]]</f>
        <v>0.82483689031679153</v>
      </c>
      <c r="K903" t="str">
        <f>IF(Table4[[#This Row],[HomeIce Differential]]&gt;0,Table4[[#This Row],[Home]],Table4[[#This Row],[Visitor]])</f>
        <v>Winnipeg Jets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0.60542812895838272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-0.51535072045188635</v>
      </c>
      <c r="H904" t="s">
        <v>14</v>
      </c>
      <c r="I904">
        <f>VLOOKUP(Table4[[#This Row],[Visitor]],'NHL Model'!$A$6:$B$38,2,FALSE)</f>
        <v>-0.2090057419115289</v>
      </c>
      <c r="J904">
        <f>($B$1+Table4[[#This Row],[Home Differential]])-Table4[[#This Row],[Away Differential]]</f>
        <v>-0.16880158956794108</v>
      </c>
      <c r="K904" t="str">
        <f>IF(Table4[[#This Row],[HomeIce Differential]]&gt;0,Table4[[#This Row],[Home]],Table4[[#This Row],[Visitor]])</f>
        <v>Pittsburgh Penguins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0.46849783683175267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-1.8032585202533785E-2</v>
      </c>
      <c r="H905" t="s">
        <v>30</v>
      </c>
      <c r="I905">
        <f>VLOOKUP(Table4[[#This Row],[Visitor]],'NHL Model'!$A$6:$B$38,2,FALSE)</f>
        <v>3.838472305373858E-3</v>
      </c>
      <c r="J905">
        <f>($B$1+Table4[[#This Row],[Home Differential]])-Table4[[#This Row],[Away Differential]]</f>
        <v>0.11567233146450871</v>
      </c>
      <c r="K905" t="str">
        <f>IF(Table4[[#This Row],[HomeIce Differential]]&gt;0,Table4[[#This Row],[Home]],Table4[[#This Row],[Visitor]])</f>
        <v>New Jersey Devils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0.60252494508771881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-0.49835870184734621</v>
      </c>
      <c r="H906" t="s">
        <v>25</v>
      </c>
      <c r="I906">
        <f>VLOOKUP(Table4[[#This Row],[Visitor]],'NHL Model'!$A$6:$B$38,2,FALSE)</f>
        <v>0.42515174825138019</v>
      </c>
      <c r="J906">
        <f>($B$1+Table4[[#This Row],[Home Differential]])-Table4[[#This Row],[Away Differential]]</f>
        <v>-0.7859670611263101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0.63745406499038793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-0.42203126246971279</v>
      </c>
      <c r="H907" t="s">
        <v>36</v>
      </c>
      <c r="I907">
        <f>VLOOKUP(Table4[[#This Row],[Visitor]],'NHL Model'!$A$6:$B$38,2,FALSE)</f>
        <v>-0.31751962084606655</v>
      </c>
      <c r="J907">
        <f>($B$1+Table4[[#This Row],[Home Differential]])-Table4[[#This Row],[Away Differential]]</f>
        <v>3.3031747348770124E-2</v>
      </c>
      <c r="K907" t="str">
        <f>IF(Table4[[#This Row],[HomeIce Differential]]&gt;0,Table4[[#This Row],[Home]],Table4[[#This Row],[Visitor]])</f>
        <v>Philadelphia Flyers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0.55612985394434278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7.1667377873261273E-2</v>
      </c>
      <c r="H908" t="s">
        <v>11</v>
      </c>
      <c r="I908">
        <f>VLOOKUP(Table4[[#This Row],[Visitor]],'NHL Model'!$A$6:$B$38,2,FALSE)</f>
        <v>-0.37836939589441088</v>
      </c>
      <c r="J908">
        <f>($B$1+Table4[[#This Row],[Home Differential]])-Table4[[#This Row],[Away Differential]]</f>
        <v>0.58758016274008851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0.62086588161608713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0.12073374225454764</v>
      </c>
      <c r="H909" t="s">
        <v>13</v>
      </c>
      <c r="I909">
        <f>VLOOKUP(Table4[[#This Row],[Visitor]],'NHL Model'!$A$6:$B$38,2,FALSE)</f>
        <v>-0.36134162888396865</v>
      </c>
      <c r="J909">
        <f>($B$1+Table4[[#This Row],[Home Differential]])-Table4[[#This Row],[Away Differential]]</f>
        <v>0.61961876011093264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0.53916539296876509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6.4811420118814619E-2</v>
      </c>
      <c r="H910" t="s">
        <v>29</v>
      </c>
      <c r="I910">
        <f>VLOOKUP(Table4[[#This Row],[Visitor]],'NHL Model'!$A$6:$B$38,2,FALSE)</f>
        <v>-1.4957350924899622</v>
      </c>
      <c r="J910">
        <f>($B$1+Table4[[#This Row],[Home Differential]])-Table4[[#This Row],[Away Differential]]</f>
        <v>1.6980899015811932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0.76648822638539149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0.34329638981067145</v>
      </c>
      <c r="H911" t="s">
        <v>17</v>
      </c>
      <c r="I911">
        <f>VLOOKUP(Table4[[#This Row],[Visitor]],'NHL Model'!$A$6:$B$38,2,FALSE)</f>
        <v>-0.87263145033954281</v>
      </c>
      <c r="J911">
        <f>($B$1+Table4[[#This Row],[Home Differential]])-Table4[[#This Row],[Away Differential]]</f>
        <v>1.3534712291226305</v>
      </c>
      <c r="K911" t="str">
        <f>IF(Table4[[#This Row],[HomeIce Differential]]&gt;0,Table4[[#This Row],[Home]],Table4[[#This Row],[Visitor]])</f>
        <v>Anaheim Ducks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0.81544423255948661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4.3828122498436855E-3</v>
      </c>
      <c r="H912" t="s">
        <v>32</v>
      </c>
      <c r="I912">
        <f>VLOOKUP(Table4[[#This Row],[Visitor]],'NHL Model'!$A$6:$B$38,2,FALSE)</f>
        <v>-0.45007023285116615</v>
      </c>
      <c r="J912">
        <f>($B$1+Table4[[#This Row],[Home Differential]])-Table4[[#This Row],[Away Differential]]</f>
        <v>0.59199643407342617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0.62145491607215031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-0.36134162888396865</v>
      </c>
      <c r="H913" t="s">
        <v>20</v>
      </c>
      <c r="I913">
        <f>VLOOKUP(Table4[[#This Row],[Visitor]],'NHL Model'!$A$6:$B$38,2,FALSE)</f>
        <v>0.12073374225454764</v>
      </c>
      <c r="J913">
        <f>($B$1+Table4[[#This Row],[Home Differential]])-Table4[[#This Row],[Away Differential]]</f>
        <v>-0.34453198216609993</v>
      </c>
      <c r="K913" t="str">
        <f>IF(Table4[[#This Row],[HomeIce Differential]]&gt;0,Table4[[#This Row],[Home]],Table4[[#This Row],[Visitor]])</f>
        <v>Vegas Golden Knights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0.52672229691795625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-1.8032585202533785E-2</v>
      </c>
      <c r="H914" t="s">
        <v>23</v>
      </c>
      <c r="I914">
        <f>VLOOKUP(Table4[[#This Row],[Visitor]],'NHL Model'!$A$6:$B$38,2,FALSE)</f>
        <v>-0.51535072045188635</v>
      </c>
      <c r="J914">
        <f>($B$1+Table4[[#This Row],[Home Differential]])-Table4[[#This Row],[Away Differential]]</f>
        <v>0.63486152422176889</v>
      </c>
      <c r="K914" t="str">
        <f>IF(Table4[[#This Row],[HomeIce Differential]]&gt;0,Table4[[#This Row],[Home]],Table4[[#This Row],[Visitor]])</f>
        <v>New Jersey Devils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0.74010741835459071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7.1667377873261273E-2</v>
      </c>
      <c r="H915" t="s">
        <v>19</v>
      </c>
      <c r="I915">
        <f>VLOOKUP(Table4[[#This Row],[Visitor]],'NHL Model'!$A$6:$B$38,2,FALSE)</f>
        <v>-0.93520311342823803</v>
      </c>
      <c r="J915">
        <f>($B$1+Table4[[#This Row],[Home Differential]])-Table4[[#This Row],[Away Differential]]</f>
        <v>1.1444138802739157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0.69513537757056287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-0.30969050963205513</v>
      </c>
      <c r="H916" t="s">
        <v>12</v>
      </c>
      <c r="I916">
        <f>VLOOKUP(Table4[[#This Row],[Visitor]],'NHL Model'!$A$6:$B$38,2,FALSE)</f>
        <v>1.4458345276269271</v>
      </c>
      <c r="J916">
        <f>($B$1+Table4[[#This Row],[Home Differential]])-Table4[[#This Row],[Away Differential]]</f>
        <v>-1.6179816482865659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0.71580352930861291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-1.1236485959014608</v>
      </c>
      <c r="H917" t="s">
        <v>40</v>
      </c>
      <c r="I917">
        <f>VLOOKUP(Table4[[#This Row],[Visitor]],'NHL Model'!$A$6:$B$38,2,FALSE)</f>
        <v>-6.0247860940930854E-2</v>
      </c>
      <c r="J917">
        <f>($B$1+Table4[[#This Row],[Home Differential]])-Table4[[#This Row],[Away Differential]]</f>
        <v>-0.92585734598811364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0.64980500402202657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6.4811420118814619E-2</v>
      </c>
      <c r="H918" t="s">
        <v>27</v>
      </c>
      <c r="I918">
        <f>VLOOKUP(Table4[[#This Row],[Visitor]],'NHL Model'!$A$6:$B$38,2,FALSE)</f>
        <v>-0.42203126246971279</v>
      </c>
      <c r="J918">
        <f>($B$1+Table4[[#This Row],[Home Differential]])-Table4[[#This Row],[Away Differential]]</f>
        <v>0.62438607156094372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0.623279509404007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-0.14464931395309213</v>
      </c>
      <c r="H919" t="s">
        <v>28</v>
      </c>
      <c r="I919">
        <f>VLOOKUP(Table4[[#This Row],[Visitor]],'NHL Model'!$A$6:$B$38,2,FALSE)</f>
        <v>-0.59418600019583889</v>
      </c>
      <c r="J919">
        <f>($B$1+Table4[[#This Row],[Home Differential]])-Table4[[#This Row],[Away Differential]]</f>
        <v>0.58708007521516314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0.66921279253164401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0.42515174825138019</v>
      </c>
      <c r="H920" t="s">
        <v>37</v>
      </c>
      <c r="I920">
        <f>VLOOKUP(Table4[[#This Row],[Visitor]],'NHL Model'!$A$6:$B$38,2,FALSE)</f>
        <v>7.1667377873261273E-2</v>
      </c>
      <c r="J920">
        <f>($B$1+Table4[[#This Row],[Home Differential]])-Table4[[#This Row],[Away Differential]]</f>
        <v>0.49102775935053522</v>
      </c>
      <c r="K920" t="str">
        <f>IF(Table4[[#This Row],[HomeIce Differential]]&gt;0,Table4[[#This Row],[Home]],Table4[[#This Row],[Visitor]])</f>
        <v>Carolina Hurricanes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0.59180820316611549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1.4458345276269271</v>
      </c>
      <c r="H921" t="s">
        <v>34</v>
      </c>
      <c r="I921">
        <f>VLOOKUP(Table4[[#This Row],[Visitor]],'NHL Model'!$A$6:$B$38,2,FALSE)</f>
        <v>-0.16358905079701039</v>
      </c>
      <c r="J921">
        <f>($B$1+Table4[[#This Row],[Home Differential]])-Table4[[#This Row],[Away Differential]]</f>
        <v>1.7469669673963539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0.84839197832284174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-0.37836939589441088</v>
      </c>
      <c r="H922" t="s">
        <v>19</v>
      </c>
      <c r="I922">
        <f>VLOOKUP(Table4[[#This Row],[Visitor]],'NHL Model'!$A$6:$B$38,2,FALSE)</f>
        <v>-0.93520311342823803</v>
      </c>
      <c r="J922">
        <f>($B$1+Table4[[#This Row],[Home Differential]])-Table4[[#This Row],[Away Differential]]</f>
        <v>0.69437710650624351</v>
      </c>
      <c r="K922" t="str">
        <f>IF(Table4[[#This Row],[HomeIce Differential]]&gt;0,Table4[[#This Row],[Home]],Table4[[#This Row],[Visitor]])</f>
        <v>Florida Panthers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0.68433076613063903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-0.36134162888396865</v>
      </c>
      <c r="H923" t="s">
        <v>17</v>
      </c>
      <c r="I923">
        <f>VLOOKUP(Table4[[#This Row],[Visitor]],'NHL Model'!$A$6:$B$38,2,FALSE)</f>
        <v>-0.87263145033954281</v>
      </c>
      <c r="J923">
        <f>($B$1+Table4[[#This Row],[Home Differential]])-Table4[[#This Row],[Away Differential]]</f>
        <v>0.64883321042799058</v>
      </c>
      <c r="K923" t="str">
        <f>IF(Table4[[#This Row],[HomeIce Differential]]&gt;0,Table4[[#This Row],[Home]],Table4[[#This Row],[Visitor]])</f>
        <v>Los Angeles Kings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0.62654022552807032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-0.74754136228530599</v>
      </c>
      <c r="H924" t="s">
        <v>30</v>
      </c>
      <c r="I924">
        <f>VLOOKUP(Table4[[#This Row],[Visitor]],'NHL Model'!$A$6:$B$38,2,FALSE)</f>
        <v>3.838472305373858E-3</v>
      </c>
      <c r="J924">
        <f>($B$1+Table4[[#This Row],[Home Differential]])-Table4[[#This Row],[Away Differential]]</f>
        <v>-0.61383644561826345</v>
      </c>
      <c r="K924" t="str">
        <f>IF(Table4[[#This Row],[HomeIce Differential]]&gt;0,Table4[[#This Row],[Home]],Table4[[#This Row],[Visitor]])</f>
        <v>New York Islanders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0.61449558807067861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-1.4957350924899622</v>
      </c>
      <c r="H925" t="s">
        <v>10</v>
      </c>
      <c r="I925">
        <f>VLOOKUP(Table4[[#This Row],[Visitor]],'NHL Model'!$A$6:$B$38,2,FALSE)</f>
        <v>-0.15263505358797036</v>
      </c>
      <c r="J925">
        <f>($B$1+Table4[[#This Row],[Home Differential]])-Table4[[#This Row],[Away Differential]]</f>
        <v>-1.2055566499295753</v>
      </c>
      <c r="K925" t="str">
        <f>IF(Table4[[#This Row],[HomeIce Differential]]&gt;0,Table4[[#This Row],[Home]],Table4[[#This Row],[Visitor]])</f>
        <v>Chicago Blackhawks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0.62079501279373717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-0.49835870184734621</v>
      </c>
      <c r="H926" t="s">
        <v>27</v>
      </c>
      <c r="I926">
        <f>VLOOKUP(Table4[[#This Row],[Visitor]],'NHL Model'!$A$6:$B$38,2,FALSE)</f>
        <v>-0.42203126246971279</v>
      </c>
      <c r="J926">
        <f>($B$1+Table4[[#This Row],[Home Differential]])-Table4[[#This Row],[Away Differential]]</f>
        <v>6.1215949594782937E-2</v>
      </c>
      <c r="K926" t="str">
        <f>IF(Table4[[#This Row],[HomeIce Differential]]&gt;0,Table4[[#This Row],[Home]],Table4[[#This Row],[Visitor]])</f>
        <v>New York Rangers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0.54816487503830613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-0.31751962084606655</v>
      </c>
      <c r="H927" t="s">
        <v>26</v>
      </c>
      <c r="I927">
        <f>VLOOKUP(Table4[[#This Row],[Visitor]],'NHL Model'!$A$6:$B$38,2,FALSE)</f>
        <v>-0.66335717753705836</v>
      </c>
      <c r="J927">
        <f>($B$1+Table4[[#This Row],[Home Differential]])-Table4[[#This Row],[Away Differential]]</f>
        <v>0.48338094566340817</v>
      </c>
      <c r="K927" t="str">
        <f>IF(Table4[[#This Row],[HomeIce Differential]]&gt;0,Table4[[#This Row],[Home]],Table4[[#This Row],[Visitor]])</f>
        <v>Ottawa Senators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0.55988533925020456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-0.2090057419115289</v>
      </c>
      <c r="H928" t="s">
        <v>24</v>
      </c>
      <c r="I928">
        <f>VLOOKUP(Table4[[#This Row],[Visitor]],'NHL Model'!$A$6:$B$38,2,FALSE)</f>
        <v>-1.8032585202533785E-2</v>
      </c>
      <c r="J928">
        <f>($B$1+Table4[[#This Row],[Home Differential]])-Table4[[#This Row],[Away Differential]]</f>
        <v>-5.3429767736578759E-2</v>
      </c>
      <c r="K928" t="str">
        <f>IF(Table4[[#This Row],[HomeIce Differential]]&gt;0,Table4[[#This Row],[Home]],Table4[[#This Row],[Visitor]])</f>
        <v>New Jersey Devils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0.46795586096688652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-0.36178381286707545</v>
      </c>
      <c r="H929" t="s">
        <v>16</v>
      </c>
      <c r="I929">
        <f>VLOOKUP(Table4[[#This Row],[Visitor]],'NHL Model'!$A$6:$B$38,2,FALSE)</f>
        <v>-1.0952038865534519</v>
      </c>
      <c r="J929">
        <f>($B$1+Table4[[#This Row],[Home Differential]])-Table4[[#This Row],[Away Differential]]</f>
        <v>0.87096346265879276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0.65616756552193489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-1.5569791149906038</v>
      </c>
      <c r="H930" t="s">
        <v>32</v>
      </c>
      <c r="I930">
        <f>VLOOKUP(Table4[[#This Row],[Visitor]],'NHL Model'!$A$6:$B$38,2,FALSE)</f>
        <v>-0.45007023285116615</v>
      </c>
      <c r="J930">
        <f>($B$1+Table4[[#This Row],[Home Differential]])-Table4[[#This Row],[Away Differential]]</f>
        <v>-0.96936549316702125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0.58929225423351439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0.34329638981067145</v>
      </c>
      <c r="H931" t="s">
        <v>40</v>
      </c>
      <c r="I931">
        <f>VLOOKUP(Table4[[#This Row],[Visitor]],'NHL Model'!$A$6:$B$38,2,FALSE)</f>
        <v>-6.0247860940930854E-2</v>
      </c>
      <c r="J931">
        <f>($B$1+Table4[[#This Row],[Home Differential]])-Table4[[#This Row],[Away Differential]]</f>
        <v>0.54108763972401863</v>
      </c>
      <c r="K931" t="str">
        <f>IF(Table4[[#This Row],[HomeIce Differential]]&gt;0,Table4[[#This Row],[Home]],Table4[[#This Row],[Visitor]])</f>
        <v>Anaheim Ducks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0.64359788338669399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-0.37836939589441088</v>
      </c>
      <c r="H932" t="s">
        <v>23</v>
      </c>
      <c r="I932">
        <f>VLOOKUP(Table4[[#This Row],[Visitor]],'NHL Model'!$A$6:$B$38,2,FALSE)</f>
        <v>-0.51535072045188635</v>
      </c>
      <c r="J932">
        <f>($B$1+Table4[[#This Row],[Home Differential]])-Table4[[#This Row],[Away Differential]]</f>
        <v>0.27452471352989183</v>
      </c>
      <c r="K932" t="str">
        <f>IF(Table4[[#This Row],[HomeIce Differential]]&gt;0,Table4[[#This Row],[Home]],Table4[[#This Row],[Visitor]])</f>
        <v>Florida Panthers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0.62833159686384654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-0.30969050963205513</v>
      </c>
      <c r="H933" t="s">
        <v>34</v>
      </c>
      <c r="I933">
        <f>VLOOKUP(Table4[[#This Row],[Visitor]],'NHL Model'!$A$6:$B$38,2,FALSE)</f>
        <v>-0.16358905079701039</v>
      </c>
      <c r="J933">
        <f>($B$1+Table4[[#This Row],[Home Differential]])-Table4[[#This Row],[Away Differential]]</f>
        <v>-8.5580698626283869E-3</v>
      </c>
      <c r="K933" t="str">
        <f>IF(Table4[[#This Row],[HomeIce Differential]]&gt;0,Table4[[#This Row],[Home]],Table4[[#This Row],[Visitor]])</f>
        <v>Minnesota Wild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0.42971288878661751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6.4811420118814619E-2</v>
      </c>
      <c r="H934" t="s">
        <v>20</v>
      </c>
      <c r="I934">
        <f>VLOOKUP(Table4[[#This Row],[Visitor]],'NHL Model'!$A$6:$B$38,2,FALSE)</f>
        <v>0.12073374225454764</v>
      </c>
      <c r="J934">
        <f>($B$1+Table4[[#This Row],[Home Differential]])-Table4[[#This Row],[Away Differential]]</f>
        <v>8.1621066836683354E-2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0.5301172427009373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0.42515174825138019</v>
      </c>
      <c r="H935" t="s">
        <v>26</v>
      </c>
      <c r="I935">
        <f>VLOOKUP(Table4[[#This Row],[Visitor]],'NHL Model'!$A$6:$B$38,2,FALSE)</f>
        <v>-0.66335717753705836</v>
      </c>
      <c r="J935">
        <f>($B$1+Table4[[#This Row],[Home Differential]])-Table4[[#This Row],[Away Differential]]</f>
        <v>1.2260523147608549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0.70898323375739636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-0.59418600019583889</v>
      </c>
      <c r="H936" t="s">
        <v>30</v>
      </c>
      <c r="I936">
        <f>VLOOKUP(Table4[[#This Row],[Visitor]],'NHL Model'!$A$6:$B$38,2,FALSE)</f>
        <v>3.838472305373858E-3</v>
      </c>
      <c r="J936">
        <f>($B$1+Table4[[#This Row],[Home Differential]])-Table4[[#This Row],[Away Differential]]</f>
        <v>-0.46048108352879641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0.58696559737765974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1.4458345276269271</v>
      </c>
      <c r="H937" t="s">
        <v>10</v>
      </c>
      <c r="I937">
        <f>VLOOKUP(Table4[[#This Row],[Visitor]],'NHL Model'!$A$6:$B$38,2,FALSE)</f>
        <v>-0.15263505358797036</v>
      </c>
      <c r="J937">
        <f>($B$1+Table4[[#This Row],[Home Differential]])-Table4[[#This Row],[Away Differential]]</f>
        <v>1.7360129701873139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0.86646697309368503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4.3828122498436855E-3</v>
      </c>
      <c r="H938" t="s">
        <v>29</v>
      </c>
      <c r="I938">
        <f>VLOOKUP(Table4[[#This Row],[Visitor]],'NHL Model'!$A$6:$B$38,2,FALSE)</f>
        <v>-1.4957350924899622</v>
      </c>
      <c r="J938">
        <f>($B$1+Table4[[#This Row],[Home Differential]])-Table4[[#This Row],[Away Differential]]</f>
        <v>1.6376612937122221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0.76092384479765118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-0.36134162888396865</v>
      </c>
      <c r="H939" t="s">
        <v>16</v>
      </c>
      <c r="I939">
        <f>VLOOKUP(Table4[[#This Row],[Visitor]],'NHL Model'!$A$6:$B$38,2,FALSE)</f>
        <v>-1.0952038865534519</v>
      </c>
      <c r="J939">
        <f>($B$1+Table4[[#This Row],[Home Differential]])-Table4[[#This Row],[Away Differential]]</f>
        <v>0.87140564664189957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0.65622654323917862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-0.74754136228530599</v>
      </c>
      <c r="H940" t="s">
        <v>22</v>
      </c>
      <c r="I940">
        <f>VLOOKUP(Table4[[#This Row],[Visitor]],'NHL Model'!$A$6:$B$38,2,FALSE)</f>
        <v>6.4811420118814619E-2</v>
      </c>
      <c r="J940">
        <f>($B$1+Table4[[#This Row],[Home Differential]])-Table4[[#This Row],[Away Differential]]</f>
        <v>-0.67480939343170421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0.57077411362274366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-0.49835870184734621</v>
      </c>
      <c r="H941" t="s">
        <v>14</v>
      </c>
      <c r="I941">
        <f>VLOOKUP(Table4[[#This Row],[Visitor]],'NHL Model'!$A$6:$B$38,2,FALSE)</f>
        <v>-0.2090057419115289</v>
      </c>
      <c r="J941">
        <f>($B$1+Table4[[#This Row],[Home Differential]])-Table4[[#This Row],[Away Differential]]</f>
        <v>-0.15180957096340095</v>
      </c>
      <c r="K941" t="str">
        <f>IF(Table4[[#This Row],[HomeIce Differential]]&gt;0,Table4[[#This Row],[Home]],Table4[[#This Row],[Visitor]])</f>
        <v>Pittsburgh Penguins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0.48024809195544466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-0.42203126246971279</v>
      </c>
      <c r="H942" t="s">
        <v>21</v>
      </c>
      <c r="I942">
        <f>VLOOKUP(Table4[[#This Row],[Visitor]],'NHL Model'!$A$6:$B$38,2,FALSE)</f>
        <v>-0.14464931395309213</v>
      </c>
      <c r="J942">
        <f>($B$1+Table4[[#This Row],[Home Differential]])-Table4[[#This Row],[Away Differential]]</f>
        <v>-0.13983855954420429</v>
      </c>
      <c r="K942" t="str">
        <f>IF(Table4[[#This Row],[HomeIce Differential]]&gt;0,Table4[[#This Row],[Home]],Table4[[#This Row],[Visitor]])</f>
        <v>Boston Bruins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0.44640535382617719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-0.45007023285116615</v>
      </c>
      <c r="H943" t="s">
        <v>38</v>
      </c>
      <c r="I943">
        <f>VLOOKUP(Table4[[#This Row],[Visitor]],'NHL Model'!$A$6:$B$38,2,FALSE)</f>
        <v>-1.1236485959014608</v>
      </c>
      <c r="J943">
        <f>($B$1+Table4[[#This Row],[Home Differential]])-Table4[[#This Row],[Away Differential]]</f>
        <v>0.81112175202271097</v>
      </c>
      <c r="K943" t="str">
        <f>IF(Table4[[#This Row],[HomeIce Differential]]&gt;0,Table4[[#This Row],[Home]],Table4[[#This Row],[Visitor]])</f>
        <v>Seattle Kraken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0.65364052949883666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-0.36178381286707545</v>
      </c>
      <c r="H944" t="s">
        <v>17</v>
      </c>
      <c r="I944">
        <f>VLOOKUP(Table4[[#This Row],[Visitor]],'NHL Model'!$A$6:$B$38,2,FALSE)</f>
        <v>-0.87263145033954281</v>
      </c>
      <c r="J944">
        <f>($B$1+Table4[[#This Row],[Home Differential]])-Table4[[#This Row],[Away Differential]]</f>
        <v>0.64839102644488378</v>
      </c>
      <c r="K944" t="str">
        <f>IF(Table4[[#This Row],[HomeIce Differential]]&gt;0,Table4[[#This Row],[Home]],Table4[[#This Row],[Visitor]])</f>
        <v>San Jose Sharks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0.62648124781082659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-1.5569791149906038</v>
      </c>
      <c r="H945" t="s">
        <v>24</v>
      </c>
      <c r="I945">
        <f>VLOOKUP(Table4[[#This Row],[Visitor]],'NHL Model'!$A$6:$B$38,2,FALSE)</f>
        <v>-1.8032585202533785E-2</v>
      </c>
      <c r="J945">
        <f>($B$1+Table4[[#This Row],[Home Differential]])-Table4[[#This Row],[Away Differential]]</f>
        <v>-1.4014031408156535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0.64774616429483756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7.1667377873261273E-2</v>
      </c>
      <c r="H946" t="s">
        <v>23</v>
      </c>
      <c r="I946">
        <f>VLOOKUP(Table4[[#This Row],[Visitor]],'NHL Model'!$A$6:$B$38,2,FALSE)</f>
        <v>-0.51535072045188635</v>
      </c>
      <c r="J946">
        <f>($B$1+Table4[[#This Row],[Home Differential]])-Table4[[#This Row],[Away Differential]]</f>
        <v>0.72456148729756398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0.63913620830377038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-0.93520311342823803</v>
      </c>
      <c r="H947" t="s">
        <v>36</v>
      </c>
      <c r="I947">
        <f>VLOOKUP(Table4[[#This Row],[Visitor]],'NHL Model'!$A$6:$B$38,2,FALSE)</f>
        <v>-0.31751962084606655</v>
      </c>
      <c r="J947">
        <f>($B$1+Table4[[#This Row],[Home Differential]])-Table4[[#This Row],[Away Differential]]</f>
        <v>-0.48014010360975512</v>
      </c>
      <c r="K947" t="str">
        <f>IF(Table4[[#This Row],[HomeIce Differential]]&gt;0,Table4[[#This Row],[Home]],Table4[[#This Row],[Visitor]])</f>
        <v>Ottawa Senators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0.54480946820413423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0.34329638981067145</v>
      </c>
      <c r="H948" t="s">
        <v>16</v>
      </c>
      <c r="I948">
        <f>VLOOKUP(Table4[[#This Row],[Visitor]],'NHL Model'!$A$6:$B$38,2,FALSE)</f>
        <v>-1.0952038865534519</v>
      </c>
      <c r="J948">
        <f>($B$1+Table4[[#This Row],[Home Differential]])-Table4[[#This Row],[Away Differential]]</f>
        <v>1.5760436653365397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0.84513055027059492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-0.16358905079701039</v>
      </c>
      <c r="H949" t="s">
        <v>35</v>
      </c>
      <c r="I949">
        <f>VLOOKUP(Table4[[#This Row],[Visitor]],'NHL Model'!$A$6:$B$38,2,FALSE)</f>
        <v>-1.5569791149906038</v>
      </c>
      <c r="J949">
        <f>($B$1+Table4[[#This Row],[Home Differential]])-Table4[[#This Row],[Away Differential]]</f>
        <v>1.5309334531660097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0.74419319507098147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3.838472305373858E-3</v>
      </c>
      <c r="H950" t="s">
        <v>11</v>
      </c>
      <c r="I950">
        <f>VLOOKUP(Table4[[#This Row],[Visitor]],'NHL Model'!$A$6:$B$38,2,FALSE)</f>
        <v>-0.37836939589441088</v>
      </c>
      <c r="J950">
        <f>($B$1+Table4[[#This Row],[Home Differential]])-Table4[[#This Row],[Away Differential]]</f>
        <v>0.51975125717220105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0.60932350300705251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-0.2090057419115289</v>
      </c>
      <c r="H951" t="s">
        <v>20</v>
      </c>
      <c r="I951">
        <f>VLOOKUP(Table4[[#This Row],[Visitor]],'NHL Model'!$A$6:$B$38,2,FALSE)</f>
        <v>0.12073374225454764</v>
      </c>
      <c r="J951">
        <f>($B$1+Table4[[#This Row],[Home Differential]])-Table4[[#This Row],[Away Differential]]</f>
        <v>-0.19219609519366018</v>
      </c>
      <c r="K951" t="str">
        <f>IF(Table4[[#This Row],[HomeIce Differential]]&gt;0,Table4[[#This Row],[Home]],Table4[[#This Row],[Visitor]])</f>
        <v>Vegas Golden Knights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0.50640400586451662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-0.36178381286707545</v>
      </c>
      <c r="H952" t="s">
        <v>40</v>
      </c>
      <c r="I952">
        <f>VLOOKUP(Table4[[#This Row],[Visitor]],'NHL Model'!$A$6:$B$38,2,FALSE)</f>
        <v>-6.0247860940930854E-2</v>
      </c>
      <c r="J952">
        <f>($B$1+Table4[[#This Row],[Home Differential]])-Table4[[#This Row],[Away Differential]]</f>
        <v>-0.16399256295372824</v>
      </c>
      <c r="K952" t="str">
        <f>IF(Table4[[#This Row],[HomeIce Differential]]&gt;0,Table4[[#This Row],[Home]],Table4[[#This Row],[Visitor]])</f>
        <v>Winnipeg Jets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0.54818882734358676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-0.30969050963205513</v>
      </c>
      <c r="H953" t="s">
        <v>10</v>
      </c>
      <c r="I953">
        <f>VLOOKUP(Table4[[#This Row],[Visitor]],'NHL Model'!$A$6:$B$38,2,FALSE)</f>
        <v>-0.15263505358797036</v>
      </c>
      <c r="J953">
        <f>($B$1+Table4[[#This Row],[Home Differential]])-Table4[[#This Row],[Away Differential]]</f>
        <v>-1.9512067071668415E-2</v>
      </c>
      <c r="K953" t="str">
        <f>IF(Table4[[#This Row],[HomeIce Differential]]&gt;0,Table4[[#This Row],[Home]],Table4[[#This Row],[Visitor]])</f>
        <v>Chicago Blackhawks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0.41088650864900433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-0.36134162888396865</v>
      </c>
      <c r="H954" t="s">
        <v>12</v>
      </c>
      <c r="I954">
        <f>VLOOKUP(Table4[[#This Row],[Visitor]],'NHL Model'!$A$6:$B$38,2,FALSE)</f>
        <v>1.4458345276269271</v>
      </c>
      <c r="J954">
        <f>($B$1+Table4[[#This Row],[Home Differential]])-Table4[[#This Row],[Away Differential]]</f>
        <v>-1.6696327675384794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0.77517885204559311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-1.4957350924899622</v>
      </c>
      <c r="H955" t="s">
        <v>26</v>
      </c>
      <c r="I955">
        <f>VLOOKUP(Table4[[#This Row],[Visitor]],'NHL Model'!$A$6:$B$38,2,FALSE)</f>
        <v>-0.66335717753705836</v>
      </c>
      <c r="J955">
        <f>($B$1+Table4[[#This Row],[Home Differential]])-Table4[[#This Row],[Away Differential]]</f>
        <v>-0.69483452598048734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0.59977519108010158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-0.49835870184734621</v>
      </c>
      <c r="H956" t="s">
        <v>28</v>
      </c>
      <c r="I956">
        <f>VLOOKUP(Table4[[#This Row],[Visitor]],'NHL Model'!$A$6:$B$38,2,FALSE)</f>
        <v>-0.59418600019583889</v>
      </c>
      <c r="J956">
        <f>($B$1+Table4[[#This Row],[Home Differential]])-Table4[[#This Row],[Away Differential]]</f>
        <v>0.23337068732090904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0.5702970762492221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-0.45007023285116615</v>
      </c>
      <c r="H957" t="s">
        <v>25</v>
      </c>
      <c r="I957">
        <f>VLOOKUP(Table4[[#This Row],[Visitor]],'NHL Model'!$A$6:$B$38,2,FALSE)</f>
        <v>0.42515174825138019</v>
      </c>
      <c r="J957">
        <f>($B$1+Table4[[#This Row],[Home Differential]])-Table4[[#This Row],[Away Differential]]</f>
        <v>-0.73767859213012998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0.60471937925596952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-0.93520311342823803</v>
      </c>
      <c r="H958" t="s">
        <v>27</v>
      </c>
      <c r="I958">
        <f>VLOOKUP(Table4[[#This Row],[Visitor]],'NHL Model'!$A$6:$B$38,2,FALSE)</f>
        <v>-0.42203126246971279</v>
      </c>
      <c r="J958">
        <f>($B$1+Table4[[#This Row],[Home Differential]])-Table4[[#This Row],[Away Differential]]</f>
        <v>-0.37562846198610889</v>
      </c>
      <c r="K958" t="str">
        <f>IF(Table4[[#This Row],[HomeIce Differential]]&gt;0,Table4[[#This Row],[Home]],Table4[[#This Row],[Visitor]])</f>
        <v>Philadelphia Flyers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0.51010065960340933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-1.1236485959014608</v>
      </c>
      <c r="H959" t="s">
        <v>39</v>
      </c>
      <c r="I959">
        <f>VLOOKUP(Table4[[#This Row],[Visitor]],'NHL Model'!$A$6:$B$38,2,FALSE)</f>
        <v>4.3828122498436855E-3</v>
      </c>
      <c r="J959">
        <f>($B$1+Table4[[#This Row],[Home Differential]])-Table4[[#This Row],[Away Differential]]</f>
        <v>-0.99048801917888818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0.67306780831123403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0.34329638981067145</v>
      </c>
      <c r="H960" t="s">
        <v>12</v>
      </c>
      <c r="I960">
        <f>VLOOKUP(Table4[[#This Row],[Visitor]],'NHL Model'!$A$6:$B$38,2,FALSE)</f>
        <v>1.4458345276269271</v>
      </c>
      <c r="J960">
        <f>($B$1+Table4[[#This Row],[Home Differential]])-Table4[[#This Row],[Away Differential]]</f>
        <v>-0.96499474884383929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0.58325474663496235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-0.14464931395309213</v>
      </c>
      <c r="H961" t="s">
        <v>14</v>
      </c>
      <c r="I961">
        <f>VLOOKUP(Table4[[#This Row],[Visitor]],'NHL Model'!$A$6:$B$38,2,FALSE)</f>
        <v>-0.2090057419115289</v>
      </c>
      <c r="J961">
        <f>($B$1+Table4[[#This Row],[Home Differential]])-Table4[[#This Row],[Away Differential]]</f>
        <v>0.20189981693085313</v>
      </c>
      <c r="K961" t="str">
        <f>IF(Table4[[#This Row],[HomeIce Differential]]&gt;0,Table4[[#This Row],[Home]],Table4[[#This Row],[Visitor]])</f>
        <v>Boston Bruins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0.6186450166616897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-0.51535072045188635</v>
      </c>
      <c r="H962" t="s">
        <v>20</v>
      </c>
      <c r="I962">
        <f>VLOOKUP(Table4[[#This Row],[Visitor]],'NHL Model'!$A$6:$B$38,2,FALSE)</f>
        <v>0.12073374225454764</v>
      </c>
      <c r="J962">
        <f>($B$1+Table4[[#This Row],[Home Differential]])-Table4[[#This Row],[Away Differential]]</f>
        <v>-0.49854107373401763</v>
      </c>
      <c r="K962" t="str">
        <f>IF(Table4[[#This Row],[HomeIce Differential]]&gt;0,Table4[[#This Row],[Home]],Table4[[#This Row],[Visitor]])</f>
        <v>Vegas Golden Knights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0.5331611929371225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-0.59418600019583889</v>
      </c>
      <c r="H963" t="s">
        <v>29</v>
      </c>
      <c r="I963">
        <f>VLOOKUP(Table4[[#This Row],[Visitor]],'NHL Model'!$A$6:$B$38,2,FALSE)</f>
        <v>-1.4957350924899622</v>
      </c>
      <c r="J963">
        <f>($B$1+Table4[[#This Row],[Home Differential]])-Table4[[#This Row],[Away Differential]]</f>
        <v>1.0390924812665396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0.68563826838766961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-1.0952038865534519</v>
      </c>
      <c r="H964" t="s">
        <v>39</v>
      </c>
      <c r="I964">
        <f>VLOOKUP(Table4[[#This Row],[Visitor]],'NHL Model'!$A$6:$B$38,2,FALSE)</f>
        <v>4.3828122498436855E-3</v>
      </c>
      <c r="J964">
        <f>($B$1+Table4[[#This Row],[Home Differential]])-Table4[[#This Row],[Away Differential]]</f>
        <v>-0.96204330983087927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0.66927390330992653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-0.87263145033954281</v>
      </c>
      <c r="H965" t="s">
        <v>36</v>
      </c>
      <c r="I965">
        <f>VLOOKUP(Table4[[#This Row],[Visitor]],'NHL Model'!$A$6:$B$38,2,FALSE)</f>
        <v>-0.31751962084606655</v>
      </c>
      <c r="J965">
        <f>($B$1+Table4[[#This Row],[Home Differential]])-Table4[[#This Row],[Away Differential]]</f>
        <v>-0.4175684405210599</v>
      </c>
      <c r="K965" t="str">
        <f>IF(Table4[[#This Row],[HomeIce Differential]]&gt;0,Table4[[#This Row],[Home]],Table4[[#This Row],[Visitor]])</f>
        <v>Ottawa Senators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0.50013898417409297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-0.16358905079701039</v>
      </c>
      <c r="H966" t="s">
        <v>37</v>
      </c>
      <c r="I966">
        <f>VLOOKUP(Table4[[#This Row],[Visitor]],'NHL Model'!$A$6:$B$38,2,FALSE)</f>
        <v>7.1667377873261273E-2</v>
      </c>
      <c r="J966">
        <f>($B$1+Table4[[#This Row],[Home Differential]])-Table4[[#This Row],[Away Differential]]</f>
        <v>-9.7713039697855303E-2</v>
      </c>
      <c r="K966" t="str">
        <f>IF(Table4[[#This Row],[HomeIce Differential]]&gt;0,Table4[[#This Row],[Home]],Table4[[#This Row],[Visitor]])</f>
        <v>Tampa Bay Lightning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0.5393485818101118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-1.8032585202533785E-2</v>
      </c>
      <c r="H967" t="s">
        <v>11</v>
      </c>
      <c r="I967">
        <f>VLOOKUP(Table4[[#This Row],[Visitor]],'NHL Model'!$A$6:$B$38,2,FALSE)</f>
        <v>-0.37836939589441088</v>
      </c>
      <c r="J967">
        <f>($B$1+Table4[[#This Row],[Home Differential]])-Table4[[#This Row],[Away Differential]]</f>
        <v>0.49788019966429342</v>
      </c>
      <c r="K967" t="str">
        <f>IF(Table4[[#This Row],[HomeIce Differential]]&gt;0,Table4[[#This Row],[Home]],Table4[[#This Row],[Visitor]])</f>
        <v>New Jersey Devils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0.72183709166690746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-0.36178381286707545</v>
      </c>
      <c r="H968" t="s">
        <v>18</v>
      </c>
      <c r="I968">
        <f>VLOOKUP(Table4[[#This Row],[Visitor]],'NHL Model'!$A$6:$B$38,2,FALSE)</f>
        <v>-0.74754136228530599</v>
      </c>
      <c r="J968">
        <f>($B$1+Table4[[#This Row],[Home Differential]])-Table4[[#This Row],[Away Differential]]</f>
        <v>0.52330093839064684</v>
      </c>
      <c r="K968" t="str">
        <f>IF(Table4[[#This Row],[HomeIce Differential]]&gt;0,Table4[[#This Row],[Home]],Table4[[#This Row],[Visitor]])</f>
        <v>San Jose Sharks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0.56269756172625018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-6.0247860940930854E-2</v>
      </c>
      <c r="H969" t="s">
        <v>10</v>
      </c>
      <c r="I969">
        <f>VLOOKUP(Table4[[#This Row],[Visitor]],'NHL Model'!$A$6:$B$38,2,FALSE)</f>
        <v>-0.15263505358797036</v>
      </c>
      <c r="J969">
        <f>($B$1+Table4[[#This Row],[Home Differential]])-Table4[[#This Row],[Away Differential]]</f>
        <v>0.22993058161945587</v>
      </c>
      <c r="K969" t="str">
        <f>IF(Table4[[#This Row],[HomeIce Differential]]&gt;0,Table4[[#This Row],[Home]],Table4[[#This Row],[Visitor]])</f>
        <v>Winnipeg Jets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0.57316321332975961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6.4811420118814619E-2</v>
      </c>
      <c r="H970" t="s">
        <v>55</v>
      </c>
      <c r="I970">
        <f>VLOOKUP(Table4[[#This Row],[Visitor]],'NHL Model'!$A$6:$B$38,2,FALSE)</f>
        <v>-0.30969050963205513</v>
      </c>
      <c r="J970">
        <f>($B$1+Table4[[#This Row],[Home Differential]])-Table4[[#This Row],[Away Differential]]</f>
        <v>0.51204531872328607</v>
      </c>
      <c r="K970" t="str">
        <f>IF(Table4[[#This Row],[HomeIce Differential]]&gt;0,Table4[[#This Row],[Home]],Table4[[#This Row],[Visitor]])</f>
        <v>Washington Capitals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0.60829569857201959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0.34329638981067145</v>
      </c>
      <c r="H971" t="s">
        <v>30</v>
      </c>
      <c r="I971">
        <f>VLOOKUP(Table4[[#This Row],[Visitor]],'NHL Model'!$A$6:$B$38,2,FALSE)</f>
        <v>3.838472305373858E-3</v>
      </c>
      <c r="J971">
        <f>($B$1+Table4[[#This Row],[Home Differential]])-Table4[[#This Row],[Away Differential]]</f>
        <v>0.47700130647771394</v>
      </c>
      <c r="K971" t="str">
        <f>IF(Table4[[#This Row],[HomeIce Differential]]&gt;0,Table4[[#This Row],[Home]],Table4[[#This Row],[Visitor]])</f>
        <v>Anaheim Ducks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0.62883898153172857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-0.66335717753705836</v>
      </c>
      <c r="H972" t="s">
        <v>20</v>
      </c>
      <c r="I972">
        <f>VLOOKUP(Table4[[#This Row],[Visitor]],'NHL Model'!$A$6:$B$38,2,FALSE)</f>
        <v>0.12073374225454764</v>
      </c>
      <c r="J972">
        <f>($B$1+Table4[[#This Row],[Home Differential]])-Table4[[#This Row],[Away Differential]]</f>
        <v>-0.6465475308191897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0.53451122769521286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-1.8032585202533785E-2</v>
      </c>
      <c r="H973" t="s">
        <v>19</v>
      </c>
      <c r="I973">
        <f>VLOOKUP(Table4[[#This Row],[Visitor]],'NHL Model'!$A$6:$B$38,2,FALSE)</f>
        <v>-0.93520311342823803</v>
      </c>
      <c r="J973">
        <f>($B$1+Table4[[#This Row],[Home Differential]])-Table4[[#This Row],[Away Differential]]</f>
        <v>1.0547139171981206</v>
      </c>
      <c r="K973" t="str">
        <f>IF(Table4[[#This Row],[HomeIce Differential]]&gt;0,Table4[[#This Row],[Home]],Table4[[#This Row],[Visitor]])</f>
        <v>New Jersey Devils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0.7961065876213832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-0.45007023285116615</v>
      </c>
      <c r="H974" t="s">
        <v>35</v>
      </c>
      <c r="I974">
        <f>VLOOKUP(Table4[[#This Row],[Visitor]],'NHL Model'!$A$6:$B$38,2,FALSE)</f>
        <v>-1.5569791149906038</v>
      </c>
      <c r="J974">
        <f>($B$1+Table4[[#This Row],[Home Differential]])-Table4[[#This Row],[Away Differential]]</f>
        <v>1.244452271111854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0.73202057777217577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-1.1236485959014608</v>
      </c>
      <c r="H975" t="s">
        <v>25</v>
      </c>
      <c r="I975">
        <f>VLOOKUP(Table4[[#This Row],[Visitor]],'NHL Model'!$A$6:$B$38,2,FALSE)</f>
        <v>0.42515174825138019</v>
      </c>
      <c r="J975">
        <f>($B$1+Table4[[#This Row],[Home Differential]])-Table4[[#This Row],[Away Differential]]</f>
        <v>-1.4112569551804246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0.72085412463926402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-0.59418600019583889</v>
      </c>
      <c r="H976" t="s">
        <v>11</v>
      </c>
      <c r="I976">
        <f>VLOOKUP(Table4[[#This Row],[Visitor]],'NHL Model'!$A$6:$B$38,2,FALSE)</f>
        <v>-0.37836939589441088</v>
      </c>
      <c r="J976">
        <f>($B$1+Table4[[#This Row],[Home Differential]])-Table4[[#This Row],[Away Differential]]</f>
        <v>-7.8273215329011658E-2</v>
      </c>
      <c r="K976" t="str">
        <f>IF(Table4[[#This Row],[HomeIce Differential]]&gt;0,Table4[[#This Row],[Home]],Table4[[#This Row],[Visitor]])</f>
        <v>Florida Panthers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0.46339399109997903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-1.0952038865534519</v>
      </c>
      <c r="H977" t="s">
        <v>36</v>
      </c>
      <c r="I977">
        <f>VLOOKUP(Table4[[#This Row],[Visitor]],'NHL Model'!$A$6:$B$38,2,FALSE)</f>
        <v>-0.31751962084606655</v>
      </c>
      <c r="J977">
        <f>($B$1+Table4[[#This Row],[Home Differential]])-Table4[[#This Row],[Away Differential]]</f>
        <v>-0.640140876734969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0.56615008820998758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-0.36134162888396865</v>
      </c>
      <c r="H978" t="s">
        <v>30</v>
      </c>
      <c r="I978">
        <f>VLOOKUP(Table4[[#This Row],[Visitor]],'NHL Model'!$A$6:$B$38,2,FALSE)</f>
        <v>3.838472305373858E-3</v>
      </c>
      <c r="J978">
        <f>($B$1+Table4[[#This Row],[Home Differential]])-Table4[[#This Row],[Away Differential]]</f>
        <v>-0.22763671221692613</v>
      </c>
      <c r="K978" t="str">
        <f>IF(Table4[[#This Row],[HomeIce Differential]]&gt;0,Table4[[#This Row],[Home]],Table4[[#This Row],[Visitor]])</f>
        <v>New York Islanders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0.56298495099125678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-1.4957350924899622</v>
      </c>
      <c r="H979" t="s">
        <v>21</v>
      </c>
      <c r="I979">
        <f>VLOOKUP(Table4[[#This Row],[Visitor]],'NHL Model'!$A$6:$B$38,2,FALSE)</f>
        <v>-0.14464931395309213</v>
      </c>
      <c r="J979">
        <f>($B$1+Table4[[#This Row],[Home Differential]])-Table4[[#This Row],[Away Differential]]</f>
        <v>-1.2135423895644535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0.62186013661585926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-0.49835870184734621</v>
      </c>
      <c r="H980" t="s">
        <v>19</v>
      </c>
      <c r="I980">
        <f>VLOOKUP(Table4[[#This Row],[Visitor]],'NHL Model'!$A$6:$B$38,2,FALSE)</f>
        <v>-0.93520311342823803</v>
      </c>
      <c r="J980">
        <f>($B$1+Table4[[#This Row],[Home Differential]])-Table4[[#This Row],[Away Differential]]</f>
        <v>0.57438780055330818</v>
      </c>
      <c r="K980" t="str">
        <f>IF(Table4[[#This Row],[HomeIce Differential]]&gt;0,Table4[[#This Row],[Home]],Table4[[#This Row],[Visitor]])</f>
        <v>New York Rangers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0.61661082848651783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-0.42203126246971279</v>
      </c>
      <c r="H981" t="s">
        <v>55</v>
      </c>
      <c r="I981">
        <f>VLOOKUP(Table4[[#This Row],[Visitor]],'NHL Model'!$A$6:$B$38,2,FALSE)</f>
        <v>-0.30969050963205513</v>
      </c>
      <c r="J981">
        <f>($B$1+Table4[[#This Row],[Home Differential]])-Table4[[#This Row],[Away Differential]]</f>
        <v>2.5202636134758705E-2</v>
      </c>
      <c r="K981" t="str">
        <f>IF(Table4[[#This Row],[HomeIce Differential]]&gt;0,Table4[[#This Row],[Home]],Table4[[#This Row],[Visitor]])</f>
        <v>Philadelphia Flyers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0.57560754882111265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-0.2090057419115289</v>
      </c>
      <c r="H982" t="s">
        <v>23</v>
      </c>
      <c r="I982">
        <f>VLOOKUP(Table4[[#This Row],[Visitor]],'NHL Model'!$A$6:$B$38,2,FALSE)</f>
        <v>-0.51535072045188635</v>
      </c>
      <c r="J982">
        <f>($B$1+Table4[[#This Row],[Home Differential]])-Table4[[#This Row],[Away Differential]]</f>
        <v>0.44388836751277383</v>
      </c>
      <c r="K982" t="str">
        <f>IF(Table4[[#This Row],[HomeIce Differential]]&gt;0,Table4[[#This Row],[Home]],Table4[[#This Row],[Visitor]])</f>
        <v>Pittsburgh Penguins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0.5992050450199724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-6.0247860940930854E-2</v>
      </c>
      <c r="H983" t="s">
        <v>37</v>
      </c>
      <c r="I983">
        <f>VLOOKUP(Table4[[#This Row],[Visitor]],'NHL Model'!$A$6:$B$38,2,FALSE)</f>
        <v>7.1667377873261273E-2</v>
      </c>
      <c r="J983">
        <f>($B$1+Table4[[#This Row],[Home Differential]])-Table4[[#This Row],[Away Differential]]</f>
        <v>5.6281501582242377E-3</v>
      </c>
      <c r="K983" t="str">
        <f>IF(Table4[[#This Row],[HomeIce Differential]]&gt;0,Table4[[#This Row],[Home]],Table4[[#This Row],[Visitor]])</f>
        <v>Winnipeg Jets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0.47694114889984202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0.34329638981067145</v>
      </c>
      <c r="H984" t="s">
        <v>18</v>
      </c>
      <c r="I984">
        <f>VLOOKUP(Table4[[#This Row],[Visitor]],'NHL Model'!$A$6:$B$38,2,FALSE)</f>
        <v>-0.74754136228530599</v>
      </c>
      <c r="J984">
        <f>($B$1+Table4[[#This Row],[Home Differential]])-Table4[[#This Row],[Away Differential]]</f>
        <v>1.2283811410683938</v>
      </c>
      <c r="K984" t="str">
        <f>IF(Table4[[#This Row],[HomeIce Differential]]&gt;0,Table4[[#This Row],[Home]],Table4[[#This Row],[Visitor]])</f>
        <v>Anaheim Ducks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0.7540032374612351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-0.15263505358797036</v>
      </c>
      <c r="H985" t="s">
        <v>38</v>
      </c>
      <c r="I985">
        <f>VLOOKUP(Table4[[#This Row],[Visitor]],'NHL Model'!$A$6:$B$38,2,FALSE)</f>
        <v>-1.1236485959014608</v>
      </c>
      <c r="J985">
        <f>($B$1+Table4[[#This Row],[Home Differential]])-Table4[[#This Row],[Away Differential]]</f>
        <v>1.1085569312859067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0.66708813118809918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4.3828122498436855E-3</v>
      </c>
      <c r="H986" t="s">
        <v>12</v>
      </c>
      <c r="I986">
        <f>VLOOKUP(Table4[[#This Row],[Visitor]],'NHL Model'!$A$6:$B$38,2,FALSE)</f>
        <v>1.4458345276269271</v>
      </c>
      <c r="J986">
        <f>($B$1+Table4[[#This Row],[Home Differential]])-Table4[[#This Row],[Away Differential]]</f>
        <v>-1.3039083264046671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0.72391298537347593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-0.66335717753705836</v>
      </c>
      <c r="H987" t="s">
        <v>11</v>
      </c>
      <c r="I987">
        <f>VLOOKUP(Table4[[#This Row],[Visitor]],'NHL Model'!$A$6:$B$38,2,FALSE)</f>
        <v>-0.37836939589441088</v>
      </c>
      <c r="J987">
        <f>($B$1+Table4[[#This Row],[Home Differential]])-Table4[[#This Row],[Away Differential]]</f>
        <v>-0.14744439267023113</v>
      </c>
      <c r="K987" t="str">
        <f>IF(Table4[[#This Row],[HomeIce Differential]]&gt;0,Table4[[#This Row],[Home]],Table4[[#This Row],[Visitor]])</f>
        <v>Florida Panthers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0.44741980639037476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-0.87263145033954281</v>
      </c>
      <c r="H988" t="s">
        <v>25</v>
      </c>
      <c r="I988">
        <f>VLOOKUP(Table4[[#This Row],[Visitor]],'NHL Model'!$A$6:$B$38,2,FALSE)</f>
        <v>0.42515174825138019</v>
      </c>
      <c r="J988">
        <f>($B$1+Table4[[#This Row],[Home Differential]])-Table4[[#This Row],[Away Differential]]</f>
        <v>-1.1602398096185067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0.65087476382674403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-0.36178381286707545</v>
      </c>
      <c r="H989" t="s">
        <v>35</v>
      </c>
      <c r="I989">
        <f>VLOOKUP(Table4[[#This Row],[Visitor]],'NHL Model'!$A$6:$B$38,2,FALSE)</f>
        <v>-1.5569791149906038</v>
      </c>
      <c r="J989">
        <f>($B$1+Table4[[#This Row],[Home Differential]])-Table4[[#This Row],[Away Differential]]</f>
        <v>1.3327386910959447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0.7177583284020701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0.12073374225454764</v>
      </c>
      <c r="H990" t="s">
        <v>34</v>
      </c>
      <c r="I990">
        <f>VLOOKUP(Table4[[#This Row],[Visitor]],'NHL Model'!$A$6:$B$38,2,FALSE)</f>
        <v>-0.16358905079701039</v>
      </c>
      <c r="J990">
        <f>($B$1+Table4[[#This Row],[Home Differential]])-Table4[[#This Row],[Away Differential]]</f>
        <v>0.42186618202397441</v>
      </c>
      <c r="K990" t="str">
        <f>IF(Table4[[#This Row],[HomeIce Differential]]&gt;0,Table4[[#This Row],[Home]],Table4[[#This Row],[Visitor]])</f>
        <v>Vegas Golden Knights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0.5754985341174319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-0.14464931395309213</v>
      </c>
      <c r="H991" t="s">
        <v>22</v>
      </c>
      <c r="I991">
        <f>VLOOKUP(Table4[[#This Row],[Visitor]],'NHL Model'!$A$6:$B$38,2,FALSE)</f>
        <v>6.4811420118814619E-2</v>
      </c>
      <c r="J991">
        <f>($B$1+Table4[[#This Row],[Home Differential]])-Table4[[#This Row],[Away Differential]]</f>
        <v>-7.1917345099490396E-2</v>
      </c>
      <c r="K991" t="str">
        <f>IF(Table4[[#This Row],[HomeIce Differential]]&gt;0,Table4[[#This Row],[Home]],Table4[[#This Row],[Visitor]])</f>
        <v>Washington Capitals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0.43816363680655357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-0.51535072045188635</v>
      </c>
      <c r="H992" t="s">
        <v>29</v>
      </c>
      <c r="I992">
        <f>VLOOKUP(Table4[[#This Row],[Visitor]],'NHL Model'!$A$6:$B$38,2,FALSE)</f>
        <v>-1.4957350924899622</v>
      </c>
      <c r="J992">
        <f>($B$1+Table4[[#This Row],[Home Differential]])-Table4[[#This Row],[Away Differential]]</f>
        <v>1.1179277610104923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0.70312384714338272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-0.59418600019583889</v>
      </c>
      <c r="H993" t="s">
        <v>55</v>
      </c>
      <c r="I993">
        <f>VLOOKUP(Table4[[#This Row],[Visitor]],'NHL Model'!$A$6:$B$38,2,FALSE)</f>
        <v>-0.30969050963205513</v>
      </c>
      <c r="J993">
        <f>($B$1+Table4[[#This Row],[Home Differential]])-Table4[[#This Row],[Away Differential]]</f>
        <v>-0.1469521015913674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0.47255425942570245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-1.0952038865534519</v>
      </c>
      <c r="H994" t="s">
        <v>25</v>
      </c>
      <c r="I994">
        <f>VLOOKUP(Table4[[#This Row],[Visitor]],'NHL Model'!$A$6:$B$38,2,FALSE)</f>
        <v>0.42515174825138019</v>
      </c>
      <c r="J994">
        <f>($B$1+Table4[[#This Row],[Home Differential]])-Table4[[#This Row],[Away Differential]]</f>
        <v>-1.3828122458324157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0.71706021963795663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-0.36134162888396865</v>
      </c>
      <c r="H995" t="s">
        <v>18</v>
      </c>
      <c r="I995">
        <f>VLOOKUP(Table4[[#This Row],[Visitor]],'NHL Model'!$A$6:$B$38,2,FALSE)</f>
        <v>-0.74754136228530599</v>
      </c>
      <c r="J995">
        <f>($B$1+Table4[[#This Row],[Home Differential]])-Table4[[#This Row],[Away Differential]]</f>
        <v>0.52374312237375364</v>
      </c>
      <c r="K995" t="str">
        <f>IF(Table4[[#This Row],[HomeIce Differential]]&gt;0,Table4[[#This Row],[Home]],Table4[[#This Row],[Visitor]])</f>
        <v>Los Angeles Kings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0.56275653944349391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-1.8032585202533785E-2</v>
      </c>
      <c r="H996" t="s">
        <v>15</v>
      </c>
      <c r="I996">
        <f>VLOOKUP(Table4[[#This Row],[Visitor]],'NHL Model'!$A$6:$B$38,2,FALSE)</f>
        <v>-0.49835870184734621</v>
      </c>
      <c r="J996">
        <f>($B$1+Table4[[#This Row],[Home Differential]])-Table4[[#This Row],[Away Differential]]</f>
        <v>0.61786950561722875</v>
      </c>
      <c r="K996" t="str">
        <f>IF(Table4[[#This Row],[HomeIce Differential]]&gt;0,Table4[[#This Row],[Home]],Table4[[#This Row],[Visitor]])</f>
        <v>New Jersey Devils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0.65888092960447497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-0.2090057419115289</v>
      </c>
      <c r="H997" t="s">
        <v>27</v>
      </c>
      <c r="I997">
        <f>VLOOKUP(Table4[[#This Row],[Visitor]],'NHL Model'!$A$6:$B$38,2,FALSE)</f>
        <v>-0.42203126246971279</v>
      </c>
      <c r="J997">
        <f>($B$1+Table4[[#This Row],[Home Differential]])-Table4[[#This Row],[Away Differential]]</f>
        <v>0.35056890953060027</v>
      </c>
      <c r="K997" t="str">
        <f>IF(Table4[[#This Row],[HomeIce Differential]]&gt;0,Table4[[#This Row],[Home]],Table4[[#This Row],[Visitor]])</f>
        <v>Pittsburgh Penguins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0.58675826083855309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-0.45007023285116615</v>
      </c>
      <c r="H998" t="s">
        <v>36</v>
      </c>
      <c r="I998">
        <f>VLOOKUP(Table4[[#This Row],[Visitor]],'NHL Model'!$A$6:$B$38,2,FALSE)</f>
        <v>-0.31751962084606655</v>
      </c>
      <c r="J998">
        <f>($B$1+Table4[[#This Row],[Home Differential]])-Table4[[#This Row],[Away Differential]]</f>
        <v>4.9927769673167588E-3</v>
      </c>
      <c r="K998" t="str">
        <f>IF(Table4[[#This Row],[HomeIce Differential]]&gt;0,Table4[[#This Row],[Home]],Table4[[#This Row],[Visitor]])</f>
        <v>Seattle Kraken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0.5461204732119701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-0.36178381286707545</v>
      </c>
      <c r="H999" t="s">
        <v>30</v>
      </c>
      <c r="I999">
        <f>VLOOKUP(Table4[[#This Row],[Visitor]],'NHL Model'!$A$6:$B$38,2,FALSE)</f>
        <v>3.838472305373858E-3</v>
      </c>
      <c r="J999">
        <f>($B$1+Table4[[#This Row],[Home Differential]])-Table4[[#This Row],[Away Differential]]</f>
        <v>-0.22807889620003294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0.56304392870850051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-0.93520311342823803</v>
      </c>
      <c r="H1000" t="s">
        <v>37</v>
      </c>
      <c r="I1000">
        <f>VLOOKUP(Table4[[#This Row],[Visitor]],'NHL Model'!$A$6:$B$38,2,FALSE)</f>
        <v>7.1667377873261273E-2</v>
      </c>
      <c r="J1000">
        <f>($B$1+Table4[[#This Row],[Home Differential]])-Table4[[#This Row],[Away Differential]]</f>
        <v>-0.86932710232908295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0.64226510015030236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-6.0247860940930854E-2</v>
      </c>
      <c r="H1001" t="s">
        <v>38</v>
      </c>
      <c r="I1001">
        <f>VLOOKUP(Table4[[#This Row],[Visitor]],'NHL Model'!$A$6:$B$38,2,FALSE)</f>
        <v>-1.1236485959014608</v>
      </c>
      <c r="J1001">
        <f>($B$1+Table4[[#This Row],[Home Differential]])-Table4[[#This Row],[Away Differential]]</f>
        <v>1.2009441239329464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0.68191893267272985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0.34329638981067145</v>
      </c>
      <c r="H1002" t="s">
        <v>35</v>
      </c>
      <c r="I1002">
        <f>VLOOKUP(Table4[[#This Row],[Visitor]],'NHL Model'!$A$6:$B$38,2,FALSE)</f>
        <v>-1.5569791149906038</v>
      </c>
      <c r="J1002">
        <f>($B$1+Table4[[#This Row],[Home Differential]])-Table4[[#This Row],[Away Differential]]</f>
        <v>2.0378188937736916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0.90672131315073012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-0.51535072045188635</v>
      </c>
      <c r="H1003" t="s">
        <v>37</v>
      </c>
      <c r="I1003">
        <f>VLOOKUP(Table4[[#This Row],[Visitor]],'NHL Model'!$A$6:$B$38,2,FALSE)</f>
        <v>7.1667377873261273E-2</v>
      </c>
      <c r="J1003">
        <f>($B$1+Table4[[#This Row],[Home Differential]])-Table4[[#This Row],[Away Differential]]</f>
        <v>-0.44947470935273126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0.57214526336104521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1.4458345276269271</v>
      </c>
      <c r="H1004" t="s">
        <v>34</v>
      </c>
      <c r="I1004">
        <f>VLOOKUP(Table4[[#This Row],[Visitor]],'NHL Model'!$A$6:$B$38,2,FALSE)</f>
        <v>-0.16358905079701039</v>
      </c>
      <c r="J1004">
        <f>($B$1+Table4[[#This Row],[Home Differential]])-Table4[[#This Row],[Away Differential]]</f>
        <v>1.7469669673963539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0.84839197832284174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4.3828122498436855E-3</v>
      </c>
      <c r="H1005" t="s">
        <v>10</v>
      </c>
      <c r="I1005">
        <f>VLOOKUP(Table4[[#This Row],[Visitor]],'NHL Model'!$A$6:$B$38,2,FALSE)</f>
        <v>-0.15263505358797036</v>
      </c>
      <c r="J1005">
        <f>($B$1+Table4[[#This Row],[Home Differential]])-Table4[[#This Row],[Away Differential]]</f>
        <v>0.29456125481023043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0.58178353815911166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-1.8032585202533785E-2</v>
      </c>
      <c r="H1006" t="s">
        <v>26</v>
      </c>
      <c r="I1006">
        <f>VLOOKUP(Table4[[#This Row],[Visitor]],'NHL Model'!$A$6:$B$38,2,FALSE)</f>
        <v>-0.66335717753705836</v>
      </c>
      <c r="J1006">
        <f>($B$1+Table4[[#This Row],[Home Differential]])-Table4[[#This Row],[Away Differential]]</f>
        <v>0.78286798130694091</v>
      </c>
      <c r="K1006" t="str">
        <f>IF(Table4[[#This Row],[HomeIce Differential]]&gt;0,Table4[[#This Row],[Home]],Table4[[#This Row],[Visitor]])</f>
        <v>New Jersey Devils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0.71606803153678844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-0.2090057419115289</v>
      </c>
      <c r="H1007" t="s">
        <v>21</v>
      </c>
      <c r="I1007">
        <f>VLOOKUP(Table4[[#This Row],[Visitor]],'NHL Model'!$A$6:$B$38,2,FALSE)</f>
        <v>-0.14464931395309213</v>
      </c>
      <c r="J1007">
        <f>($B$1+Table4[[#This Row],[Home Differential]])-Table4[[#This Row],[Away Differential]]</f>
        <v>7.318696101397959E-2</v>
      </c>
      <c r="K1007" t="str">
        <f>IF(Table4[[#This Row],[HomeIce Differential]]&gt;0,Table4[[#This Row],[Home]],Table4[[#This Row],[Visitor]])</f>
        <v>Pittsburgh Penguins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0.54976154735927596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0.12073374225454764</v>
      </c>
      <c r="H1008" t="s">
        <v>17</v>
      </c>
      <c r="I1008">
        <f>VLOOKUP(Table4[[#This Row],[Visitor]],'NHL Model'!$A$6:$B$38,2,FALSE)</f>
        <v>-0.87263145033954281</v>
      </c>
      <c r="J1008">
        <f>($B$1+Table4[[#This Row],[Home Differential]])-Table4[[#This Row],[Away Differential]]</f>
        <v>1.1309085815665068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0.69083858552159816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-0.15263505358797036</v>
      </c>
      <c r="H1009" t="s">
        <v>55</v>
      </c>
      <c r="I1009">
        <f>VLOOKUP(Table4[[#This Row],[Visitor]],'NHL Model'!$A$6:$B$38,2,FALSE)</f>
        <v>-0.30969050963205513</v>
      </c>
      <c r="J1009">
        <f>($B$1+Table4[[#This Row],[Home Differential]])-Table4[[#This Row],[Away Differential]]</f>
        <v>0.29459884501650113</v>
      </c>
      <c r="K1009" t="str">
        <f>IF(Table4[[#This Row],[HomeIce Differential]]&gt;0,Table4[[#This Row],[Home]],Table4[[#This Row],[Visitor]])</f>
        <v>Chicago Blackhawks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0.5792930726699701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-0.42203126246971279</v>
      </c>
      <c r="H1010" t="s">
        <v>15</v>
      </c>
      <c r="I1010">
        <f>VLOOKUP(Table4[[#This Row],[Visitor]],'NHL Model'!$A$6:$B$38,2,FALSE)</f>
        <v>-0.49835870184734621</v>
      </c>
      <c r="J1010">
        <f>($B$1+Table4[[#This Row],[Home Differential]])-Table4[[#This Row],[Away Differential]]</f>
        <v>0.21387082835004978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0.51760868208361321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-1.1236485959014608</v>
      </c>
      <c r="H1011" t="s">
        <v>36</v>
      </c>
      <c r="I1011">
        <f>VLOOKUP(Table4[[#This Row],[Visitor]],'NHL Model'!$A$6:$B$38,2,FALSE)</f>
        <v>-0.31751962084606655</v>
      </c>
      <c r="J1011">
        <f>($B$1+Table4[[#This Row],[Home Differential]])-Table4[[#This Row],[Away Differential]]</f>
        <v>-0.66858558608297791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0.56994399321129496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6.4811420118814619E-2</v>
      </c>
      <c r="H1012" t="s">
        <v>16</v>
      </c>
      <c r="I1012">
        <f>VLOOKUP(Table4[[#This Row],[Visitor]],'NHL Model'!$A$6:$B$38,2,FALSE)</f>
        <v>-1.0952038865534519</v>
      </c>
      <c r="J1012">
        <f>($B$1+Table4[[#This Row],[Home Differential]])-Table4[[#This Row],[Away Differential]]</f>
        <v>1.297558695644683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0.71306608285807216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-0.14464931395309213</v>
      </c>
      <c r="H1013" t="s">
        <v>13</v>
      </c>
      <c r="I1013">
        <f>VLOOKUP(Table4[[#This Row],[Visitor]],'NHL Model'!$A$6:$B$38,2,FALSE)</f>
        <v>-0.36134162888396865</v>
      </c>
      <c r="J1013">
        <f>($B$1+Table4[[#This Row],[Home Differential]])-Table4[[#This Row],[Away Differential]]</f>
        <v>0.35423570390329284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0.5563382404746775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-0.51535072045188635</v>
      </c>
      <c r="H1014" t="s">
        <v>33</v>
      </c>
      <c r="I1014">
        <f>VLOOKUP(Table4[[#This Row],[Visitor]],'NHL Model'!$A$6:$B$38,2,FALSE)</f>
        <v>-0.36178381286707545</v>
      </c>
      <c r="J1014">
        <f>($B$1+Table4[[#This Row],[Home Differential]])-Table4[[#This Row],[Away Differential]]</f>
        <v>-1.6023518612394538E-2</v>
      </c>
      <c r="K1014" t="str">
        <f>IF(Table4[[#This Row],[HomeIce Differential]]&gt;0,Table4[[#This Row],[Home]],Table4[[#This Row],[Visitor]])</f>
        <v>San Jose Sharks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0.44812056806106926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0.42515174825138019</v>
      </c>
      <c r="H1015" t="s">
        <v>14</v>
      </c>
      <c r="I1015">
        <f>VLOOKUP(Table4[[#This Row],[Visitor]],'NHL Model'!$A$6:$B$38,2,FALSE)</f>
        <v>-0.2090057419115289</v>
      </c>
      <c r="J1015">
        <f>($B$1+Table4[[#This Row],[Home Differential]])-Table4[[#This Row],[Away Differential]]</f>
        <v>0.77170087913532537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0.69464407410325035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1.4458345276269271</v>
      </c>
      <c r="H1016" t="s">
        <v>17</v>
      </c>
      <c r="I1016">
        <f>VLOOKUP(Table4[[#This Row],[Visitor]],'NHL Model'!$A$6:$B$38,2,FALSE)</f>
        <v>-0.87263145033954281</v>
      </c>
      <c r="J1016">
        <f>($B$1+Table4[[#This Row],[Home Differential]])-Table4[[#This Row],[Away Differential]]</f>
        <v>2.4560093669388863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0.96249881849379681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4.3828122498436855E-3</v>
      </c>
      <c r="H1017" t="s">
        <v>20</v>
      </c>
      <c r="I1017">
        <f>VLOOKUP(Table4[[#This Row],[Visitor]],'NHL Model'!$A$6:$B$38,2,FALSE)</f>
        <v>0.12073374225454764</v>
      </c>
      <c r="J1017">
        <f>($B$1+Table4[[#This Row],[Home Differential]])-Table4[[#This Row],[Away Differential]]</f>
        <v>2.1192458967712408E-2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0.52456574311287041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-0.37836939589441088</v>
      </c>
      <c r="H1018" t="s">
        <v>26</v>
      </c>
      <c r="I1018">
        <f>VLOOKUP(Table4[[#This Row],[Visitor]],'NHL Model'!$A$6:$B$38,2,FALSE)</f>
        <v>-0.66335717753705836</v>
      </c>
      <c r="J1018">
        <f>($B$1+Table4[[#This Row],[Home Differential]])-Table4[[#This Row],[Away Differential]]</f>
        <v>0.42253117061506384</v>
      </c>
      <c r="K1018" t="str">
        <f>IF(Table4[[#This Row],[HomeIce Differential]]&gt;0,Table4[[#This Row],[Home]],Table4[[#This Row],[Visitor]])</f>
        <v>Florida Panthers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0.60181100534282261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-0.16358905079701039</v>
      </c>
      <c r="H1019" t="s">
        <v>55</v>
      </c>
      <c r="I1019">
        <f>VLOOKUP(Table4[[#This Row],[Visitor]],'NHL Model'!$A$6:$B$38,2,FALSE)</f>
        <v>-0.30969050963205513</v>
      </c>
      <c r="J1019">
        <f>($B$1+Table4[[#This Row],[Home Differential]])-Table4[[#This Row],[Away Differential]]</f>
        <v>0.28364484780746113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0.57783204790479381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-0.74754136228530599</v>
      </c>
      <c r="H1020" t="s">
        <v>19</v>
      </c>
      <c r="I1020">
        <f>VLOOKUP(Table4[[#This Row],[Visitor]],'NHL Model'!$A$6:$B$38,2,FALSE)</f>
        <v>-0.93520311342823803</v>
      </c>
      <c r="J1020">
        <f>($B$1+Table4[[#This Row],[Home Differential]])-Table4[[#This Row],[Away Differential]]</f>
        <v>0.3252051401153484</v>
      </c>
      <c r="K1020" t="str">
        <f>IF(Table4[[#This Row],[HomeIce Differential]]&gt;0,Table4[[#This Row],[Home]],Table4[[#This Row],[Visitor]])</f>
        <v>Montreal Canadiens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0.58337528615390344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-0.49835870184734621</v>
      </c>
      <c r="H1021" t="s">
        <v>16</v>
      </c>
      <c r="I1021">
        <f>VLOOKUP(Table4[[#This Row],[Visitor]],'NHL Model'!$A$6:$B$38,2,FALSE)</f>
        <v>-1.0952038865534519</v>
      </c>
      <c r="J1021">
        <f>($B$1+Table4[[#This Row],[Home Differential]])-Table4[[#This Row],[Away Differential]]</f>
        <v>0.73438857367852206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0.63795144849237118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-0.45007023285116615</v>
      </c>
      <c r="H1022" t="s">
        <v>29</v>
      </c>
      <c r="I1022">
        <f>VLOOKUP(Table4[[#This Row],[Visitor]],'NHL Model'!$A$6:$B$38,2,FALSE)</f>
        <v>-1.4957350924899622</v>
      </c>
      <c r="J1022">
        <f>($B$1+Table4[[#This Row],[Home Differential]])-Table4[[#This Row],[Away Differential]]</f>
        <v>1.1832082486112123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0.7238519584193599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-1.5569791149906038</v>
      </c>
      <c r="H1023" t="s">
        <v>30</v>
      </c>
      <c r="I1023">
        <f>VLOOKUP(Table4[[#This Row],[Visitor]],'NHL Model'!$A$6:$B$38,2,FALSE)</f>
        <v>3.838472305373858E-3</v>
      </c>
      <c r="J1023">
        <f>($B$1+Table4[[#This Row],[Home Differential]])-Table4[[#This Row],[Away Differential]]</f>
        <v>-1.4232741983235613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0.72245696326576825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7.1667377873261273E-2</v>
      </c>
      <c r="H1024" t="s">
        <v>28</v>
      </c>
      <c r="I1024">
        <f>VLOOKUP(Table4[[#This Row],[Visitor]],'NHL Model'!$A$6:$B$38,2,FALSE)</f>
        <v>-0.59418600019583889</v>
      </c>
      <c r="J1024">
        <f>($B$1+Table4[[#This Row],[Home Differential]])-Table4[[#This Row],[Away Differential]]</f>
        <v>0.80339676704151652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0.64882230588315148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-6.0247860940930854E-2</v>
      </c>
      <c r="H1025" t="s">
        <v>31</v>
      </c>
      <c r="I1025">
        <f>VLOOKUP(Table4[[#This Row],[Visitor]],'NHL Model'!$A$6:$B$38,2,FALSE)</f>
        <v>0.34329638981067145</v>
      </c>
      <c r="J1025">
        <f>($B$1+Table4[[#This Row],[Home Differential]])-Table4[[#This Row],[Away Differential]]</f>
        <v>-0.26600086177918592</v>
      </c>
      <c r="K1025" t="str">
        <f>IF(Table4[[#This Row],[HomeIce Differential]]&gt;0,Table4[[#This Row],[Home]],Table4[[#This Row],[Visitor]])</f>
        <v>Anaheim Ducks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0.51373959383373513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-0.31751962084606655</v>
      </c>
      <c r="H1026" t="s">
        <v>18</v>
      </c>
      <c r="I1026">
        <f>VLOOKUP(Table4[[#This Row],[Visitor]],'NHL Model'!$A$6:$B$38,2,FALSE)</f>
        <v>-0.74754136228530599</v>
      </c>
      <c r="J1026">
        <f>($B$1+Table4[[#This Row],[Home Differential]])-Table4[[#This Row],[Away Differential]]</f>
        <v>0.56756513041165579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0.57111367685210457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-0.42203126246971279</v>
      </c>
      <c r="H1027" t="s">
        <v>22</v>
      </c>
      <c r="I1027">
        <f>VLOOKUP(Table4[[#This Row],[Visitor]],'NHL Model'!$A$6:$B$38,2,FALSE)</f>
        <v>6.4811420118814619E-2</v>
      </c>
      <c r="J1027">
        <f>($B$1+Table4[[#This Row],[Home Differential]])-Table4[[#This Row],[Away Differential]]</f>
        <v>-0.34929929361611106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0.49486478378336768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-0.14464931395309213</v>
      </c>
      <c r="H1028" t="s">
        <v>33</v>
      </c>
      <c r="I1028">
        <f>VLOOKUP(Table4[[#This Row],[Visitor]],'NHL Model'!$A$6:$B$38,2,FALSE)</f>
        <v>-0.36178381286707545</v>
      </c>
      <c r="J1028">
        <f>($B$1+Table4[[#This Row],[Home Differential]])-Table4[[#This Row],[Away Differential]]</f>
        <v>0.35467788788639965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0.63902228543237305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-0.51535072045188635</v>
      </c>
      <c r="H1029" t="s">
        <v>22</v>
      </c>
      <c r="I1029">
        <f>VLOOKUP(Table4[[#This Row],[Visitor]],'NHL Model'!$A$6:$B$38,2,FALSE)</f>
        <v>6.4811420118814619E-2</v>
      </c>
      <c r="J1029">
        <f>($B$1+Table4[[#This Row],[Home Differential]])-Table4[[#This Row],[Away Differential]]</f>
        <v>-0.44261875159828462</v>
      </c>
      <c r="K1029" t="str">
        <f>IF(Table4[[#This Row],[HomeIce Differential]]&gt;0,Table4[[#This Row],[Home]],Table4[[#This Row],[Visitor]])</f>
        <v>Washington Capitals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0.52570237256248808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0.42515174825138019</v>
      </c>
      <c r="H1030" t="s">
        <v>35</v>
      </c>
      <c r="I1030">
        <f>VLOOKUP(Table4[[#This Row],[Visitor]],'NHL Model'!$A$6:$B$38,2,FALSE)</f>
        <v>-1.5569791149906038</v>
      </c>
      <c r="J1030">
        <f>($B$1+Table4[[#This Row],[Home Differential]])-Table4[[#This Row],[Away Differential]]</f>
        <v>2.1196742522144003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0.87443437743120134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4.3828122498436855E-3</v>
      </c>
      <c r="H1031" t="s">
        <v>17</v>
      </c>
      <c r="I1031">
        <f>VLOOKUP(Table4[[#This Row],[Visitor]],'NHL Model'!$A$6:$B$38,2,FALSE)</f>
        <v>-0.87263145033954281</v>
      </c>
      <c r="J1031">
        <f>($B$1+Table4[[#This Row],[Home Differential]])-Table4[[#This Row],[Away Differential]]</f>
        <v>1.0145576515618029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0.67781538355922355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-0.37836939589441088</v>
      </c>
      <c r="H1032" t="s">
        <v>28</v>
      </c>
      <c r="I1032">
        <f>VLOOKUP(Table4[[#This Row],[Visitor]],'NHL Model'!$A$6:$B$38,2,FALSE)</f>
        <v>-0.59418600019583889</v>
      </c>
      <c r="J1032">
        <f>($B$1+Table4[[#This Row],[Home Differential]])-Table4[[#This Row],[Away Differential]]</f>
        <v>0.35335999327384437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0.63803962155863092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-0.16358905079701039</v>
      </c>
      <c r="H1033" t="s">
        <v>27</v>
      </c>
      <c r="I1033">
        <f>VLOOKUP(Table4[[#This Row],[Visitor]],'NHL Model'!$A$6:$B$38,2,FALSE)</f>
        <v>-0.42203126246971279</v>
      </c>
      <c r="J1033">
        <f>($B$1+Table4[[#This Row],[Home Differential]])-Table4[[#This Row],[Away Differential]]</f>
        <v>0.39598560064511878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0.59281585873678122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-1.8032585202533785E-2</v>
      </c>
      <c r="H1034" t="s">
        <v>16</v>
      </c>
      <c r="I1034">
        <f>VLOOKUP(Table4[[#This Row],[Visitor]],'NHL Model'!$A$6:$B$38,2,FALSE)</f>
        <v>-1.0952038865534519</v>
      </c>
      <c r="J1034">
        <f>($B$1+Table4[[#This Row],[Home Differential]])-Table4[[#This Row],[Away Differential]]</f>
        <v>1.2147146903233346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0.81744720762723655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-0.45007023285116615</v>
      </c>
      <c r="H1035" t="s">
        <v>12</v>
      </c>
      <c r="I1035">
        <f>VLOOKUP(Table4[[#This Row],[Visitor]],'NHL Model'!$A$6:$B$38,2,FALSE)</f>
        <v>1.4458345276269271</v>
      </c>
      <c r="J1035">
        <f>($B$1+Table4[[#This Row],[Home Differential]])-Table4[[#This Row],[Away Differential]]</f>
        <v>-1.758361371505677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0.76084291787016811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7.1667377873261273E-2</v>
      </c>
      <c r="H1036" t="s">
        <v>26</v>
      </c>
      <c r="I1036">
        <f>VLOOKUP(Table4[[#This Row],[Visitor]],'NHL Model'!$A$6:$B$38,2,FALSE)</f>
        <v>-0.66335717753705836</v>
      </c>
      <c r="J1036">
        <f>($B$1+Table4[[#This Row],[Home Differential]])-Table4[[#This Row],[Away Differential]]</f>
        <v>0.87256794438273599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0.61179441249191924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-0.93520311342823803</v>
      </c>
      <c r="H1037" t="s">
        <v>31</v>
      </c>
      <c r="I1037">
        <f>VLOOKUP(Table4[[#This Row],[Visitor]],'NHL Model'!$A$6:$B$38,2,FALSE)</f>
        <v>0.34329638981067145</v>
      </c>
      <c r="J1037">
        <f>($B$1+Table4[[#This Row],[Home Differential]])-Table4[[#This Row],[Away Differential]]</f>
        <v>-1.1409561142664932</v>
      </c>
      <c r="K1037" t="str">
        <f>IF(Table4[[#This Row],[HomeIce Differential]]&gt;0,Table4[[#This Row],[Home]],Table4[[#This Row],[Visitor]])</f>
        <v>Anaheim Ducks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0.63294793842373254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-0.30969050963205513</v>
      </c>
      <c r="H1038" t="s">
        <v>10</v>
      </c>
      <c r="I1038">
        <f>VLOOKUP(Table4[[#This Row],[Visitor]],'NHL Model'!$A$6:$B$38,2,FALSE)</f>
        <v>-0.15263505358797036</v>
      </c>
      <c r="J1038">
        <f>($B$1+Table4[[#This Row],[Home Differential]])-Table4[[#This Row],[Away Differential]]</f>
        <v>-1.9512067071668415E-2</v>
      </c>
      <c r="K1038" t="str">
        <f>IF(Table4[[#This Row],[HomeIce Differential]]&gt;0,Table4[[#This Row],[Home]],Table4[[#This Row],[Visitor]])</f>
        <v>Chicago Blackhawks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0.41088650864900433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-1.1236485959014608</v>
      </c>
      <c r="H1039" t="s">
        <v>29</v>
      </c>
      <c r="I1039">
        <f>VLOOKUP(Table4[[#This Row],[Visitor]],'NHL Model'!$A$6:$B$38,2,FALSE)</f>
        <v>-1.4957350924899622</v>
      </c>
      <c r="J1039">
        <f>($B$1+Table4[[#This Row],[Home Differential]])-Table4[[#This Row],[Away Differential]]</f>
        <v>0.50962988556091771</v>
      </c>
      <c r="K1039" t="str">
        <f>IF(Table4[[#This Row],[HomeIce Differential]]&gt;0,Table4[[#This Row],[Home]],Table4[[#This Row],[Visitor]])</f>
        <v>Vancouver Canucks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0.60797353237081442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0.12073374225454764</v>
      </c>
      <c r="H1040" t="s">
        <v>14</v>
      </c>
      <c r="I1040">
        <f>VLOOKUP(Table4[[#This Row],[Visitor]],'NHL Model'!$A$6:$B$38,2,FALSE)</f>
        <v>-0.2090057419115289</v>
      </c>
      <c r="J1040">
        <f>($B$1+Table4[[#This Row],[Home Differential]])-Table4[[#This Row],[Away Differential]]</f>
        <v>0.46728287313849293</v>
      </c>
      <c r="K1040" t="str">
        <f>IF(Table4[[#This Row],[HomeIce Differential]]&gt;0,Table4[[#This Row],[Home]],Table4[[#This Row],[Visitor]])</f>
        <v>Vegas Golden Knights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0.60232536278489068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-6.0247860940930854E-2</v>
      </c>
      <c r="H1041" t="s">
        <v>15</v>
      </c>
      <c r="I1041">
        <f>VLOOKUP(Table4[[#This Row],[Visitor]],'NHL Model'!$A$6:$B$38,2,FALSE)</f>
        <v>-0.49835870184734621</v>
      </c>
      <c r="J1041">
        <f>($B$1+Table4[[#This Row],[Home Differential]])-Table4[[#This Row],[Away Differential]]</f>
        <v>0.57565422987883175</v>
      </c>
      <c r="K1041" t="str">
        <f>IF(Table4[[#This Row],[HomeIce Differential]]&gt;0,Table4[[#This Row],[Home]],Table4[[#This Row],[Visitor]])</f>
        <v>Winnipeg Jets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0.53579613603169407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3.838472305373858E-3</v>
      </c>
      <c r="H1042" t="s">
        <v>13</v>
      </c>
      <c r="I1042">
        <f>VLOOKUP(Table4[[#This Row],[Visitor]],'NHL Model'!$A$6:$B$38,2,FALSE)</f>
        <v>-0.36134162888396865</v>
      </c>
      <c r="J1042">
        <f>($B$1+Table4[[#This Row],[Home Differential]])-Table4[[#This Row],[Away Differential]]</f>
        <v>0.50272349016175888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0.52357410870344023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-1.5569791149906038</v>
      </c>
      <c r="H1043" t="s">
        <v>17</v>
      </c>
      <c r="I1043">
        <f>VLOOKUP(Table4[[#This Row],[Visitor]],'NHL Model'!$A$6:$B$38,2,FALSE)</f>
        <v>-0.87263145033954281</v>
      </c>
      <c r="J1043">
        <f>($B$1+Table4[[#This Row],[Home Differential]])-Table4[[#This Row],[Away Differential]]</f>
        <v>-0.54680427567864454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0.53293178674644115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-0.51535072045188635</v>
      </c>
      <c r="H1044" t="s">
        <v>19</v>
      </c>
      <c r="I1044">
        <f>VLOOKUP(Table4[[#This Row],[Visitor]],'NHL Model'!$A$6:$B$38,2,FALSE)</f>
        <v>-0.93520311342823803</v>
      </c>
      <c r="J1044">
        <f>($B$1+Table4[[#This Row],[Home Differential]])-Table4[[#This Row],[Away Differential]]</f>
        <v>0.55739578194876804</v>
      </c>
      <c r="K1044" t="str">
        <f>IF(Table4[[#This Row],[HomeIce Differential]]&gt;0,Table4[[#This Row],[Home]],Table4[[#This Row],[Visitor]])</f>
        <v>Buffalo Sabres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0.62836108361020993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4.3828122498436855E-3</v>
      </c>
      <c r="H1045" t="s">
        <v>26</v>
      </c>
      <c r="I1045">
        <f>VLOOKUP(Table4[[#This Row],[Visitor]],'NHL Model'!$A$6:$B$38,2,FALSE)</f>
        <v>-0.66335717753705836</v>
      </c>
      <c r="J1045">
        <f>($B$1+Table4[[#This Row],[Home Differential]])-Table4[[#This Row],[Away Differential]]</f>
        <v>0.80528337875931844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0.60282011618583475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-0.16358905079701039</v>
      </c>
      <c r="H1046" t="s">
        <v>15</v>
      </c>
      <c r="I1046">
        <f>VLOOKUP(Table4[[#This Row],[Visitor]],'NHL Model'!$A$6:$B$38,2,FALSE)</f>
        <v>-0.49835870184734621</v>
      </c>
      <c r="J1046">
        <f>($B$1+Table4[[#This Row],[Home Differential]])-Table4[[#This Row],[Away Differential]]</f>
        <v>0.47231304002275221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0.51951801667371234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-0.74754136228530599</v>
      </c>
      <c r="H1047" t="s">
        <v>33</v>
      </c>
      <c r="I1047">
        <f>VLOOKUP(Table4[[#This Row],[Visitor]],'NHL Model'!$A$6:$B$38,2,FALSE)</f>
        <v>-0.36178381286707545</v>
      </c>
      <c r="J1047">
        <f>($B$1+Table4[[#This Row],[Home Differential]])-Table4[[#This Row],[Away Differential]]</f>
        <v>-0.24821416044581418</v>
      </c>
      <c r="K1047" t="str">
        <f>IF(Table4[[#This Row],[HomeIce Differential]]&gt;0,Table4[[#This Row],[Home]],Table4[[#This Row],[Visitor]])</f>
        <v>San Jose Sharks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0.49310636551737569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-1.8032585202533785E-2</v>
      </c>
      <c r="H1048" t="s">
        <v>13</v>
      </c>
      <c r="I1048">
        <f>VLOOKUP(Table4[[#This Row],[Visitor]],'NHL Model'!$A$6:$B$38,2,FALSE)</f>
        <v>-0.36134162888396865</v>
      </c>
      <c r="J1048">
        <f>($B$1+Table4[[#This Row],[Home Differential]])-Table4[[#This Row],[Away Differential]]</f>
        <v>0.48085243265385125</v>
      </c>
      <c r="K1048" t="str">
        <f>IF(Table4[[#This Row],[HomeIce Differential]]&gt;0,Table4[[#This Row],[Home]],Table4[[#This Row],[Visitor]])</f>
        <v>New Jersey Devils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0.64060583485766764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3.838472305373858E-3</v>
      </c>
      <c r="H1049" t="s">
        <v>16</v>
      </c>
      <c r="I1049">
        <f>VLOOKUP(Table4[[#This Row],[Visitor]],'NHL Model'!$A$6:$B$38,2,FALSE)</f>
        <v>-1.0952038865534519</v>
      </c>
      <c r="J1049">
        <f>($B$1+Table4[[#This Row],[Home Differential]])-Table4[[#This Row],[Away Differential]]</f>
        <v>1.2365857478312421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0.7049336189673816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-0.31751962084606655</v>
      </c>
      <c r="H1050" t="s">
        <v>31</v>
      </c>
      <c r="I1050">
        <f>VLOOKUP(Table4[[#This Row],[Visitor]],'NHL Model'!$A$6:$B$38,2,FALSE)</f>
        <v>0.34329638981067145</v>
      </c>
      <c r="J1050">
        <f>($B$1+Table4[[#This Row],[Home Differential]])-Table4[[#This Row],[Away Differential]]</f>
        <v>-0.52327262168432165</v>
      </c>
      <c r="K1050" t="str">
        <f>IF(Table4[[#This Row],[HomeIce Differential]]&gt;0,Table4[[#This Row],[Home]],Table4[[#This Row],[Visitor]])</f>
        <v>Anaheim Ducks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0.54805404594001328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-0.42203126246971279</v>
      </c>
      <c r="H1051" t="s">
        <v>28</v>
      </c>
      <c r="I1051">
        <f>VLOOKUP(Table4[[#This Row],[Visitor]],'NHL Model'!$A$6:$B$38,2,FALSE)</f>
        <v>-0.59418600019583889</v>
      </c>
      <c r="J1051">
        <f>($B$1+Table4[[#This Row],[Home Differential]])-Table4[[#This Row],[Away Differential]]</f>
        <v>0.30969812669854246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0.61273555957184744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7.1667377873261273E-2</v>
      </c>
      <c r="H1052" t="s">
        <v>25</v>
      </c>
      <c r="I1052">
        <f>VLOOKUP(Table4[[#This Row],[Visitor]],'NHL Model'!$A$6:$B$38,2,FALSE)</f>
        <v>0.42515174825138019</v>
      </c>
      <c r="J1052">
        <f>($B$1+Table4[[#This Row],[Home Differential]])-Table4[[#This Row],[Away Differential]]</f>
        <v>-0.21594098140570256</v>
      </c>
      <c r="K1052" t="str">
        <f>IF(Table4[[#This Row],[HomeIce Differential]]&gt;0,Table4[[#This Row],[Home]],Table4[[#This Row],[Visitor]])</f>
        <v>Carolina Hurricanes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0.55892230793053743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-0.30969050963205513</v>
      </c>
      <c r="H1053" t="s">
        <v>14</v>
      </c>
      <c r="I1053">
        <f>VLOOKUP(Table4[[#This Row],[Visitor]],'NHL Model'!$A$6:$B$38,2,FALSE)</f>
        <v>-0.2090057419115289</v>
      </c>
      <c r="J1053">
        <f>($B$1+Table4[[#This Row],[Home Differential]])-Table4[[#This Row],[Away Differential]]</f>
        <v>3.6858621251890128E-2</v>
      </c>
      <c r="K1053" t="str">
        <f>IF(Table4[[#This Row],[HomeIce Differential]]&gt;0,Table4[[#This Row],[Home]],Table4[[#This Row],[Visitor]])</f>
        <v>Utah Mammoth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0.59663211401439997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-1.1236485959014608</v>
      </c>
      <c r="H1054" t="s">
        <v>32</v>
      </c>
      <c r="I1054">
        <f>VLOOKUP(Table4[[#This Row],[Visitor]],'NHL Model'!$A$6:$B$38,2,FALSE)</f>
        <v>-0.45007023285116615</v>
      </c>
      <c r="J1054">
        <f>($B$1+Table4[[#This Row],[Home Differential]])-Table4[[#This Row],[Away Differential]]</f>
        <v>-0.53603497407787826</v>
      </c>
      <c r="K1054" t="str">
        <f>IF(Table4[[#This Row],[HomeIce Differential]]&gt;0,Table4[[#This Row],[Home]],Table4[[#This Row],[Visitor]])</f>
        <v>Seattle Kraken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0.53149539635468646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0.12073374225454764</v>
      </c>
      <c r="H1055" t="s">
        <v>10</v>
      </c>
      <c r="I1055">
        <f>VLOOKUP(Table4[[#This Row],[Visitor]],'NHL Model'!$A$6:$B$38,2,FALSE)</f>
        <v>-0.15263505358797036</v>
      </c>
      <c r="J1055">
        <f>($B$1+Table4[[#This Row],[Home Differential]])-Table4[[#This Row],[Away Differential]]</f>
        <v>0.41091218481493436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0.59480674012148627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-6.0247860940930854E-2</v>
      </c>
      <c r="H1056" t="s">
        <v>12</v>
      </c>
      <c r="I1056">
        <f>VLOOKUP(Table4[[#This Row],[Visitor]],'NHL Model'!$A$6:$B$38,2,FALSE)</f>
        <v>1.4458345276269271</v>
      </c>
      <c r="J1056">
        <f>($B$1+Table4[[#This Row],[Home Differential]])-Table4[[#This Row],[Away Differential]]</f>
        <v>-1.3685389995954416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0.73253331020282797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6.4811420118814619E-2</v>
      </c>
      <c r="H1057" t="s">
        <v>21</v>
      </c>
      <c r="I1057">
        <f>VLOOKUP(Table4[[#This Row],[Visitor]],'NHL Model'!$A$6:$B$38,2,FALSE)</f>
        <v>-0.14464931395309213</v>
      </c>
      <c r="J1057">
        <f>($B$1+Table4[[#This Row],[Home Differential]])-Table4[[#This Row],[Away Differential]]</f>
        <v>0.34700412304432315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0.58628279592472987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-0.87263145033954281</v>
      </c>
      <c r="H1058" t="s">
        <v>29</v>
      </c>
      <c r="I1058">
        <f>VLOOKUP(Table4[[#This Row],[Visitor]],'NHL Model'!$A$6:$B$38,2,FALSE)</f>
        <v>-1.4957350924899622</v>
      </c>
      <c r="J1058">
        <f>($B$1+Table4[[#This Row],[Home Differential]])-Table4[[#This Row],[Away Differential]]</f>
        <v>0.76064703112283572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0.67749062144267724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-0.16358905079701039</v>
      </c>
      <c r="H1059" t="s">
        <v>19</v>
      </c>
      <c r="I1059">
        <f>VLOOKUP(Table4[[#This Row],[Visitor]],'NHL Model'!$A$6:$B$38,2,FALSE)</f>
        <v>-0.93520311342823803</v>
      </c>
      <c r="J1059">
        <f>($B$1+Table4[[#This Row],[Home Differential]])-Table4[[#This Row],[Away Differential]]</f>
        <v>0.90915745160364403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0.66126181218499291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-0.74754136228530599</v>
      </c>
      <c r="H1060" t="s">
        <v>31</v>
      </c>
      <c r="I1060">
        <f>VLOOKUP(Table4[[#This Row],[Visitor]],'NHL Model'!$A$6:$B$38,2,FALSE)</f>
        <v>0.34329638981067145</v>
      </c>
      <c r="J1060">
        <f>($B$1+Table4[[#This Row],[Home Differential]])-Table4[[#This Row],[Away Differential]]</f>
        <v>-0.95329436312356108</v>
      </c>
      <c r="K1060" t="str">
        <f>IF(Table4[[#This Row],[HomeIce Differential]]&gt;0,Table4[[#This Row],[Home]],Table4[[#This Row],[Visitor]])</f>
        <v>Anaheim Ducks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0.60791794611463146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-0.31751962084606655</v>
      </c>
      <c r="H1061" t="s">
        <v>33</v>
      </c>
      <c r="I1061">
        <f>VLOOKUP(Table4[[#This Row],[Visitor]],'NHL Model'!$A$6:$B$38,2,FALSE)</f>
        <v>-0.36178381286707545</v>
      </c>
      <c r="J1061">
        <f>($B$1+Table4[[#This Row],[Home Differential]])-Table4[[#This Row],[Away Differential]]</f>
        <v>0.18180758099342526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0.56674465265756913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-0.45007023285116615</v>
      </c>
      <c r="H1062" t="s">
        <v>11</v>
      </c>
      <c r="I1062">
        <f>VLOOKUP(Table4[[#This Row],[Visitor]],'NHL Model'!$A$6:$B$38,2,FALSE)</f>
        <v>-0.37836939589441088</v>
      </c>
      <c r="J1062">
        <f>($B$1+Table4[[#This Row],[Home Differential]])-Table4[[#This Row],[Away Differential]]</f>
        <v>6.5842552015661082E-2</v>
      </c>
      <c r="K1062" t="str">
        <f>IF(Table4[[#This Row],[HomeIce Differential]]&gt;0,Table4[[#This Row],[Home]],Table4[[#This Row],[Visitor]])</f>
        <v>Seattle Kraken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0.57481969893171136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-6.0247860940930854E-2</v>
      </c>
      <c r="H1063" t="s">
        <v>35</v>
      </c>
      <c r="I1063">
        <f>VLOOKUP(Table4[[#This Row],[Visitor]],'NHL Model'!$A$6:$B$38,2,FALSE)</f>
        <v>-1.5569791149906038</v>
      </c>
      <c r="J1063">
        <f>($B$1+Table4[[#This Row],[Home Differential]])-Table4[[#This Row],[Away Differential]]</f>
        <v>1.6342746430220894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0.76047213932111501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1.4458345276269271</v>
      </c>
      <c r="H1064" t="s">
        <v>14</v>
      </c>
      <c r="I1064">
        <f>VLOOKUP(Table4[[#This Row],[Visitor]],'NHL Model'!$A$6:$B$38,2,FALSE)</f>
        <v>-0.2090057419115289</v>
      </c>
      <c r="J1064">
        <f>($B$1+Table4[[#This Row],[Home Differential]])-Table4[[#This Row],[Away Differential]]</f>
        <v>1.7923836585108726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0.87398559575708945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4.3828122498436855E-3</v>
      </c>
      <c r="H1065" t="s">
        <v>55</v>
      </c>
      <c r="I1065">
        <f>VLOOKUP(Table4[[#This Row],[Visitor]],'NHL Model'!$A$6:$B$38,2,FALSE)</f>
        <v>-0.30969050963205513</v>
      </c>
      <c r="J1065">
        <f>($B$1+Table4[[#This Row],[Home Differential]])-Table4[[#This Row],[Away Differential]]</f>
        <v>0.45161671085431521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0.6027313169842794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-0.66335717753705836</v>
      </c>
      <c r="H1066" t="s">
        <v>16</v>
      </c>
      <c r="I1066">
        <f>VLOOKUP(Table4[[#This Row],[Visitor]],'NHL Model'!$A$6:$B$38,2,FALSE)</f>
        <v>-1.0952038865534519</v>
      </c>
      <c r="J1066">
        <f>($B$1+Table4[[#This Row],[Home Differential]])-Table4[[#This Row],[Away Differential]]</f>
        <v>0.56939009798880991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0.64819030956995438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-1.8032585202533785E-2</v>
      </c>
      <c r="H1067" t="s">
        <v>21</v>
      </c>
      <c r="I1067">
        <f>VLOOKUP(Table4[[#This Row],[Visitor]],'NHL Model'!$A$6:$B$38,2,FALSE)</f>
        <v>-0.14464931395309213</v>
      </c>
      <c r="J1067">
        <f>($B$1+Table4[[#This Row],[Home Differential]])-Table4[[#This Row],[Away Differential]]</f>
        <v>0.26416011772297471</v>
      </c>
      <c r="K1067" t="str">
        <f>IF(Table4[[#This Row],[HomeIce Differential]]&gt;0,Table4[[#This Row],[Home]],Table4[[#This Row],[Visitor]])</f>
        <v>New Jersey Devils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0.69066392069389426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-0.49835870184734621</v>
      </c>
      <c r="H1068" t="s">
        <v>13</v>
      </c>
      <c r="I1068">
        <f>VLOOKUP(Table4[[#This Row],[Visitor]],'NHL Model'!$A$6:$B$38,2,FALSE)</f>
        <v>-0.36134162888396865</v>
      </c>
      <c r="J1068">
        <f>($B$1+Table4[[#This Row],[Home Differential]])-Table4[[#This Row],[Away Differential]]</f>
        <v>5.2631600903879638E-4</v>
      </c>
      <c r="K1068" t="str">
        <f>IF(Table4[[#This Row],[HomeIce Differential]]&gt;0,Table4[[#This Row],[Home]],Table4[[#This Row],[Visitor]])</f>
        <v>New York Rangers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0.45659193822842981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-0.59418600019583889</v>
      </c>
      <c r="H1069" t="s">
        <v>25</v>
      </c>
      <c r="I1069">
        <f>VLOOKUP(Table4[[#This Row],[Visitor]],'NHL Model'!$A$6:$B$38,2,FALSE)</f>
        <v>0.42515174825138019</v>
      </c>
      <c r="J1069">
        <f>($B$1+Table4[[#This Row],[Home Differential]])-Table4[[#This Row],[Away Differential]]</f>
        <v>-0.88179435947480278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0.64315961662998344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-0.15263505358797036</v>
      </c>
      <c r="H1070" t="s">
        <v>34</v>
      </c>
      <c r="I1070">
        <f>VLOOKUP(Table4[[#This Row],[Visitor]],'NHL Model'!$A$6:$B$38,2,FALSE)</f>
        <v>-0.16358905079701039</v>
      </c>
      <c r="J1070">
        <f>($B$1+Table4[[#This Row],[Home Differential]])-Table4[[#This Row],[Away Differential]]</f>
        <v>0.14849738618145639</v>
      </c>
      <c r="K1070" t="str">
        <f>IF(Table4[[#This Row],[HomeIce Differential]]&gt;0,Table4[[#This Row],[Home]],Table4[[#This Row],[Visitor]])</f>
        <v>Chicago Blackhawks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0.539037087840748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-0.87263145033954281</v>
      </c>
      <c r="H1071" t="s">
        <v>33</v>
      </c>
      <c r="I1071">
        <f>VLOOKUP(Table4[[#This Row],[Visitor]],'NHL Model'!$A$6:$B$38,2,FALSE)</f>
        <v>-0.36178381286707545</v>
      </c>
      <c r="J1071">
        <f>($B$1+Table4[[#This Row],[Home Differential]])-Table4[[#This Row],[Away Differential]]</f>
        <v>-0.37330424850005101</v>
      </c>
      <c r="K1071" t="str">
        <f>IF(Table4[[#This Row],[HomeIce Differential]]&gt;0,Table4[[#This Row],[Home]],Table4[[#This Row],[Visitor]])</f>
        <v>San Jose Sharks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0.47375379376177473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-0.74754136228530599</v>
      </c>
      <c r="H1072" t="s">
        <v>21</v>
      </c>
      <c r="I1072">
        <f>VLOOKUP(Table4[[#This Row],[Visitor]],'NHL Model'!$A$6:$B$38,2,FALSE)</f>
        <v>-0.14464931395309213</v>
      </c>
      <c r="J1072">
        <f>($B$1+Table4[[#This Row],[Home Differential]])-Table4[[#This Row],[Away Differential]]</f>
        <v>-0.46534865935979752</v>
      </c>
      <c r="K1072" t="str">
        <f>IF(Table4[[#This Row],[HomeIce Differential]]&gt;0,Table4[[#This Row],[Home]],Table4[[#This Row],[Visitor]])</f>
        <v>Boston Bruins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0.5220673807735855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-0.45007023285116615</v>
      </c>
      <c r="H1073" t="s">
        <v>37</v>
      </c>
      <c r="I1073">
        <f>VLOOKUP(Table4[[#This Row],[Visitor]],'NHL Model'!$A$6:$B$38,2,FALSE)</f>
        <v>7.1667377873261273E-2</v>
      </c>
      <c r="J1073">
        <f>($B$1+Table4[[#This Row],[Home Differential]])-Table4[[#This Row],[Away Differential]]</f>
        <v>-0.38419422175201107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0.55124314548428999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-0.93520311342823803</v>
      </c>
      <c r="H1074" t="s">
        <v>30</v>
      </c>
      <c r="I1074">
        <f>VLOOKUP(Table4[[#This Row],[Visitor]],'NHL Model'!$A$6:$B$38,2,FALSE)</f>
        <v>3.838472305373858E-3</v>
      </c>
      <c r="J1074">
        <f>($B$1+Table4[[#This Row],[Home Differential]])-Table4[[#This Row],[Away Differential]]</f>
        <v>-0.80149819676119549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0.63952558037977969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-1.1236485959014608</v>
      </c>
      <c r="H1075" t="s">
        <v>11</v>
      </c>
      <c r="I1075">
        <f>VLOOKUP(Table4[[#This Row],[Visitor]],'NHL Model'!$A$6:$B$38,2,FALSE)</f>
        <v>-0.37836939589441088</v>
      </c>
      <c r="J1075">
        <f>($B$1+Table4[[#This Row],[Home Differential]])-Table4[[#This Row],[Away Differential]]</f>
        <v>-0.60773581103463359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0.54105872711683412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0.12073374225454764</v>
      </c>
      <c r="H1076" t="s">
        <v>23</v>
      </c>
      <c r="I1076">
        <f>VLOOKUP(Table4[[#This Row],[Visitor]],'NHL Model'!$A$6:$B$38,2,FALSE)</f>
        <v>-0.51535072045188635</v>
      </c>
      <c r="J1076">
        <f>($B$1+Table4[[#This Row],[Home Differential]])-Table4[[#This Row],[Away Differential]]</f>
        <v>0.7736278516788504</v>
      </c>
      <c r="K1076" t="str">
        <f>IF(Table4[[#This Row],[HomeIce Differential]]&gt;0,Table4[[#This Row],[Home]],Table4[[#This Row],[Visitor]])</f>
        <v>Vegas Golden Knights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0.64318511396006062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-6.0247860940930854E-2</v>
      </c>
      <c r="H1077" t="s">
        <v>29</v>
      </c>
      <c r="I1077">
        <f>VLOOKUP(Table4[[#This Row],[Visitor]],'NHL Model'!$A$6:$B$38,2,FALSE)</f>
        <v>-1.4957350924899622</v>
      </c>
      <c r="J1077">
        <f>($B$1+Table4[[#This Row],[Home Differential]])-Table4[[#This Row],[Away Differential]]</f>
        <v>1.5730306205214477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0.75230351996829914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0.34329638981067145</v>
      </c>
      <c r="H1078" t="s">
        <v>27</v>
      </c>
      <c r="I1078">
        <f>VLOOKUP(Table4[[#This Row],[Visitor]],'NHL Model'!$A$6:$B$38,2,FALSE)</f>
        <v>-0.42203126246971279</v>
      </c>
      <c r="J1078">
        <f>($B$1+Table4[[#This Row],[Home Differential]])-Table4[[#This Row],[Away Differential]]</f>
        <v>0.9028710412528006</v>
      </c>
      <c r="K1078" t="str">
        <f>IF(Table4[[#This Row],[HomeIce Differential]]&gt;0,Table4[[#This Row],[Home]],Table4[[#This Row],[Visitor]])</f>
        <v>Anaheim Ducks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0.75534397681652976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0.42515174825138019</v>
      </c>
      <c r="H1079" t="s">
        <v>14</v>
      </c>
      <c r="I1079">
        <f>VLOOKUP(Table4[[#This Row],[Visitor]],'NHL Model'!$A$6:$B$38,2,FALSE)</f>
        <v>-0.2090057419115289</v>
      </c>
      <c r="J1079">
        <f>($B$1+Table4[[#This Row],[Home Differential]])-Table4[[#This Row],[Away Differential]]</f>
        <v>0.77170087913532537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0.69464407410325035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-1.0952038865534519</v>
      </c>
      <c r="H1080" t="s">
        <v>35</v>
      </c>
      <c r="I1080">
        <f>VLOOKUP(Table4[[#This Row],[Visitor]],'NHL Model'!$A$6:$B$38,2,FALSE)</f>
        <v>-1.5569791149906038</v>
      </c>
      <c r="J1080">
        <f>($B$1+Table4[[#This Row],[Home Differential]])-Table4[[#This Row],[Away Differential]]</f>
        <v>0.59931861740956827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0.61993605672493768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1.4458345276269271</v>
      </c>
      <c r="H1081" t="s">
        <v>39</v>
      </c>
      <c r="I1081">
        <f>VLOOKUP(Table4[[#This Row],[Visitor]],'NHL Model'!$A$6:$B$38,2,FALSE)</f>
        <v>4.3828122498436855E-3</v>
      </c>
      <c r="J1081">
        <f>($B$1+Table4[[#This Row],[Home Differential]])-Table4[[#This Row],[Away Differential]]</f>
        <v>1.5789951043494999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0.76756559837953642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-0.49835870184734621</v>
      </c>
      <c r="H1082" t="s">
        <v>24</v>
      </c>
      <c r="I1082">
        <f>VLOOKUP(Table4[[#This Row],[Visitor]],'NHL Model'!$A$6:$B$38,2,FALSE)</f>
        <v>-1.8032585202533785E-2</v>
      </c>
      <c r="J1082">
        <f>($B$1+Table4[[#This Row],[Home Differential]])-Table4[[#This Row],[Away Differential]]</f>
        <v>-0.34278272767239604</v>
      </c>
      <c r="K1082" t="str">
        <f>IF(Table4[[#This Row],[HomeIce Differential]]&gt;0,Table4[[#This Row],[Home]],Table4[[#This Row],[Visitor]])</f>
        <v>New Jersey Devils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0.50654924676713353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6.4811420118814619E-2</v>
      </c>
      <c r="H1083" t="s">
        <v>36</v>
      </c>
      <c r="I1083">
        <f>VLOOKUP(Table4[[#This Row],[Visitor]],'NHL Model'!$A$6:$B$38,2,FALSE)</f>
        <v>-0.31751962084606655</v>
      </c>
      <c r="J1083">
        <f>($B$1+Table4[[#This Row],[Home Differential]])-Table4[[#This Row],[Away Differential]]</f>
        <v>0.51987442993729749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0.58857070080328211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-0.14464931395309213</v>
      </c>
      <c r="H1084" t="s">
        <v>40</v>
      </c>
      <c r="I1084">
        <f>VLOOKUP(Table4[[#This Row],[Visitor]],'NHL Model'!$A$6:$B$38,2,FALSE)</f>
        <v>-6.0247860940930854E-2</v>
      </c>
      <c r="J1084">
        <f>($B$1+Table4[[#This Row],[Home Differential]])-Table4[[#This Row],[Away Differential]]</f>
        <v>5.3141935960255078E-2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0.53340376685999147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-0.59418600019583889</v>
      </c>
      <c r="H1085" t="s">
        <v>15</v>
      </c>
      <c r="I1085">
        <f>VLOOKUP(Table4[[#This Row],[Visitor]],'NHL Model'!$A$6:$B$38,2,FALSE)</f>
        <v>-0.49835870184734621</v>
      </c>
      <c r="J1085">
        <f>($B$1+Table4[[#This Row],[Home Differential]])-Table4[[#This Row],[Away Differential]]</f>
        <v>4.1716090623923674E-2</v>
      </c>
      <c r="K1085" t="str">
        <f>IF(Table4[[#This Row],[HomeIce Differential]]&gt;0,Table4[[#This Row],[Home]],Table4[[#This Row],[Visitor]])</f>
        <v>Columbus Blue Jackets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0.46914017729322238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-0.66335717753705836</v>
      </c>
      <c r="H1086" t="s">
        <v>18</v>
      </c>
      <c r="I1086">
        <f>VLOOKUP(Table4[[#This Row],[Visitor]],'NHL Model'!$A$6:$B$38,2,FALSE)</f>
        <v>-0.74754136228530599</v>
      </c>
      <c r="J1086">
        <f>($B$1+Table4[[#This Row],[Home Differential]])-Table4[[#This Row],[Away Differential]]</f>
        <v>0.22172757372066398</v>
      </c>
      <c r="K1086" t="str">
        <f>IF(Table4[[#This Row],[HomeIce Differential]]&gt;0,Table4[[#This Row],[Home]],Table4[[#This Row],[Visitor]])</f>
        <v>Detroit Red Wings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0.55512107670217681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-0.87263145033954281</v>
      </c>
      <c r="H1087" t="s">
        <v>11</v>
      </c>
      <c r="I1087">
        <f>VLOOKUP(Table4[[#This Row],[Visitor]],'NHL Model'!$A$6:$B$38,2,FALSE)</f>
        <v>-0.37836939589441088</v>
      </c>
      <c r="J1087">
        <f>($B$1+Table4[[#This Row],[Home Differential]])-Table4[[#This Row],[Away Differential]]</f>
        <v>-0.35671866547271558</v>
      </c>
      <c r="K1087" t="str">
        <f>IF(Table4[[#This Row],[HomeIce Differential]]&gt;0,Table4[[#This Row],[Home]],Table4[[#This Row],[Visitor]])</f>
        <v>Florida Panthers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0.4715416380449714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-0.36134162888396865</v>
      </c>
      <c r="H1088" t="s">
        <v>27</v>
      </c>
      <c r="I1088">
        <f>VLOOKUP(Table4[[#This Row],[Visitor]],'NHL Model'!$A$6:$B$38,2,FALSE)</f>
        <v>-0.42203126246971279</v>
      </c>
      <c r="J1088">
        <f>($B$1+Table4[[#This Row],[Home Differential]])-Table4[[#This Row],[Away Differential]]</f>
        <v>0.1982330225581605</v>
      </c>
      <c r="K1088" t="str">
        <f>IF(Table4[[#This Row],[HomeIce Differential]]&gt;0,Table4[[#This Row],[Home]],Table4[[#This Row],[Visitor]])</f>
        <v>Los Angeles Kings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0.56643996978511346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-0.16358905079701039</v>
      </c>
      <c r="H1089" t="s">
        <v>10</v>
      </c>
      <c r="I1089">
        <f>VLOOKUP(Table4[[#This Row],[Visitor]],'NHL Model'!$A$6:$B$38,2,FALSE)</f>
        <v>-0.15263505358797036</v>
      </c>
      <c r="J1089">
        <f>($B$1+Table4[[#This Row],[Home Differential]])-Table4[[#This Row],[Away Differential]]</f>
        <v>0.12658939176337633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0.55688426907962607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-1.4957350924899622</v>
      </c>
      <c r="H1090" t="s">
        <v>32</v>
      </c>
      <c r="I1090">
        <f>VLOOKUP(Table4[[#This Row],[Visitor]],'NHL Model'!$A$6:$B$38,2,FALSE)</f>
        <v>-0.45007023285116615</v>
      </c>
      <c r="J1090">
        <f>($B$1+Table4[[#This Row],[Home Differential]])-Table4[[#This Row],[Away Differential]]</f>
        <v>-0.9081214706663796</v>
      </c>
      <c r="K1090" t="str">
        <f>IF(Table4[[#This Row],[HomeIce Differential]]&gt;0,Table4[[#This Row],[Home]],Table4[[#This Row],[Visitor]])</f>
        <v>Seattle Kraken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0.58112363488069851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-0.31751962084606655</v>
      </c>
      <c r="H1091" t="s">
        <v>30</v>
      </c>
      <c r="I1091">
        <f>VLOOKUP(Table4[[#This Row],[Visitor]],'NHL Model'!$A$6:$B$38,2,FALSE)</f>
        <v>3.838472305373858E-3</v>
      </c>
      <c r="J1091">
        <f>($B$1+Table4[[#This Row],[Home Differential]])-Table4[[#This Row],[Away Differential]]</f>
        <v>-0.18381470417902404</v>
      </c>
      <c r="K1091" t="str">
        <f>IF(Table4[[#This Row],[HomeIce Differential]]&gt;0,Table4[[#This Row],[Home]],Table4[[#This Row],[Visitor]])</f>
        <v>New York Islanders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0.55463736191992841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-0.36178381286707545</v>
      </c>
      <c r="H1092" t="s">
        <v>23</v>
      </c>
      <c r="I1092">
        <f>VLOOKUP(Table4[[#This Row],[Visitor]],'NHL Model'!$A$6:$B$38,2,FALSE)</f>
        <v>-0.51535072045188635</v>
      </c>
      <c r="J1092">
        <f>($B$1+Table4[[#This Row],[Home Differential]])-Table4[[#This Row],[Away Differential]]</f>
        <v>0.29111029655722725</v>
      </c>
      <c r="K1092" t="str">
        <f>IF(Table4[[#This Row],[HomeIce Differential]]&gt;0,Table4[[#This Row],[Home]],Table4[[#This Row],[Visitor]])</f>
        <v>San Jose Sharks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0.57882777624928905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-1.1236485959014608</v>
      </c>
      <c r="H1093" t="s">
        <v>37</v>
      </c>
      <c r="I1093">
        <f>VLOOKUP(Table4[[#This Row],[Visitor]],'NHL Model'!$A$6:$B$38,2,FALSE)</f>
        <v>7.1667377873261273E-2</v>
      </c>
      <c r="J1093">
        <f>($B$1+Table4[[#This Row],[Home Differential]])-Table4[[#This Row],[Away Differential]]</f>
        <v>-1.0577725848023056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0.66739962515746298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0.12073374225454764</v>
      </c>
      <c r="H1094" t="s">
        <v>55</v>
      </c>
      <c r="I1094">
        <f>VLOOKUP(Table4[[#This Row],[Visitor]],'NHL Model'!$A$6:$B$38,2,FALSE)</f>
        <v>-0.30969050963205513</v>
      </c>
      <c r="J1094">
        <f>($B$1+Table4[[#This Row],[Home Differential]])-Table4[[#This Row],[Away Differential]]</f>
        <v>0.56796764085901907</v>
      </c>
      <c r="K1094" t="str">
        <f>IF(Table4[[#This Row],[HomeIce Differential]]&gt;0,Table4[[#This Row],[Home]],Table4[[#This Row],[Visitor]])</f>
        <v>Vegas Golden Knights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0.61575451894665401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-1.0952038865534519</v>
      </c>
      <c r="H1095" t="s">
        <v>11</v>
      </c>
      <c r="I1095">
        <f>VLOOKUP(Table4[[#This Row],[Visitor]],'NHL Model'!$A$6:$B$38,2,FALSE)</f>
        <v>-0.37836939589441088</v>
      </c>
      <c r="J1095">
        <f>($B$1+Table4[[#This Row],[Home Differential]])-Table4[[#This Row],[Away Differential]]</f>
        <v>-0.57929110168662468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0.53726482211552673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-0.15263505358797036</v>
      </c>
      <c r="H1096" t="s">
        <v>12</v>
      </c>
      <c r="I1096">
        <f>VLOOKUP(Table4[[#This Row],[Visitor]],'NHL Model'!$A$6:$B$38,2,FALSE)</f>
        <v>1.4458345276269271</v>
      </c>
      <c r="J1096">
        <f>($B$1+Table4[[#This Row],[Home Differential]])-Table4[[#This Row],[Away Differential]]</f>
        <v>-1.4609261922424812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0.74734193832874918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-0.93520311342823803</v>
      </c>
      <c r="H1097" t="s">
        <v>25</v>
      </c>
      <c r="I1097">
        <f>VLOOKUP(Table4[[#This Row],[Visitor]],'NHL Model'!$A$6:$B$38,2,FALSE)</f>
        <v>0.42515174825138019</v>
      </c>
      <c r="J1097">
        <f>($B$1+Table4[[#This Row],[Home Differential]])-Table4[[#This Row],[Away Differential]]</f>
        <v>-1.2228114727072019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0.69571959963210328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-0.30969050963205513</v>
      </c>
      <c r="H1098" t="s">
        <v>31</v>
      </c>
      <c r="I1098">
        <f>VLOOKUP(Table4[[#This Row],[Visitor]],'NHL Model'!$A$6:$B$38,2,FALSE)</f>
        <v>0.34329638981067145</v>
      </c>
      <c r="J1098">
        <f>($B$1+Table4[[#This Row],[Home Differential]])-Table4[[#This Row],[Away Differential]]</f>
        <v>-0.51544351047031023</v>
      </c>
      <c r="K1098" t="str">
        <f>IF(Table4[[#This Row],[HomeIce Differential]]&gt;0,Table4[[#This Row],[Home]],Table4[[#This Row],[Visitor]])</f>
        <v>Anaheim Ducks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0.4973203719457312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6.4811420118814619E-2</v>
      </c>
      <c r="H1099" t="s">
        <v>24</v>
      </c>
      <c r="I1099">
        <f>VLOOKUP(Table4[[#This Row],[Visitor]],'NHL Model'!$A$6:$B$38,2,FALSE)</f>
        <v>-1.8032585202533785E-2</v>
      </c>
      <c r="J1099">
        <f>($B$1+Table4[[#This Row],[Home Differential]])-Table4[[#This Row],[Away Differential]]</f>
        <v>0.22038739429376478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0.56856538759856723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-0.59418600019583889</v>
      </c>
      <c r="H1100" t="s">
        <v>32</v>
      </c>
      <c r="I1100">
        <f>VLOOKUP(Table4[[#This Row],[Visitor]],'NHL Model'!$A$6:$B$38,2,FALSE)</f>
        <v>-0.45007023285116615</v>
      </c>
      <c r="J1100">
        <f>($B$1+Table4[[#This Row],[Home Differential]])-Table4[[#This Row],[Away Differential]]</f>
        <v>-6.5723783722563822E-3</v>
      </c>
      <c r="K1100" t="str">
        <f>IF(Table4[[#This Row],[HomeIce Differential]]&gt;0,Table4[[#This Row],[Home]],Table4[[#This Row],[Visitor]])</f>
        <v>Seattle Kraken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0.45383066033783143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-0.66335717753705836</v>
      </c>
      <c r="H1101" t="s">
        <v>21</v>
      </c>
      <c r="I1101">
        <f>VLOOKUP(Table4[[#This Row],[Visitor]],'NHL Model'!$A$6:$B$38,2,FALSE)</f>
        <v>-0.14464931395309213</v>
      </c>
      <c r="J1101">
        <f>($B$1+Table4[[#This Row],[Home Differential]])-Table4[[#This Row],[Away Differential]]</f>
        <v>-0.3811644746115499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0.47859297736338796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-0.87263145033954281</v>
      </c>
      <c r="H1102" t="s">
        <v>37</v>
      </c>
      <c r="I1102">
        <f>VLOOKUP(Table4[[#This Row],[Visitor]],'NHL Model'!$A$6:$B$38,2,FALSE)</f>
        <v>7.1667377873261273E-2</v>
      </c>
      <c r="J1102">
        <f>($B$1+Table4[[#This Row],[Home Differential]])-Table4[[#This Row],[Away Differential]]</f>
        <v>-0.80675543924038773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0.59739953133871004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-0.36134162888396865</v>
      </c>
      <c r="H1103" t="s">
        <v>23</v>
      </c>
      <c r="I1103">
        <f>VLOOKUP(Table4[[#This Row],[Visitor]],'NHL Model'!$A$6:$B$38,2,FALSE)</f>
        <v>-0.51535072045188635</v>
      </c>
      <c r="J1103">
        <f>($B$1+Table4[[#This Row],[Home Differential]])-Table4[[#This Row],[Away Differential]]</f>
        <v>0.29155248054033406</v>
      </c>
      <c r="K1103" t="str">
        <f>IF(Table4[[#This Row],[HomeIce Differential]]&gt;0,Table4[[#This Row],[Home]],Table4[[#This Row],[Visitor]])</f>
        <v>Los Angeles Kings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0.57888675396653277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-0.16358905079701039</v>
      </c>
      <c r="H1104" t="s">
        <v>39</v>
      </c>
      <c r="I1104">
        <f>VLOOKUP(Table4[[#This Row],[Visitor]],'NHL Model'!$A$6:$B$38,2,FALSE)</f>
        <v>4.3828122498436855E-3</v>
      </c>
      <c r="J1104">
        <f>($B$1+Table4[[#This Row],[Home Differential]])-Table4[[#This Row],[Away Differential]]</f>
        <v>-3.0428474074437717E-2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0.54501676496388274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-0.74754136228530599</v>
      </c>
      <c r="H1105" t="s">
        <v>30</v>
      </c>
      <c r="I1105">
        <f>VLOOKUP(Table4[[#This Row],[Visitor]],'NHL Model'!$A$6:$B$38,2,FALSE)</f>
        <v>3.838472305373858E-3</v>
      </c>
      <c r="J1105">
        <f>($B$1+Table4[[#This Row],[Home Differential]])-Table4[[#This Row],[Away Differential]]</f>
        <v>-0.61383644561826345</v>
      </c>
      <c r="K1105" t="str">
        <f>IF(Table4[[#This Row],[HomeIce Differential]]&gt;0,Table4[[#This Row],[Home]],Table4[[#This Row],[Visitor]])</f>
        <v>New York Islanders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0.61449558807067861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-1.4957350924899622</v>
      </c>
      <c r="H1106" t="s">
        <v>20</v>
      </c>
      <c r="I1106">
        <f>VLOOKUP(Table4[[#This Row],[Visitor]],'NHL Model'!$A$6:$B$38,2,FALSE)</f>
        <v>0.12073374225454764</v>
      </c>
      <c r="J1106">
        <f>($B$1+Table4[[#This Row],[Home Differential]])-Table4[[#This Row],[Away Differential]]</f>
        <v>-1.4789254457720933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0.67802568983965172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-0.31751962084606655</v>
      </c>
      <c r="H1107" t="s">
        <v>19</v>
      </c>
      <c r="I1107">
        <f>VLOOKUP(Table4[[#This Row],[Visitor]],'NHL Model'!$A$6:$B$38,2,FALSE)</f>
        <v>-0.93520311342823803</v>
      </c>
      <c r="J1107">
        <f>($B$1+Table4[[#This Row],[Home Differential]])-Table4[[#This Row],[Away Differential]]</f>
        <v>0.75522688155458784</v>
      </c>
      <c r="K1107" t="str">
        <f>IF(Table4[[#This Row],[HomeIce Differential]]&gt;0,Table4[[#This Row],[Home]],Table4[[#This Row],[Visitor]])</f>
        <v>Ottawa Senators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0.6432263043288482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-0.2090057419115289</v>
      </c>
      <c r="H1108" t="s">
        <v>40</v>
      </c>
      <c r="I1108">
        <f>VLOOKUP(Table4[[#This Row],[Visitor]],'NHL Model'!$A$6:$B$38,2,FALSE)</f>
        <v>-6.0247860940930854E-2</v>
      </c>
      <c r="J1108">
        <f>($B$1+Table4[[#This Row],[Home Differential]])-Table4[[#This Row],[Away Differential]]</f>
        <v>-1.121449199818169E-2</v>
      </c>
      <c r="K1108" t="str">
        <f>IF(Table4[[#This Row],[HomeIce Differential]]&gt;0,Table4[[#This Row],[Home]],Table4[[#This Row],[Visitor]])</f>
        <v>Winnipeg Jets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0.52781155857290341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-0.36178381286707545</v>
      </c>
      <c r="H1109" t="s">
        <v>27</v>
      </c>
      <c r="I1109">
        <f>VLOOKUP(Table4[[#This Row],[Visitor]],'NHL Model'!$A$6:$B$38,2,FALSE)</f>
        <v>-0.42203126246971279</v>
      </c>
      <c r="J1109">
        <f>($B$1+Table4[[#This Row],[Home Differential]])-Table4[[#This Row],[Away Differential]]</f>
        <v>0.1977908385750537</v>
      </c>
      <c r="K1109" t="str">
        <f>IF(Table4[[#This Row],[HomeIce Differential]]&gt;0,Table4[[#This Row],[Home]],Table4[[#This Row],[Visitor]])</f>
        <v>San Jose Sharks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0.56638099206786974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-1.1236485959014608</v>
      </c>
      <c r="H1110" t="s">
        <v>35</v>
      </c>
      <c r="I1110">
        <f>VLOOKUP(Table4[[#This Row],[Visitor]],'NHL Model'!$A$6:$B$38,2,FALSE)</f>
        <v>-1.5569791149906038</v>
      </c>
      <c r="J1110">
        <f>($B$1+Table4[[#This Row],[Home Differential]])-Table4[[#This Row],[Away Differential]]</f>
        <v>0.57087390806155935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0.61614215172363029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0.34329638981067145</v>
      </c>
      <c r="H1111" t="s">
        <v>23</v>
      </c>
      <c r="I1111">
        <f>VLOOKUP(Table4[[#This Row],[Visitor]],'NHL Model'!$A$6:$B$38,2,FALSE)</f>
        <v>-0.51535072045188635</v>
      </c>
      <c r="J1111">
        <f>($B$1+Table4[[#This Row],[Home Differential]])-Table4[[#This Row],[Away Differential]]</f>
        <v>0.99619049923497416</v>
      </c>
      <c r="K1111" t="str">
        <f>IF(Table4[[#This Row],[HomeIce Differential]]&gt;0,Table4[[#This Row],[Home]],Table4[[#This Row],[Visitor]])</f>
        <v>Anaheim Ducks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0.76779076099794907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-1.0952038865534519</v>
      </c>
      <c r="H1112" t="s">
        <v>37</v>
      </c>
      <c r="I1112">
        <f>VLOOKUP(Table4[[#This Row],[Visitor]],'NHL Model'!$A$6:$B$38,2,FALSE)</f>
        <v>7.1667377873261273E-2</v>
      </c>
      <c r="J1112">
        <f>($B$1+Table4[[#This Row],[Home Differential]])-Table4[[#This Row],[Away Differential]]</f>
        <v>-1.0293278754542969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0.6636057201561556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-0.15263505358797036</v>
      </c>
      <c r="H1113" t="s">
        <v>29</v>
      </c>
      <c r="I1113">
        <f>VLOOKUP(Table4[[#This Row],[Visitor]],'NHL Model'!$A$6:$B$38,2,FALSE)</f>
        <v>-1.4957350924899622</v>
      </c>
      <c r="J1113">
        <f>($B$1+Table4[[#This Row],[Home Differential]])-Table4[[#This Row],[Away Differential]]</f>
        <v>1.4806434278744081</v>
      </c>
      <c r="K1113" t="str">
        <f>IF(Table4[[#This Row],[HomeIce Differential]]&gt;0,Table4[[#This Row],[Home]],Table4[[#This Row],[Visitor]])</f>
        <v>Chicago Blackhawks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0.737485600483342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4.3828122498436855E-3</v>
      </c>
      <c r="H1114" t="s">
        <v>20</v>
      </c>
      <c r="I1114">
        <f>VLOOKUP(Table4[[#This Row],[Visitor]],'NHL Model'!$A$6:$B$38,2,FALSE)</f>
        <v>0.12073374225454764</v>
      </c>
      <c r="J1114">
        <f>($B$1+Table4[[#This Row],[Home Differential]])-Table4[[#This Row],[Away Differential]]</f>
        <v>2.1192458967712408E-2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0.52456574311287041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3.838472305373858E-3</v>
      </c>
      <c r="H1115" t="s">
        <v>28</v>
      </c>
      <c r="I1115">
        <f>VLOOKUP(Table4[[#This Row],[Visitor]],'NHL Model'!$A$6:$B$38,2,FALSE)</f>
        <v>-0.59418600019583889</v>
      </c>
      <c r="J1115">
        <f>($B$1+Table4[[#This Row],[Home Differential]])-Table4[[#This Row],[Away Differential]]</f>
        <v>0.73556786147362907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0.63727924672423253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-0.49835870184734621</v>
      </c>
      <c r="H1116" t="s">
        <v>40</v>
      </c>
      <c r="I1116">
        <f>VLOOKUP(Table4[[#This Row],[Visitor]],'NHL Model'!$A$6:$B$38,2,FALSE)</f>
        <v>-6.0247860940930854E-2</v>
      </c>
      <c r="J1116">
        <f>($B$1+Table4[[#This Row],[Home Differential]])-Table4[[#This Row],[Away Differential]]</f>
        <v>-0.30056745193399897</v>
      </c>
      <c r="K1116" t="str">
        <f>IF(Table4[[#This Row],[HomeIce Differential]]&gt;0,Table4[[#This Row],[Home]],Table4[[#This Row],[Visitor]])</f>
        <v>Winnipeg Jets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0.56640494437315037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-0.2090057419115289</v>
      </c>
      <c r="H1117" t="s">
        <v>25</v>
      </c>
      <c r="I1117">
        <f>VLOOKUP(Table4[[#This Row],[Visitor]],'NHL Model'!$A$6:$B$38,2,FALSE)</f>
        <v>0.42515174825138019</v>
      </c>
      <c r="J1117">
        <f>($B$1+Table4[[#This Row],[Home Differential]])-Table4[[#This Row],[Away Differential]]</f>
        <v>-0.49661410119049276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0.59886067919014085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-0.30969050963205513</v>
      </c>
      <c r="H1118" t="s">
        <v>13</v>
      </c>
      <c r="I1118">
        <f>VLOOKUP(Table4[[#This Row],[Visitor]],'NHL Model'!$A$6:$B$38,2,FALSE)</f>
        <v>-0.36134162888396865</v>
      </c>
      <c r="J1118">
        <f>($B$1+Table4[[#This Row],[Home Differential]])-Table4[[#This Row],[Away Differential]]</f>
        <v>0.18919450822432987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0.53432533782738778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6.4811420118814619E-2</v>
      </c>
      <c r="H1119" t="s">
        <v>12</v>
      </c>
      <c r="I1119">
        <f>VLOOKUP(Table4[[#This Row],[Visitor]],'NHL Model'!$A$6:$B$38,2,FALSE)</f>
        <v>1.4458345276269271</v>
      </c>
      <c r="J1119">
        <f>($B$1+Table4[[#This Row],[Home Differential]])-Table4[[#This Row],[Away Differential]]</f>
        <v>-1.2434797185356961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0.71833931242669957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-0.49835870184734621</v>
      </c>
      <c r="H1120" t="s">
        <v>36</v>
      </c>
      <c r="I1120">
        <f>VLOOKUP(Table4[[#This Row],[Visitor]],'NHL Model'!$A$6:$B$38,2,FALSE)</f>
        <v>-0.31751962084606655</v>
      </c>
      <c r="J1120">
        <f>($B$1+Table4[[#This Row],[Home Differential]])-Table4[[#This Row],[Away Differential]]</f>
        <v>-4.3295692028863297E-2</v>
      </c>
      <c r="K1120" t="str">
        <f>IF(Table4[[#This Row],[HomeIce Differential]]&gt;0,Table4[[#This Row],[Home]],Table4[[#This Row],[Visitor]])</f>
        <v>Ottawa Senators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0.48654393356241882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-0.14464931395309213</v>
      </c>
      <c r="H1121" t="s">
        <v>19</v>
      </c>
      <c r="I1121">
        <f>VLOOKUP(Table4[[#This Row],[Visitor]],'NHL Model'!$A$6:$B$38,2,FALSE)</f>
        <v>-0.93520311342823803</v>
      </c>
      <c r="J1121">
        <f>($B$1+Table4[[#This Row],[Home Differential]])-Table4[[#This Row],[Away Differential]]</f>
        <v>0.92809718844756228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0.71550393710365223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-1.0952038865534519</v>
      </c>
      <c r="H1122" t="s">
        <v>13</v>
      </c>
      <c r="I1122">
        <f>VLOOKUP(Table4[[#This Row],[Visitor]],'NHL Model'!$A$6:$B$38,2,FALSE)</f>
        <v>-0.36134162888396865</v>
      </c>
      <c r="J1122">
        <f>($B$1+Table4[[#This Row],[Home Differential]])-Table4[[#This Row],[Away Differential]]</f>
        <v>-0.59631886869706685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0.62301421641913901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4.3828122498436855E-3</v>
      </c>
      <c r="H1123" t="s">
        <v>24</v>
      </c>
      <c r="I1123">
        <f>VLOOKUP(Table4[[#This Row],[Visitor]],'NHL Model'!$A$6:$B$38,2,FALSE)</f>
        <v>-1.8032585202533785E-2</v>
      </c>
      <c r="J1123">
        <f>($B$1+Table4[[#This Row],[Home Differential]])-Table4[[#This Row],[Away Differential]]</f>
        <v>0.15995878642479383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0.56300168656071137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-0.66335717753705836</v>
      </c>
      <c r="H1124" t="s">
        <v>36</v>
      </c>
      <c r="I1124">
        <f>VLOOKUP(Table4[[#This Row],[Visitor]],'NHL Model'!$A$6:$B$38,2,FALSE)</f>
        <v>-0.31751962084606655</v>
      </c>
      <c r="J1124">
        <f>($B$1+Table4[[#This Row],[Home Differential]])-Table4[[#This Row],[Away Differential]]</f>
        <v>-0.20829416771857545</v>
      </c>
      <c r="K1124" t="str">
        <f>IF(Table4[[#This Row],[HomeIce Differential]]&gt;0,Table4[[#This Row],[Home]],Table4[[#This Row],[Visitor]])</f>
        <v>Ottawa Senators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0.47605776959286805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-0.37836939589441088</v>
      </c>
      <c r="H1125" t="s">
        <v>32</v>
      </c>
      <c r="I1125">
        <f>VLOOKUP(Table4[[#This Row],[Visitor]],'NHL Model'!$A$6:$B$38,2,FALSE)</f>
        <v>-0.45007023285116615</v>
      </c>
      <c r="J1125">
        <f>($B$1+Table4[[#This Row],[Home Differential]])-Table4[[#This Row],[Away Differential]]</f>
        <v>0.20924422592917163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0.61962460093831084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-0.74754136228530599</v>
      </c>
      <c r="H1126" t="s">
        <v>25</v>
      </c>
      <c r="I1126">
        <f>VLOOKUP(Table4[[#This Row],[Visitor]],'NHL Model'!$A$6:$B$38,2,FALSE)</f>
        <v>0.42515174825138019</v>
      </c>
      <c r="J1126">
        <f>($B$1+Table4[[#This Row],[Home Differential]])-Table4[[#This Row],[Away Differential]]</f>
        <v>-1.0351497215642698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0.67068960732300231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-1.4957350924899622</v>
      </c>
      <c r="H1127" t="s">
        <v>33</v>
      </c>
      <c r="I1127">
        <f>VLOOKUP(Table4[[#This Row],[Visitor]],'NHL Model'!$A$6:$B$38,2,FALSE)</f>
        <v>-0.36178381286707545</v>
      </c>
      <c r="J1127">
        <f>($B$1+Table4[[#This Row],[Home Differential]])-Table4[[#This Row],[Away Differential]]</f>
        <v>-0.99640789065047031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0.59289912135964939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3.838472305373858E-3</v>
      </c>
      <c r="H1128" t="s">
        <v>10</v>
      </c>
      <c r="I1128">
        <f>VLOOKUP(Table4[[#This Row],[Visitor]],'NHL Model'!$A$6:$B$38,2,FALSE)</f>
        <v>-0.15263505358797036</v>
      </c>
      <c r="J1128">
        <f>($B$1+Table4[[#This Row],[Home Differential]])-Table4[[#This Row],[Away Differential]]</f>
        <v>0.29401691486576054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0.57921545585616141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-0.42203126246971279</v>
      </c>
      <c r="H1129" t="s">
        <v>28</v>
      </c>
      <c r="I1129">
        <f>VLOOKUP(Table4[[#This Row],[Visitor]],'NHL Model'!$A$6:$B$38,2,FALSE)</f>
        <v>-0.59418600019583889</v>
      </c>
      <c r="J1129">
        <f>($B$1+Table4[[#This Row],[Home Differential]])-Table4[[#This Row],[Away Differential]]</f>
        <v>0.30969812669854246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0.61273555957184744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-0.2090057419115289</v>
      </c>
      <c r="H1130" t="s">
        <v>12</v>
      </c>
      <c r="I1130">
        <f>VLOOKUP(Table4[[#This Row],[Visitor]],'NHL Model'!$A$6:$B$38,2,FALSE)</f>
        <v>1.4458345276269271</v>
      </c>
      <c r="J1130">
        <f>($B$1+Table4[[#This Row],[Home Differential]])-Table4[[#This Row],[Away Differential]]</f>
        <v>-1.5172968805660396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0.75486056099215348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-1.5569791149906038</v>
      </c>
      <c r="H1131" t="s">
        <v>22</v>
      </c>
      <c r="I1131">
        <f>VLOOKUP(Table4[[#This Row],[Visitor]],'NHL Model'!$A$6:$B$38,2,FALSE)</f>
        <v>6.4811420118814619E-2</v>
      </c>
      <c r="J1131">
        <f>($B$1+Table4[[#This Row],[Home Differential]])-Table4[[#This Row],[Away Differential]]</f>
        <v>-1.4842471461370019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0.67873548881783319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7.1667377873261273E-2</v>
      </c>
      <c r="H1132" t="s">
        <v>34</v>
      </c>
      <c r="I1132">
        <f>VLOOKUP(Table4[[#This Row],[Visitor]],'NHL Model'!$A$6:$B$38,2,FALSE)</f>
        <v>-0.16358905079701039</v>
      </c>
      <c r="J1132">
        <f>($B$1+Table4[[#This Row],[Home Differential]])-Table4[[#This Row],[Away Differential]]</f>
        <v>0.37279981764268799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0.57146251046081509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-0.30969050963205513</v>
      </c>
      <c r="H1133" t="s">
        <v>17</v>
      </c>
      <c r="I1133">
        <f>VLOOKUP(Table4[[#This Row],[Visitor]],'NHL Model'!$A$6:$B$38,2,FALSE)</f>
        <v>-0.87263145033954281</v>
      </c>
      <c r="J1133">
        <f>($B$1+Table4[[#This Row],[Home Differential]])-Table4[[#This Row],[Away Differential]]</f>
        <v>0.70048432967990404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0.68514533675110745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-1.1236485959014608</v>
      </c>
      <c r="H1134" t="s">
        <v>31</v>
      </c>
      <c r="I1134">
        <f>VLOOKUP(Table4[[#This Row],[Visitor]],'NHL Model'!$A$6:$B$38,2,FALSE)</f>
        <v>0.34329638981067145</v>
      </c>
      <c r="J1134">
        <f>($B$1+Table4[[#This Row],[Home Differential]])-Table4[[#This Row],[Away Differential]]</f>
        <v>-1.3294015967397159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0.65808246343089327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-6.0247860940930854E-2</v>
      </c>
      <c r="H1135" t="s">
        <v>20</v>
      </c>
      <c r="I1135">
        <f>VLOOKUP(Table4[[#This Row],[Visitor]],'NHL Model'!$A$6:$B$38,2,FALSE)</f>
        <v>0.12073374225454764</v>
      </c>
      <c r="J1135">
        <f>($B$1+Table4[[#This Row],[Home Differential]])-Table4[[#This Row],[Away Differential]]</f>
        <v>-4.3438214223062127E-2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0.48405458171648164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-0.51535072045188635</v>
      </c>
      <c r="H1136" t="s">
        <v>21</v>
      </c>
      <c r="I1136">
        <f>VLOOKUP(Table4[[#This Row],[Visitor]],'NHL Model'!$A$6:$B$38,2,FALSE)</f>
        <v>-0.14464931395309213</v>
      </c>
      <c r="J1136">
        <f>($B$1+Table4[[#This Row],[Home Differential]])-Table4[[#This Row],[Away Differential]]</f>
        <v>-0.23315801752637785</v>
      </c>
      <c r="K1136" t="str">
        <f>IF(Table4[[#This Row],[HomeIce Differential]]&gt;0,Table4[[#This Row],[Home]],Table4[[#This Row],[Visitor]])</f>
        <v>Boston Bruins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0.47708158331727912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-0.93520311342823803</v>
      </c>
      <c r="H1137" t="s">
        <v>15</v>
      </c>
      <c r="I1137">
        <f>VLOOKUP(Table4[[#This Row],[Visitor]],'NHL Model'!$A$6:$B$38,2,FALSE)</f>
        <v>-0.49835870184734621</v>
      </c>
      <c r="J1137">
        <f>($B$1+Table4[[#This Row],[Home Differential]])-Table4[[#This Row],[Away Differential]]</f>
        <v>-0.29930102260847546</v>
      </c>
      <c r="K1137" t="str">
        <f>IF(Table4[[#This Row],[HomeIce Differential]]&gt;0,Table4[[#This Row],[Home]],Table4[[#This Row],[Visitor]])</f>
        <v>New York Rangers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0.58339850166647833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-1.0952038865534519</v>
      </c>
      <c r="H1138" t="s">
        <v>31</v>
      </c>
      <c r="I1138">
        <f>VLOOKUP(Table4[[#This Row],[Visitor]],'NHL Model'!$A$6:$B$38,2,FALSE)</f>
        <v>0.34329638981067145</v>
      </c>
      <c r="J1138">
        <f>($B$1+Table4[[#This Row],[Home Differential]])-Table4[[#This Row],[Away Differential]]</f>
        <v>-1.300956887391707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0.65428855842958578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-0.37836939589441088</v>
      </c>
      <c r="H1139" t="s">
        <v>34</v>
      </c>
      <c r="I1139">
        <f>VLOOKUP(Table4[[#This Row],[Visitor]],'NHL Model'!$A$6:$B$38,2,FALSE)</f>
        <v>-0.16358905079701039</v>
      </c>
      <c r="J1139">
        <f>($B$1+Table4[[#This Row],[Home Differential]])-Table4[[#This Row],[Away Differential]]</f>
        <v>-7.723695612498413E-2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0.43887315711234093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-0.74754136228530599</v>
      </c>
      <c r="H1140" t="s">
        <v>28</v>
      </c>
      <c r="I1140">
        <f>VLOOKUP(Table4[[#This Row],[Visitor]],'NHL Model'!$A$6:$B$38,2,FALSE)</f>
        <v>-0.59418600019583889</v>
      </c>
      <c r="J1140">
        <f>($B$1+Table4[[#This Row],[Home Differential]])-Table4[[#This Row],[Away Differential]]</f>
        <v>-1.5811973117050737E-2</v>
      </c>
      <c r="K1140" t="str">
        <f>IF(Table4[[#This Row],[HomeIce Differential]]&gt;0,Table4[[#This Row],[Home]],Table4[[#This Row],[Visitor]])</f>
        <v>Columbus Blue Jackets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0.46293846608339223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-1.4957350924899622</v>
      </c>
      <c r="H1141" t="s">
        <v>24</v>
      </c>
      <c r="I1141">
        <f>VLOOKUP(Table4[[#This Row],[Visitor]],'NHL Model'!$A$6:$B$38,2,FALSE)</f>
        <v>-1.8032585202533785E-2</v>
      </c>
      <c r="J1141">
        <f>($B$1+Table4[[#This Row],[Home Differential]])-Table4[[#This Row],[Away Differential]]</f>
        <v>-1.3401591183150119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0.63957754494202168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3.838472305373858E-3</v>
      </c>
      <c r="H1142" t="s">
        <v>39</v>
      </c>
      <c r="I1142">
        <f>VLOOKUP(Table4[[#This Row],[Visitor]],'NHL Model'!$A$6:$B$38,2,FALSE)</f>
        <v>4.3828122498436855E-3</v>
      </c>
      <c r="J1142">
        <f>($B$1+Table4[[#This Row],[Home Differential]])-Table4[[#This Row],[Away Differential]]</f>
        <v>0.13699904902794652</v>
      </c>
      <c r="K1142" t="str">
        <f>IF(Table4[[#This Row],[HomeIce Differential]]&gt;0,Table4[[#This Row],[Home]],Table4[[#This Row],[Visitor]])</f>
        <v>New York Islanders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0.47731442181265271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-0.31751962084606655</v>
      </c>
      <c r="H1143" t="s">
        <v>14</v>
      </c>
      <c r="I1143">
        <f>VLOOKUP(Table4[[#This Row],[Visitor]],'NHL Model'!$A$6:$B$38,2,FALSE)</f>
        <v>-0.2090057419115289</v>
      </c>
      <c r="J1143">
        <f>($B$1+Table4[[#This Row],[Home Differential]])-Table4[[#This Row],[Away Differential]]</f>
        <v>2.9029510037878709E-2</v>
      </c>
      <c r="K1143" t="str">
        <f>IF(Table4[[#This Row],[HomeIce Differential]]&gt;0,Table4[[#This Row],[Home]],Table4[[#This Row],[Visitor]])</f>
        <v>Ottawa Senators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0.54636738388688577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-0.42203126246971279</v>
      </c>
      <c r="H1144" t="s">
        <v>10</v>
      </c>
      <c r="I1144">
        <f>VLOOKUP(Table4[[#This Row],[Visitor]],'NHL Model'!$A$6:$B$38,2,FALSE)</f>
        <v>-0.15263505358797036</v>
      </c>
      <c r="J1144">
        <f>($B$1+Table4[[#This Row],[Home Differential]])-Table4[[#This Row],[Away Differential]]</f>
        <v>-0.13185281990932607</v>
      </c>
      <c r="K1144" t="str">
        <f>IF(Table4[[#This Row],[HomeIce Differential]]&gt;0,Table4[[#This Row],[Home]],Table4[[#This Row],[Visitor]])</f>
        <v>Chicago Blackhawks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0.44534023000405509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-1.5569791149906038</v>
      </c>
      <c r="H1145" t="s">
        <v>33</v>
      </c>
      <c r="I1145">
        <f>VLOOKUP(Table4[[#This Row],[Visitor]],'NHL Model'!$A$6:$B$38,2,FALSE)</f>
        <v>-0.36178381286707545</v>
      </c>
      <c r="J1145">
        <f>($B$1+Table4[[#This Row],[Home Differential]])-Table4[[#This Row],[Away Differential]]</f>
        <v>-1.057651913151112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0.60106774071246527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7.1667377873261273E-2</v>
      </c>
      <c r="H1146" t="s">
        <v>32</v>
      </c>
      <c r="I1146">
        <f>VLOOKUP(Table4[[#This Row],[Visitor]],'NHL Model'!$A$6:$B$38,2,FALSE)</f>
        <v>-0.45007023285116615</v>
      </c>
      <c r="J1146">
        <f>($B$1+Table4[[#This Row],[Home Differential]])-Table4[[#This Row],[Away Differential]]</f>
        <v>0.65928099969684384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0.63042921237823479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-0.30969050963205513</v>
      </c>
      <c r="H1147" t="s">
        <v>22</v>
      </c>
      <c r="I1147">
        <f>VLOOKUP(Table4[[#This Row],[Visitor]],'NHL Model'!$A$6:$B$38,2,FALSE)</f>
        <v>6.4811420118814619E-2</v>
      </c>
      <c r="J1147">
        <f>($B$1+Table4[[#This Row],[Home Differential]])-Table4[[#This Row],[Away Differential]]</f>
        <v>-0.23695854077845341</v>
      </c>
      <c r="K1147" t="str">
        <f>IF(Table4[[#This Row],[HomeIce Differential]]&gt;0,Table4[[#This Row],[Home]],Table4[[#This Row],[Visitor]])</f>
        <v>Washington Capitals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0.46017653945384335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-1.1236485959014608</v>
      </c>
      <c r="H1148" t="s">
        <v>13</v>
      </c>
      <c r="I1148">
        <f>VLOOKUP(Table4[[#This Row],[Visitor]],'NHL Model'!$A$6:$B$38,2,FALSE)</f>
        <v>-0.36134162888396865</v>
      </c>
      <c r="J1148">
        <f>($B$1+Table4[[#This Row],[Home Differential]])-Table4[[#This Row],[Away Differential]]</f>
        <v>-0.62476357804507576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0.6268081214204464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0.12073374225454764</v>
      </c>
      <c r="H1149" t="s">
        <v>17</v>
      </c>
      <c r="I1149">
        <f>VLOOKUP(Table4[[#This Row],[Visitor]],'NHL Model'!$A$6:$B$38,2,FALSE)</f>
        <v>-0.87263145033954281</v>
      </c>
      <c r="J1149">
        <f>($B$1+Table4[[#This Row],[Home Differential]])-Table4[[#This Row],[Away Differential]]</f>
        <v>1.1309085815665068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0.69083858552159816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-6.0247860940930854E-2</v>
      </c>
      <c r="H1150" t="s">
        <v>12</v>
      </c>
      <c r="I1150">
        <f>VLOOKUP(Table4[[#This Row],[Visitor]],'NHL Model'!$A$6:$B$38,2,FALSE)</f>
        <v>1.4458345276269271</v>
      </c>
      <c r="J1150">
        <f>($B$1+Table4[[#This Row],[Home Differential]])-Table4[[#This Row],[Away Differential]]</f>
        <v>-1.3685389995954416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0.73253331020282797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-0.51535072045188635</v>
      </c>
      <c r="H1151" t="s">
        <v>26</v>
      </c>
      <c r="I1151">
        <f>VLOOKUP(Table4[[#This Row],[Visitor]],'NHL Model'!$A$6:$B$38,2,FALSE)</f>
        <v>-0.66335717753705836</v>
      </c>
      <c r="J1151">
        <f>($B$1+Table4[[#This Row],[Home Differential]])-Table4[[#This Row],[Away Differential]]</f>
        <v>0.28554984605758837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0.5451283867217207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-0.49835870184734621</v>
      </c>
      <c r="H1152" t="s">
        <v>10</v>
      </c>
      <c r="I1152">
        <f>VLOOKUP(Table4[[#This Row],[Visitor]],'NHL Model'!$A$6:$B$38,2,FALSE)</f>
        <v>-0.15263505358797036</v>
      </c>
      <c r="J1152">
        <f>($B$1+Table4[[#This Row],[Home Differential]])-Table4[[#This Row],[Away Differential]]</f>
        <v>-0.20818025928695949</v>
      </c>
      <c r="K1152" t="str">
        <f>IF(Table4[[#This Row],[HomeIce Differential]]&gt;0,Table4[[#This Row],[Home]],Table4[[#This Row],[Visitor]])</f>
        <v>Chicago Blackhawks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0.48776671461884902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-0.14464931395309213</v>
      </c>
      <c r="H1153" t="s">
        <v>34</v>
      </c>
      <c r="I1153">
        <f>VLOOKUP(Table4[[#This Row],[Visitor]],'NHL Model'!$A$6:$B$38,2,FALSE)</f>
        <v>-0.16358905079701039</v>
      </c>
      <c r="J1153">
        <f>($B$1+Table4[[#This Row],[Home Differential]])-Table4[[#This Row],[Away Differential]]</f>
        <v>0.15648312581633461</v>
      </c>
      <c r="K1153" t="str">
        <f>IF(Table4[[#This Row],[HomeIce Differential]]&gt;0,Table4[[#This Row],[Home]],Table4[[#This Row],[Visitor]])</f>
        <v>Boston Bruins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0.59230001386067233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-0.51535072045188635</v>
      </c>
      <c r="H1154" t="s">
        <v>32</v>
      </c>
      <c r="I1154">
        <f>VLOOKUP(Table4[[#This Row],[Visitor]],'NHL Model'!$A$6:$B$38,2,FALSE)</f>
        <v>-0.45007023285116615</v>
      </c>
      <c r="J1154">
        <f>($B$1+Table4[[#This Row],[Home Differential]])-Table4[[#This Row],[Away Differential]]</f>
        <v>7.2262901371696164E-2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0.56365491841788173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0.42515174825138019</v>
      </c>
      <c r="H1155" t="s">
        <v>24</v>
      </c>
      <c r="I1155">
        <f>VLOOKUP(Table4[[#This Row],[Visitor]],'NHL Model'!$A$6:$B$38,2,FALSE)</f>
        <v>-1.8032585202533785E-2</v>
      </c>
      <c r="J1155">
        <f>($B$1+Table4[[#This Row],[Home Differential]])-Table4[[#This Row],[Away Differential]]</f>
        <v>0.58072772242633031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0.66836552695684892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-0.59418600019583889</v>
      </c>
      <c r="H1156" t="s">
        <v>33</v>
      </c>
      <c r="I1156">
        <f>VLOOKUP(Table4[[#This Row],[Visitor]],'NHL Model'!$A$6:$B$38,2,FALSE)</f>
        <v>-0.36178381286707545</v>
      </c>
      <c r="J1156">
        <f>($B$1+Table4[[#This Row],[Home Differential]])-Table4[[#This Row],[Away Differential]]</f>
        <v>-9.4858798356347085E-2</v>
      </c>
      <c r="K1156" t="str">
        <f>IF(Table4[[#This Row],[HomeIce Differential]]&gt;0,Table4[[#This Row],[Home]],Table4[[#This Row],[Visitor]])</f>
        <v>San Jose Sharks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0.46560614681678236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-1.0952038865534519</v>
      </c>
      <c r="H1157" t="s">
        <v>38</v>
      </c>
      <c r="I1157">
        <f>VLOOKUP(Table4[[#This Row],[Visitor]],'NHL Model'!$A$6:$B$38,2,FALSE)</f>
        <v>-1.1236485959014608</v>
      </c>
      <c r="J1157">
        <f>($B$1+Table4[[#This Row],[Home Differential]])-Table4[[#This Row],[Away Differential]]</f>
        <v>0.16598809832042527</v>
      </c>
      <c r="K1157" t="str">
        <f>IF(Table4[[#This Row],[HomeIce Differential]]&gt;0,Table4[[#This Row],[Home]],Table4[[#This Row],[Visitor]])</f>
        <v>Calgary Flames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0.54136996807687909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1.4458345276269271</v>
      </c>
      <c r="H1158" t="s">
        <v>40</v>
      </c>
      <c r="I1158">
        <f>VLOOKUP(Table4[[#This Row],[Visitor]],'NHL Model'!$A$6:$B$38,2,FALSE)</f>
        <v>-6.0247860940930854E-2</v>
      </c>
      <c r="J1158">
        <f>($B$1+Table4[[#This Row],[Home Differential]])-Table4[[#This Row],[Away Differential]]</f>
        <v>1.6436257775402745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0.7906524693210043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-0.66335717753705836</v>
      </c>
      <c r="H1159" t="s">
        <v>27</v>
      </c>
      <c r="I1159">
        <f>VLOOKUP(Table4[[#This Row],[Visitor]],'NHL Model'!$A$6:$B$38,2,FALSE)</f>
        <v>-0.42203126246971279</v>
      </c>
      <c r="J1159">
        <f>($B$1+Table4[[#This Row],[Home Differential]])-Table4[[#This Row],[Away Differential]]</f>
        <v>-0.10378252609492922</v>
      </c>
      <c r="K1159" t="str">
        <f>IF(Table4[[#This Row],[HomeIce Differential]]&gt;0,Table4[[#This Row],[Home]],Table4[[#This Row],[Visitor]])</f>
        <v>Philadelphia Flyers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0.44159626388411077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-0.87263145033954281</v>
      </c>
      <c r="H1160" t="s">
        <v>31</v>
      </c>
      <c r="I1160">
        <f>VLOOKUP(Table4[[#This Row],[Visitor]],'NHL Model'!$A$6:$B$38,2,FALSE)</f>
        <v>0.34329638981067145</v>
      </c>
      <c r="J1160">
        <f>($B$1+Table4[[#This Row],[Home Differential]])-Table4[[#This Row],[Away Differential]]</f>
        <v>-1.078384451177798</v>
      </c>
      <c r="K1160" t="str">
        <f>IF(Table4[[#This Row],[HomeIce Differential]]&gt;0,Table4[[#This Row],[Home]],Table4[[#This Row],[Visitor]])</f>
        <v>Anaheim Ducks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0.58827745439369117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-0.36134162888396865</v>
      </c>
      <c r="H1161" t="s">
        <v>55</v>
      </c>
      <c r="I1161">
        <f>VLOOKUP(Table4[[#This Row],[Visitor]],'NHL Model'!$A$6:$B$38,2,FALSE)</f>
        <v>-0.30969050963205513</v>
      </c>
      <c r="J1161">
        <f>($B$1+Table4[[#This Row],[Home Differential]])-Table4[[#This Row],[Away Differential]]</f>
        <v>8.5892269720502845E-2</v>
      </c>
      <c r="K1161" t="str">
        <f>IF(Table4[[#This Row],[HomeIce Differential]]&gt;0,Table4[[#This Row],[Home]],Table4[[#This Row],[Visitor]])</f>
        <v>Los Angeles Kings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0.55145615895312605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-1.4957350924899622</v>
      </c>
      <c r="H1162" t="s">
        <v>18</v>
      </c>
      <c r="I1162">
        <f>VLOOKUP(Table4[[#This Row],[Visitor]],'NHL Model'!$A$6:$B$38,2,FALSE)</f>
        <v>-0.74754136228530599</v>
      </c>
      <c r="J1162">
        <f>($B$1+Table4[[#This Row],[Home Differential]])-Table4[[#This Row],[Away Differential]]</f>
        <v>-0.61065034123223971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0.58854685347820157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3.838472305373858E-3</v>
      </c>
      <c r="H1163" t="s">
        <v>11</v>
      </c>
      <c r="I1163">
        <f>VLOOKUP(Table4[[#This Row],[Visitor]],'NHL Model'!$A$6:$B$38,2,FALSE)</f>
        <v>-0.37836939589441088</v>
      </c>
      <c r="J1163">
        <f>($B$1+Table4[[#This Row],[Home Differential]])-Table4[[#This Row],[Away Differential]]</f>
        <v>0.51975125717220105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0.60932350300705251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-0.2090057419115289</v>
      </c>
      <c r="H1164" t="s">
        <v>39</v>
      </c>
      <c r="I1164">
        <f>VLOOKUP(Table4[[#This Row],[Visitor]],'NHL Model'!$A$6:$B$38,2,FALSE)</f>
        <v>4.3828122498436855E-3</v>
      </c>
      <c r="J1164">
        <f>($B$1+Table4[[#This Row],[Home Differential]])-Table4[[#This Row],[Away Differential]]</f>
        <v>-7.5845165188956232E-2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0.55107436286211076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-1.5569791149906038</v>
      </c>
      <c r="H1165" t="s">
        <v>19</v>
      </c>
      <c r="I1165">
        <f>VLOOKUP(Table4[[#This Row],[Visitor]],'NHL Model'!$A$6:$B$38,2,FALSE)</f>
        <v>-0.93520311342823803</v>
      </c>
      <c r="J1165">
        <f>($B$1+Table4[[#This Row],[Home Differential]])-Table4[[#This Row],[Away Differential]]</f>
        <v>-0.48423261258994932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0.5245860890411862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7.1667377873261273E-2</v>
      </c>
      <c r="H1166" t="s">
        <v>36</v>
      </c>
      <c r="I1166">
        <f>VLOOKUP(Table4[[#This Row],[Visitor]],'NHL Model'!$A$6:$B$38,2,FALSE)</f>
        <v>-0.31751962084606655</v>
      </c>
      <c r="J1166">
        <f>($B$1+Table4[[#This Row],[Home Differential]])-Table4[[#This Row],[Away Differential]]</f>
        <v>0.52673038769174418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0.59199349752129971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0.12073374225454764</v>
      </c>
      <c r="H1167" t="s">
        <v>22</v>
      </c>
      <c r="I1167">
        <f>VLOOKUP(Table4[[#This Row],[Visitor]],'NHL Model'!$A$6:$B$38,2,FALSE)</f>
        <v>6.4811420118814619E-2</v>
      </c>
      <c r="J1167">
        <f>($B$1+Table4[[#This Row],[Home Differential]])-Table4[[#This Row],[Away Differential]]</f>
        <v>0.19346571110814936</v>
      </c>
      <c r="K1167" t="str">
        <f>IF(Table4[[#This Row],[HomeIce Differential]]&gt;0,Table4[[#This Row],[Home]],Table4[[#This Row],[Visitor]])</f>
        <v>Vegas Golden Knights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0.54503488345020601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0.42515174825138019</v>
      </c>
      <c r="H1168" t="s">
        <v>18</v>
      </c>
      <c r="I1168">
        <f>VLOOKUP(Table4[[#This Row],[Visitor]],'NHL Model'!$A$6:$B$38,2,FALSE)</f>
        <v>-0.74754136228530599</v>
      </c>
      <c r="J1168">
        <f>($B$1+Table4[[#This Row],[Home Differential]])-Table4[[#This Row],[Away Differential]]</f>
        <v>1.3102364995091025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0.72021157135929625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-0.59418600019583889</v>
      </c>
      <c r="H1169" t="s">
        <v>21</v>
      </c>
      <c r="I1169">
        <f>VLOOKUP(Table4[[#This Row],[Visitor]],'NHL Model'!$A$6:$B$38,2,FALSE)</f>
        <v>-0.14464931395309213</v>
      </c>
      <c r="J1169">
        <f>($B$1+Table4[[#This Row],[Home Differential]])-Table4[[#This Row],[Away Differential]]</f>
        <v>-0.31199329727033043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0.49456716207299223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-1.8032585202533785E-2</v>
      </c>
      <c r="H1170" t="s">
        <v>10</v>
      </c>
      <c r="I1170">
        <f>VLOOKUP(Table4[[#This Row],[Visitor]],'NHL Model'!$A$6:$B$38,2,FALSE)</f>
        <v>-0.15263505358797036</v>
      </c>
      <c r="J1170">
        <f>($B$1+Table4[[#This Row],[Home Differential]])-Table4[[#This Row],[Away Differential]]</f>
        <v>0.2721458573578529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0.69172904451601636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-0.49835870184734621</v>
      </c>
      <c r="H1171" t="s">
        <v>11</v>
      </c>
      <c r="I1171">
        <f>VLOOKUP(Table4[[#This Row],[Visitor]],'NHL Model'!$A$6:$B$38,2,FALSE)</f>
        <v>-0.37836939589441088</v>
      </c>
      <c r="J1171">
        <f>($B$1+Table4[[#This Row],[Home Differential]])-Table4[[#This Row],[Away Differential]]</f>
        <v>1.7554083019481026E-2</v>
      </c>
      <c r="K1171" t="str">
        <f>IF(Table4[[#This Row],[HomeIce Differential]]&gt;0,Table4[[#This Row],[Home]],Table4[[#This Row],[Visitor]])</f>
        <v>New York Rangers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0.54234133253204209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-0.42203126246971279</v>
      </c>
      <c r="H1172" t="s">
        <v>39</v>
      </c>
      <c r="I1172">
        <f>VLOOKUP(Table4[[#This Row],[Visitor]],'NHL Model'!$A$6:$B$38,2,FALSE)</f>
        <v>4.3828122498436855E-3</v>
      </c>
      <c r="J1172">
        <f>($B$1+Table4[[#This Row],[Home Differential]])-Table4[[#This Row],[Away Differential]]</f>
        <v>-0.28887068574714009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0.5469089491904785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7.1667377873261273E-2</v>
      </c>
      <c r="H1173" t="s">
        <v>29</v>
      </c>
      <c r="I1173">
        <f>VLOOKUP(Table4[[#This Row],[Visitor]],'NHL Model'!$A$6:$B$38,2,FALSE)</f>
        <v>-1.4957350924899622</v>
      </c>
      <c r="J1173">
        <f>($B$1+Table4[[#This Row],[Home Differential]])-Table4[[#This Row],[Away Differential]]</f>
        <v>1.7049458593356399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0.76989814110373567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0.34329638981067145</v>
      </c>
      <c r="H1174" t="s">
        <v>19</v>
      </c>
      <c r="I1174">
        <f>VLOOKUP(Table4[[#This Row],[Visitor]],'NHL Model'!$A$6:$B$38,2,FALSE)</f>
        <v>-0.93520311342823803</v>
      </c>
      <c r="J1174">
        <f>($B$1+Table4[[#This Row],[Home Differential]])-Table4[[#This Row],[Away Differential]]</f>
        <v>1.4160428922113257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0.82378993026474157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1.4458345276269271</v>
      </c>
      <c r="H1175" t="s">
        <v>16</v>
      </c>
      <c r="I1175">
        <f>VLOOKUP(Table4[[#This Row],[Visitor]],'NHL Model'!$A$6:$B$38,2,FALSE)</f>
        <v>-1.0952038865534519</v>
      </c>
      <c r="J1175">
        <f>($B$1+Table4[[#This Row],[Home Differential]])-Table4[[#This Row],[Away Differential]]</f>
        <v>2.6785818031527953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0.99218513620490523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3.838472305373858E-3</v>
      </c>
      <c r="H1176" t="s">
        <v>14</v>
      </c>
      <c r="I1176">
        <f>VLOOKUP(Table4[[#This Row],[Visitor]],'NHL Model'!$A$6:$B$38,2,FALSE)</f>
        <v>-0.2090057419115289</v>
      </c>
      <c r="J1176">
        <f>($B$1+Table4[[#This Row],[Home Differential]])-Table4[[#This Row],[Away Differential]]</f>
        <v>0.35038760318931911</v>
      </c>
      <c r="K1176" t="str">
        <f>IF(Table4[[#This Row],[HomeIce Differential]]&gt;0,Table4[[#This Row],[Home]],Table4[[#This Row],[Visitor]])</f>
        <v>New York Islanders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0.58673407851956583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-0.36178381286707545</v>
      </c>
      <c r="H1177" t="s">
        <v>35</v>
      </c>
      <c r="I1177">
        <f>VLOOKUP(Table4[[#This Row],[Visitor]],'NHL Model'!$A$6:$B$38,2,FALSE)</f>
        <v>-1.5569791149906038</v>
      </c>
      <c r="J1177">
        <f>($B$1+Table4[[#This Row],[Home Differential]])-Table4[[#This Row],[Away Differential]]</f>
        <v>1.3327386910959447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0.7177583284020701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0.12073374225454764</v>
      </c>
      <c r="H1178" t="s">
        <v>38</v>
      </c>
      <c r="I1178">
        <f>VLOOKUP(Table4[[#This Row],[Visitor]],'NHL Model'!$A$6:$B$38,2,FALSE)</f>
        <v>-1.1236485959014608</v>
      </c>
      <c r="J1178">
        <f>($B$1+Table4[[#This Row],[Home Differential]])-Table4[[#This Row],[Away Differential]]</f>
        <v>1.3819257271284249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0.70354957746478308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-0.14464931395309213</v>
      </c>
      <c r="H1179" t="s">
        <v>39</v>
      </c>
      <c r="I1179">
        <f>VLOOKUP(Table4[[#This Row],[Visitor]],'NHL Model'!$A$6:$B$38,2,FALSE)</f>
        <v>4.3828122498436855E-3</v>
      </c>
      <c r="J1179">
        <f>($B$1+Table4[[#This Row],[Home Differential]])-Table4[[#This Row],[Away Differential]]</f>
        <v>-1.1488737230519462E-2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0.48990444046630066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-0.51535072045188635</v>
      </c>
      <c r="H1180" t="s">
        <v>30</v>
      </c>
      <c r="I1180">
        <f>VLOOKUP(Table4[[#This Row],[Visitor]],'NHL Model'!$A$6:$B$38,2,FALSE)</f>
        <v>3.838472305373858E-3</v>
      </c>
      <c r="J1180">
        <f>($B$1+Table4[[#This Row],[Home Differential]])-Table4[[#This Row],[Away Differential]]</f>
        <v>-0.38164580378484386</v>
      </c>
      <c r="K1180" t="str">
        <f>IF(Table4[[#This Row],[HomeIce Differential]]&gt;0,Table4[[#This Row],[Home]],Table4[[#This Row],[Visitor]])</f>
        <v>New York Islanders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0.56942176052364957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-0.59418600019583889</v>
      </c>
      <c r="H1181" t="s">
        <v>25</v>
      </c>
      <c r="I1181">
        <f>VLOOKUP(Table4[[#This Row],[Visitor]],'NHL Model'!$A$6:$B$38,2,FALSE)</f>
        <v>0.42515174825138019</v>
      </c>
      <c r="J1181">
        <f>($B$1+Table4[[#This Row],[Home Differential]])-Table4[[#This Row],[Away Differential]]</f>
        <v>-0.88179435947480278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0.64315961662998344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-0.15263505358797036</v>
      </c>
      <c r="H1182" t="s">
        <v>40</v>
      </c>
      <c r="I1182">
        <f>VLOOKUP(Table4[[#This Row],[Visitor]],'NHL Model'!$A$6:$B$38,2,FALSE)</f>
        <v>-6.0247860940930854E-2</v>
      </c>
      <c r="J1182">
        <f>($B$1+Table4[[#This Row],[Home Differential]])-Table4[[#This Row],[Away Differential]]</f>
        <v>4.5156196325376853E-2</v>
      </c>
      <c r="K1182" t="str">
        <f>IF(Table4[[#This Row],[HomeIce Differential]]&gt;0,Table4[[#This Row],[Home]],Table4[[#This Row],[Visitor]])</f>
        <v>Chicago Blackhawks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0.47970706409050096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-0.87263145033954281</v>
      </c>
      <c r="H1183" t="s">
        <v>32</v>
      </c>
      <c r="I1183">
        <f>VLOOKUP(Table4[[#This Row],[Visitor]],'NHL Model'!$A$6:$B$38,2,FALSE)</f>
        <v>-0.45007023285116615</v>
      </c>
      <c r="J1183">
        <f>($B$1+Table4[[#This Row],[Home Differential]])-Table4[[#This Row],[Away Differential]]</f>
        <v>-0.2850178285159603</v>
      </c>
      <c r="K1183" t="str">
        <f>IF(Table4[[#This Row],[HomeIce Differential]]&gt;0,Table4[[#This Row],[Home]],Table4[[#This Row],[Visitor]])</f>
        <v>Seattle Kraken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0.4619783072828238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-0.37836939589441088</v>
      </c>
      <c r="H1184" t="s">
        <v>36</v>
      </c>
      <c r="I1184">
        <f>VLOOKUP(Table4[[#This Row],[Visitor]],'NHL Model'!$A$6:$B$38,2,FALSE)</f>
        <v>-0.31751962084606655</v>
      </c>
      <c r="J1184">
        <f>($B$1+Table4[[#This Row],[Home Differential]])-Table4[[#This Row],[Away Differential]]</f>
        <v>7.6693613924072035E-2</v>
      </c>
      <c r="K1184" t="str">
        <f>IF(Table4[[#This Row],[HomeIce Differential]]&gt;0,Table4[[#This Row],[Home]],Table4[[#This Row],[Visitor]])</f>
        <v>Florida Panthers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0.58165782994814375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-0.49835870184734621</v>
      </c>
      <c r="H1185" t="s">
        <v>24</v>
      </c>
      <c r="I1185">
        <f>VLOOKUP(Table4[[#This Row],[Visitor]],'NHL Model'!$A$6:$B$38,2,FALSE)</f>
        <v>-1.8032585202533785E-2</v>
      </c>
      <c r="J1185">
        <f>($B$1+Table4[[#This Row],[Home Differential]])-Table4[[#This Row],[Away Differential]]</f>
        <v>-0.34278272767239604</v>
      </c>
      <c r="K1185" t="str">
        <f>IF(Table4[[#This Row],[HomeIce Differential]]&gt;0,Table4[[#This Row],[Home]],Table4[[#This Row],[Visitor]])</f>
        <v>New Jersey Devils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0.50654924676713353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-0.2090057419115289</v>
      </c>
      <c r="H1186" t="s">
        <v>26</v>
      </c>
      <c r="I1186">
        <f>VLOOKUP(Table4[[#This Row],[Visitor]],'NHL Model'!$A$6:$B$38,2,FALSE)</f>
        <v>-0.66335717753705836</v>
      </c>
      <c r="J1186">
        <f>($B$1+Table4[[#This Row],[Home Differential]])-Table4[[#This Row],[Away Differential]]</f>
        <v>0.59189482459794585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0.57184649289503364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7.1667377873261273E-2</v>
      </c>
      <c r="H1187" t="s">
        <v>18</v>
      </c>
      <c r="I1187">
        <f>VLOOKUP(Table4[[#This Row],[Visitor]],'NHL Model'!$A$6:$B$38,2,FALSE)</f>
        <v>-0.74754136228530599</v>
      </c>
      <c r="J1187">
        <f>($B$1+Table4[[#This Row],[Home Differential]])-Table4[[#This Row],[Away Differential]]</f>
        <v>0.95675212913098362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0.62302275009381913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6.4811420118814619E-2</v>
      </c>
      <c r="H1188" t="s">
        <v>27</v>
      </c>
      <c r="I1188">
        <f>VLOOKUP(Table4[[#This Row],[Visitor]],'NHL Model'!$A$6:$B$38,2,FALSE)</f>
        <v>-0.42203126246971279</v>
      </c>
      <c r="J1188">
        <f>($B$1+Table4[[#This Row],[Home Differential]])-Table4[[#This Row],[Away Differential]]</f>
        <v>0.62438607156094372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0.623279509404007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1.4458345276269271</v>
      </c>
      <c r="H1189" t="s">
        <v>38</v>
      </c>
      <c r="I1189">
        <f>VLOOKUP(Table4[[#This Row],[Visitor]],'NHL Model'!$A$6:$B$38,2,FALSE)</f>
        <v>-1.1236485959014608</v>
      </c>
      <c r="J1189">
        <f>($B$1+Table4[[#This Row],[Home Differential]])-Table4[[#This Row],[Away Differential]]</f>
        <v>2.7070265125008044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0.97644302167019303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-0.36134162888396865</v>
      </c>
      <c r="H1190" t="s">
        <v>35</v>
      </c>
      <c r="I1190">
        <f>VLOOKUP(Table4[[#This Row],[Visitor]],'NHL Model'!$A$6:$B$38,2,FALSE)</f>
        <v>-1.5569791149906038</v>
      </c>
      <c r="J1190">
        <f>($B$1+Table4[[#This Row],[Home Differential]])-Table4[[#This Row],[Away Differential]]</f>
        <v>1.3331808750790515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0.71781730611931382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-0.36178381286707545</v>
      </c>
      <c r="H1191" t="s">
        <v>31</v>
      </c>
      <c r="I1191">
        <f>VLOOKUP(Table4[[#This Row],[Visitor]],'NHL Model'!$A$6:$B$38,2,FALSE)</f>
        <v>0.34329638981067145</v>
      </c>
      <c r="J1191">
        <f>($B$1+Table4[[#This Row],[Home Differential]])-Table4[[#This Row],[Away Differential]]</f>
        <v>-0.56753681370533049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0.55646628675245335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0.42515174825138019</v>
      </c>
      <c r="H1192" t="s">
        <v>28</v>
      </c>
      <c r="I1192">
        <f>VLOOKUP(Table4[[#This Row],[Visitor]],'NHL Model'!$A$6:$B$38,2,FALSE)</f>
        <v>-0.59418600019583889</v>
      </c>
      <c r="J1192">
        <f>($B$1+Table4[[#This Row],[Home Differential]])-Table4[[#This Row],[Away Differential]]</f>
        <v>1.1568811374196355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0.74521184997320467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4.3828122498436855E-3</v>
      </c>
      <c r="H1193" t="s">
        <v>40</v>
      </c>
      <c r="I1193">
        <f>VLOOKUP(Table4[[#This Row],[Visitor]],'NHL Model'!$A$6:$B$38,2,FALSE)</f>
        <v>-6.0247860940930854E-2</v>
      </c>
      <c r="J1193">
        <f>($B$1+Table4[[#This Row],[Home Differential]])-Table4[[#This Row],[Away Differential]]</f>
        <v>0.20217406216319089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0.50315609486463064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-0.87263145033954281</v>
      </c>
      <c r="H1194" t="s">
        <v>10</v>
      </c>
      <c r="I1194">
        <f>VLOOKUP(Table4[[#This Row],[Visitor]],'NHL Model'!$A$6:$B$38,2,FALSE)</f>
        <v>-0.15263505358797036</v>
      </c>
      <c r="J1194">
        <f>($B$1+Table4[[#This Row],[Home Differential]])-Table4[[#This Row],[Away Differential]]</f>
        <v>-0.5824530077791561</v>
      </c>
      <c r="K1194" t="str">
        <f>IF(Table4[[#This Row],[HomeIce Differential]]&gt;0,Table4[[#This Row],[Home]],Table4[[#This Row],[Visitor]])</f>
        <v>Chicago Blackhawks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0.5016496851958625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-0.37836939589441088</v>
      </c>
      <c r="H1195" t="s">
        <v>21</v>
      </c>
      <c r="I1195">
        <f>VLOOKUP(Table4[[#This Row],[Visitor]],'NHL Model'!$A$6:$B$38,2,FALSE)</f>
        <v>-0.14464931395309213</v>
      </c>
      <c r="J1195">
        <f>($B$1+Table4[[#This Row],[Home Differential]])-Table4[[#This Row],[Away Differential]]</f>
        <v>-9.6176692968902383E-2</v>
      </c>
      <c r="K1195" t="str">
        <f>IF(Table4[[#This Row],[HomeIce Differential]]&gt;0,Table4[[#This Row],[Home]],Table4[[#This Row],[Visitor]])</f>
        <v>Boston Bruins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0.42111190079684985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-0.36134162888396865</v>
      </c>
      <c r="H1196" t="s">
        <v>29</v>
      </c>
      <c r="I1196">
        <f>VLOOKUP(Table4[[#This Row],[Visitor]],'NHL Model'!$A$6:$B$38,2,FALSE)</f>
        <v>-1.4957350924899622</v>
      </c>
      <c r="J1196">
        <f>($B$1+Table4[[#This Row],[Home Differential]])-Table4[[#This Row],[Away Differential]]</f>
        <v>1.2719368525784098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0.70964868676649795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-0.16358905079701039</v>
      </c>
      <c r="H1197" t="s">
        <v>38</v>
      </c>
      <c r="I1197">
        <f>VLOOKUP(Table4[[#This Row],[Visitor]],'NHL Model'!$A$6:$B$38,2,FALSE)</f>
        <v>-1.1236485959014608</v>
      </c>
      <c r="J1197">
        <f>($B$1+Table4[[#This Row],[Home Differential]])-Table4[[#This Row],[Away Differential]]</f>
        <v>1.0976029340768667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0.66562710642292289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-1.8032585202533785E-2</v>
      </c>
      <c r="H1198" t="s">
        <v>22</v>
      </c>
      <c r="I1198">
        <f>VLOOKUP(Table4[[#This Row],[Visitor]],'NHL Model'!$A$6:$B$38,2,FALSE)</f>
        <v>6.4811420118814619E-2</v>
      </c>
      <c r="J1198">
        <f>($B$1+Table4[[#This Row],[Home Differential]])-Table4[[#This Row],[Away Differential]]</f>
        <v>5.4699383651067954E-2</v>
      </c>
      <c r="K1198" t="str">
        <f>IF(Table4[[#This Row],[HomeIce Differential]]&gt;0,Table4[[#This Row],[Home]],Table4[[#This Row],[Visitor]])</f>
        <v>New Jersey Devils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0.64365934336711628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-0.49835870184734621</v>
      </c>
      <c r="H1199" t="s">
        <v>18</v>
      </c>
      <c r="I1199">
        <f>VLOOKUP(Table4[[#This Row],[Visitor]],'NHL Model'!$A$6:$B$38,2,FALSE)</f>
        <v>-0.74754136228530599</v>
      </c>
      <c r="J1199">
        <f>($B$1+Table4[[#This Row],[Home Differential]])-Table4[[#This Row],[Away Differential]]</f>
        <v>0.38672604941037614</v>
      </c>
      <c r="K1199" t="str">
        <f>IF(Table4[[#This Row],[HomeIce Differential]]&gt;0,Table4[[#This Row],[Home]],Table4[[#This Row],[Visitor]])</f>
        <v>New York Rangers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0.54448144469668658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-0.31751962084606655</v>
      </c>
      <c r="H1200" t="s">
        <v>23</v>
      </c>
      <c r="I1200">
        <f>VLOOKUP(Table4[[#This Row],[Visitor]],'NHL Model'!$A$6:$B$38,2,FALSE)</f>
        <v>-0.51535072045188635</v>
      </c>
      <c r="J1200">
        <f>($B$1+Table4[[#This Row],[Home Differential]])-Table4[[#This Row],[Away Differential]]</f>
        <v>0.33537448857823615</v>
      </c>
      <c r="K1200" t="str">
        <f>IF(Table4[[#This Row],[HomeIce Differential]]&gt;0,Table4[[#This Row],[Home]],Table4[[#This Row],[Visitor]])</f>
        <v>Ottawa Senators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0.58722713506205571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-0.42203126246971279</v>
      </c>
      <c r="H1201" t="s">
        <v>26</v>
      </c>
      <c r="I1201">
        <f>VLOOKUP(Table4[[#This Row],[Visitor]],'NHL Model'!$A$6:$B$38,2,FALSE)</f>
        <v>-0.66335717753705836</v>
      </c>
      <c r="J1201">
        <f>($B$1+Table4[[#This Row],[Home Differential]])-Table4[[#This Row],[Away Differential]]</f>
        <v>0.37886930403976193</v>
      </c>
      <c r="K1201" t="str">
        <f>IF(Table4[[#This Row],[HomeIce Differential]]&gt;0,Table4[[#This Row],[Home]],Table4[[#This Row],[Visitor]])</f>
        <v>Philadelphia Flyers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0.57608036263748763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-0.45007023285116615</v>
      </c>
      <c r="H1202" t="s">
        <v>55</v>
      </c>
      <c r="I1202">
        <f>VLOOKUP(Table4[[#This Row],[Visitor]],'NHL Model'!$A$6:$B$38,2,FALSE)</f>
        <v>-0.30969050963205513</v>
      </c>
      <c r="J1202">
        <f>($B$1+Table4[[#This Row],[Home Differential]])-Table4[[#This Row],[Away Differential]]</f>
        <v>-2.8363342466946606E-3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0.434340569394012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-0.36178381286707545</v>
      </c>
      <c r="H1203" t="s">
        <v>19</v>
      </c>
      <c r="I1203">
        <f>VLOOKUP(Table4[[#This Row],[Visitor]],'NHL Model'!$A$6:$B$38,2,FALSE)</f>
        <v>-0.93520311342823803</v>
      </c>
      <c r="J1203">
        <f>($B$1+Table4[[#This Row],[Home Differential]])-Table4[[#This Row],[Away Differential]]</f>
        <v>0.710962689533579</v>
      </c>
      <c r="K1203" t="str">
        <f>IF(Table4[[#This Row],[HomeIce Differential]]&gt;0,Table4[[#This Row],[Home]],Table4[[#This Row],[Visitor]])</f>
        <v>San Jose Sharks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0.63482694551608154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7.1667377873261273E-2</v>
      </c>
      <c r="H1204" t="s">
        <v>14</v>
      </c>
      <c r="I1204">
        <f>VLOOKUP(Table4[[#This Row],[Visitor]],'NHL Model'!$A$6:$B$38,2,FALSE)</f>
        <v>-0.2090057419115289</v>
      </c>
      <c r="J1204">
        <f>($B$1+Table4[[#This Row],[Home Differential]])-Table4[[#This Row],[Away Differential]]</f>
        <v>0.41821650875720651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0.59827645712860045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0.12073374225454764</v>
      </c>
      <c r="H1205" t="s">
        <v>16</v>
      </c>
      <c r="I1205">
        <f>VLOOKUP(Table4[[#This Row],[Visitor]],'NHL Model'!$A$6:$B$38,2,FALSE)</f>
        <v>-1.0952038865534519</v>
      </c>
      <c r="J1205">
        <f>($B$1+Table4[[#This Row],[Home Differential]])-Table4[[#This Row],[Away Differential]]</f>
        <v>1.353481017780416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0.72052490323270646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0.34329638981067145</v>
      </c>
      <c r="H1206" t="s">
        <v>35</v>
      </c>
      <c r="I1206">
        <f>VLOOKUP(Table4[[#This Row],[Visitor]],'NHL Model'!$A$6:$B$38,2,FALSE)</f>
        <v>-1.5569791149906038</v>
      </c>
      <c r="J1206">
        <f>($B$1+Table4[[#This Row],[Home Differential]])-Table4[[#This Row],[Away Differential]]</f>
        <v>2.0378188937736916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0.90672131315073012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3.838472305373858E-3</v>
      </c>
      <c r="H1207" t="s">
        <v>27</v>
      </c>
      <c r="I1207">
        <f>VLOOKUP(Table4[[#This Row],[Visitor]],'NHL Model'!$A$6:$B$38,2,FALSE)</f>
        <v>-0.42203126246971279</v>
      </c>
      <c r="J1207">
        <f>($B$1+Table4[[#This Row],[Home Differential]])-Table4[[#This Row],[Away Differential]]</f>
        <v>0.56341312374750296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0.61514704551331656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0.34329638981067145</v>
      </c>
      <c r="H1208" t="s">
        <v>16</v>
      </c>
      <c r="I1208">
        <f>VLOOKUP(Table4[[#This Row],[Visitor]],'NHL Model'!$A$6:$B$38,2,FALSE)</f>
        <v>-1.0952038865534519</v>
      </c>
      <c r="J1208">
        <f>($B$1+Table4[[#This Row],[Home Differential]])-Table4[[#This Row],[Away Differential]]</f>
        <v>1.5760436653365397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0.84513055027059492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0.42515174825138019</v>
      </c>
      <c r="H1209" t="s">
        <v>30</v>
      </c>
      <c r="I1209">
        <f>VLOOKUP(Table4[[#This Row],[Visitor]],'NHL Model'!$A$6:$B$38,2,FALSE)</f>
        <v>3.838472305373858E-3</v>
      </c>
      <c r="J1209">
        <f>($B$1+Table4[[#This Row],[Home Differential]])-Table4[[#This Row],[Away Differential]]</f>
        <v>0.55885666491842267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0.59453931309712615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-0.59418600019583889</v>
      </c>
      <c r="H1210" t="s">
        <v>40</v>
      </c>
      <c r="I1210">
        <f>VLOOKUP(Table4[[#This Row],[Visitor]],'NHL Model'!$A$6:$B$38,2,FALSE)</f>
        <v>-6.0247860940930854E-2</v>
      </c>
      <c r="J1210">
        <f>($B$1+Table4[[#This Row],[Home Differential]])-Table4[[#This Row],[Away Differential]]</f>
        <v>-0.39639475028249166</v>
      </c>
      <c r="K1210" t="str">
        <f>IF(Table4[[#This Row],[HomeIce Differential]]&gt;0,Table4[[#This Row],[Home]],Table4[[#This Row],[Visitor]])</f>
        <v>Winnipeg Jets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0.57210119962221284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4.3828122498436855E-3</v>
      </c>
      <c r="H1211" t="s">
        <v>12</v>
      </c>
      <c r="I1211">
        <f>VLOOKUP(Table4[[#This Row],[Visitor]],'NHL Model'!$A$6:$B$38,2,FALSE)</f>
        <v>1.4458345276269271</v>
      </c>
      <c r="J1211">
        <f>($B$1+Table4[[#This Row],[Home Differential]])-Table4[[#This Row],[Away Differential]]</f>
        <v>-1.3039083264046671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0.72391298537347593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-0.87263145033954281</v>
      </c>
      <c r="H1212" t="s">
        <v>20</v>
      </c>
      <c r="I1212">
        <f>VLOOKUP(Table4[[#This Row],[Visitor]],'NHL Model'!$A$6:$B$38,2,FALSE)</f>
        <v>0.12073374225454764</v>
      </c>
      <c r="J1212">
        <f>($B$1+Table4[[#This Row],[Home Differential]])-Table4[[#This Row],[Away Differential]]</f>
        <v>-0.85582180362167404</v>
      </c>
      <c r="K1212" t="str">
        <f>IF(Table4[[#This Row],[HomeIce Differential]]&gt;0,Table4[[#This Row],[Home]],Table4[[#This Row],[Visitor]])</f>
        <v>Vegas Golden Knights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0.55859244227643767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-0.36134162888396865</v>
      </c>
      <c r="H1213" t="s">
        <v>19</v>
      </c>
      <c r="I1213">
        <f>VLOOKUP(Table4[[#This Row],[Visitor]],'NHL Model'!$A$6:$B$38,2,FALSE)</f>
        <v>-0.93520311342823803</v>
      </c>
      <c r="J1213">
        <f>($B$1+Table4[[#This Row],[Home Differential]])-Table4[[#This Row],[Away Differential]]</f>
        <v>0.7114048735166858</v>
      </c>
      <c r="K1213" t="str">
        <f>IF(Table4[[#This Row],[HomeIce Differential]]&gt;0,Table4[[#This Row],[Home]],Table4[[#This Row],[Visitor]])</f>
        <v>Los Angeles Kings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0.63488592323332527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-1.8032585202533785E-2</v>
      </c>
      <c r="H1214" t="s">
        <v>18</v>
      </c>
      <c r="I1214">
        <f>VLOOKUP(Table4[[#This Row],[Visitor]],'NHL Model'!$A$6:$B$38,2,FALSE)</f>
        <v>-0.74754136228530599</v>
      </c>
      <c r="J1214">
        <f>($B$1+Table4[[#This Row],[Home Differential]])-Table4[[#This Row],[Away Differential]]</f>
        <v>0.86705216605518853</v>
      </c>
      <c r="K1214" t="str">
        <f>IF(Table4[[#This Row],[HomeIce Differential]]&gt;0,Table4[[#This Row],[Home]],Table4[[#This Row],[Visitor]])</f>
        <v>New Jersey Devils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0.72729636913868834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-0.49835870184734621</v>
      </c>
      <c r="H1215" t="s">
        <v>26</v>
      </c>
      <c r="I1215">
        <f>VLOOKUP(Table4[[#This Row],[Visitor]],'NHL Model'!$A$6:$B$38,2,FALSE)</f>
        <v>-0.66335717753705836</v>
      </c>
      <c r="J1215">
        <f>($B$1+Table4[[#This Row],[Home Differential]])-Table4[[#This Row],[Away Differential]]</f>
        <v>0.30254186466212851</v>
      </c>
      <c r="K1215" t="str">
        <f>IF(Table4[[#This Row],[HomeIce Differential]]&gt;0,Table4[[#This Row],[Home]],Table4[[#This Row],[Visitor]])</f>
        <v>New York Rangers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0.53325310709478657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-0.31751962084606655</v>
      </c>
      <c r="H1216" t="s">
        <v>34</v>
      </c>
      <c r="I1216">
        <f>VLOOKUP(Table4[[#This Row],[Visitor]],'NHL Model'!$A$6:$B$38,2,FALSE)</f>
        <v>-0.16358905079701039</v>
      </c>
      <c r="J1216">
        <f>($B$1+Table4[[#This Row],[Home Differential]])-Table4[[#This Row],[Away Differential]]</f>
        <v>-1.6387181076639806E-2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0.48044656278089959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-0.2090057419115289</v>
      </c>
      <c r="H1217" t="s">
        <v>11</v>
      </c>
      <c r="I1217">
        <f>VLOOKUP(Table4[[#This Row],[Visitor]],'NHL Model'!$A$6:$B$38,2,FALSE)</f>
        <v>-0.37836939589441088</v>
      </c>
      <c r="J1217">
        <f>($B$1+Table4[[#This Row],[Home Differential]])-Table4[[#This Row],[Away Differential]]</f>
        <v>0.30690704295529836</v>
      </c>
      <c r="K1217" t="str">
        <f>IF(Table4[[#This Row],[HomeIce Differential]]&gt;0,Table4[[#This Row],[Home]],Table4[[#This Row],[Visitor]])</f>
        <v>Pittsburgh Penguins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0.58093471833228916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-0.45007023285116615</v>
      </c>
      <c r="H1218" t="s">
        <v>10</v>
      </c>
      <c r="I1218">
        <f>VLOOKUP(Table4[[#This Row],[Visitor]],'NHL Model'!$A$6:$B$38,2,FALSE)</f>
        <v>-0.15263505358797036</v>
      </c>
      <c r="J1218">
        <f>($B$1+Table4[[#This Row],[Home Differential]])-Table4[[#This Row],[Away Differential]]</f>
        <v>-0.15989179029077943</v>
      </c>
      <c r="K1218" t="str">
        <f>IF(Table4[[#This Row],[HomeIce Differential]]&gt;0,Table4[[#This Row],[Home]],Table4[[#This Row],[Visitor]])</f>
        <v>Chicago Blackhawks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0.45528834821917968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-0.36178381286707545</v>
      </c>
      <c r="H1219" t="s">
        <v>29</v>
      </c>
      <c r="I1219">
        <f>VLOOKUP(Table4[[#This Row],[Visitor]],'NHL Model'!$A$6:$B$38,2,FALSE)</f>
        <v>-1.4957350924899622</v>
      </c>
      <c r="J1219">
        <f>($B$1+Table4[[#This Row],[Home Differential]])-Table4[[#This Row],[Away Differential]]</f>
        <v>1.271494668595303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0.70958970904925422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7.1667377873261273E-2</v>
      </c>
      <c r="H1220" t="s">
        <v>21</v>
      </c>
      <c r="I1220">
        <f>VLOOKUP(Table4[[#This Row],[Visitor]],'NHL Model'!$A$6:$B$38,2,FALSE)</f>
        <v>-0.14464931395309213</v>
      </c>
      <c r="J1220">
        <f>($B$1+Table4[[#This Row],[Home Differential]])-Table4[[#This Row],[Away Differential]]</f>
        <v>0.35386008079876974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0.58969271064307394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-1.1236485959014608</v>
      </c>
      <c r="H1221" t="s">
        <v>55</v>
      </c>
      <c r="I1221">
        <f>VLOOKUP(Table4[[#This Row],[Visitor]],'NHL Model'!$A$6:$B$38,2,FALSE)</f>
        <v>-0.30969050963205513</v>
      </c>
      <c r="J1221">
        <f>($B$1+Table4[[#This Row],[Home Differential]])-Table4[[#This Row],[Away Differential]]</f>
        <v>-0.67641469729698933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0.55021899544255748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6.4811420118814619E-2</v>
      </c>
      <c r="H1222" t="s">
        <v>23</v>
      </c>
      <c r="I1222">
        <f>VLOOKUP(Table4[[#This Row],[Visitor]],'NHL Model'!$A$6:$B$38,2,FALSE)</f>
        <v>-0.51535072045188635</v>
      </c>
      <c r="J1222">
        <f>($B$1+Table4[[#This Row],[Home Differential]])-Table4[[#This Row],[Away Differential]]</f>
        <v>0.71770552954311739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0.63572629358542632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1.4458345276269271</v>
      </c>
      <c r="H1223" t="s">
        <v>35</v>
      </c>
      <c r="I1223">
        <f>VLOOKUP(Table4[[#This Row],[Visitor]],'NHL Model'!$A$6:$B$38,2,FALSE)</f>
        <v>-1.5569791149906038</v>
      </c>
      <c r="J1223">
        <f>($B$1+Table4[[#This Row],[Home Differential]])-Table4[[#This Row],[Away Differential]]</f>
        <v>3.1403570315899474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-0.66335717753705836</v>
      </c>
      <c r="H1224" t="s">
        <v>34</v>
      </c>
      <c r="I1224">
        <f>VLOOKUP(Table4[[#This Row],[Visitor]],'NHL Model'!$A$6:$B$38,2,FALSE)</f>
        <v>-0.16358905079701039</v>
      </c>
      <c r="J1224">
        <f>($B$1+Table4[[#This Row],[Home Differential]])-Table4[[#This Row],[Away Differential]]</f>
        <v>-0.36222473776763164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0.49658875665335261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-0.74754136228530599</v>
      </c>
      <c r="H1225" t="s">
        <v>24</v>
      </c>
      <c r="I1225">
        <f>VLOOKUP(Table4[[#This Row],[Visitor]],'NHL Model'!$A$6:$B$38,2,FALSE)</f>
        <v>-1.8032585202533785E-2</v>
      </c>
      <c r="J1225">
        <f>($B$1+Table4[[#This Row],[Home Differential]])-Table4[[#This Row],[Away Differential]]</f>
        <v>-0.59196538811035582</v>
      </c>
      <c r="K1225" t="str">
        <f>IF(Table4[[#This Row],[HomeIce Differential]]&gt;0,Table4[[#This Row],[Home]],Table4[[#This Row],[Visitor]])</f>
        <v>New Jersey Devils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0.53978478909974792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-0.49835870184734621</v>
      </c>
      <c r="H1226" t="s">
        <v>22</v>
      </c>
      <c r="I1226">
        <f>VLOOKUP(Table4[[#This Row],[Visitor]],'NHL Model'!$A$6:$B$38,2,FALSE)</f>
        <v>6.4811420118814619E-2</v>
      </c>
      <c r="J1226">
        <f>($B$1+Table4[[#This Row],[Home Differential]])-Table4[[#This Row],[Away Differential]]</f>
        <v>-0.42562673299374448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0.53753857129012927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-0.31751962084606655</v>
      </c>
      <c r="H1227" t="s">
        <v>25</v>
      </c>
      <c r="I1227">
        <f>VLOOKUP(Table4[[#This Row],[Visitor]],'NHL Model'!$A$6:$B$38,2,FALSE)</f>
        <v>0.42515174825138019</v>
      </c>
      <c r="J1227">
        <f>($B$1+Table4[[#This Row],[Home Differential]])-Table4[[#This Row],[Away Differential]]</f>
        <v>-0.60512798012503044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0.61083138117225211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-0.42203126246971279</v>
      </c>
      <c r="H1228" t="s">
        <v>21</v>
      </c>
      <c r="I1228">
        <f>VLOOKUP(Table4[[#This Row],[Visitor]],'NHL Model'!$A$6:$B$38,2,FALSE)</f>
        <v>-0.14464931395309213</v>
      </c>
      <c r="J1228">
        <f>($B$1+Table4[[#This Row],[Home Differential]])-Table4[[#This Row],[Away Differential]]</f>
        <v>-0.13983855954420429</v>
      </c>
      <c r="K1228" t="str">
        <f>IF(Table4[[#This Row],[HomeIce Differential]]&gt;0,Table4[[#This Row],[Home]],Table4[[#This Row],[Visitor]])</f>
        <v>Boston Bruins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0.44640535382617719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-0.2090057419115289</v>
      </c>
      <c r="H1229" t="s">
        <v>11</v>
      </c>
      <c r="I1229">
        <f>VLOOKUP(Table4[[#This Row],[Visitor]],'NHL Model'!$A$6:$B$38,2,FALSE)</f>
        <v>-0.37836939589441088</v>
      </c>
      <c r="J1229">
        <f>($B$1+Table4[[#This Row],[Home Differential]])-Table4[[#This Row],[Away Differential]]</f>
        <v>0.30690704295529836</v>
      </c>
      <c r="K1229" t="str">
        <f>IF(Table4[[#This Row],[HomeIce Differential]]&gt;0,Table4[[#This Row],[Home]],Table4[[#This Row],[Visitor]])</f>
        <v>Pittsburgh Penguins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0.58093471833228916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-0.51535072045188635</v>
      </c>
      <c r="H1230" t="s">
        <v>37</v>
      </c>
      <c r="I1230">
        <f>VLOOKUP(Table4[[#This Row],[Visitor]],'NHL Model'!$A$6:$B$38,2,FALSE)</f>
        <v>7.1667377873261273E-2</v>
      </c>
      <c r="J1230">
        <f>($B$1+Table4[[#This Row],[Home Differential]])-Table4[[#This Row],[Away Differential]]</f>
        <v>-0.44947470935273126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0.57214526336104521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-0.36134162888396865</v>
      </c>
      <c r="H1231" t="s">
        <v>29</v>
      </c>
      <c r="I1231">
        <f>VLOOKUP(Table4[[#This Row],[Visitor]],'NHL Model'!$A$6:$B$38,2,FALSE)</f>
        <v>-1.4957350924899622</v>
      </c>
      <c r="J1231">
        <f>($B$1+Table4[[#This Row],[Home Differential]])-Table4[[#This Row],[Away Differential]]</f>
        <v>1.2719368525784098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0.70964868676649795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-0.36178381286707545</v>
      </c>
      <c r="H1232" t="s">
        <v>10</v>
      </c>
      <c r="I1232">
        <f>VLOOKUP(Table4[[#This Row],[Visitor]],'NHL Model'!$A$6:$B$38,2,FALSE)</f>
        <v>-0.15263505358797036</v>
      </c>
      <c r="J1232">
        <f>($B$1+Table4[[#This Row],[Home Differential]])-Table4[[#This Row],[Away Differential]]</f>
        <v>-7.1605370306688731E-2</v>
      </c>
      <c r="K1232" t="str">
        <f>IF(Table4[[#This Row],[HomeIce Differential]]&gt;0,Table4[[#This Row],[Home]],Table4[[#This Row],[Visitor]])</f>
        <v>Chicago Blackhawks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0.46955059758928536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-6.0247860940930854E-2</v>
      </c>
      <c r="H1233" t="s">
        <v>32</v>
      </c>
      <c r="I1233">
        <f>VLOOKUP(Table4[[#This Row],[Visitor]],'NHL Model'!$A$6:$B$38,2,FALSE)</f>
        <v>-0.45007023285116615</v>
      </c>
      <c r="J1233">
        <f>($B$1+Table4[[#This Row],[Home Differential]])-Table4[[#This Row],[Away Differential]]</f>
        <v>0.52736576088265164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0.61283459124279827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0.34329638981067145</v>
      </c>
      <c r="H1234" t="s">
        <v>29</v>
      </c>
      <c r="I1234">
        <f>VLOOKUP(Table4[[#This Row],[Visitor]],'NHL Model'!$A$6:$B$38,2,FALSE)</f>
        <v>-1.4957350924899622</v>
      </c>
      <c r="J1234">
        <f>($B$1+Table4[[#This Row],[Home Differential]])-Table4[[#This Row],[Away Differential]]</f>
        <v>1.97657487127305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0.89855269379791425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0.42515174825138019</v>
      </c>
      <c r="H1235" t="s">
        <v>21</v>
      </c>
      <c r="I1235">
        <f>VLOOKUP(Table4[[#This Row],[Visitor]],'NHL Model'!$A$6:$B$38,2,FALSE)</f>
        <v>-0.14464931395309213</v>
      </c>
      <c r="J1235">
        <f>($B$1+Table4[[#This Row],[Home Differential]])-Table4[[#This Row],[Away Differential]]</f>
        <v>0.7073444511768886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0.68606032761772384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4.3828122498436855E-3</v>
      </c>
      <c r="H1236" t="s">
        <v>16</v>
      </c>
      <c r="I1236">
        <f>VLOOKUP(Table4[[#This Row],[Visitor]],'NHL Model'!$A$6:$B$38,2,FALSE)</f>
        <v>-1.0952038865534519</v>
      </c>
      <c r="J1236">
        <f>($B$1+Table4[[#This Row],[Home Differential]])-Table4[[#This Row],[Away Differential]]</f>
        <v>1.2371300877757119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0.70750170127033185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-0.66335717753705836</v>
      </c>
      <c r="H1237" t="s">
        <v>28</v>
      </c>
      <c r="I1237">
        <f>VLOOKUP(Table4[[#This Row],[Visitor]],'NHL Model'!$A$6:$B$38,2,FALSE)</f>
        <v>-0.59418600019583889</v>
      </c>
      <c r="J1237">
        <f>($B$1+Table4[[#This Row],[Home Differential]])-Table4[[#This Row],[Away Differential]]</f>
        <v>6.8372211631196889E-2</v>
      </c>
      <c r="K1237" t="str">
        <f>IF(Table4[[#This Row],[HomeIce Differential]]&gt;0,Table4[[#This Row],[Home]],Table4[[#This Row],[Visitor]])</f>
        <v>Detroit Red Wings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0.58054793603463672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-0.16358905079701039</v>
      </c>
      <c r="H1238" t="s">
        <v>32</v>
      </c>
      <c r="I1238">
        <f>VLOOKUP(Table4[[#This Row],[Visitor]],'NHL Model'!$A$6:$B$38,2,FALSE)</f>
        <v>-0.45007023285116615</v>
      </c>
      <c r="J1238">
        <f>($B$1+Table4[[#This Row],[Home Differential]])-Table4[[#This Row],[Away Differential]]</f>
        <v>0.42402457102657209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0.59655564699266472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-0.74754136228530599</v>
      </c>
      <c r="H1239" t="s">
        <v>11</v>
      </c>
      <c r="I1239">
        <f>VLOOKUP(Table4[[#This Row],[Visitor]],'NHL Model'!$A$6:$B$38,2,FALSE)</f>
        <v>-0.37836939589441088</v>
      </c>
      <c r="J1239">
        <f>($B$1+Table4[[#This Row],[Home Differential]])-Table4[[#This Row],[Away Differential]]</f>
        <v>-0.23162857741847875</v>
      </c>
      <c r="K1239" t="str">
        <f>IF(Table4[[#This Row],[HomeIce Differential]]&gt;0,Table4[[#This Row],[Home]],Table4[[#This Row],[Visitor]])</f>
        <v>Florida Panthers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0.49089420980057236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-1.8032585202533785E-2</v>
      </c>
      <c r="H1240" t="s">
        <v>27</v>
      </c>
      <c r="I1240">
        <f>VLOOKUP(Table4[[#This Row],[Visitor]],'NHL Model'!$A$6:$B$38,2,FALSE)</f>
        <v>-0.42203126246971279</v>
      </c>
      <c r="J1240">
        <f>($B$1+Table4[[#This Row],[Home Differential]])-Table4[[#This Row],[Away Differential]]</f>
        <v>0.54154206623959533</v>
      </c>
      <c r="K1240" t="str">
        <f>IF(Table4[[#This Row],[HomeIce Differential]]&gt;0,Table4[[#This Row],[Home]],Table4[[#This Row],[Visitor]])</f>
        <v>New Jersey Devils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0.72766063417317139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-0.31751962084606655</v>
      </c>
      <c r="H1241" t="s">
        <v>37</v>
      </c>
      <c r="I1241">
        <f>VLOOKUP(Table4[[#This Row],[Visitor]],'NHL Model'!$A$6:$B$38,2,FALSE)</f>
        <v>7.1667377873261273E-2</v>
      </c>
      <c r="J1241">
        <f>($B$1+Table4[[#This Row],[Home Differential]])-Table4[[#This Row],[Away Differential]]</f>
        <v>-0.25164360974691147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0.55737330320643597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-1.5569791149906038</v>
      </c>
      <c r="H1242" t="s">
        <v>12</v>
      </c>
      <c r="I1242">
        <f>VLOOKUP(Table4[[#This Row],[Visitor]],'NHL Model'!$A$6:$B$38,2,FALSE)</f>
        <v>1.4458345276269271</v>
      </c>
      <c r="J1242">
        <f>($B$1+Table4[[#This Row],[Home Differential]])-Table4[[#This Row],[Away Differential]]</f>
        <v>-2.8652702536451145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0.93465086432010458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-0.30969050963205513</v>
      </c>
      <c r="H1243" t="s">
        <v>17</v>
      </c>
      <c r="I1243">
        <f>VLOOKUP(Table4[[#This Row],[Visitor]],'NHL Model'!$A$6:$B$38,2,FALSE)</f>
        <v>-0.87263145033954281</v>
      </c>
      <c r="J1243">
        <f>($B$1+Table4[[#This Row],[Home Differential]])-Table4[[#This Row],[Away Differential]]</f>
        <v>0.70048432967990404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0.68514533675110745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-1.1236485959014608</v>
      </c>
      <c r="H1244" t="s">
        <v>20</v>
      </c>
      <c r="I1244">
        <f>VLOOKUP(Table4[[#This Row],[Visitor]],'NHL Model'!$A$6:$B$38,2,FALSE)</f>
        <v>0.12073374225454764</v>
      </c>
      <c r="J1244">
        <f>($B$1+Table4[[#This Row],[Home Differential]])-Table4[[#This Row],[Away Differential]]</f>
        <v>-1.1068389491835922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0.62839745131363978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-0.49835870184734621</v>
      </c>
      <c r="H1245" t="s">
        <v>23</v>
      </c>
      <c r="I1245">
        <f>VLOOKUP(Table4[[#This Row],[Visitor]],'NHL Model'!$A$6:$B$38,2,FALSE)</f>
        <v>-0.51535072045188635</v>
      </c>
      <c r="J1245">
        <f>($B$1+Table4[[#This Row],[Home Differential]])-Table4[[#This Row],[Away Differential]]</f>
        <v>0.1545354075769565</v>
      </c>
      <c r="K1245" t="str">
        <f>IF(Table4[[#This Row],[HomeIce Differential]]&gt;0,Table4[[#This Row],[Home]],Table4[[#This Row],[Visitor]])</f>
        <v>New York Rangers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0.56061165921972533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-0.36178381286707545</v>
      </c>
      <c r="H1246" t="s">
        <v>17</v>
      </c>
      <c r="I1246">
        <f>VLOOKUP(Table4[[#This Row],[Visitor]],'NHL Model'!$A$6:$B$38,2,FALSE)</f>
        <v>-0.87263145033954281</v>
      </c>
      <c r="J1246">
        <f>($B$1+Table4[[#This Row],[Home Differential]])-Table4[[#This Row],[Away Differential]]</f>
        <v>0.64839102644488378</v>
      </c>
      <c r="K1246" t="str">
        <f>IF(Table4[[#This Row],[HomeIce Differential]]&gt;0,Table4[[#This Row],[Home]],Table4[[#This Row],[Visitor]])</f>
        <v>San Jose Sharks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0.62648124781082659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-0.93520311342823803</v>
      </c>
      <c r="H1247" t="s">
        <v>22</v>
      </c>
      <c r="I1247">
        <f>VLOOKUP(Table4[[#This Row],[Visitor]],'NHL Model'!$A$6:$B$38,2,FALSE)</f>
        <v>6.4811420118814619E-2</v>
      </c>
      <c r="J1247">
        <f>($B$1+Table4[[#This Row],[Home Differential]])-Table4[[#This Row],[Away Differential]]</f>
        <v>-0.86247114457463625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0.59580410593184463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0.34329638981067145</v>
      </c>
      <c r="H1248" t="s">
        <v>33</v>
      </c>
      <c r="I1248">
        <f>VLOOKUP(Table4[[#This Row],[Visitor]],'NHL Model'!$A$6:$B$38,2,FALSE)</f>
        <v>-0.36178381286707545</v>
      </c>
      <c r="J1248">
        <f>($B$1+Table4[[#This Row],[Home Differential]])-Table4[[#This Row],[Away Differential]]</f>
        <v>0.84262359165016321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0.74730827859346249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-0.51535072045188635</v>
      </c>
      <c r="H1249" t="s">
        <v>28</v>
      </c>
      <c r="I1249">
        <f>VLOOKUP(Table4[[#This Row],[Visitor]],'NHL Model'!$A$6:$B$38,2,FALSE)</f>
        <v>-0.59418600019583889</v>
      </c>
      <c r="J1249">
        <f>($B$1+Table4[[#This Row],[Home Differential]])-Table4[[#This Row],[Away Differential]]</f>
        <v>0.2163786687163689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0.58205169332355899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-0.15263505358797036</v>
      </c>
      <c r="H1250" t="s">
        <v>25</v>
      </c>
      <c r="I1250">
        <f>VLOOKUP(Table4[[#This Row],[Visitor]],'NHL Model'!$A$6:$B$38,2,FALSE)</f>
        <v>0.42515174825138019</v>
      </c>
      <c r="J1250">
        <f>($B$1+Table4[[#This Row],[Home Differential]])-Table4[[#This Row],[Away Differential]]</f>
        <v>-0.44024341286693419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0.59134205652673655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1.4458345276269271</v>
      </c>
      <c r="H1251" t="s">
        <v>16</v>
      </c>
      <c r="I1251">
        <f>VLOOKUP(Table4[[#This Row],[Visitor]],'NHL Model'!$A$6:$B$38,2,FALSE)</f>
        <v>-1.0952038865534519</v>
      </c>
      <c r="J1251">
        <f>($B$1+Table4[[#This Row],[Home Differential]])-Table4[[#This Row],[Away Differential]]</f>
        <v>2.6785818031527953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0.99218513620490523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4.3828122498436855E-3</v>
      </c>
      <c r="H1252" t="s">
        <v>34</v>
      </c>
      <c r="I1252">
        <f>VLOOKUP(Table4[[#This Row],[Visitor]],'NHL Model'!$A$6:$B$38,2,FALSE)</f>
        <v>-0.16358905079701039</v>
      </c>
      <c r="J1252">
        <f>($B$1+Table4[[#This Row],[Home Differential]])-Table4[[#This Row],[Away Differential]]</f>
        <v>0.30551525201927043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0.56248821415473071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-0.66335717753705836</v>
      </c>
      <c r="H1253" t="s">
        <v>27</v>
      </c>
      <c r="I1253">
        <f>VLOOKUP(Table4[[#This Row],[Visitor]],'NHL Model'!$A$6:$B$38,2,FALSE)</f>
        <v>-0.42203126246971279</v>
      </c>
      <c r="J1253">
        <f>($B$1+Table4[[#This Row],[Home Differential]])-Table4[[#This Row],[Away Differential]]</f>
        <v>-0.10378252609492922</v>
      </c>
      <c r="K1253" t="str">
        <f>IF(Table4[[#This Row],[HomeIce Differential]]&gt;0,Table4[[#This Row],[Home]],Table4[[#This Row],[Visitor]])</f>
        <v>Philadelphia Flyers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0.44159626388411077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-0.36134162888396865</v>
      </c>
      <c r="H1254" t="s">
        <v>38</v>
      </c>
      <c r="I1254">
        <f>VLOOKUP(Table4[[#This Row],[Visitor]],'NHL Model'!$A$6:$B$38,2,FALSE)</f>
        <v>-1.1236485959014608</v>
      </c>
      <c r="J1254">
        <f>($B$1+Table4[[#This Row],[Home Differential]])-Table4[[#This Row],[Away Differential]]</f>
        <v>0.89985035598990848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0.63925121747125524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-0.74754136228530599</v>
      </c>
      <c r="H1255" t="s">
        <v>37</v>
      </c>
      <c r="I1255">
        <f>VLOOKUP(Table4[[#This Row],[Visitor]],'NHL Model'!$A$6:$B$38,2,FALSE)</f>
        <v>7.1667377873261273E-2</v>
      </c>
      <c r="J1255">
        <f>($B$1+Table4[[#This Row],[Home Differential]])-Table4[[#This Row],[Away Differential]]</f>
        <v>-0.6816653511861509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0.61723510784120128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-1.8032585202533785E-2</v>
      </c>
      <c r="H1256" t="s">
        <v>14</v>
      </c>
      <c r="I1256">
        <f>VLOOKUP(Table4[[#This Row],[Visitor]],'NHL Model'!$A$6:$B$38,2,FALSE)</f>
        <v>-0.2090057419115289</v>
      </c>
      <c r="J1256">
        <f>($B$1+Table4[[#This Row],[Home Differential]])-Table4[[#This Row],[Away Differential]]</f>
        <v>0.32851654568141148</v>
      </c>
      <c r="K1256" t="str">
        <f>IF(Table4[[#This Row],[HomeIce Differential]]&gt;0,Table4[[#This Row],[Home]],Table4[[#This Row],[Visitor]])</f>
        <v>New Jersey Devils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0.69924766717942077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3.838472305373858E-3</v>
      </c>
      <c r="H1257" t="s">
        <v>19</v>
      </c>
      <c r="I1257">
        <f>VLOOKUP(Table4[[#This Row],[Visitor]],'NHL Model'!$A$6:$B$38,2,FALSE)</f>
        <v>-0.93520311342823803</v>
      </c>
      <c r="J1257">
        <f>($B$1+Table4[[#This Row],[Home Differential]])-Table4[[#This Row],[Away Differential]]</f>
        <v>1.0765849747060283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0.68359299896152825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-0.31751962084606655</v>
      </c>
      <c r="H1258" t="s">
        <v>11</v>
      </c>
      <c r="I1258">
        <f>VLOOKUP(Table4[[#This Row],[Visitor]],'NHL Model'!$A$6:$B$38,2,FALSE)</f>
        <v>-0.37836939589441088</v>
      </c>
      <c r="J1258">
        <f>($B$1+Table4[[#This Row],[Home Differential]])-Table4[[#This Row],[Away Differential]]</f>
        <v>0.19839316402076068</v>
      </c>
      <c r="K1258" t="str">
        <f>IF(Table4[[#This Row],[HomeIce Differential]]&gt;0,Table4[[#This Row],[Home]],Table4[[#This Row],[Visitor]])</f>
        <v>Ottawa Senators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0.56895680837437246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-0.45007023285116615</v>
      </c>
      <c r="H1259" t="s">
        <v>20</v>
      </c>
      <c r="I1259">
        <f>VLOOKUP(Table4[[#This Row],[Visitor]],'NHL Model'!$A$6:$B$38,2,FALSE)</f>
        <v>0.12073374225454764</v>
      </c>
      <c r="J1259">
        <f>($B$1+Table4[[#This Row],[Home Differential]])-Table4[[#This Row],[Away Differential]]</f>
        <v>-0.43326058613329743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0.51233298489037471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-1.5569791149906038</v>
      </c>
      <c r="H1260" t="s">
        <v>40</v>
      </c>
      <c r="I1260">
        <f>VLOOKUP(Table4[[#This Row],[Visitor]],'NHL Model'!$A$6:$B$38,2,FALSE)</f>
        <v>-6.0247860940930854E-2</v>
      </c>
      <c r="J1260">
        <f>($B$1+Table4[[#This Row],[Home Differential]])-Table4[[#This Row],[Away Differential]]</f>
        <v>-1.3591878650772564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0.70760186190085439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-0.30969050963205513</v>
      </c>
      <c r="H1261" t="s">
        <v>29</v>
      </c>
      <c r="I1261">
        <f>VLOOKUP(Table4[[#This Row],[Visitor]],'NHL Model'!$A$6:$B$38,2,FALSE)</f>
        <v>-1.4957350924899622</v>
      </c>
      <c r="J1261">
        <f>($B$1+Table4[[#This Row],[Home Differential]])-Table4[[#This Row],[Away Differential]]</f>
        <v>1.3235879718303234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0.76825379798953519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-0.14464931395309213</v>
      </c>
      <c r="H1262" t="s">
        <v>37</v>
      </c>
      <c r="I1262">
        <f>VLOOKUP(Table4[[#This Row],[Visitor]],'NHL Model'!$A$6:$B$38,2,FALSE)</f>
        <v>7.1667377873261273E-2</v>
      </c>
      <c r="J1262">
        <f>($B$1+Table4[[#This Row],[Home Differential]])-Table4[[#This Row],[Away Differential]]</f>
        <v>-7.8773302853937049E-2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0.48419085427544506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-0.15263505358797036</v>
      </c>
      <c r="H1263" t="s">
        <v>35</v>
      </c>
      <c r="I1263">
        <f>VLOOKUP(Table4[[#This Row],[Visitor]],'NHL Model'!$A$6:$B$38,2,FALSE)</f>
        <v>-1.5569791149906038</v>
      </c>
      <c r="J1263">
        <f>($B$1+Table4[[#This Row],[Home Differential]])-Table4[[#This Row],[Away Differential]]</f>
        <v>1.5418874503750497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0.74565421983615787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1.4458345276269271</v>
      </c>
      <c r="H1264" t="s">
        <v>20</v>
      </c>
      <c r="I1264">
        <f>VLOOKUP(Table4[[#This Row],[Visitor]],'NHL Model'!$A$6:$B$38,2,FALSE)</f>
        <v>0.12073374225454764</v>
      </c>
      <c r="J1264">
        <f>($B$1+Table4[[#This Row],[Home Differential]])-Table4[[#This Row],[Away Differential]]</f>
        <v>1.462644174344796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0.81046950728098155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4.3828122498436855E-3</v>
      </c>
      <c r="H1265" t="s">
        <v>15</v>
      </c>
      <c r="I1265">
        <f>VLOOKUP(Table4[[#This Row],[Visitor]],'NHL Model'!$A$6:$B$38,2,FALSE)</f>
        <v>-0.49835870184734621</v>
      </c>
      <c r="J1265">
        <f>($B$1+Table4[[#This Row],[Home Differential]])-Table4[[#This Row],[Away Differential]]</f>
        <v>0.64028490306960628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0.54441646086104611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-0.66335717753705836</v>
      </c>
      <c r="H1266" t="s">
        <v>24</v>
      </c>
      <c r="I1266">
        <f>VLOOKUP(Table4[[#This Row],[Visitor]],'NHL Model'!$A$6:$B$38,2,FALSE)</f>
        <v>-1.8032585202533785E-2</v>
      </c>
      <c r="J1266">
        <f>($B$1+Table4[[#This Row],[Home Differential]])-Table4[[#This Row],[Away Differential]]</f>
        <v>-0.50778120336210819</v>
      </c>
      <c r="K1266" t="str">
        <f>IF(Table4[[#This Row],[HomeIce Differential]]&gt;0,Table4[[#This Row],[Home]],Table4[[#This Row],[Visitor]])</f>
        <v>New Jersey Devils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0.49629838698171902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-0.36134162888396865</v>
      </c>
      <c r="H1267" t="s">
        <v>17</v>
      </c>
      <c r="I1267">
        <f>VLOOKUP(Table4[[#This Row],[Visitor]],'NHL Model'!$A$6:$B$38,2,FALSE)</f>
        <v>-0.87263145033954281</v>
      </c>
      <c r="J1267">
        <f>($B$1+Table4[[#This Row],[Home Differential]])-Table4[[#This Row],[Away Differential]]</f>
        <v>0.64883321042799058</v>
      </c>
      <c r="K1267" t="str">
        <f>IF(Table4[[#This Row],[HomeIce Differential]]&gt;0,Table4[[#This Row],[Home]],Table4[[#This Row],[Visitor]])</f>
        <v>Los Angeles Kings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0.62654022552807032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-0.74754136228530599</v>
      </c>
      <c r="H1268" t="s">
        <v>28</v>
      </c>
      <c r="I1268">
        <f>VLOOKUP(Table4[[#This Row],[Visitor]],'NHL Model'!$A$6:$B$38,2,FALSE)</f>
        <v>-0.59418600019583889</v>
      </c>
      <c r="J1268">
        <f>($B$1+Table4[[#This Row],[Home Differential]])-Table4[[#This Row],[Away Differential]]</f>
        <v>-1.5811973117050737E-2</v>
      </c>
      <c r="K1268" t="str">
        <f>IF(Table4[[#This Row],[HomeIce Differential]]&gt;0,Table4[[#This Row],[Home]],Table4[[#This Row],[Visitor]])</f>
        <v>Columbus Blue Jackets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0.46293846608339223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-1.4957350924899622</v>
      </c>
      <c r="H1269" t="s">
        <v>34</v>
      </c>
      <c r="I1269">
        <f>VLOOKUP(Table4[[#This Row],[Visitor]],'NHL Model'!$A$6:$B$38,2,FALSE)</f>
        <v>-0.16358905079701039</v>
      </c>
      <c r="J1269">
        <f>($B$1+Table4[[#This Row],[Home Differential]])-Table4[[#This Row],[Away Differential]]</f>
        <v>-1.1946026527205353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0.64010321879779153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3.838472305373858E-3</v>
      </c>
      <c r="H1270" t="s">
        <v>36</v>
      </c>
      <c r="I1270">
        <f>VLOOKUP(Table4[[#This Row],[Visitor]],'NHL Model'!$A$6:$B$38,2,FALSE)</f>
        <v>-0.31751962084606655</v>
      </c>
      <c r="J1270">
        <f>($B$1+Table4[[#This Row],[Home Differential]])-Table4[[#This Row],[Away Differential]]</f>
        <v>0.45890148212385673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0.58043823691259155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-0.2090057419115289</v>
      </c>
      <c r="H1271" t="s">
        <v>22</v>
      </c>
      <c r="I1271">
        <f>VLOOKUP(Table4[[#This Row],[Visitor]],'NHL Model'!$A$6:$B$38,2,FALSE)</f>
        <v>6.4811420118814619E-2</v>
      </c>
      <c r="J1271">
        <f>($B$1+Table4[[#This Row],[Home Differential]])-Table4[[#This Row],[Away Differential]]</f>
        <v>-0.13627377305792715</v>
      </c>
      <c r="K1271" t="str">
        <f>IF(Table4[[#This Row],[HomeIce Differential]]&gt;0,Table4[[#This Row],[Home]],Table4[[#This Row],[Visitor]])</f>
        <v>Washington Capitals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0.4989451854898822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-0.45007023285116615</v>
      </c>
      <c r="H1272" t="s">
        <v>16</v>
      </c>
      <c r="I1272">
        <f>VLOOKUP(Table4[[#This Row],[Visitor]],'NHL Model'!$A$6:$B$38,2,FALSE)</f>
        <v>-1.0952038865534519</v>
      </c>
      <c r="J1272">
        <f>($B$1+Table4[[#This Row],[Home Differential]])-Table4[[#This Row],[Away Differential]]</f>
        <v>0.78267704267470206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0.67042981489204045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-0.36178381286707545</v>
      </c>
      <c r="H1273" t="s">
        <v>38</v>
      </c>
      <c r="I1273">
        <f>VLOOKUP(Table4[[#This Row],[Visitor]],'NHL Model'!$A$6:$B$38,2,FALSE)</f>
        <v>-1.1236485959014608</v>
      </c>
      <c r="J1273">
        <f>($B$1+Table4[[#This Row],[Home Differential]])-Table4[[#This Row],[Away Differential]]</f>
        <v>0.89940817200680168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0.63919223975401152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-0.93520311342823803</v>
      </c>
      <c r="H1274" t="s">
        <v>11</v>
      </c>
      <c r="I1274">
        <f>VLOOKUP(Table4[[#This Row],[Visitor]],'NHL Model'!$A$6:$B$38,2,FALSE)</f>
        <v>-0.37836939589441088</v>
      </c>
      <c r="J1274">
        <f>($B$1+Table4[[#This Row],[Home Differential]])-Table4[[#This Row],[Away Differential]]</f>
        <v>-0.4192903285614108</v>
      </c>
      <c r="K1274" t="str">
        <f>IF(Table4[[#This Row],[HomeIce Differential]]&gt;0,Table4[[#This Row],[Home]],Table4[[#This Row],[Visitor]])</f>
        <v>Florida Panthers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0.51592420210967338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-0.30969050963205513</v>
      </c>
      <c r="H1275" t="s">
        <v>25</v>
      </c>
      <c r="I1275">
        <f>VLOOKUP(Table4[[#This Row],[Visitor]],'NHL Model'!$A$6:$B$38,2,FALSE)</f>
        <v>0.42515174825138019</v>
      </c>
      <c r="J1275">
        <f>($B$1+Table4[[#This Row],[Home Differential]])-Table4[[#This Row],[Away Differential]]</f>
        <v>-0.59729886891101902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0.55966666624404804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-6.0247860940930854E-2</v>
      </c>
      <c r="H1276" t="s">
        <v>27</v>
      </c>
      <c r="I1276">
        <f>VLOOKUP(Table4[[#This Row],[Visitor]],'NHL Model'!$A$6:$B$38,2,FALSE)</f>
        <v>-0.42203126246971279</v>
      </c>
      <c r="J1276">
        <f>($B$1+Table4[[#This Row],[Home Differential]])-Table4[[#This Row],[Away Differential]]</f>
        <v>0.49932679050119833</v>
      </c>
      <c r="K1276" t="str">
        <f>IF(Table4[[#This Row],[HomeIce Differential]]&gt;0,Table4[[#This Row],[Home]],Table4[[#This Row],[Visitor]])</f>
        <v>Winnipeg Jets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0.60909480298691465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0.34329638981067145</v>
      </c>
      <c r="H1277" t="s">
        <v>38</v>
      </c>
      <c r="I1277">
        <f>VLOOKUP(Table4[[#This Row],[Visitor]],'NHL Model'!$A$6:$B$38,2,FALSE)</f>
        <v>-1.1236485959014608</v>
      </c>
      <c r="J1277">
        <f>($B$1+Table4[[#This Row],[Home Differential]])-Table4[[#This Row],[Away Differential]]</f>
        <v>1.6044883746845486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0.82938843573588272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-0.59418600019583889</v>
      </c>
      <c r="H1278" t="s">
        <v>21</v>
      </c>
      <c r="I1278">
        <f>VLOOKUP(Table4[[#This Row],[Visitor]],'NHL Model'!$A$6:$B$38,2,FALSE)</f>
        <v>-0.14464931395309213</v>
      </c>
      <c r="J1278">
        <f>($B$1+Table4[[#This Row],[Home Differential]])-Table4[[#This Row],[Away Differential]]</f>
        <v>-0.31199329727033043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0.49456716207299223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-1.0952038865534519</v>
      </c>
      <c r="H1279" t="s">
        <v>55</v>
      </c>
      <c r="I1279">
        <f>VLOOKUP(Table4[[#This Row],[Visitor]],'NHL Model'!$A$6:$B$38,2,FALSE)</f>
        <v>-0.30969050963205513</v>
      </c>
      <c r="J1279">
        <f>($B$1+Table4[[#This Row],[Home Differential]])-Table4[[#This Row],[Away Differential]]</f>
        <v>-0.64796998794898042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0.54642509044125009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-1.8032585202533785E-2</v>
      </c>
      <c r="H1280" t="s">
        <v>36</v>
      </c>
      <c r="I1280">
        <f>VLOOKUP(Table4[[#This Row],[Visitor]],'NHL Model'!$A$6:$B$38,2,FALSE)</f>
        <v>-0.31751962084606655</v>
      </c>
      <c r="J1280">
        <f>($B$1+Table4[[#This Row],[Home Differential]])-Table4[[#This Row],[Away Differential]]</f>
        <v>0.4370304246159491</v>
      </c>
      <c r="K1280" t="str">
        <f>IF(Table4[[#This Row],[HomeIce Differential]]&gt;0,Table4[[#This Row],[Home]],Table4[[#This Row],[Visitor]])</f>
        <v>New Jersey Devils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0.69465398109482668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3.838472305373858E-3</v>
      </c>
      <c r="H1281" t="s">
        <v>18</v>
      </c>
      <c r="I1281">
        <f>VLOOKUP(Table4[[#This Row],[Visitor]],'NHL Model'!$A$6:$B$38,2,FALSE)</f>
        <v>-0.74754136228530599</v>
      </c>
      <c r="J1281">
        <f>($B$1+Table4[[#This Row],[Home Differential]])-Table4[[#This Row],[Away Differential]]</f>
        <v>0.88892322356309617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0.61146361517169701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6.4811420118814619E-2</v>
      </c>
      <c r="H1282" t="s">
        <v>14</v>
      </c>
      <c r="I1282">
        <f>VLOOKUP(Table4[[#This Row],[Visitor]],'NHL Model'!$A$6:$B$38,2,FALSE)</f>
        <v>-0.2090057419115289</v>
      </c>
      <c r="J1282">
        <f>($B$1+Table4[[#This Row],[Home Differential]])-Table4[[#This Row],[Away Differential]]</f>
        <v>0.41136055100275992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0.59486654241025627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-0.15263505358797036</v>
      </c>
      <c r="H1283" t="s">
        <v>23</v>
      </c>
      <c r="I1283">
        <f>VLOOKUP(Table4[[#This Row],[Visitor]],'NHL Model'!$A$6:$B$38,2,FALSE)</f>
        <v>-0.51535072045188635</v>
      </c>
      <c r="J1283">
        <f>($B$1+Table4[[#This Row],[Home Differential]])-Table4[[#This Row],[Away Differential]]</f>
        <v>0.50025905583633234</v>
      </c>
      <c r="K1283" t="str">
        <f>IF(Table4[[#This Row],[HomeIce Differential]]&gt;0,Table4[[#This Row],[Home]],Table4[[#This Row],[Visitor]])</f>
        <v>Chicago Blackhawks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0.60672366768337671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-0.87263145033954281</v>
      </c>
      <c r="H1284" t="s">
        <v>12</v>
      </c>
      <c r="I1284">
        <f>VLOOKUP(Table4[[#This Row],[Visitor]],'NHL Model'!$A$6:$B$38,2,FALSE)</f>
        <v>1.4458345276269271</v>
      </c>
      <c r="J1284">
        <f>($B$1+Table4[[#This Row],[Home Differential]])-Table4[[#This Row],[Away Differential]]</f>
        <v>-2.1809225889940533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0.80701662814162156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-0.37836939589441088</v>
      </c>
      <c r="H1285" t="s">
        <v>15</v>
      </c>
      <c r="I1285">
        <f>VLOOKUP(Table4[[#This Row],[Visitor]],'NHL Model'!$A$6:$B$38,2,FALSE)</f>
        <v>-0.49835870184734621</v>
      </c>
      <c r="J1285">
        <f>($B$1+Table4[[#This Row],[Home Differential]])-Table4[[#This Row],[Away Differential]]</f>
        <v>0.25753269492535169</v>
      </c>
      <c r="K1285" t="str">
        <f>IF(Table4[[#This Row],[HomeIce Differential]]&gt;0,Table4[[#This Row],[Home]],Table4[[#This Row],[Visitor]])</f>
        <v>Florida Panthers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0.54344016424847175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-1.4957350924899622</v>
      </c>
      <c r="H1286" t="s">
        <v>33</v>
      </c>
      <c r="I1286">
        <f>VLOOKUP(Table4[[#This Row],[Visitor]],'NHL Model'!$A$6:$B$38,2,FALSE)</f>
        <v>-0.36178381286707545</v>
      </c>
      <c r="J1286">
        <f>($B$1+Table4[[#This Row],[Home Differential]])-Table4[[#This Row],[Away Differential]]</f>
        <v>-0.99640789065047031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0.59289912135964939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-0.42203126246971279</v>
      </c>
      <c r="H1287" t="s">
        <v>25</v>
      </c>
      <c r="I1287">
        <f>VLOOKUP(Table4[[#This Row],[Visitor]],'NHL Model'!$A$6:$B$38,2,FALSE)</f>
        <v>0.42515174825138019</v>
      </c>
      <c r="J1287">
        <f>($B$1+Table4[[#This Row],[Home Differential]])-Table4[[#This Row],[Away Differential]]</f>
        <v>-0.70963962174867667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0.59465047707603536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-0.45007023285116615</v>
      </c>
      <c r="H1288" t="s">
        <v>13</v>
      </c>
      <c r="I1288">
        <f>VLOOKUP(Table4[[#This Row],[Visitor]],'NHL Model'!$A$6:$B$38,2,FALSE)</f>
        <v>-0.36134162888396865</v>
      </c>
      <c r="J1288">
        <f>($B$1+Table4[[#This Row],[Home Differential]])-Table4[[#This Row],[Away Differential]]</f>
        <v>4.8814785005218853E-2</v>
      </c>
      <c r="K1288" t="str">
        <f>IF(Table4[[#This Row],[HomeIce Differential]]&gt;0,Table4[[#This Row],[Home]],Table4[[#This Row],[Visitor]])</f>
        <v>Seattle Kraken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0.48926945033826286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-1.5569791149906038</v>
      </c>
      <c r="H1289" t="s">
        <v>34</v>
      </c>
      <c r="I1289">
        <f>VLOOKUP(Table4[[#This Row],[Visitor]],'NHL Model'!$A$6:$B$38,2,FALSE)</f>
        <v>-0.16358905079701039</v>
      </c>
      <c r="J1289">
        <f>($B$1+Table4[[#This Row],[Home Differential]])-Table4[[#This Row],[Away Differential]]</f>
        <v>-1.255846675221177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0.6482718381506074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7.1667377873261273E-2</v>
      </c>
      <c r="H1290" t="s">
        <v>26</v>
      </c>
      <c r="I1290">
        <f>VLOOKUP(Table4[[#This Row],[Visitor]],'NHL Model'!$A$6:$B$38,2,FALSE)</f>
        <v>-0.66335717753705836</v>
      </c>
      <c r="J1290">
        <f>($B$1+Table4[[#This Row],[Home Differential]])-Table4[[#This Row],[Away Differential]]</f>
        <v>0.87256794438273599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0.61179441249191924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-0.93520311342823803</v>
      </c>
      <c r="H1291" t="s">
        <v>39</v>
      </c>
      <c r="I1291">
        <f>VLOOKUP(Table4[[#This Row],[Visitor]],'NHL Model'!$A$6:$B$38,2,FALSE)</f>
        <v>4.3828122498436855E-3</v>
      </c>
      <c r="J1291">
        <f>($B$1+Table4[[#This Row],[Home Differential]])-Table4[[#This Row],[Away Differential]]</f>
        <v>-0.80204253670566539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0.64793328330407318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0.12073374225454764</v>
      </c>
      <c r="H1292" t="s">
        <v>40</v>
      </c>
      <c r="I1292">
        <f>VLOOKUP(Table4[[#This Row],[Visitor]],'NHL Model'!$A$6:$B$38,2,FALSE)</f>
        <v>-6.0247860940930854E-2</v>
      </c>
      <c r="J1292">
        <f>($B$1+Table4[[#This Row],[Home Differential]])-Table4[[#This Row],[Away Differential]]</f>
        <v>0.31852499216789487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0.51616851036718481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-0.14464931395309213</v>
      </c>
      <c r="H1293" t="s">
        <v>24</v>
      </c>
      <c r="I1293">
        <f>VLOOKUP(Table4[[#This Row],[Visitor]],'NHL Model'!$A$6:$B$38,2,FALSE)</f>
        <v>-1.8032585202533785E-2</v>
      </c>
      <c r="J1293">
        <f>($B$1+Table4[[#This Row],[Home Differential]])-Table4[[#This Row],[Away Differential]]</f>
        <v>1.0926660221858009E-2</v>
      </c>
      <c r="K1293" t="str">
        <f>IF(Table4[[#This Row],[HomeIce Differential]]&gt;0,Table4[[#This Row],[Home]],Table4[[#This Row],[Visitor]])</f>
        <v>Boston Bruins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0.59236646951528826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-0.59418600019583889</v>
      </c>
      <c r="H1294" t="s">
        <v>22</v>
      </c>
      <c r="I1294">
        <f>VLOOKUP(Table4[[#This Row],[Visitor]],'NHL Model'!$A$6:$B$38,2,FALSE)</f>
        <v>6.4811420118814619E-2</v>
      </c>
      <c r="J1294">
        <f>($B$1+Table4[[#This Row],[Home Differential]])-Table4[[#This Row],[Away Differential]]</f>
        <v>-0.52145403134223711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0.54323482653919153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-1.0952038865534519</v>
      </c>
      <c r="H1295" t="s">
        <v>12</v>
      </c>
      <c r="I1295">
        <f>VLOOKUP(Table4[[#This Row],[Visitor]],'NHL Model'!$A$6:$B$38,2,FALSE)</f>
        <v>1.4458345276269271</v>
      </c>
      <c r="J1295">
        <f>($B$1+Table4[[#This Row],[Home Differential]])-Table4[[#This Row],[Away Differential]]</f>
        <v>-2.4034950252079628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0.87306010143996926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-0.16358905079701039</v>
      </c>
      <c r="H1296" t="s">
        <v>31</v>
      </c>
      <c r="I1296">
        <f>VLOOKUP(Table4[[#This Row],[Visitor]],'NHL Model'!$A$6:$B$38,2,FALSE)</f>
        <v>0.34329638981067145</v>
      </c>
      <c r="J1296">
        <f>($B$1+Table4[[#This Row],[Home Differential]])-Table4[[#This Row],[Away Differential]]</f>
        <v>-0.36934205163526546</v>
      </c>
      <c r="K1296" t="str">
        <f>IF(Table4[[#This Row],[HomeIce Differential]]&gt;0,Table4[[#This Row],[Home]],Table4[[#This Row],[Visitor]])</f>
        <v>Anaheim Ducks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0.53003142008354198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3.838472305373858E-3</v>
      </c>
      <c r="H1297" t="s">
        <v>25</v>
      </c>
      <c r="I1297">
        <f>VLOOKUP(Table4[[#This Row],[Visitor]],'NHL Model'!$A$6:$B$38,2,FALSE)</f>
        <v>0.42515174825138019</v>
      </c>
      <c r="J1297">
        <f>($B$1+Table4[[#This Row],[Home Differential]])-Table4[[#This Row],[Away Differential]]</f>
        <v>-0.28376988697358996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0.5704718945153775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-0.42203126246971279</v>
      </c>
      <c r="H1298" t="s">
        <v>18</v>
      </c>
      <c r="I1298">
        <f>VLOOKUP(Table4[[#This Row],[Visitor]],'NHL Model'!$A$6:$B$38,2,FALSE)</f>
        <v>-0.74754136228530599</v>
      </c>
      <c r="J1298">
        <f>($B$1+Table4[[#This Row],[Home Differential]])-Table4[[#This Row],[Away Differential]]</f>
        <v>0.46305348878800956</v>
      </c>
      <c r="K1298" t="str">
        <f>IF(Table4[[#This Row],[HomeIce Differential]]&gt;0,Table4[[#This Row],[Home]],Table4[[#This Row],[Visitor]])</f>
        <v>Philadelphia Flyers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0.58730870023938764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-1.5569791149906038</v>
      </c>
      <c r="H1299" t="s">
        <v>14</v>
      </c>
      <c r="I1299">
        <f>VLOOKUP(Table4[[#This Row],[Visitor]],'NHL Model'!$A$6:$B$38,2,FALSE)</f>
        <v>-0.2090057419115289</v>
      </c>
      <c r="J1299">
        <f>($B$1+Table4[[#This Row],[Home Differential]])-Table4[[#This Row],[Away Differential]]</f>
        <v>-1.2104299841066584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0.62144500948314862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-0.30969050963205513</v>
      </c>
      <c r="H1300" t="s">
        <v>40</v>
      </c>
      <c r="I1300">
        <f>VLOOKUP(Table4[[#This Row],[Visitor]],'NHL Model'!$A$6:$B$38,2,FALSE)</f>
        <v>-6.0247860940930854E-2</v>
      </c>
      <c r="J1300">
        <f>($B$1+Table4[[#This Row],[Home Differential]])-Table4[[#This Row],[Away Differential]]</f>
        <v>-0.11189925971870793</v>
      </c>
      <c r="K1300" t="str">
        <f>IF(Table4[[#This Row],[HomeIce Differential]]&gt;0,Table4[[#This Row],[Home]],Table4[[#This Row],[Visitor]])</f>
        <v>Winnipeg Jets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0.48860913578729831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-1.1236485959014608</v>
      </c>
      <c r="H1301" t="s">
        <v>13</v>
      </c>
      <c r="I1301">
        <f>VLOOKUP(Table4[[#This Row],[Visitor]],'NHL Model'!$A$6:$B$38,2,FALSE)</f>
        <v>-0.36134162888396865</v>
      </c>
      <c r="J1301">
        <f>($B$1+Table4[[#This Row],[Home Differential]])-Table4[[#This Row],[Away Differential]]</f>
        <v>-0.62476357804507576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0.6268081214204464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-0.51535072045188635</v>
      </c>
      <c r="H1302" t="s">
        <v>39</v>
      </c>
      <c r="I1302">
        <f>VLOOKUP(Table4[[#This Row],[Visitor]],'NHL Model'!$A$6:$B$38,2,FALSE)</f>
        <v>4.3828122498436855E-3</v>
      </c>
      <c r="J1302">
        <f>($B$1+Table4[[#This Row],[Home Differential]])-Table4[[#This Row],[Away Differential]]</f>
        <v>-0.38219014372931365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0.5778575655338487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-0.15263505358797036</v>
      </c>
      <c r="H1303" t="s">
        <v>33</v>
      </c>
      <c r="I1303">
        <f>VLOOKUP(Table4[[#This Row],[Visitor]],'NHL Model'!$A$6:$B$38,2,FALSE)</f>
        <v>-0.36178381286707545</v>
      </c>
      <c r="J1303">
        <f>($B$1+Table4[[#This Row],[Home Differential]])-Table4[[#This Row],[Away Differential]]</f>
        <v>0.34669214825152145</v>
      </c>
      <c r="K1303" t="str">
        <f>IF(Table4[[#This Row],[HomeIce Differential]]&gt;0,Table4[[#This Row],[Home]],Table4[[#This Row],[Visitor]])</f>
        <v>Chicago Blackhawks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0.58624118527889013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-0.37836939589441088</v>
      </c>
      <c r="H1304" t="s">
        <v>26</v>
      </c>
      <c r="I1304">
        <f>VLOOKUP(Table4[[#This Row],[Visitor]],'NHL Model'!$A$6:$B$38,2,FALSE)</f>
        <v>-0.66335717753705836</v>
      </c>
      <c r="J1304">
        <f>($B$1+Table4[[#This Row],[Home Differential]])-Table4[[#This Row],[Away Differential]]</f>
        <v>0.42253117061506384</v>
      </c>
      <c r="K1304" t="str">
        <f>IF(Table4[[#This Row],[HomeIce Differential]]&gt;0,Table4[[#This Row],[Home]],Table4[[#This Row],[Visitor]])</f>
        <v>Florida Panthers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0.60181100534282261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-0.31751962084606655</v>
      </c>
      <c r="H1305" t="s">
        <v>19</v>
      </c>
      <c r="I1305">
        <f>VLOOKUP(Table4[[#This Row],[Visitor]],'NHL Model'!$A$6:$B$38,2,FALSE)</f>
        <v>-0.93520311342823803</v>
      </c>
      <c r="J1305">
        <f>($B$1+Table4[[#This Row],[Home Differential]])-Table4[[#This Row],[Away Differential]]</f>
        <v>0.75522688155458784</v>
      </c>
      <c r="K1305" t="str">
        <f>IF(Table4[[#This Row],[HomeIce Differential]]&gt;0,Table4[[#This Row],[Home]],Table4[[#This Row],[Visitor]])</f>
        <v>Ottawa Senators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0.6432263043288482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7.1667377873261273E-2</v>
      </c>
      <c r="H1306" t="s">
        <v>15</v>
      </c>
      <c r="I1306">
        <f>VLOOKUP(Table4[[#This Row],[Visitor]],'NHL Model'!$A$6:$B$38,2,FALSE)</f>
        <v>-0.49835870184734621</v>
      </c>
      <c r="J1306">
        <f>($B$1+Table4[[#This Row],[Home Differential]])-Table4[[#This Row],[Away Differential]]</f>
        <v>0.70756946869302384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0.55339075716713049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0.12073374225454764</v>
      </c>
      <c r="H1307" t="s">
        <v>32</v>
      </c>
      <c r="I1307">
        <f>VLOOKUP(Table4[[#This Row],[Visitor]],'NHL Model'!$A$6:$B$38,2,FALSE)</f>
        <v>-0.45007023285116615</v>
      </c>
      <c r="J1307">
        <f>($B$1+Table4[[#This Row],[Home Differential]])-Table4[[#This Row],[Away Differential]]</f>
        <v>0.70834736407813015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0.63447811803452503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-1.0952038865534519</v>
      </c>
      <c r="H1308" t="s">
        <v>13</v>
      </c>
      <c r="I1308">
        <f>VLOOKUP(Table4[[#This Row],[Visitor]],'NHL Model'!$A$6:$B$38,2,FALSE)</f>
        <v>-0.36134162888396865</v>
      </c>
      <c r="J1308">
        <f>($B$1+Table4[[#This Row],[Home Differential]])-Table4[[#This Row],[Away Differential]]</f>
        <v>-0.59631886869706685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0.62301421641913901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1.4458345276269271</v>
      </c>
      <c r="H1309" t="s">
        <v>32</v>
      </c>
      <c r="I1309">
        <f>VLOOKUP(Table4[[#This Row],[Visitor]],'NHL Model'!$A$6:$B$38,2,FALSE)</f>
        <v>-0.45007023285116615</v>
      </c>
      <c r="J1309">
        <f>($B$1+Table4[[#This Row],[Home Differential]])-Table4[[#This Row],[Away Differential]]</f>
        <v>2.0334481494505097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0.90613835100672369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-0.87263145033954281</v>
      </c>
      <c r="H1310" t="s">
        <v>38</v>
      </c>
      <c r="I1310">
        <f>VLOOKUP(Table4[[#This Row],[Visitor]],'NHL Model'!$A$6:$B$38,2,FALSE)</f>
        <v>-1.1236485959014608</v>
      </c>
      <c r="J1310">
        <f>($B$1+Table4[[#This Row],[Home Differential]])-Table4[[#This Row],[Away Differential]]</f>
        <v>0.38856053453433437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0.6073810721127737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-1.4957350924899622</v>
      </c>
      <c r="H1311" t="s">
        <v>31</v>
      </c>
      <c r="I1311">
        <f>VLOOKUP(Table4[[#This Row],[Visitor]],'NHL Model'!$A$6:$B$38,2,FALSE)</f>
        <v>0.34329638981067145</v>
      </c>
      <c r="J1311">
        <f>($B$1+Table4[[#This Row],[Home Differential]])-Table4[[#This Row],[Away Differential]]</f>
        <v>-1.701488093328217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0.70771070195690522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-0.30969050963205513</v>
      </c>
      <c r="H1312" t="s">
        <v>35</v>
      </c>
      <c r="I1312">
        <f>VLOOKUP(Table4[[#This Row],[Visitor]],'NHL Model'!$A$6:$B$38,2,FALSE)</f>
        <v>-1.5569791149906038</v>
      </c>
      <c r="J1312">
        <f>($B$1+Table4[[#This Row],[Home Differential]])-Table4[[#This Row],[Away Differential]]</f>
        <v>1.384831994330965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0.77642241734235107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-6.0247860940930854E-2</v>
      </c>
      <c r="H1313" t="s">
        <v>33</v>
      </c>
      <c r="I1313">
        <f>VLOOKUP(Table4[[#This Row],[Visitor]],'NHL Model'!$A$6:$B$38,2,FALSE)</f>
        <v>-0.36178381286707545</v>
      </c>
      <c r="J1313">
        <f>($B$1+Table4[[#This Row],[Home Differential]])-Table4[[#This Row],[Away Differential]]</f>
        <v>0.43907934089856093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0.60105910476384727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30" priority="6" timePeriod="today">
      <formula>FLOOR(D1,1)=TODAY()</formula>
    </cfRule>
  </conditionalFormatting>
  <conditionalFormatting sqref="J2:J131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29" priority="9" operator="containsText" text="NO">
      <formula>NOT(ISERROR(SEARCH("NO",M2)))</formula>
    </cfRule>
    <cfRule type="containsText" dxfId="28" priority="10" operator="containsText" text="YES">
      <formula>NOT(ISERROR(SEARCH("YES",M2)))</formula>
    </cfRule>
  </conditionalFormatting>
  <conditionalFormatting sqref="Q232:Q2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1313">
    <cfRule type="containsText" dxfId="27" priority="3" operator="containsText" text="YES">
      <formula>NOT(ISERROR(SEARCH("YES",R1)))</formula>
    </cfRule>
    <cfRule type="containsText" dxfId="26" priority="4" operator="containsText" text="NO">
      <formula>NOT(ISERROR(SEARCH("NO",R1)))</formula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workbookViewId="0">
      <selection activeCell="M35" sqref="M35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22</v>
      </c>
      <c r="C2">
        <f>COUNTIF(NHL2025_26Results[Winning Team],Standings!A2)</f>
        <v>14</v>
      </c>
      <c r="D2">
        <f>COUNTIFS('NHL2025-26Results'!$H:$H,A2,'NHL2025-26Results'!$F:$F,"")</f>
        <v>7</v>
      </c>
      <c r="E2" s="10">
        <f>COUNTIFS('NHL2025-26Results'!$F:$F,"OT",'NHL2025-26Results'!$H:$H,A2) + COUNTIFS('NHL2025-26Results'!$F:$F,"SO",'NHL2025-26Results'!$H:$H,A2)</f>
        <v>1</v>
      </c>
      <c r="F2" s="3">
        <f>(Table1[[#This Row],[W]]*2)+Table1[[#This Row],[OTL]]</f>
        <v>29</v>
      </c>
      <c r="G2">
        <f>COUNTIFS('NHL2025-26Results'!$D:$D,A2,'NHL2025-26Results'!$G:$G,A2)</f>
        <v>8</v>
      </c>
      <c r="H2">
        <f>COUNTIFS('NHL2025-26Results'!$D:$D,A2,'NHL2025-26Results'!$H:$H,A2,'NHL2025-26Results'!$F:$F,"")</f>
        <v>2</v>
      </c>
      <c r="I2">
        <f>COUNTIFS('NHL2025-26Results'!$D:$D,A2,'NHL2025-26Results'!$H:$H,A2,'NHL2025-26Results'!$F:$F,"OT") + COUNTIFS('NHL2025-26Results'!$D:$D,A2,'NHL2025-26Results'!$H:$H,A2,'NHL2025-26Results'!$F:$F,"SO")</f>
        <v>0</v>
      </c>
      <c r="J2">
        <f>COUNTIFS('NHL2025-26Results'!$B:$B,A2,'NHL2025-26Results'!$G:$G,A2)</f>
        <v>6</v>
      </c>
      <c r="K2">
        <f>COUNTIFS('NHL2025-26Results'!$B:$B,A2,'NHL2025-26Results'!$H:$H,A2,'NHL2025-26Results'!$F:$F,"")</f>
        <v>5</v>
      </c>
      <c r="L2">
        <f>COUNTIFS('NHL2025-26Results'!$B:$B,A2,'NHL2025-26Results'!$H:$H,A2,'NHL2025-26Results'!$F:$F,"OT") + COUNTIFS('NHL2025-26Results'!$B:$B,A2,'NHL2025-26Results'!$H:$H,A2,'NHL2025-26Results'!$F:$F,"SO")</f>
        <v>1</v>
      </c>
      <c r="M2" s="11">
        <f>Table1[[#This Row],[HomeWins]]/SUM(Table1[[#This Row],[HomeWins]:[HomeOTL]])</f>
        <v>0.8</v>
      </c>
      <c r="N2" s="11">
        <f>Table1[[#This Row],[AwayWins]]/SUM(Table1[[#This Row],[AwayWins]:[AwayOTL]])</f>
        <v>0.5</v>
      </c>
      <c r="O2" s="14">
        <f>SUMIFS('NHL2025-26Results'!$E:$E,'NHL2025-26Results'!$D:$D,A2,'NHL2025-26Results'!$E:$E,"&gt;0")/COUNTIFS('NHL2025-26Results'!$D:$D,A2,'NHL2025-26Results'!$E:$E,"&gt;0")</f>
        <v>3.8</v>
      </c>
      <c r="P2" s="15">
        <f>SUMIFS('NHL2025-26Results'!$C:$C,'NHL2025-26Results'!$B:$B,A2,'NHL2025-26Results'!$C:$C,"&gt;0")/COUNTIFS('NHL2025-26Results'!$B:$B,A2,'NHL2025-26Results'!$C:$C,"&gt;0")</f>
        <v>3.8181818181818183</v>
      </c>
      <c r="Q2" s="14">
        <f>SUMIFS('NHL2025-26Results'!$C:$C,'NHL2025-26Results'!$D:$D,A2,'NHL2025-26Results'!$C:$C,"&gt;0")/COUNTIFS('NHL2025-26Results'!$D:$D,A2,'NHL2025-26Results'!$C:$C,"&gt;0")</f>
        <v>2.5</v>
      </c>
      <c r="R2" s="14">
        <f>SUMIFS('NHL2025-26Results'!$E:$E,'NHL2025-26Results'!$B:$B,A2,'NHL2025-26Results'!$E:$E,"&gt;0")/COUNTIFS('NHL2025-26Results'!$B:$B,A2,'NHL2025-26Results'!$E:$E,"&gt;0")</f>
        <v>3.6666666666666665</v>
      </c>
    </row>
    <row r="3" spans="1:18" x14ac:dyDescent="0.2">
      <c r="A3" s="4" t="s">
        <v>21</v>
      </c>
      <c r="B3">
        <f>SUM(Table1[[#This Row],[W]:[OTL]])</f>
        <v>24</v>
      </c>
      <c r="C3">
        <f>COUNTIF(NHL2025_26Results[Winning Team],Standings!A3)</f>
        <v>13</v>
      </c>
      <c r="D3">
        <f>COUNTIFS('NHL2025-26Results'!$H:$H,A3,'NHL2025-26Results'!$F:$F,"")</f>
        <v>11</v>
      </c>
      <c r="E3">
        <f>COUNTIFS('NHL2025-26Results'!$F:$F,"OT",'NHL2025-26Results'!$H:$H,A3) + COUNTIFS('NHL2025-26Results'!$F:$F,"SO",'NHL2025-26Results'!$H:$H,A3)</f>
        <v>0</v>
      </c>
      <c r="F3" s="3">
        <f>(Table1[[#This Row],[W]]*2)+Table1[[#This Row],[OTL]]</f>
        <v>26</v>
      </c>
      <c r="G3">
        <f>COUNTIFS('NHL2025-26Results'!$D:$D,A3,'NHL2025-26Results'!$G:$G,A3)</f>
        <v>8</v>
      </c>
      <c r="H3">
        <f>COUNTIFS('NHL2025-26Results'!$D:$D,A3,'NHL2025-26Results'!$H:$H,A3,'NHL2025-26Results'!$F:$F,"")</f>
        <v>4</v>
      </c>
      <c r="I3">
        <f>COUNTIFS('NHL2025-26Results'!$D:$D,A3,'NHL2025-26Results'!$H:$H,A3,'NHL2025-26Results'!$F:$F,"OT") + COUNTIFS('NHL2025-26Results'!$D:$D,A3,'NHL2025-26Results'!$H:$H,A3,'NHL2025-26Results'!$F:$F,"SO")</f>
        <v>0</v>
      </c>
      <c r="J3">
        <f>COUNTIFS('NHL2025-26Results'!$B:$B,A3,'NHL2025-26Results'!$G:$G,A3)</f>
        <v>5</v>
      </c>
      <c r="K3">
        <f>COUNTIFS('NHL2025-26Results'!$B:$B,A3,'NHL2025-26Results'!$H:$H,A3,'NHL2025-26Results'!$F:$F,"")</f>
        <v>7</v>
      </c>
      <c r="L3">
        <f>COUNTIFS('NHL2025-26Results'!$B:$B,A3,'NHL2025-26Results'!$H:$H,A3,'NHL2025-26Results'!$F:$F,"OT") + COUNTIFS('NHL2025-26Results'!$B:$B,A3,'NHL2025-26Results'!$H:$H,A3,'NHL2025-26Results'!$F:$F,"SO")</f>
        <v>0</v>
      </c>
      <c r="M3" s="11">
        <f>Table1[[#This Row],[HomeWins]]/SUM(Table1[[#This Row],[HomeWins]:[HomeOTL]])</f>
        <v>0.66666666666666663</v>
      </c>
      <c r="N3" s="11">
        <f>Table1[[#This Row],[AwayWins]]/SUM(Table1[[#This Row],[AwayWins]:[AwayOTL]])</f>
        <v>0.41666666666666669</v>
      </c>
      <c r="O3" s="14">
        <f>SUMIFS('NHL2025-26Results'!$E:$E,'NHL2025-26Results'!$D:$D,A3,'NHL2025-26Results'!$E:$E,"&gt;0")/COUNTIFS('NHL2025-26Results'!$D:$D,A3,'NHL2025-26Results'!$E:$E,"&gt;0")</f>
        <v>3.4166666666666665</v>
      </c>
      <c r="P3" s="14">
        <f>SUMIFS('NHL2025-26Results'!$C:$C,'NHL2025-26Results'!$B:$B,A3,'NHL2025-26Results'!$C:$C,"&gt;0")/COUNTIFS('NHL2025-26Results'!$B:$B,A3,'NHL2025-26Results'!$C:$C,"&gt;0")</f>
        <v>2.8333333333333335</v>
      </c>
      <c r="Q3" s="14">
        <f>SUMIFS('NHL2025-26Results'!$C:$C,'NHL2025-26Results'!$D:$D,A3,'NHL2025-26Results'!$C:$C,"&gt;0")/COUNTIFS('NHL2025-26Results'!$D:$D,A3,'NHL2025-26Results'!$C:$C,"&gt;0")</f>
        <v>2.9166666666666665</v>
      </c>
      <c r="R3" s="14">
        <f>SUMIFS('NHL2025-26Results'!$E:$E,'NHL2025-26Results'!$B:$B,A3,'NHL2025-26Results'!$E:$E,"&gt;0")/COUNTIFS('NHL2025-26Results'!$B:$B,A3,'NHL2025-26Results'!$E:$E,"&gt;0")</f>
        <v>3.5</v>
      </c>
    </row>
    <row r="4" spans="1:18" x14ac:dyDescent="0.2">
      <c r="A4" s="4" t="s">
        <v>23</v>
      </c>
      <c r="B4">
        <f>SUM(Table1[[#This Row],[W]:[OTL]])</f>
        <v>22</v>
      </c>
      <c r="C4">
        <f>COUNTIF(NHL2025_26Results[Winning Team],Standings!A4)</f>
        <v>9</v>
      </c>
      <c r="D4">
        <f>COUNTIFS('NHL2025-26Results'!$H:$H,A4,'NHL2025-26Results'!$F:$F,"")</f>
        <v>9</v>
      </c>
      <c r="E4">
        <f>COUNTIFS('NHL2025-26Results'!$F:$F,"OT",'NHL2025-26Results'!$H:$H,A4) + COUNTIFS('NHL2025-26Results'!$F:$F,"SO",'NHL2025-26Results'!$H:$H,A4)</f>
        <v>4</v>
      </c>
      <c r="F4" s="3">
        <f>(Table1[[#This Row],[W]]*2)+Table1[[#This Row],[OTL]]</f>
        <v>22</v>
      </c>
      <c r="G4">
        <f>COUNTIFS('NHL2025-26Results'!$D:$D,A4,'NHL2025-26Results'!$G:$G,A4)</f>
        <v>8</v>
      </c>
      <c r="H4">
        <f>COUNTIFS('NHL2025-26Results'!$D:$D,A4,'NHL2025-26Results'!$H:$H,A4,'NHL2025-26Results'!$F:$F,"")</f>
        <v>4</v>
      </c>
      <c r="I4">
        <f>COUNTIFS('NHL2025-26Results'!$D:$D,A4,'NHL2025-26Results'!$H:$H,A4,'NHL2025-26Results'!$F:$F,"OT") + COUNTIFS('NHL2025-26Results'!$D:$D,A4,'NHL2025-26Results'!$H:$H,A4,'NHL2025-26Results'!$F:$F,"SO")</f>
        <v>2</v>
      </c>
      <c r="J4">
        <f>COUNTIFS('NHL2025-26Results'!$B:$B,A4,'NHL2025-26Results'!$G:$G,A4)</f>
        <v>1</v>
      </c>
      <c r="K4">
        <f>COUNTIFS('NHL2025-26Results'!$B:$B,A4,'NHL2025-26Results'!$H:$H,A4,'NHL2025-26Results'!$F:$F,"")</f>
        <v>5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0.5714285714285714</v>
      </c>
      <c r="N4" s="11">
        <f>Table1[[#This Row],[AwayWins]]/SUM(Table1[[#This Row],[AwayWins]:[AwayOTL]])</f>
        <v>0.125</v>
      </c>
      <c r="O4" s="14">
        <f>SUMIFS('NHL2025-26Results'!$E:$E,'NHL2025-26Results'!$D:$D,A4,'NHL2025-26Results'!$E:$E,"&gt;0")/COUNTIFS('NHL2025-26Results'!$D:$D,A4,'NHL2025-26Results'!$E:$E,"&gt;0")</f>
        <v>4.083333333333333</v>
      </c>
      <c r="P4" s="14">
        <f>SUMIFS('NHL2025-26Results'!$C:$C,'NHL2025-26Results'!$B:$B,A4,'NHL2025-26Results'!$C:$C,"&gt;0")/COUNTIFS('NHL2025-26Results'!$B:$B,A4,'NHL2025-26Results'!$C:$C,"&gt;0")</f>
        <v>2.75</v>
      </c>
      <c r="Q4" s="14">
        <f>SUMIFS('NHL2025-26Results'!$C:$C,'NHL2025-26Results'!$D:$D,A4,'NHL2025-26Results'!$C:$C,"&gt;0")/COUNTIFS('NHL2025-26Results'!$D:$D,A4,'NHL2025-26Results'!$C:$C,"&gt;0")</f>
        <v>3</v>
      </c>
      <c r="R4" s="14">
        <f>SUMIFS('NHL2025-26Results'!$E:$E,'NHL2025-26Results'!$B:$B,A4,'NHL2025-26Results'!$E:$E,"&gt;0")/COUNTIFS('NHL2025-26Results'!$B:$B,A4,'NHL2025-26Results'!$E:$E,"&gt;0")</f>
        <v>4.5</v>
      </c>
    </row>
    <row r="5" spans="1:18" x14ac:dyDescent="0.2">
      <c r="A5" s="4" t="s">
        <v>16</v>
      </c>
      <c r="B5">
        <f>SUM(Table1[[#This Row],[W]:[OTL]])</f>
        <v>24</v>
      </c>
      <c r="C5">
        <f>COUNTIF(NHL2025_26Results[Winning Team],Standings!A5)</f>
        <v>8</v>
      </c>
      <c r="D5">
        <f>COUNTIFS('NHL2025-26Results'!$H:$H,A5,'NHL2025-26Results'!$F:$F,"")</f>
        <v>13</v>
      </c>
      <c r="E5">
        <f>COUNTIFS('NHL2025-26Results'!$F:$F,"OT",'NHL2025-26Results'!$H:$H,A5) + COUNTIFS('NHL2025-26Results'!$F:$F,"SO",'NHL2025-26Results'!$H:$H,A5)</f>
        <v>3</v>
      </c>
      <c r="F5" s="3">
        <f>(Table1[[#This Row],[W]]*2)+Table1[[#This Row],[OTL]]</f>
        <v>19</v>
      </c>
      <c r="G5">
        <f>COUNTIFS('NHL2025-26Results'!$D:$D,A5,'NHL2025-26Results'!$G:$G,A5)</f>
        <v>4</v>
      </c>
      <c r="H5">
        <f>COUNTIFS('NHL2025-26Results'!$D:$D,A5,'NHL2025-26Results'!$H:$H,A5,'NHL2025-26Results'!$F:$F,"")</f>
        <v>4</v>
      </c>
      <c r="I5">
        <f>COUNTIFS('NHL2025-26Results'!$D:$D,A5,'NHL2025-26Results'!$H:$H,A5,'NHL2025-26Results'!$F:$F,"OT") + COUNTIFS('NHL2025-26Results'!$D:$D,A5,'NHL2025-26Results'!$H:$H,A5,'NHL2025-26Results'!$F:$F,"SO")</f>
        <v>2</v>
      </c>
      <c r="J5">
        <f>COUNTIFS('NHL2025-26Results'!$B:$B,A5,'NHL2025-26Results'!$G:$G,A5)</f>
        <v>4</v>
      </c>
      <c r="K5">
        <f>COUNTIFS('NHL2025-26Results'!$B:$B,A5,'NHL2025-26Results'!$H:$H,A5,'NHL2025-26Results'!$F:$F,"")</f>
        <v>9</v>
      </c>
      <c r="L5">
        <f>COUNTIFS('NHL2025-26Results'!$B:$B,A5,'NHL2025-26Results'!$H:$H,A5,'NHL2025-26Results'!$F:$F,"OT") + COUNTIFS('NHL2025-26Results'!$B:$B,A5,'NHL2025-26Results'!$H:$H,A5,'NHL2025-26Results'!$F:$F,"SO")</f>
        <v>1</v>
      </c>
      <c r="M5" s="11">
        <f>Table1[[#This Row],[HomeWins]]/SUM(Table1[[#This Row],[HomeWins]:[HomeOTL]])</f>
        <v>0.4</v>
      </c>
      <c r="N5" s="11">
        <f>Table1[[#This Row],[AwayWins]]/SUM(Table1[[#This Row],[AwayWins]:[AwayOTL]])</f>
        <v>0.2857142857142857</v>
      </c>
      <c r="O5" s="14">
        <f>SUMIFS('NHL2025-26Results'!$E:$E,'NHL2025-26Results'!$D:$D,A5,'NHL2025-26Results'!$E:$E,"&gt;0")/COUNTIFS('NHL2025-26Results'!$D:$D,A5,'NHL2025-26Results'!$E:$E,"&gt;0")</f>
        <v>2.6666666666666665</v>
      </c>
      <c r="P5" s="14">
        <f>SUMIFS('NHL2025-26Results'!$C:$C,'NHL2025-26Results'!$B:$B,A5,'NHL2025-26Results'!$C:$C,"&gt;0")/COUNTIFS('NHL2025-26Results'!$B:$B,A5,'NHL2025-26Results'!$C:$C,"&gt;0")</f>
        <v>2.6923076923076925</v>
      </c>
      <c r="Q5" s="14">
        <f>SUMIFS('NHL2025-26Results'!$C:$C,'NHL2025-26Results'!$D:$D,A5,'NHL2025-26Results'!$C:$C,"&gt;0")/COUNTIFS('NHL2025-26Results'!$D:$D,A5,'NHL2025-26Results'!$C:$C,"&gt;0")</f>
        <v>2.6666666666666665</v>
      </c>
      <c r="R5" s="14">
        <f>SUMIFS('NHL2025-26Results'!$E:$E,'NHL2025-26Results'!$B:$B,A5,'NHL2025-26Results'!$E:$E,"&gt;0")/COUNTIFS('NHL2025-26Results'!$B:$B,A5,'NHL2025-26Results'!$E:$E,"&gt;0")</f>
        <v>3.5</v>
      </c>
    </row>
    <row r="6" spans="1:18" x14ac:dyDescent="0.2">
      <c r="A6" s="4" t="s">
        <v>25</v>
      </c>
      <c r="B6">
        <f>SUM(Table1[[#This Row],[W]:[OTL]])</f>
        <v>22</v>
      </c>
      <c r="C6">
        <f>COUNTIF(NHL2025_26Results[Winning Team],Standings!A6)</f>
        <v>14</v>
      </c>
      <c r="D6">
        <f>COUNTIFS('NHL2025-26Results'!$H:$H,A6,'NHL2025-26Results'!$F:$F,"")</f>
        <v>6</v>
      </c>
      <c r="E6">
        <f>COUNTIFS('NHL2025-26Results'!$F:$F,"OT",'NHL2025-26Results'!$H:$H,A6) + COUNTIFS('NHL2025-26Results'!$F:$F,"SO",'NHL2025-26Results'!$H:$H,A6)</f>
        <v>2</v>
      </c>
      <c r="F6" s="3">
        <f>(Table1[[#This Row],[W]]*2)+Table1[[#This Row],[OTL]]</f>
        <v>30</v>
      </c>
      <c r="G6">
        <f>COUNTIFS('NHL2025-26Results'!$D:$D,A6,'NHL2025-26Results'!$G:$G,A6)</f>
        <v>6</v>
      </c>
      <c r="H6">
        <f>COUNTIFS('NHL2025-26Results'!$D:$D,A6,'NHL2025-26Results'!$H:$H,A6,'NHL2025-26Results'!$F:$F,"")</f>
        <v>2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8</v>
      </c>
      <c r="K6">
        <f>COUNTIFS('NHL2025-26Results'!$B:$B,A6,'NHL2025-26Results'!$H:$H,A6,'NHL2025-26Results'!$F:$F,"")</f>
        <v>4</v>
      </c>
      <c r="L6">
        <f>COUNTIFS('NHL2025-26Results'!$B:$B,A6,'NHL2025-26Results'!$H:$H,A6,'NHL2025-26Results'!$F:$F,"OT") + COUNTIFS('NHL2025-26Results'!$B:$B,A6,'NHL2025-26Results'!$H:$H,A6,'NHL2025-26Results'!$F:$F,"SO")</f>
        <v>1</v>
      </c>
      <c r="M6" s="11">
        <f>Table1[[#This Row],[HomeWins]]/SUM(Table1[[#This Row],[HomeWins]:[HomeOTL]])</f>
        <v>0.66666666666666663</v>
      </c>
      <c r="N6" s="11">
        <f>Table1[[#This Row],[AwayWins]]/SUM(Table1[[#This Row],[AwayWins]:[AwayOTL]])</f>
        <v>0.61538461538461542</v>
      </c>
      <c r="O6" s="14">
        <f>SUMIFS('NHL2025-26Results'!$E:$E,'NHL2025-26Results'!$D:$D,A6,'NHL2025-26Results'!$E:$E,"&gt;0")/COUNTIFS('NHL2025-26Results'!$D:$D,A6,'NHL2025-26Results'!$E:$E,"&gt;0")</f>
        <v>4.1111111111111107</v>
      </c>
      <c r="P6" s="14">
        <f>SUMIFS('NHL2025-26Results'!$C:$C,'NHL2025-26Results'!$B:$B,A6,'NHL2025-26Results'!$C:$C,"&gt;0")/COUNTIFS('NHL2025-26Results'!$B:$B,A6,'NHL2025-26Results'!$C:$C,"&gt;0")</f>
        <v>3.1538461538461537</v>
      </c>
      <c r="Q6" s="14">
        <f>SUMIFS('NHL2025-26Results'!$C:$C,'NHL2025-26Results'!$D:$D,A6,'NHL2025-26Results'!$C:$C,"&gt;0")/COUNTIFS('NHL2025-26Results'!$D:$D,A6,'NHL2025-26Results'!$C:$C,"&gt;0")</f>
        <v>3.4444444444444446</v>
      </c>
      <c r="R6" s="14">
        <f>SUMIFS('NHL2025-26Results'!$E:$E,'NHL2025-26Results'!$B:$B,A6,'NHL2025-26Results'!$E:$E,"&gt;0")/COUNTIFS('NHL2025-26Results'!$B:$B,A6,'NHL2025-26Results'!$E:$E,"&gt;0")</f>
        <v>2.8333333333333335</v>
      </c>
    </row>
    <row r="7" spans="1:18" x14ac:dyDescent="0.2">
      <c r="A7" s="4" t="s">
        <v>10</v>
      </c>
      <c r="B7">
        <f>SUM(Table1[[#This Row],[W]:[OTL]])</f>
        <v>22</v>
      </c>
      <c r="C7">
        <f>COUNTIF(NHL2025_26Results[Winning Team],Standings!A7)</f>
        <v>10</v>
      </c>
      <c r="D7">
        <f>COUNTIFS('NHL2025-26Results'!$H:$H,A7,'NHL2025-26Results'!$F:$F,"")</f>
        <v>8</v>
      </c>
      <c r="E7">
        <f>COUNTIFS('NHL2025-26Results'!$F:$F,"OT",'NHL2025-26Results'!$H:$H,A7) + COUNTIFS('NHL2025-26Results'!$F:$F,"SO",'NHL2025-26Results'!$H:$H,A7)</f>
        <v>4</v>
      </c>
      <c r="F7" s="3">
        <f>(Table1[[#This Row],[W]]*2)+Table1[[#This Row],[OTL]]</f>
        <v>24</v>
      </c>
      <c r="G7">
        <f>COUNTIFS('NHL2025-26Results'!$D:$D,A7,'NHL2025-26Results'!$G:$G,A7)</f>
        <v>5</v>
      </c>
      <c r="H7">
        <f>COUNTIFS('NHL2025-26Results'!$D:$D,A7,'NHL2025-26Results'!$H:$H,A7,'NHL2025-26Results'!$F:$F,"")</f>
        <v>4</v>
      </c>
      <c r="I7">
        <f>COUNTIFS('NHL2025-26Results'!$D:$D,A7,'NHL2025-26Results'!$H:$H,A7,'NHL2025-26Results'!$F:$F,"OT") + COUNTIFS('NHL2025-26Results'!$D:$D,A7,'NHL2025-26Results'!$H:$H,A7,'NHL2025-26Results'!$F:$F,"SO")</f>
        <v>2</v>
      </c>
      <c r="J7">
        <f>COUNTIFS('NHL2025-26Results'!$B:$B,A7,'NHL2025-26Results'!$G:$G,A7)</f>
        <v>5</v>
      </c>
      <c r="K7">
        <f>COUNTIFS('NHL2025-26Results'!$B:$B,A7,'NHL2025-26Results'!$H:$H,A7,'NHL2025-26Results'!$F:$F,"")</f>
        <v>4</v>
      </c>
      <c r="L7">
        <f>COUNTIFS('NHL2025-26Results'!$B:$B,A7,'NHL2025-26Results'!$H:$H,A7,'NHL2025-26Results'!$F:$F,"OT") + COUNTIFS('NHL2025-26Results'!$B:$B,A7,'NHL2025-26Results'!$H:$H,A7,'NHL2025-26Results'!$F:$F,"SO")</f>
        <v>2</v>
      </c>
      <c r="M7" s="11">
        <f>Table1[[#This Row],[HomeWins]]/SUM(Table1[[#This Row],[HomeWins]:[HomeOTL]])</f>
        <v>0.45454545454545453</v>
      </c>
      <c r="N7" s="11">
        <f>Table1[[#This Row],[AwayWins]]/SUM(Table1[[#This Row],[AwayWins]:[AwayOTL]])</f>
        <v>0.45454545454545453</v>
      </c>
      <c r="O7" s="14">
        <f>SUMIFS('NHL2025-26Results'!$E:$E,'NHL2025-26Results'!$D:$D,A7,'NHL2025-26Results'!$E:$E,"&gt;0")/COUNTIFS('NHL2025-26Results'!$D:$D,A7,'NHL2025-26Results'!$E:$E,"&gt;0")</f>
        <v>3</v>
      </c>
      <c r="P7" s="14">
        <f>SUMIFS('NHL2025-26Results'!$C:$C,'NHL2025-26Results'!$B:$B,A7,'NHL2025-26Results'!$C:$C,"&gt;0")/COUNTIFS('NHL2025-26Results'!$B:$B,A7,'NHL2025-26Results'!$C:$C,"&gt;0")</f>
        <v>3.5454545454545454</v>
      </c>
      <c r="Q7" s="14">
        <f>SUMIFS('NHL2025-26Results'!$C:$C,'NHL2025-26Results'!$D:$D,A7,'NHL2025-26Results'!$C:$C,"&gt;0")/COUNTIFS('NHL2025-26Results'!$D:$D,A7,'NHL2025-26Results'!$C:$C,"&gt;0")</f>
        <v>2.3636363636363638</v>
      </c>
      <c r="R7" s="14">
        <f>SUMIFS('NHL2025-26Results'!$E:$E,'NHL2025-26Results'!$B:$B,A7,'NHL2025-26Results'!$E:$E,"&gt;0")/COUNTIFS('NHL2025-26Results'!$B:$B,A7,'NHL2025-26Results'!$E:$E,"&gt;0")</f>
        <v>3.6</v>
      </c>
    </row>
    <row r="8" spans="1:18" x14ac:dyDescent="0.2">
      <c r="A8" s="4" t="s">
        <v>12</v>
      </c>
      <c r="B8">
        <f>SUM(Table1[[#This Row],[W]:[OTL]])</f>
        <v>22</v>
      </c>
      <c r="C8">
        <f>COUNTIF(NHL2025_26Results[Winning Team],Standings!A8)</f>
        <v>16</v>
      </c>
      <c r="D8">
        <f>COUNTIFS('NHL2025-26Results'!$H:$H,A8,'NHL2025-26Results'!$F:$F,"")</f>
        <v>1</v>
      </c>
      <c r="E8">
        <f>COUNTIFS('NHL2025-26Results'!$F:$F,"OT",'NHL2025-26Results'!$H:$H,A8) + COUNTIFS('NHL2025-26Results'!$F:$F,"SO",'NHL2025-26Results'!$H:$H,A8)</f>
        <v>5</v>
      </c>
      <c r="F8" s="3">
        <f>(Table1[[#This Row],[W]]*2)+Table1[[#This Row],[OTL]]</f>
        <v>37</v>
      </c>
      <c r="G8">
        <f>COUNTIFS('NHL2025-26Results'!$D:$D,A8,'NHL2025-26Results'!$G:$G,A8)</f>
        <v>8</v>
      </c>
      <c r="H8">
        <f>COUNTIFS('NHL2025-26Results'!$D:$D,A8,'NHL2025-26Results'!$H:$H,A8,'NHL2025-26Results'!$F:$F,"")</f>
        <v>0</v>
      </c>
      <c r="I8">
        <f>COUNTIFS('NHL2025-26Results'!$D:$D,A8,'NHL2025-26Results'!$H:$H,A8,'NHL2025-26Results'!$F:$F,"OT") + COUNTIFS('NHL2025-26Results'!$D:$D,A8,'NHL2025-26Results'!$H:$H,A8,'NHL2025-26Results'!$F:$F,"SO")</f>
        <v>2</v>
      </c>
      <c r="J8">
        <f>COUNTIFS('NHL2025-26Results'!$B:$B,A8,'NHL2025-26Results'!$G:$G,A8)</f>
        <v>8</v>
      </c>
      <c r="K8">
        <f>COUNTIFS('NHL2025-26Results'!$B:$B,A8,'NHL2025-26Results'!$H:$H,A8,'NHL2025-26Results'!$F:$F,"")</f>
        <v>1</v>
      </c>
      <c r="L8">
        <f>COUNTIFS('NHL2025-26Results'!$B:$B,A8,'NHL2025-26Results'!$H:$H,A8,'NHL2025-26Results'!$F:$F,"OT") + COUNTIFS('NHL2025-26Results'!$B:$B,A8,'NHL2025-26Results'!$H:$H,A8,'NHL2025-26Results'!$F:$F,"SO")</f>
        <v>3</v>
      </c>
      <c r="M8" s="11">
        <f>Table1[[#This Row],[HomeWins]]/SUM(Table1[[#This Row],[HomeWins]:[HomeOTL]])</f>
        <v>0.8</v>
      </c>
      <c r="N8" s="11">
        <f>Table1[[#This Row],[AwayWins]]/SUM(Table1[[#This Row],[AwayWins]:[AwayOTL]])</f>
        <v>0.66666666666666663</v>
      </c>
      <c r="O8" s="14">
        <f>SUMIFS('NHL2025-26Results'!$E:$E,'NHL2025-26Results'!$D:$D,A8,'NHL2025-26Results'!$E:$E,"&gt;0")/COUNTIFS('NHL2025-26Results'!$D:$D,A8,'NHL2025-26Results'!$E:$E,"&gt;0")</f>
        <v>4.5</v>
      </c>
      <c r="P8" s="14">
        <f>SUMIFS('NHL2025-26Results'!$C:$C,'NHL2025-26Results'!$B:$B,A8,'NHL2025-26Results'!$C:$C,"&gt;0")/COUNTIFS('NHL2025-26Results'!$B:$B,A8,'NHL2025-26Results'!$C:$C,"&gt;0")</f>
        <v>3.5833333333333335</v>
      </c>
      <c r="Q8" s="14">
        <f>SUMIFS('NHL2025-26Results'!$C:$C,'NHL2025-26Results'!$D:$D,A8,'NHL2025-26Results'!$C:$C,"&gt;0")/COUNTIFS('NHL2025-26Results'!$D:$D,A8,'NHL2025-26Results'!$C:$C,"&gt;0")</f>
        <v>2.6</v>
      </c>
      <c r="R8" s="14">
        <f>SUMIFS('NHL2025-26Results'!$E:$E,'NHL2025-26Results'!$B:$B,A8,'NHL2025-26Results'!$E:$E,"&gt;0")/COUNTIFS('NHL2025-26Results'!$B:$B,A8,'NHL2025-26Results'!$E:$E,"&gt;0")</f>
        <v>2.4</v>
      </c>
    </row>
    <row r="9" spans="1:18" x14ac:dyDescent="0.2">
      <c r="A9" s="4" t="s">
        <v>28</v>
      </c>
      <c r="B9">
        <f>SUM(Table1[[#This Row],[W]:[OTL]])</f>
        <v>22</v>
      </c>
      <c r="C9">
        <f>COUNTIF(NHL2025_26Results[Winning Team],Standings!A9)</f>
        <v>11</v>
      </c>
      <c r="D9">
        <f>COUNTIFS('NHL2025-26Results'!$H:$H,A9,'NHL2025-26Results'!$F:$F,"")</f>
        <v>8</v>
      </c>
      <c r="E9">
        <f>COUNTIFS('NHL2025-26Results'!$F:$F,"OT",'NHL2025-26Results'!$H:$H,A9) + COUNTIFS('NHL2025-26Results'!$F:$F,"SO",'NHL2025-26Results'!$H:$H,A9)</f>
        <v>3</v>
      </c>
      <c r="F9" s="3">
        <f>(Table1[[#This Row],[W]]*2)+Table1[[#This Row],[OTL]]</f>
        <v>25</v>
      </c>
      <c r="G9">
        <f>COUNTIFS('NHL2025-26Results'!$D:$D,A9,'NHL2025-26Results'!$G:$G,A9)</f>
        <v>5</v>
      </c>
      <c r="H9">
        <f>COUNTIFS('NHL2025-26Results'!$D:$D,A9,'NHL2025-26Results'!$H:$H,A9,'NHL2025-26Results'!$F:$F,"")</f>
        <v>3</v>
      </c>
      <c r="I9">
        <f>COUNTIFS('NHL2025-26Results'!$D:$D,A9,'NHL2025-26Results'!$H:$H,A9,'NHL2025-26Results'!$F:$F,"OT") + COUNTIFS('NHL2025-26Results'!$D:$D,A9,'NHL2025-26Results'!$H:$H,A9,'NHL2025-26Results'!$F:$F,"SO")</f>
        <v>1</v>
      </c>
      <c r="J9">
        <f>COUNTIFS('NHL2025-26Results'!$B:$B,A9,'NHL2025-26Results'!$G:$G,A9)</f>
        <v>6</v>
      </c>
      <c r="K9">
        <f>COUNTIFS('NHL2025-26Results'!$B:$B,A9,'NHL2025-26Results'!$H:$H,A9,'NHL2025-26Results'!$F:$F,"")</f>
        <v>5</v>
      </c>
      <c r="L9">
        <f>COUNTIFS('NHL2025-26Results'!$B:$B,A9,'NHL2025-26Results'!$H:$H,A9,'NHL2025-26Results'!$F:$F,"OT") + COUNTIFS('NHL2025-26Results'!$B:$B,A9,'NHL2025-26Results'!$H:$H,A9,'NHL2025-26Results'!$F:$F,"SO")</f>
        <v>2</v>
      </c>
      <c r="M9" s="11">
        <f>Table1[[#This Row],[HomeWins]]/SUM(Table1[[#This Row],[HomeWins]:[HomeOTL]])</f>
        <v>0.55555555555555558</v>
      </c>
      <c r="N9" s="11">
        <f>Table1[[#This Row],[AwayWins]]/SUM(Table1[[#This Row],[AwayWins]:[AwayOTL]])</f>
        <v>0.46153846153846156</v>
      </c>
      <c r="O9" s="14">
        <f>SUMIFS('NHL2025-26Results'!$E:$E,'NHL2025-26Results'!$D:$D,A9,'NHL2025-26Results'!$E:$E,"&gt;0")/COUNTIFS('NHL2025-26Results'!$D:$D,A9,'NHL2025-26Results'!$E:$E,"&gt;0")</f>
        <v>2.8888888888888888</v>
      </c>
      <c r="P9" s="14">
        <f>SUMIFS('NHL2025-26Results'!$C:$C,'NHL2025-26Results'!$B:$B,A9,'NHL2025-26Results'!$C:$C,"&gt;0")/COUNTIFS('NHL2025-26Results'!$B:$B,A9,'NHL2025-26Results'!$C:$C,"&gt;0")</f>
        <v>3.2307692307692308</v>
      </c>
      <c r="Q9" s="14">
        <f>SUMIFS('NHL2025-26Results'!$C:$C,'NHL2025-26Results'!$D:$D,A9,'NHL2025-26Results'!$C:$C,"&gt;0")/COUNTIFS('NHL2025-26Results'!$D:$D,A9,'NHL2025-26Results'!$C:$C,"&gt;0")</f>
        <v>3.1111111111111112</v>
      </c>
      <c r="R9" s="14">
        <f>SUMIFS('NHL2025-26Results'!$E:$E,'NHL2025-26Results'!$B:$B,A9,'NHL2025-26Results'!$E:$E,"&gt;0")/COUNTIFS('NHL2025-26Results'!$B:$B,A9,'NHL2025-26Results'!$E:$E,"&gt;0")</f>
        <v>3.3076923076923075</v>
      </c>
    </row>
    <row r="10" spans="1:18" x14ac:dyDescent="0.2">
      <c r="A10" s="4" t="s">
        <v>39</v>
      </c>
      <c r="B10">
        <f>SUM(Table1[[#This Row],[W]:[OTL]])</f>
        <v>22</v>
      </c>
      <c r="C10">
        <f>COUNTIF(NHL2025_26Results[Winning Team],Standings!A10)</f>
        <v>13</v>
      </c>
      <c r="D10">
        <f>COUNTIFS('NHL2025-26Results'!$H:$H,A10,'NHL2025-26Results'!$F:$F,"")</f>
        <v>5</v>
      </c>
      <c r="E10">
        <f>COUNTIFS('NHL2025-26Results'!$F:$F,"OT",'NHL2025-26Results'!$H:$H,A10) + COUNTIFS('NHL2025-26Results'!$F:$F,"SO",'NHL2025-26Results'!$H:$H,A10)</f>
        <v>4</v>
      </c>
      <c r="F10" s="3">
        <f>(Table1[[#This Row],[W]]*2)+Table1[[#This Row],[OTL]]</f>
        <v>30</v>
      </c>
      <c r="G10">
        <f>COUNTIFS('NHL2025-26Results'!$D:$D,A10,'NHL2025-26Results'!$G:$G,A10)</f>
        <v>6</v>
      </c>
      <c r="H10">
        <f>COUNTIFS('NHL2025-26Results'!$D:$D,A10,'NHL2025-26Results'!$H:$H,A10,'NHL2025-26Results'!$F:$F,"")</f>
        <v>4</v>
      </c>
      <c r="I10">
        <f>COUNTIFS('NHL2025-26Results'!$D:$D,A10,'NHL2025-26Results'!$H:$H,A10,'NHL2025-26Results'!$F:$F,"OT") + COUNTIFS('NHL2025-26Results'!$D:$D,A10,'NHL2025-26Results'!$H:$H,A10,'NHL2025-26Results'!$F:$F,"SO")</f>
        <v>1</v>
      </c>
      <c r="J10">
        <f>COUNTIFS('NHL2025-26Results'!$B:$B,A10,'NHL2025-26Results'!$G:$G,A10)</f>
        <v>7</v>
      </c>
      <c r="K10">
        <f>COUNTIFS('NHL2025-26Results'!$B:$B,A10,'NHL2025-26Results'!$H:$H,A10,'NHL2025-26Results'!$F:$F,"")</f>
        <v>1</v>
      </c>
      <c r="L10">
        <f>COUNTIFS('NHL2025-26Results'!$B:$B,A10,'NHL2025-26Results'!$H:$H,A10,'NHL2025-26Results'!$F:$F,"OT") + COUNTIFS('NHL2025-26Results'!$B:$B,A10,'NHL2025-26Results'!$H:$H,A10,'NHL2025-26Results'!$F:$F,"SO")</f>
        <v>3</v>
      </c>
      <c r="M10" s="11">
        <f>Table1[[#This Row],[HomeWins]]/SUM(Table1[[#This Row],[HomeWins]:[HomeOTL]])</f>
        <v>0.54545454545454541</v>
      </c>
      <c r="N10" s="11">
        <f>Table1[[#This Row],[AwayWins]]/SUM(Table1[[#This Row],[AwayWins]:[AwayOTL]])</f>
        <v>0.63636363636363635</v>
      </c>
      <c r="O10" s="14">
        <f>SUMIFS('NHL2025-26Results'!$E:$E,'NHL2025-26Results'!$D:$D,A10,'NHL2025-26Results'!$E:$E,"&gt;0")/COUNTIFS('NHL2025-26Results'!$D:$D,A10,'NHL2025-26Results'!$E:$E,"&gt;0")</f>
        <v>3</v>
      </c>
      <c r="P10" s="14">
        <f>SUMIFS('NHL2025-26Results'!$C:$C,'NHL2025-26Results'!$B:$B,A10,'NHL2025-26Results'!$C:$C,"&gt;0")/COUNTIFS('NHL2025-26Results'!$B:$B,A10,'NHL2025-26Results'!$C:$C,"&gt;0")</f>
        <v>3.5454545454545454</v>
      </c>
      <c r="Q10" s="14">
        <f>SUMIFS('NHL2025-26Results'!$C:$C,'NHL2025-26Results'!$D:$D,A10,'NHL2025-26Results'!$C:$C,"&gt;0")/COUNTIFS('NHL2025-26Results'!$D:$D,A10,'NHL2025-26Results'!$C:$C,"&gt;0")</f>
        <v>3.2</v>
      </c>
      <c r="R10" s="14">
        <f>SUMIFS('NHL2025-26Results'!$E:$E,'NHL2025-26Results'!$B:$B,A10,'NHL2025-26Results'!$E:$E,"&gt;0")/COUNTIFS('NHL2025-26Results'!$B:$B,A10,'NHL2025-26Results'!$E:$E,"&gt;0")</f>
        <v>3</v>
      </c>
    </row>
    <row r="11" spans="1:18" x14ac:dyDescent="0.2">
      <c r="A11" s="4" t="s">
        <v>26</v>
      </c>
      <c r="B11">
        <f>SUM(Table1[[#This Row],[W]:[OTL]])</f>
        <v>22</v>
      </c>
      <c r="C11">
        <f>COUNTIF(NHL2025_26Results[Winning Team],Standings!A11)</f>
        <v>13</v>
      </c>
      <c r="D11">
        <f>COUNTIFS('NHL2025-26Results'!$H:$H,A11,'NHL2025-26Results'!$F:$F,"")</f>
        <v>8</v>
      </c>
      <c r="E11">
        <f>COUNTIFS('NHL2025-26Results'!$F:$F,"OT",'NHL2025-26Results'!$H:$H,A11) + COUNTIFS('NHL2025-26Results'!$F:$F,"SO",'NHL2025-26Results'!$H:$H,A11)</f>
        <v>1</v>
      </c>
      <c r="F11" s="3">
        <f>(Table1[[#This Row],[W]]*2)+Table1[[#This Row],[OTL]]</f>
        <v>27</v>
      </c>
      <c r="G11">
        <f>COUNTIFS('NHL2025-26Results'!$D:$D,A11,'NHL2025-26Results'!$G:$G,A11)</f>
        <v>8</v>
      </c>
      <c r="H11">
        <f>COUNTIFS('NHL2025-26Results'!$D:$D,A11,'NHL2025-26Results'!$H:$H,A11,'NHL2025-26Results'!$F:$F,"")</f>
        <v>4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5</v>
      </c>
      <c r="K11">
        <f>COUNTIFS('NHL2025-26Results'!$B:$B,A11,'NHL2025-26Results'!$H:$H,A11,'NHL2025-26Results'!$F:$F,"")</f>
        <v>4</v>
      </c>
      <c r="L11">
        <f>COUNTIFS('NHL2025-26Results'!$B:$B,A11,'NHL2025-26Results'!$H:$H,A11,'NHL2025-26Results'!$F:$F,"OT") + COUNTIFS('NHL2025-26Results'!$B:$B,A11,'NHL2025-26Results'!$H:$H,A11,'NHL2025-26Results'!$F:$F,"SO")</f>
        <v>0</v>
      </c>
      <c r="M11" s="11">
        <f>Table1[[#This Row],[HomeWins]]/SUM(Table1[[#This Row],[HomeWins]:[HomeOTL]])</f>
        <v>0.61538461538461542</v>
      </c>
      <c r="N11" s="11">
        <f>Table1[[#This Row],[AwayWins]]/SUM(Table1[[#This Row],[AwayWins]:[AwayOTL]])</f>
        <v>0.55555555555555558</v>
      </c>
      <c r="O11" s="14">
        <f>SUMIFS('NHL2025-26Results'!$E:$E,'NHL2025-26Results'!$D:$D,A11,'NHL2025-26Results'!$E:$E,"&gt;0")/COUNTIFS('NHL2025-26Results'!$D:$D,A11,'NHL2025-26Results'!$E:$E,"&gt;0")</f>
        <v>3.5833333333333335</v>
      </c>
      <c r="P11" s="14">
        <f>SUMIFS('NHL2025-26Results'!$C:$C,'NHL2025-26Results'!$B:$B,A11,'NHL2025-26Results'!$C:$C,"&gt;0")/COUNTIFS('NHL2025-26Results'!$B:$B,A11,'NHL2025-26Results'!$C:$C,"&gt;0")</f>
        <v>2.875</v>
      </c>
      <c r="Q11" s="14">
        <f>SUMIFS('NHL2025-26Results'!$C:$C,'NHL2025-26Results'!$D:$D,A11,'NHL2025-26Results'!$C:$C,"&gt;0")/COUNTIFS('NHL2025-26Results'!$D:$D,A11,'NHL2025-26Results'!$C:$C,"&gt;0")</f>
        <v>3.3076923076923075</v>
      </c>
      <c r="R11" s="14">
        <f>SUMIFS('NHL2025-26Results'!$E:$E,'NHL2025-26Results'!$B:$B,A11,'NHL2025-26Results'!$E:$E,"&gt;0")/COUNTIFS('NHL2025-26Results'!$B:$B,A11,'NHL2025-26Results'!$E:$E,"&gt;0")</f>
        <v>3</v>
      </c>
    </row>
    <row r="12" spans="1:18" x14ac:dyDescent="0.2">
      <c r="A12" s="4" t="s">
        <v>17</v>
      </c>
      <c r="B12">
        <f>SUM(Table1[[#This Row],[W]:[OTL]])</f>
        <v>24</v>
      </c>
      <c r="C12">
        <f>COUNTIF(NHL2025_26Results[Winning Team],Standings!A12)</f>
        <v>10</v>
      </c>
      <c r="D12">
        <f>COUNTIFS('NHL2025-26Results'!$H:$H,A12,'NHL2025-26Results'!$F:$F,"")</f>
        <v>9</v>
      </c>
      <c r="E12">
        <f>COUNTIFS('NHL2025-26Results'!$F:$F,"OT",'NHL2025-26Results'!$H:$H,A12) + COUNTIFS('NHL2025-26Results'!$F:$F,"SO",'NHL2025-26Results'!$H:$H,A12)</f>
        <v>5</v>
      </c>
      <c r="F12" s="3">
        <f>(Table1[[#This Row],[W]]*2)+Table1[[#This Row],[OTL]]</f>
        <v>25</v>
      </c>
      <c r="G12">
        <f>COUNTIFS('NHL2025-26Results'!$D:$D,A12,'NHL2025-26Results'!$G:$G,A12)</f>
        <v>5</v>
      </c>
      <c r="H12">
        <f>COUNTIFS('NHL2025-26Results'!$D:$D,A12,'NHL2025-26Results'!$H:$H,A12,'NHL2025-26Results'!$F:$F,"")</f>
        <v>1</v>
      </c>
      <c r="I12">
        <f>COUNTIFS('NHL2025-26Results'!$D:$D,A12,'NHL2025-26Results'!$H:$H,A12,'NHL2025-26Results'!$F:$F,"OT") + COUNTIFS('NHL2025-26Results'!$D:$D,A12,'NHL2025-26Results'!$H:$H,A12,'NHL2025-26Results'!$F:$F,"SO")</f>
        <v>2</v>
      </c>
      <c r="J12">
        <f>COUNTIFS('NHL2025-26Results'!$B:$B,A12,'NHL2025-26Results'!$G:$G,A12)</f>
        <v>5</v>
      </c>
      <c r="K12">
        <f>COUNTIFS('NHL2025-26Results'!$B:$B,A12,'NHL2025-26Results'!$H:$H,A12,'NHL2025-26Results'!$F:$F,"")</f>
        <v>8</v>
      </c>
      <c r="L12">
        <f>COUNTIFS('NHL2025-26Results'!$B:$B,A12,'NHL2025-26Results'!$H:$H,A12,'NHL2025-26Results'!$F:$F,"OT") + COUNTIFS('NHL2025-26Results'!$B:$B,A12,'NHL2025-26Results'!$H:$H,A12,'NHL2025-26Results'!$F:$F,"SO")</f>
        <v>3</v>
      </c>
      <c r="M12" s="11">
        <f>Table1[[#This Row],[HomeWins]]/SUM(Table1[[#This Row],[HomeWins]:[HomeOTL]])</f>
        <v>0.625</v>
      </c>
      <c r="N12" s="11">
        <f>Table1[[#This Row],[AwayWins]]/SUM(Table1[[#This Row],[AwayWins]:[AwayOTL]])</f>
        <v>0.3125</v>
      </c>
      <c r="O12" s="14">
        <f>SUMIFS('NHL2025-26Results'!$E:$E,'NHL2025-26Results'!$D:$D,A12,'NHL2025-26Results'!$E:$E,"&gt;0")/COUNTIFS('NHL2025-26Results'!$D:$D,A12,'NHL2025-26Results'!$E:$E,"&gt;0")</f>
        <v>3.75</v>
      </c>
      <c r="P12" s="14">
        <f>SUMIFS('NHL2025-26Results'!$C:$C,'NHL2025-26Results'!$B:$B,A12,'NHL2025-26Results'!$C:$C,"&gt;0")/COUNTIFS('NHL2025-26Results'!$B:$B,A12,'NHL2025-26Results'!$C:$C,"&gt;0")</f>
        <v>2.75</v>
      </c>
      <c r="Q12" s="14">
        <f>SUMIFS('NHL2025-26Results'!$C:$C,'NHL2025-26Results'!$D:$D,A12,'NHL2025-26Results'!$C:$C,"&gt;0")/COUNTIFS('NHL2025-26Results'!$D:$D,A12,'NHL2025-26Results'!$C:$C,"&gt;0")</f>
        <v>4</v>
      </c>
      <c r="R12" s="14">
        <f>SUMIFS('NHL2025-26Results'!$E:$E,'NHL2025-26Results'!$B:$B,A12,'NHL2025-26Results'!$E:$E,"&gt;0")/COUNTIFS('NHL2025-26Results'!$B:$B,A12,'NHL2025-26Results'!$E:$E,"&gt;0")</f>
        <v>3.6666666666666665</v>
      </c>
    </row>
    <row r="13" spans="1:18" x14ac:dyDescent="0.2">
      <c r="A13" s="4" t="s">
        <v>11</v>
      </c>
      <c r="B13">
        <f>SUM(Table1[[#This Row],[W]:[OTL]])</f>
        <v>21</v>
      </c>
      <c r="C13">
        <f>COUNTIF(NHL2025_26Results[Winning Team],Standings!A13)</f>
        <v>11</v>
      </c>
      <c r="D13">
        <f>COUNTIFS('NHL2025-26Results'!$H:$H,A13,'NHL2025-26Results'!$F:$F,"")</f>
        <v>9</v>
      </c>
      <c r="E13">
        <f>COUNTIFS('NHL2025-26Results'!$F:$F,"OT",'NHL2025-26Results'!$H:$H,A13) + COUNTIFS('NHL2025-26Results'!$F:$F,"SO",'NHL2025-26Results'!$H:$H,A13)</f>
        <v>1</v>
      </c>
      <c r="F13" s="3">
        <f>(Table1[[#This Row],[W]]*2)+Table1[[#This Row],[OTL]]</f>
        <v>23</v>
      </c>
      <c r="G13">
        <f>COUNTIFS('NHL2025-26Results'!$D:$D,A13,'NHL2025-26Results'!$G:$G,A13)</f>
        <v>8</v>
      </c>
      <c r="H13">
        <f>COUNTIFS('NHL2025-26Results'!$D:$D,A13,'NHL2025-26Results'!$H:$H,A13,'NHL2025-26Results'!$F:$F,"")</f>
        <v>3</v>
      </c>
      <c r="I13">
        <f>COUNTIFS('NHL2025-26Results'!$D:$D,A13,'NHL2025-26Results'!$H:$H,A13,'NHL2025-26Results'!$F:$F,"OT") + COUNTIFS('NHL2025-26Results'!$D:$D,A13,'NHL2025-26Results'!$H:$H,A13,'NHL2025-26Results'!$F:$F,"SO")</f>
        <v>1</v>
      </c>
      <c r="J13">
        <f>COUNTIFS('NHL2025-26Results'!$B:$B,A13,'NHL2025-26Results'!$G:$G,A13)</f>
        <v>3</v>
      </c>
      <c r="K13">
        <f>COUNTIFS('NHL2025-26Results'!$B:$B,A13,'NHL2025-26Results'!$H:$H,A13,'NHL2025-26Results'!$F:$F,"")</f>
        <v>6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0.66666666666666663</v>
      </c>
      <c r="N13" s="11">
        <f>Table1[[#This Row],[AwayWins]]/SUM(Table1[[#This Row],[AwayWins]:[AwayOTL]])</f>
        <v>0.33333333333333331</v>
      </c>
      <c r="O13" s="14">
        <f>SUMIFS('NHL2025-26Results'!$E:$E,'NHL2025-26Results'!$D:$D,A13,'NHL2025-26Results'!$E:$E,"&gt;0")/COUNTIFS('NHL2025-26Results'!$D:$D,A13,'NHL2025-26Results'!$E:$E,"&gt;0")</f>
        <v>3.5</v>
      </c>
      <c r="P13" s="14">
        <f>SUMIFS('NHL2025-26Results'!$C:$C,'NHL2025-26Results'!$B:$B,A13,'NHL2025-26Results'!$C:$C,"&gt;0")/COUNTIFS('NHL2025-26Results'!$B:$B,A13,'NHL2025-26Results'!$C:$C,"&gt;0")</f>
        <v>2.5</v>
      </c>
      <c r="Q13" s="14">
        <f>SUMIFS('NHL2025-26Results'!$C:$C,'NHL2025-26Results'!$D:$D,A13,'NHL2025-26Results'!$C:$C,"&gt;0")/COUNTIFS('NHL2025-26Results'!$D:$D,A13,'NHL2025-26Results'!$C:$C,"&gt;0")</f>
        <v>3.3</v>
      </c>
      <c r="R13" s="14">
        <f>SUMIFS('NHL2025-26Results'!$E:$E,'NHL2025-26Results'!$B:$B,A13,'NHL2025-26Results'!$E:$E,"&gt;0")/COUNTIFS('NHL2025-26Results'!$B:$B,A13,'NHL2025-26Results'!$E:$E,"&gt;0")</f>
        <v>3.5555555555555554</v>
      </c>
    </row>
    <row r="14" spans="1:18" x14ac:dyDescent="0.2">
      <c r="A14" s="4" t="s">
        <v>13</v>
      </c>
      <c r="B14">
        <f>SUM(Table1[[#This Row],[W]:[OTL]])</f>
        <v>22</v>
      </c>
      <c r="C14">
        <f>COUNTIF(NHL2025_26Results[Winning Team],Standings!A14)</f>
        <v>10</v>
      </c>
      <c r="D14">
        <f>COUNTIFS('NHL2025-26Results'!$H:$H,A14,'NHL2025-26Results'!$F:$F,"")</f>
        <v>6</v>
      </c>
      <c r="E14">
        <f>COUNTIFS('NHL2025-26Results'!$F:$F,"OT",'NHL2025-26Results'!$H:$H,A14) + COUNTIFS('NHL2025-26Results'!$F:$F,"SO",'NHL2025-26Results'!$H:$H,A14)</f>
        <v>6</v>
      </c>
      <c r="F14" s="3">
        <f>(Table1[[#This Row],[W]]*2)+Table1[[#This Row],[OTL]]</f>
        <v>26</v>
      </c>
      <c r="G14">
        <f>COUNTIFS('NHL2025-26Results'!$D:$D,A14,'NHL2025-26Results'!$G:$G,A14)</f>
        <v>1</v>
      </c>
      <c r="H14">
        <f>COUNTIFS('NHL2025-26Results'!$D:$D,A14,'NHL2025-26Results'!$H:$H,A14,'NHL2025-26Results'!$F:$F,"")</f>
        <v>4</v>
      </c>
      <c r="I14">
        <f>COUNTIFS('NHL2025-26Results'!$D:$D,A14,'NHL2025-26Results'!$H:$H,A14,'NHL2025-26Results'!$F:$F,"OT") + COUNTIFS('NHL2025-26Results'!$D:$D,A14,'NHL2025-26Results'!$H:$H,A14,'NHL2025-26Results'!$F:$F,"SO")</f>
        <v>3</v>
      </c>
      <c r="J14">
        <f>COUNTIFS('NHL2025-26Results'!$B:$B,A14,'NHL2025-26Results'!$G:$G,A14)</f>
        <v>9</v>
      </c>
      <c r="K14">
        <f>COUNTIFS('NHL2025-26Results'!$B:$B,A14,'NHL2025-26Results'!$H:$H,A14,'NHL2025-26Results'!$F:$F,"")</f>
        <v>2</v>
      </c>
      <c r="L14">
        <f>COUNTIFS('NHL2025-26Results'!$B:$B,A14,'NHL2025-26Results'!$H:$H,A14,'NHL2025-26Results'!$F:$F,"OT") + COUNTIFS('NHL2025-26Results'!$B:$B,A14,'NHL2025-26Results'!$H:$H,A14,'NHL2025-26Results'!$F:$F,"SO")</f>
        <v>3</v>
      </c>
      <c r="M14" s="11">
        <f>Table1[[#This Row],[HomeWins]]/SUM(Table1[[#This Row],[HomeWins]:[HomeOTL]])</f>
        <v>0.125</v>
      </c>
      <c r="N14" s="11">
        <f>Table1[[#This Row],[AwayWins]]/SUM(Table1[[#This Row],[AwayWins]:[AwayOTL]])</f>
        <v>0.6428571428571429</v>
      </c>
      <c r="O14" s="14">
        <f>SUMIFS('NHL2025-26Results'!$E:$E,'NHL2025-26Results'!$D:$D,A14,'NHL2025-26Results'!$E:$E,"&gt;0")/COUNTIFS('NHL2025-26Results'!$D:$D,A14,'NHL2025-26Results'!$E:$E,"&gt;0")</f>
        <v>2</v>
      </c>
      <c r="P14" s="14">
        <f>SUMIFS('NHL2025-26Results'!$C:$C,'NHL2025-26Results'!$B:$B,A14,'NHL2025-26Results'!$C:$C,"&gt;0")/COUNTIFS('NHL2025-26Results'!$B:$B,A14,'NHL2025-26Results'!$C:$C,"&gt;0")</f>
        <v>3.1428571428571428</v>
      </c>
      <c r="Q14" s="14">
        <f>SUMIFS('NHL2025-26Results'!$C:$C,'NHL2025-26Results'!$D:$D,A14,'NHL2025-26Results'!$C:$C,"&gt;0")/COUNTIFS('NHL2025-26Results'!$D:$D,A14,'NHL2025-26Results'!$C:$C,"&gt;0")</f>
        <v>3.8571428571428572</v>
      </c>
      <c r="R14" s="14">
        <f>SUMIFS('NHL2025-26Results'!$E:$E,'NHL2025-26Results'!$B:$B,A14,'NHL2025-26Results'!$E:$E,"&gt;0")/COUNTIFS('NHL2025-26Results'!$B:$B,A14,'NHL2025-26Results'!$E:$E,"&gt;0")</f>
        <v>2.7692307692307692</v>
      </c>
    </row>
    <row r="15" spans="1:18" x14ac:dyDescent="0.2">
      <c r="A15" s="4" t="s">
        <v>34</v>
      </c>
      <c r="B15">
        <f>SUM(Table1[[#This Row],[W]:[OTL]])</f>
        <v>23</v>
      </c>
      <c r="C15">
        <f>COUNTIF(NHL2025_26Results[Winning Team],Standings!A15)</f>
        <v>12</v>
      </c>
      <c r="D15">
        <f>COUNTIFS('NHL2025-26Results'!$H:$H,A15,'NHL2025-26Results'!$F:$F,"")</f>
        <v>7</v>
      </c>
      <c r="E15">
        <f>COUNTIFS('NHL2025-26Results'!$F:$F,"OT",'NHL2025-26Results'!$H:$H,A15) + COUNTIFS('NHL2025-26Results'!$F:$F,"SO",'NHL2025-26Results'!$H:$H,A15)</f>
        <v>4</v>
      </c>
      <c r="F15" s="3">
        <f>(Table1[[#This Row],[W]]*2)+Table1[[#This Row],[OTL]]</f>
        <v>28</v>
      </c>
      <c r="G15">
        <f>COUNTIFS('NHL2025-26Results'!$D:$D,A15,'NHL2025-26Results'!$G:$G,A15)</f>
        <v>7</v>
      </c>
      <c r="H15">
        <f>COUNTIFS('NHL2025-26Results'!$D:$D,A15,'NHL2025-26Results'!$H:$H,A15,'NHL2025-26Results'!$F:$F,"")</f>
        <v>3</v>
      </c>
      <c r="I15">
        <f>COUNTIFS('NHL2025-26Results'!$D:$D,A15,'NHL2025-26Results'!$H:$H,A15,'NHL2025-26Results'!$F:$F,"OT") + COUNTIFS('NHL2025-26Results'!$D:$D,A15,'NHL2025-26Results'!$H:$H,A15,'NHL2025-26Results'!$F:$F,"SO")</f>
        <v>3</v>
      </c>
      <c r="J15">
        <f>COUNTIFS('NHL2025-26Results'!$B:$B,A15,'NHL2025-26Results'!$G:$G,A15)</f>
        <v>5</v>
      </c>
      <c r="K15">
        <f>COUNTIFS('NHL2025-26Results'!$B:$B,A15,'NHL2025-26Results'!$H:$H,A15,'NHL2025-26Results'!$F:$F,"")</f>
        <v>4</v>
      </c>
      <c r="L15">
        <f>COUNTIFS('NHL2025-26Results'!$B:$B,A15,'NHL2025-26Results'!$H:$H,A15,'NHL2025-26Results'!$F:$F,"OT") + COUNTIFS('NHL2025-26Results'!$B:$B,A15,'NHL2025-26Results'!$H:$H,A15,'NHL2025-26Results'!$F:$F,"SO")</f>
        <v>1</v>
      </c>
      <c r="M15" s="11">
        <f>Table1[[#This Row],[HomeWins]]/SUM(Table1[[#This Row],[HomeWins]:[HomeOTL]])</f>
        <v>0.53846153846153844</v>
      </c>
      <c r="N15" s="11">
        <f>Table1[[#This Row],[AwayWins]]/SUM(Table1[[#This Row],[AwayWins]:[AwayOTL]])</f>
        <v>0.5</v>
      </c>
      <c r="O15" s="14">
        <f>SUMIFS('NHL2025-26Results'!$E:$E,'NHL2025-26Results'!$D:$D,A15,'NHL2025-26Results'!$E:$E,"&gt;0")/COUNTIFS('NHL2025-26Results'!$D:$D,A15,'NHL2025-26Results'!$E:$E,"&gt;0")</f>
        <v>3</v>
      </c>
      <c r="P15" s="14">
        <f>SUMIFS('NHL2025-26Results'!$C:$C,'NHL2025-26Results'!$B:$B,A15,'NHL2025-26Results'!$C:$C,"&gt;0")/COUNTIFS('NHL2025-26Results'!$B:$B,A15,'NHL2025-26Results'!$C:$C,"&gt;0")</f>
        <v>2.9</v>
      </c>
      <c r="Q15" s="14">
        <f>SUMIFS('NHL2025-26Results'!$C:$C,'NHL2025-26Results'!$D:$D,A15,'NHL2025-26Results'!$C:$C,"&gt;0")/COUNTIFS('NHL2025-26Results'!$D:$D,A15,'NHL2025-26Results'!$C:$C,"&gt;0")</f>
        <v>3.7272727272727271</v>
      </c>
      <c r="R15" s="14">
        <f>SUMIFS('NHL2025-26Results'!$E:$E,'NHL2025-26Results'!$B:$B,A15,'NHL2025-26Results'!$E:$E,"&gt;0")/COUNTIFS('NHL2025-26Results'!$B:$B,A15,'NHL2025-26Results'!$E:$E,"&gt;0")</f>
        <v>3.2857142857142856</v>
      </c>
    </row>
    <row r="16" spans="1:18" x14ac:dyDescent="0.2">
      <c r="A16" s="4" t="s">
        <v>18</v>
      </c>
      <c r="B16">
        <f>SUM(Table1[[#This Row],[W]:[OTL]])</f>
        <v>21</v>
      </c>
      <c r="C16">
        <f>COUNTIF(NHL2025_26Results[Winning Team],Standings!A16)</f>
        <v>11</v>
      </c>
      <c r="D16">
        <f>COUNTIFS('NHL2025-26Results'!$H:$H,A16,'NHL2025-26Results'!$F:$F,"")</f>
        <v>7</v>
      </c>
      <c r="E16">
        <f>COUNTIFS('NHL2025-26Results'!$F:$F,"OT",'NHL2025-26Results'!$H:$H,A16) + COUNTIFS('NHL2025-26Results'!$F:$F,"SO",'NHL2025-26Results'!$H:$H,A16)</f>
        <v>3</v>
      </c>
      <c r="F16" s="3">
        <f>(Table1[[#This Row],[W]]*2)+Table1[[#This Row],[OTL]]</f>
        <v>25</v>
      </c>
      <c r="G16">
        <f>COUNTIFS('NHL2025-26Results'!$D:$D,A16,'NHL2025-26Results'!$G:$G,A16)</f>
        <v>6</v>
      </c>
      <c r="H16">
        <f>COUNTIFS('NHL2025-26Results'!$D:$D,A16,'NHL2025-26Results'!$H:$H,A16,'NHL2025-26Results'!$F:$F,"")</f>
        <v>5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5</v>
      </c>
      <c r="K16">
        <f>COUNTIFS('NHL2025-26Results'!$B:$B,A16,'NHL2025-26Results'!$H:$H,A16,'NHL2025-26Results'!$F:$F,"")</f>
        <v>2</v>
      </c>
      <c r="L16">
        <f>COUNTIFS('NHL2025-26Results'!$B:$B,A16,'NHL2025-26Results'!$H:$H,A16,'NHL2025-26Results'!$F:$F,"OT") + COUNTIFS('NHL2025-26Results'!$B:$B,A16,'NHL2025-26Results'!$H:$H,A16,'NHL2025-26Results'!$F:$F,"SO")</f>
        <v>2</v>
      </c>
      <c r="M16" s="11">
        <f>Table1[[#This Row],[HomeWins]]/SUM(Table1[[#This Row],[HomeWins]:[HomeOTL]])</f>
        <v>0.5</v>
      </c>
      <c r="N16" s="11">
        <f>Table1[[#This Row],[AwayWins]]/SUM(Table1[[#This Row],[AwayWins]:[AwayOTL]])</f>
        <v>0.55555555555555558</v>
      </c>
      <c r="O16" s="14">
        <f>SUMIFS('NHL2025-26Results'!$E:$E,'NHL2025-26Results'!$D:$D,A16,'NHL2025-26Results'!$E:$E,"&gt;0")/COUNTIFS('NHL2025-26Results'!$D:$D,A16,'NHL2025-26Results'!$E:$E,"&gt;0")</f>
        <v>3.7272727272727271</v>
      </c>
      <c r="P16" s="14">
        <f>SUMIFS('NHL2025-26Results'!$C:$C,'NHL2025-26Results'!$B:$B,A16,'NHL2025-26Results'!$C:$C,"&gt;0")/COUNTIFS('NHL2025-26Results'!$B:$B,A16,'NHL2025-26Results'!$C:$C,"&gt;0")</f>
        <v>3.4444444444444446</v>
      </c>
      <c r="Q16" s="14">
        <f>SUMIFS('NHL2025-26Results'!$C:$C,'NHL2025-26Results'!$D:$D,A16,'NHL2025-26Results'!$C:$C,"&gt;0")/COUNTIFS('NHL2025-26Results'!$D:$D,A16,'NHL2025-26Results'!$C:$C,"&gt;0")</f>
        <v>3.9166666666666665</v>
      </c>
      <c r="R16" s="14">
        <f>SUMIFS('NHL2025-26Results'!$E:$E,'NHL2025-26Results'!$B:$B,A16,'NHL2025-26Results'!$E:$E,"&gt;0")/COUNTIFS('NHL2025-26Results'!$B:$B,A16,'NHL2025-26Results'!$E:$E,"&gt;0")</f>
        <v>3.2222222222222223</v>
      </c>
    </row>
    <row r="17" spans="1:18" x14ac:dyDescent="0.2">
      <c r="A17" s="4" t="s">
        <v>29</v>
      </c>
      <c r="B17">
        <f>SUM(Table1[[#This Row],[W]:[OTL]])</f>
        <v>21</v>
      </c>
      <c r="C17">
        <f>COUNTIF(NHL2025_26Results[Winning Team],Standings!A17)</f>
        <v>6</v>
      </c>
      <c r="D17">
        <f>COUNTIFS('NHL2025-26Results'!$H:$H,A17,'NHL2025-26Results'!$F:$F,"")</f>
        <v>11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16</v>
      </c>
      <c r="G17">
        <f>COUNTIFS('NHL2025-26Results'!$D:$D,A17,'NHL2025-26Results'!$G:$G,A17)</f>
        <v>5</v>
      </c>
      <c r="H17">
        <f>COUNTIFS('NHL2025-26Results'!$D:$D,A17,'NHL2025-26Results'!$H:$H,A17,'NHL2025-26Results'!$F:$F,"")</f>
        <v>6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1</v>
      </c>
      <c r="K17">
        <f>COUNTIFS('NHL2025-26Results'!$B:$B,A17,'NHL2025-26Results'!$H:$H,A17,'NHL2025-26Results'!$F:$F,"")</f>
        <v>5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0.38461538461538464</v>
      </c>
      <c r="N17" s="11">
        <f>Table1[[#This Row],[AwayWins]]/SUM(Table1[[#This Row],[AwayWins]:[AwayOTL]])</f>
        <v>0.125</v>
      </c>
      <c r="O17" s="14">
        <f>SUMIFS('NHL2025-26Results'!$E:$E,'NHL2025-26Results'!$D:$D,A17,'NHL2025-26Results'!$E:$E,"&gt;0")/COUNTIFS('NHL2025-26Results'!$D:$D,A17,'NHL2025-26Results'!$E:$E,"&gt;0")</f>
        <v>2.6666666666666665</v>
      </c>
      <c r="P17" s="14">
        <f>SUMIFS('NHL2025-26Results'!$C:$C,'NHL2025-26Results'!$B:$B,A17,'NHL2025-26Results'!$C:$C,"&gt;0")/COUNTIFS('NHL2025-26Results'!$B:$B,A17,'NHL2025-26Results'!$C:$C,"&gt;0")</f>
        <v>2.4285714285714284</v>
      </c>
      <c r="Q17" s="14">
        <f>SUMIFS('NHL2025-26Results'!$C:$C,'NHL2025-26Results'!$D:$D,A17,'NHL2025-26Results'!$C:$C,"&gt;0")/COUNTIFS('NHL2025-26Results'!$D:$D,A17,'NHL2025-26Results'!$C:$C,"&gt;0")</f>
        <v>3.1538461538461537</v>
      </c>
      <c r="R17" s="14">
        <f>SUMIFS('NHL2025-26Results'!$E:$E,'NHL2025-26Results'!$B:$B,A17,'NHL2025-26Results'!$E:$E,"&gt;0")/COUNTIFS('NHL2025-26Results'!$B:$B,A17,'NHL2025-26Results'!$E:$E,"&gt;0")</f>
        <v>4</v>
      </c>
    </row>
    <row r="18" spans="1:18" x14ac:dyDescent="0.2">
      <c r="A18" s="4" t="s">
        <v>24</v>
      </c>
      <c r="B18">
        <f>SUM(Table1[[#This Row],[W]:[OTL]])</f>
        <v>21</v>
      </c>
      <c r="C18">
        <f>COUNTIF(NHL2025_26Results[Winning Team],Standings!A18)</f>
        <v>13</v>
      </c>
      <c r="D18">
        <f>COUNTIFS('NHL2025-26Results'!$H:$H,A18,'NHL2025-26Results'!$F:$F,"")</f>
        <v>7</v>
      </c>
      <c r="E18">
        <f>COUNTIFS('NHL2025-26Results'!$F:$F,"OT",'NHL2025-26Results'!$H:$H,A18) + COUNTIFS('NHL2025-26Results'!$F:$F,"SO",'NHL2025-26Results'!$H:$H,A18)</f>
        <v>1</v>
      </c>
      <c r="F18" s="3">
        <f>(Table1[[#This Row],[W]]*2)+Table1[[#This Row],[OTL]]</f>
        <v>27</v>
      </c>
      <c r="G18">
        <f>COUNTIFS('NHL2025-26Results'!$D:$D,A18,'NHL2025-26Results'!$G:$G,A18)</f>
        <v>7</v>
      </c>
      <c r="H18">
        <f>COUNTIFS('NHL2025-26Results'!$D:$D,A18,'NHL2025-26Results'!$H:$H,A18,'NHL2025-26Results'!$F:$F,"")</f>
        <v>0</v>
      </c>
      <c r="I18">
        <f>COUNTIFS('NHL2025-26Results'!$D:$D,A18,'NHL2025-26Results'!$H:$H,A18,'NHL2025-26Results'!$F:$F,"OT") + COUNTIFS('NHL2025-26Results'!$D:$D,A18,'NHL2025-26Results'!$H:$H,A18,'NHL2025-26Results'!$F:$F,"SO")</f>
        <v>1</v>
      </c>
      <c r="J18">
        <f>COUNTIFS('NHL2025-26Results'!$B:$B,A18,'NHL2025-26Results'!$G:$G,A18)</f>
        <v>6</v>
      </c>
      <c r="K18">
        <f>COUNTIFS('NHL2025-26Results'!$B:$B,A18,'NHL2025-26Results'!$H:$H,A18,'NHL2025-26Results'!$F:$F,"")</f>
        <v>7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0.875</v>
      </c>
      <c r="N18" s="11">
        <f>Table1[[#This Row],[AwayWins]]/SUM(Table1[[#This Row],[AwayWins]:[AwayOTL]])</f>
        <v>0.46153846153846156</v>
      </c>
      <c r="O18" s="14">
        <f>SUMIFS('NHL2025-26Results'!$E:$E,'NHL2025-26Results'!$D:$D,A18,'NHL2025-26Results'!$E:$E,"&gt;0")/COUNTIFS('NHL2025-26Results'!$D:$D,A18,'NHL2025-26Results'!$E:$E,"&gt;0")</f>
        <v>3.375</v>
      </c>
      <c r="P18" s="14">
        <f>SUMIFS('NHL2025-26Results'!$C:$C,'NHL2025-26Results'!$B:$B,A18,'NHL2025-26Results'!$C:$C,"&gt;0")/COUNTIFS('NHL2025-26Results'!$B:$B,A18,'NHL2025-26Results'!$C:$C,"&gt;0")</f>
        <v>3.1666666666666665</v>
      </c>
      <c r="Q18" s="14">
        <f>SUMIFS('NHL2025-26Results'!$C:$C,'NHL2025-26Results'!$D:$D,A18,'NHL2025-26Results'!$C:$C,"&gt;0")/COUNTIFS('NHL2025-26Results'!$D:$D,A18,'NHL2025-26Results'!$C:$C,"&gt;0")</f>
        <v>2</v>
      </c>
      <c r="R18" s="14">
        <f>SUMIFS('NHL2025-26Results'!$E:$E,'NHL2025-26Results'!$B:$B,A18,'NHL2025-26Results'!$E:$E,"&gt;0")/COUNTIFS('NHL2025-26Results'!$B:$B,A18,'NHL2025-26Results'!$E:$E,"&gt;0")</f>
        <v>3.6923076923076925</v>
      </c>
    </row>
    <row r="19" spans="1:18" x14ac:dyDescent="0.2">
      <c r="A19" s="4" t="s">
        <v>30</v>
      </c>
      <c r="B19">
        <f>SUM(Table1[[#This Row],[W]:[OTL]])</f>
        <v>23</v>
      </c>
      <c r="C19">
        <f>COUNTIF(NHL2025_26Results[Winning Team],Standings!A19)</f>
        <v>13</v>
      </c>
      <c r="D19">
        <f>COUNTIFS('NHL2025-26Results'!$H:$H,A19,'NHL2025-26Results'!$F:$F,"")</f>
        <v>8</v>
      </c>
      <c r="E19">
        <f>COUNTIFS('NHL2025-26Results'!$F:$F,"OT",'NHL2025-26Results'!$H:$H,A19) + COUNTIFS('NHL2025-26Results'!$F:$F,"SO",'NHL2025-26Results'!$H:$H,A19)</f>
        <v>2</v>
      </c>
      <c r="F19" s="3">
        <f>(Table1[[#This Row],[W]]*2)+Table1[[#This Row],[OTL]]</f>
        <v>28</v>
      </c>
      <c r="G19">
        <f>COUNTIFS('NHL2025-26Results'!$D:$D,A19,'NHL2025-26Results'!$G:$G,A19)</f>
        <v>5</v>
      </c>
      <c r="H19">
        <f>COUNTIFS('NHL2025-26Results'!$D:$D,A19,'NHL2025-26Results'!$H:$H,A19,'NHL2025-26Results'!$F:$F,"")</f>
        <v>4</v>
      </c>
      <c r="I19">
        <f>COUNTIFS('NHL2025-26Results'!$D:$D,A19,'NHL2025-26Results'!$H:$H,A19,'NHL2025-26Results'!$F:$F,"OT") + COUNTIFS('NHL2025-26Results'!$D:$D,A19,'NHL2025-26Results'!$H:$H,A19,'NHL2025-26Results'!$F:$F,"SO")</f>
        <v>1</v>
      </c>
      <c r="J19">
        <f>COUNTIFS('NHL2025-26Results'!$B:$B,A19,'NHL2025-26Results'!$G:$G,A19)</f>
        <v>8</v>
      </c>
      <c r="K19">
        <f>COUNTIFS('NHL2025-26Results'!$B:$B,A19,'NHL2025-26Results'!$H:$H,A19,'NHL2025-26Results'!$F:$F,"")</f>
        <v>4</v>
      </c>
      <c r="L19">
        <f>COUNTIFS('NHL2025-26Results'!$B:$B,A19,'NHL2025-26Results'!$H:$H,A19,'NHL2025-26Results'!$F:$F,"OT") + COUNTIFS('NHL2025-26Results'!$B:$B,A19,'NHL2025-26Results'!$H:$H,A19,'NHL2025-26Results'!$F:$F,"SO")</f>
        <v>1</v>
      </c>
      <c r="M19" s="11">
        <f>Table1[[#This Row],[HomeWins]]/SUM(Table1[[#This Row],[HomeWins]:[HomeOTL]])</f>
        <v>0.5</v>
      </c>
      <c r="N19" s="11">
        <f>Table1[[#This Row],[AwayWins]]/SUM(Table1[[#This Row],[AwayWins]:[AwayOTL]])</f>
        <v>0.61538461538461542</v>
      </c>
      <c r="O19" s="14">
        <f>SUMIFS('NHL2025-26Results'!$E:$E,'NHL2025-26Results'!$D:$D,A19,'NHL2025-26Results'!$E:$E,"&gt;0")/COUNTIFS('NHL2025-26Results'!$D:$D,A19,'NHL2025-26Results'!$E:$E,"&gt;0")</f>
        <v>2.9</v>
      </c>
      <c r="P19" s="14">
        <f>SUMIFS('NHL2025-26Results'!$C:$C,'NHL2025-26Results'!$B:$B,A19,'NHL2025-26Results'!$C:$C,"&gt;0")/COUNTIFS('NHL2025-26Results'!$B:$B,A19,'NHL2025-26Results'!$C:$C,"&gt;0")</f>
        <v>3.2307692307692308</v>
      </c>
      <c r="Q19" s="14">
        <f>SUMIFS('NHL2025-26Results'!$C:$C,'NHL2025-26Results'!$D:$D,A19,'NHL2025-26Results'!$C:$C,"&gt;0")/COUNTIFS('NHL2025-26Results'!$D:$D,A19,'NHL2025-26Results'!$C:$C,"&gt;0")</f>
        <v>3.2222222222222223</v>
      </c>
      <c r="R19" s="14">
        <f>SUMIFS('NHL2025-26Results'!$E:$E,'NHL2025-26Results'!$B:$B,A19,'NHL2025-26Results'!$E:$E,"&gt;0")/COUNTIFS('NHL2025-26Results'!$B:$B,A19,'NHL2025-26Results'!$E:$E,"&gt;0")</f>
        <v>3.3636363636363638</v>
      </c>
    </row>
    <row r="20" spans="1:18" x14ac:dyDescent="0.2">
      <c r="A20" s="4" t="s">
        <v>15</v>
      </c>
      <c r="B20">
        <f>SUM(Table1[[#This Row],[W]:[OTL]])</f>
        <v>23</v>
      </c>
      <c r="C20">
        <f>COUNTIF(NHL2025_26Results[Winning Team],Standings!A20)</f>
        <v>10</v>
      </c>
      <c r="D20">
        <f>COUNTIFS('NHL2025-26Results'!$H:$H,A20,'NHL2025-26Results'!$F:$F,"")</f>
        <v>11</v>
      </c>
      <c r="E20">
        <f>COUNTIFS('NHL2025-26Results'!$F:$F,"OT",'NHL2025-26Results'!$H:$H,A20) + COUNTIFS('NHL2025-26Results'!$F:$F,"SO",'NHL2025-26Results'!$H:$H,A20)</f>
        <v>2</v>
      </c>
      <c r="F20" s="3">
        <f>(Table1[[#This Row],[W]]*2)+Table1[[#This Row],[OTL]]</f>
        <v>22</v>
      </c>
      <c r="G20">
        <f>COUNTIFS('NHL2025-26Results'!$D:$D,A20,'NHL2025-26Results'!$G:$G,A20)</f>
        <v>1</v>
      </c>
      <c r="H20">
        <f>COUNTIFS('NHL2025-26Results'!$D:$D,A20,'NHL2025-26Results'!$H:$H,A20,'NHL2025-26Results'!$F:$F,"")</f>
        <v>7</v>
      </c>
      <c r="I20">
        <f>COUNTIFS('NHL2025-26Results'!$D:$D,A20,'NHL2025-26Results'!$H:$H,A20,'NHL2025-26Results'!$F:$F,"OT") + COUNTIFS('NHL2025-26Results'!$D:$D,A20,'NHL2025-26Results'!$H:$H,A20,'NHL2025-26Results'!$F:$F,"SO")</f>
        <v>1</v>
      </c>
      <c r="J20">
        <f>COUNTIFS('NHL2025-26Results'!$B:$B,A20,'NHL2025-26Results'!$G:$G,A20)</f>
        <v>9</v>
      </c>
      <c r="K20">
        <f>COUNTIFS('NHL2025-26Results'!$B:$B,A20,'NHL2025-26Results'!$H:$H,A20,'NHL2025-26Results'!$F:$F,"")</f>
        <v>4</v>
      </c>
      <c r="L20">
        <f>COUNTIFS('NHL2025-26Results'!$B:$B,A20,'NHL2025-26Results'!$H:$H,A20,'NHL2025-26Results'!$F:$F,"OT") + COUNTIFS('NHL2025-26Results'!$B:$B,A20,'NHL2025-26Results'!$H:$H,A20,'NHL2025-26Results'!$F:$F,"SO")</f>
        <v>1</v>
      </c>
      <c r="M20" s="11">
        <f>Table1[[#This Row],[HomeWins]]/SUM(Table1[[#This Row],[HomeWins]:[HomeOTL]])</f>
        <v>0.1111111111111111</v>
      </c>
      <c r="N20" s="11">
        <f>Table1[[#This Row],[AwayWins]]/SUM(Table1[[#This Row],[AwayWins]:[AwayOTL]])</f>
        <v>0.6428571428571429</v>
      </c>
      <c r="O20" s="14">
        <f>SUMIFS('NHL2025-26Results'!$E:$E,'NHL2025-26Results'!$D:$D,A20,'NHL2025-26Results'!$E:$E,"&gt;0")/COUNTIFS('NHL2025-26Results'!$D:$D,A20,'NHL2025-26Results'!$E:$E,"&gt;0")</f>
        <v>3.25</v>
      </c>
      <c r="P20" s="14">
        <f>SUMIFS('NHL2025-26Results'!$C:$C,'NHL2025-26Results'!$B:$B,A20,'NHL2025-26Results'!$C:$C,"&gt;0")/COUNTIFS('NHL2025-26Results'!$B:$B,A20,'NHL2025-26Results'!$C:$C,"&gt;0")</f>
        <v>3.2142857142857144</v>
      </c>
      <c r="Q20" s="14">
        <f>SUMIFS('NHL2025-26Results'!$C:$C,'NHL2025-26Results'!$D:$D,A20,'NHL2025-26Results'!$C:$C,"&gt;0")/COUNTIFS('NHL2025-26Results'!$D:$D,A20,'NHL2025-26Results'!$C:$C,"&gt;0")</f>
        <v>3.1111111111111112</v>
      </c>
      <c r="R20" s="14">
        <f>SUMIFS('NHL2025-26Results'!$E:$E,'NHL2025-26Results'!$B:$B,A20,'NHL2025-26Results'!$E:$E,"&gt;0")/COUNTIFS('NHL2025-26Results'!$B:$B,A20,'NHL2025-26Results'!$E:$E,"&gt;0")</f>
        <v>2.75</v>
      </c>
    </row>
    <row r="21" spans="1:18" x14ac:dyDescent="0.2">
      <c r="A21" s="4" t="s">
        <v>36</v>
      </c>
      <c r="B21">
        <f>SUM(Table1[[#This Row],[W]:[OTL]])</f>
        <v>21</v>
      </c>
      <c r="C21">
        <f>COUNTIF(NHL2025_26Results[Winning Team],Standings!A21)</f>
        <v>11</v>
      </c>
      <c r="D21">
        <f>COUNTIFS('NHL2025-26Results'!$H:$H,A21,'NHL2025-26Results'!$F:$F,"")</f>
        <v>6</v>
      </c>
      <c r="E21">
        <f>COUNTIFS('NHL2025-26Results'!$F:$F,"OT",'NHL2025-26Results'!$H:$H,A21) + COUNTIFS('NHL2025-26Results'!$F:$F,"SO",'NHL2025-26Results'!$H:$H,A21)</f>
        <v>4</v>
      </c>
      <c r="F21" s="3">
        <f>(Table1[[#This Row],[W]]*2)+Table1[[#This Row],[OTL]]</f>
        <v>26</v>
      </c>
      <c r="G21">
        <f>COUNTIFS('NHL2025-26Results'!$D:$D,A21,'NHL2025-26Results'!$G:$G,A21)</f>
        <v>6</v>
      </c>
      <c r="H21">
        <f>COUNTIFS('NHL2025-26Results'!$D:$D,A21,'NHL2025-26Results'!$H:$H,A21,'NHL2025-26Results'!$F:$F,"")</f>
        <v>3</v>
      </c>
      <c r="I21">
        <f>COUNTIFS('NHL2025-26Results'!$D:$D,A21,'NHL2025-26Results'!$H:$H,A21,'NHL2025-26Results'!$F:$F,"OT") + COUNTIFS('NHL2025-26Results'!$D:$D,A21,'NHL2025-26Results'!$H:$H,A21,'NHL2025-26Results'!$F:$F,"SO")</f>
        <v>2</v>
      </c>
      <c r="J21">
        <f>COUNTIFS('NHL2025-26Results'!$B:$B,A21,'NHL2025-26Results'!$G:$G,A21)</f>
        <v>5</v>
      </c>
      <c r="K21">
        <f>COUNTIFS('NHL2025-26Results'!$B:$B,A21,'NHL2025-26Results'!$H:$H,A21,'NHL2025-26Results'!$F:$F,"")</f>
        <v>3</v>
      </c>
      <c r="L21">
        <f>COUNTIFS('NHL2025-26Results'!$B:$B,A21,'NHL2025-26Results'!$H:$H,A21,'NHL2025-26Results'!$F:$F,"OT") + COUNTIFS('NHL2025-26Results'!$B:$B,A21,'NHL2025-26Results'!$H:$H,A21,'NHL2025-26Results'!$F:$F,"SO")</f>
        <v>2</v>
      </c>
      <c r="M21" s="11">
        <f>Table1[[#This Row],[HomeWins]]/SUM(Table1[[#This Row],[HomeWins]:[HomeOTL]])</f>
        <v>0.54545454545454541</v>
      </c>
      <c r="N21" s="11">
        <f>Table1[[#This Row],[AwayWins]]/SUM(Table1[[#This Row],[AwayWins]:[AwayOTL]])</f>
        <v>0.5</v>
      </c>
      <c r="O21" s="14">
        <f>SUMIFS('NHL2025-26Results'!$E:$E,'NHL2025-26Results'!$D:$D,A21,'NHL2025-26Results'!$E:$E,"&gt;0")/COUNTIFS('NHL2025-26Results'!$D:$D,A21,'NHL2025-26Results'!$E:$E,"&gt;0")</f>
        <v>3.5</v>
      </c>
      <c r="P21" s="14">
        <f>SUMIFS('NHL2025-26Results'!$C:$C,'NHL2025-26Results'!$B:$B,A21,'NHL2025-26Results'!$C:$C,"&gt;0")/COUNTIFS('NHL2025-26Results'!$B:$B,A21,'NHL2025-26Results'!$C:$C,"&gt;0")</f>
        <v>3.5</v>
      </c>
      <c r="Q21" s="14">
        <f>SUMIFS('NHL2025-26Results'!$C:$C,'NHL2025-26Results'!$D:$D,A21,'NHL2025-26Results'!$C:$C,"&gt;0")/COUNTIFS('NHL2025-26Results'!$D:$D,A21,'NHL2025-26Results'!$C:$C,"&gt;0")</f>
        <v>2.7272727272727271</v>
      </c>
      <c r="R21" s="14">
        <f>SUMIFS('NHL2025-26Results'!$E:$E,'NHL2025-26Results'!$B:$B,A21,'NHL2025-26Results'!$E:$E,"&gt;0")/COUNTIFS('NHL2025-26Results'!$B:$B,A21,'NHL2025-26Results'!$E:$E,"&gt;0")</f>
        <v>3.9</v>
      </c>
    </row>
    <row r="22" spans="1:18" x14ac:dyDescent="0.2">
      <c r="A22" s="4" t="s">
        <v>27</v>
      </c>
      <c r="B22">
        <f>SUM(Table1[[#This Row],[W]:[OTL]])</f>
        <v>20</v>
      </c>
      <c r="C22">
        <f>COUNTIF(NHL2025_26Results[Winning Team],Standings!A22)</f>
        <v>11</v>
      </c>
      <c r="D22">
        <f>COUNTIFS('NHL2025-26Results'!$H:$H,A22,'NHL2025-26Results'!$F:$F,"")</f>
        <v>6</v>
      </c>
      <c r="E22">
        <f>COUNTIFS('NHL2025-26Results'!$F:$F,"OT",'NHL2025-26Results'!$H:$H,A22) + COUNTIFS('NHL2025-26Results'!$F:$F,"SO",'NHL2025-26Results'!$H:$H,A22)</f>
        <v>3</v>
      </c>
      <c r="F22" s="3">
        <f>(Table1[[#This Row],[W]]*2)+Table1[[#This Row],[OTL]]</f>
        <v>25</v>
      </c>
      <c r="G22">
        <f>COUNTIFS('NHL2025-26Results'!$D:$D,A22,'NHL2025-26Results'!$G:$G,A22)</f>
        <v>8</v>
      </c>
      <c r="H22">
        <f>COUNTIFS('NHL2025-26Results'!$D:$D,A22,'NHL2025-26Results'!$H:$H,A22,'NHL2025-26Results'!$F:$F,"")</f>
        <v>3</v>
      </c>
      <c r="I22">
        <f>COUNTIFS('NHL2025-26Results'!$D:$D,A22,'NHL2025-26Results'!$H:$H,A22,'NHL2025-26Results'!$F:$F,"OT") + COUNTIFS('NHL2025-26Results'!$D:$D,A22,'NHL2025-26Results'!$H:$H,A22,'NHL2025-26Results'!$F:$F,"SO")</f>
        <v>2</v>
      </c>
      <c r="J22">
        <f>COUNTIFS('NHL2025-26Results'!$B:$B,A22,'NHL2025-26Results'!$G:$G,A22)</f>
        <v>3</v>
      </c>
      <c r="K22">
        <f>COUNTIFS('NHL2025-26Results'!$B:$B,A22,'NHL2025-26Results'!$H:$H,A22,'NHL2025-26Results'!$F:$F,"")</f>
        <v>3</v>
      </c>
      <c r="L22">
        <f>COUNTIFS('NHL2025-26Results'!$B:$B,A22,'NHL2025-26Results'!$H:$H,A22,'NHL2025-26Results'!$F:$F,"OT") + COUNTIFS('NHL2025-26Results'!$B:$B,A22,'NHL2025-26Results'!$H:$H,A22,'NHL2025-26Results'!$F:$F,"SO")</f>
        <v>1</v>
      </c>
      <c r="M22" s="11">
        <f>Table1[[#This Row],[HomeWins]]/SUM(Table1[[#This Row],[HomeWins]:[HomeOTL]])</f>
        <v>0.61538461538461542</v>
      </c>
      <c r="N22" s="11">
        <f>Table1[[#This Row],[AwayWins]]/SUM(Table1[[#This Row],[AwayWins]:[AwayOTL]])</f>
        <v>0.42857142857142855</v>
      </c>
      <c r="O22" s="14">
        <f>SUMIFS('NHL2025-26Results'!$E:$E,'NHL2025-26Results'!$D:$D,A22,'NHL2025-26Results'!$E:$E,"&gt;0")/COUNTIFS('NHL2025-26Results'!$D:$D,A22,'NHL2025-26Results'!$E:$E,"&gt;0")</f>
        <v>3.0769230769230771</v>
      </c>
      <c r="P22" s="14">
        <f>SUMIFS('NHL2025-26Results'!$C:$C,'NHL2025-26Results'!$B:$B,A22,'NHL2025-26Results'!$C:$C,"&gt;0")/COUNTIFS('NHL2025-26Results'!$B:$B,A22,'NHL2025-26Results'!$C:$C,"&gt;0")</f>
        <v>2.8571428571428572</v>
      </c>
      <c r="Q22" s="14">
        <f>SUMIFS('NHL2025-26Results'!$C:$C,'NHL2025-26Results'!$D:$D,A22,'NHL2025-26Results'!$C:$C,"&gt;0")/COUNTIFS('NHL2025-26Results'!$D:$D,A22,'NHL2025-26Results'!$C:$C,"&gt;0")</f>
        <v>2.5384615384615383</v>
      </c>
      <c r="R22" s="14">
        <f>SUMIFS('NHL2025-26Results'!$E:$E,'NHL2025-26Results'!$B:$B,A22,'NHL2025-26Results'!$E:$E,"&gt;0")/COUNTIFS('NHL2025-26Results'!$B:$B,A22,'NHL2025-26Results'!$E:$E,"&gt;0")</f>
        <v>3.2857142857142856</v>
      </c>
    </row>
    <row r="23" spans="1:18" x14ac:dyDescent="0.2">
      <c r="A23" s="4" t="s">
        <v>14</v>
      </c>
      <c r="B23">
        <f>SUM(Table1[[#This Row],[W]:[OTL]])</f>
        <v>21</v>
      </c>
      <c r="C23">
        <f>COUNTIF(NHL2025_26Results[Winning Team],Standings!A23)</f>
        <v>10</v>
      </c>
      <c r="D23">
        <f>COUNTIFS('NHL2025-26Results'!$H:$H,A23,'NHL2025-26Results'!$F:$F,"")</f>
        <v>6</v>
      </c>
      <c r="E23">
        <f>COUNTIFS('NHL2025-26Results'!$F:$F,"OT",'NHL2025-26Results'!$H:$H,A23) + COUNTIFS('NHL2025-26Results'!$F:$F,"SO",'NHL2025-26Results'!$H:$H,A23)</f>
        <v>5</v>
      </c>
      <c r="F23" s="3">
        <f>(Table1[[#This Row],[W]]*2)+Table1[[#This Row],[OTL]]</f>
        <v>25</v>
      </c>
      <c r="G23">
        <f>COUNTIFS('NHL2025-26Results'!$D:$D,A23,'NHL2025-26Results'!$G:$G,A23)</f>
        <v>5</v>
      </c>
      <c r="H23">
        <f>COUNTIFS('NHL2025-26Results'!$D:$D,A23,'NHL2025-26Results'!$H:$H,A23,'NHL2025-26Results'!$F:$F,"")</f>
        <v>3</v>
      </c>
      <c r="I23">
        <f>COUNTIFS('NHL2025-26Results'!$D:$D,A23,'NHL2025-26Results'!$H:$H,A23,'NHL2025-26Results'!$F:$F,"OT") + COUNTIFS('NHL2025-26Results'!$D:$D,A23,'NHL2025-26Results'!$H:$H,A23,'NHL2025-26Results'!$F:$F,"SO")</f>
        <v>2</v>
      </c>
      <c r="J23">
        <f>COUNTIFS('NHL2025-26Results'!$B:$B,A23,'NHL2025-26Results'!$G:$G,A23)</f>
        <v>5</v>
      </c>
      <c r="K23">
        <f>COUNTIFS('NHL2025-26Results'!$B:$B,A23,'NHL2025-26Results'!$H:$H,A23,'NHL2025-26Results'!$F:$F,"")</f>
        <v>3</v>
      </c>
      <c r="L23">
        <f>COUNTIFS('NHL2025-26Results'!$B:$B,A23,'NHL2025-26Results'!$H:$H,A23,'NHL2025-26Results'!$F:$F,"OT") + COUNTIFS('NHL2025-26Results'!$B:$B,A23,'NHL2025-26Results'!$H:$H,A23,'NHL2025-26Results'!$F:$F,"SO")</f>
        <v>3</v>
      </c>
      <c r="M23" s="11">
        <f>Table1[[#This Row],[HomeWins]]/SUM(Table1[[#This Row],[HomeWins]:[HomeOTL]])</f>
        <v>0.5</v>
      </c>
      <c r="N23" s="11">
        <f>Table1[[#This Row],[AwayWins]]/SUM(Table1[[#This Row],[AwayWins]:[AwayOTL]])</f>
        <v>0.45454545454545453</v>
      </c>
      <c r="O23" s="14">
        <f>SUMIFS('NHL2025-26Results'!$E:$E,'NHL2025-26Results'!$D:$D,A23,'NHL2025-26Results'!$E:$E,"&gt;0")/COUNTIFS('NHL2025-26Results'!$D:$D,A23,'NHL2025-26Results'!$E:$E,"&gt;0")</f>
        <v>3.6666666666666665</v>
      </c>
      <c r="P23" s="14">
        <f>SUMIFS('NHL2025-26Results'!$C:$C,'NHL2025-26Results'!$B:$B,A23,'NHL2025-26Results'!$C:$C,"&gt;0")/COUNTIFS('NHL2025-26Results'!$B:$B,A23,'NHL2025-26Results'!$C:$C,"&gt;0")</f>
        <v>2.8181818181818183</v>
      </c>
      <c r="Q23" s="14">
        <f>SUMIFS('NHL2025-26Results'!$C:$C,'NHL2025-26Results'!$D:$D,A23,'NHL2025-26Results'!$C:$C,"&gt;0")/COUNTIFS('NHL2025-26Results'!$D:$D,A23,'NHL2025-26Results'!$C:$C,"&gt;0")</f>
        <v>3.5555555555555554</v>
      </c>
      <c r="R23" s="14">
        <f>SUMIFS('NHL2025-26Results'!$E:$E,'NHL2025-26Results'!$B:$B,A23,'NHL2025-26Results'!$E:$E,"&gt;0")/COUNTIFS('NHL2025-26Results'!$B:$B,A23,'NHL2025-26Results'!$E:$E,"&gt;0")</f>
        <v>2.8888888888888888</v>
      </c>
    </row>
    <row r="24" spans="1:18" x14ac:dyDescent="0.2">
      <c r="A24" s="4" t="s">
        <v>33</v>
      </c>
      <c r="B24">
        <f>SUM(Table1[[#This Row],[W]:[OTL]])</f>
        <v>23</v>
      </c>
      <c r="C24">
        <f>COUNTIF(NHL2025_26Results[Winning Team],Standings!A24)</f>
        <v>11</v>
      </c>
      <c r="D24">
        <f>COUNTIFS('NHL2025-26Results'!$H:$H,A24,'NHL2025-26Results'!$F:$F,"")</f>
        <v>9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25</v>
      </c>
      <c r="G24">
        <f>COUNTIFS('NHL2025-26Results'!$D:$D,A24,'NHL2025-26Results'!$G:$G,A24)</f>
        <v>7</v>
      </c>
      <c r="H24">
        <f>COUNTIFS('NHL2025-26Results'!$D:$D,A24,'NHL2025-26Results'!$H:$H,A24,'NHL2025-26Results'!$F:$F,"")</f>
        <v>4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4</v>
      </c>
      <c r="K24">
        <f>COUNTIFS('NHL2025-26Results'!$B:$B,A24,'NHL2025-26Results'!$H:$H,A24,'NHL2025-26Results'!$F:$F,"")</f>
        <v>5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</v>
      </c>
      <c r="N24" s="11">
        <f>Table1[[#This Row],[AwayWins]]/SUM(Table1[[#This Row],[AwayWins]:[AwayOTL]])</f>
        <v>0.44444444444444442</v>
      </c>
      <c r="O24" s="14">
        <f>SUMIFS('NHL2025-26Results'!$E:$E,'NHL2025-26Results'!$D:$D,A24,'NHL2025-26Results'!$E:$E,"&gt;0")/COUNTIFS('NHL2025-26Results'!$D:$D,A24,'NHL2025-26Results'!$E:$E,"&gt;0")</f>
        <v>3.0769230769230771</v>
      </c>
      <c r="P24" s="14">
        <f>SUMIFS('NHL2025-26Results'!$C:$C,'NHL2025-26Results'!$B:$B,A24,'NHL2025-26Results'!$C:$C,"&gt;0")/COUNTIFS('NHL2025-26Results'!$B:$B,A24,'NHL2025-26Results'!$C:$C,"&gt;0")</f>
        <v>3.5</v>
      </c>
      <c r="Q24" s="14">
        <f>SUMIFS('NHL2025-26Results'!$C:$C,'NHL2025-26Results'!$D:$D,A24,'NHL2025-26Results'!$C:$C,"&gt;0")/COUNTIFS('NHL2025-26Results'!$D:$D,A24,'NHL2025-26Results'!$C:$C,"&gt;0")</f>
        <v>2.9285714285714284</v>
      </c>
      <c r="R24" s="14">
        <f>SUMIFS('NHL2025-26Results'!$E:$E,'NHL2025-26Results'!$B:$B,A24,'NHL2025-26Results'!$E:$E,"&gt;0")/COUNTIFS('NHL2025-26Results'!$B:$B,A24,'NHL2025-26Results'!$E:$E,"&gt;0")</f>
        <v>3.4444444444444446</v>
      </c>
    </row>
    <row r="25" spans="1:18" x14ac:dyDescent="0.2">
      <c r="A25" s="4" t="s">
        <v>32</v>
      </c>
      <c r="B25">
        <f>SUM(Table1[[#This Row],[W]:[OTL]])</f>
        <v>22</v>
      </c>
      <c r="C25">
        <f>COUNTIF(NHL2025_26Results[Winning Team],Standings!A25)</f>
        <v>11</v>
      </c>
      <c r="D25">
        <f>COUNTIFS('NHL2025-26Results'!$H:$H,A25,'NHL2025-26Results'!$F:$F,"")</f>
        <v>5</v>
      </c>
      <c r="E25">
        <f>COUNTIFS('NHL2025-26Results'!$F:$F,"OT",'NHL2025-26Results'!$H:$H,A25) + COUNTIFS('NHL2025-26Results'!$F:$F,"SO",'NHL2025-26Results'!$H:$H,A25)</f>
        <v>6</v>
      </c>
      <c r="F25" s="3">
        <f>(Table1[[#This Row],[W]]*2)+Table1[[#This Row],[OTL]]</f>
        <v>28</v>
      </c>
      <c r="G25">
        <f>COUNTIFS('NHL2025-26Results'!$D:$D,A25,'NHL2025-26Results'!$G:$G,A25)</f>
        <v>6</v>
      </c>
      <c r="H25">
        <f>COUNTIFS('NHL2025-26Results'!$D:$D,A25,'NHL2025-26Results'!$H:$H,A25,'NHL2025-26Results'!$F:$F,"")</f>
        <v>1</v>
      </c>
      <c r="I25">
        <f>COUNTIFS('NHL2025-26Results'!$D:$D,A25,'NHL2025-26Results'!$H:$H,A25,'NHL2025-26Results'!$F:$F,"OT") + COUNTIFS('NHL2025-26Results'!$D:$D,A25,'NHL2025-26Results'!$H:$H,A25,'NHL2025-26Results'!$F:$F,"SO")</f>
        <v>3</v>
      </c>
      <c r="J25">
        <f>COUNTIFS('NHL2025-26Results'!$B:$B,A25,'NHL2025-26Results'!$G:$G,A25)</f>
        <v>5</v>
      </c>
      <c r="K25">
        <f>COUNTIFS('NHL2025-26Results'!$B:$B,A25,'NHL2025-26Results'!$H:$H,A25,'NHL2025-26Results'!$F:$F,"")</f>
        <v>4</v>
      </c>
      <c r="L25">
        <f>COUNTIFS('NHL2025-26Results'!$B:$B,A25,'NHL2025-26Results'!$H:$H,A25,'NHL2025-26Results'!$F:$F,"OT") + COUNTIFS('NHL2025-26Results'!$B:$B,A25,'NHL2025-26Results'!$H:$H,A25,'NHL2025-26Results'!$F:$F,"SO")</f>
        <v>3</v>
      </c>
      <c r="M25" s="11">
        <f>Table1[[#This Row],[HomeWins]]/SUM(Table1[[#This Row],[HomeWins]:[HomeOTL]])</f>
        <v>0.6</v>
      </c>
      <c r="N25" s="11">
        <f>Table1[[#This Row],[AwayWins]]/SUM(Table1[[#This Row],[AwayWins]:[AwayOTL]])</f>
        <v>0.41666666666666669</v>
      </c>
      <c r="O25" s="14">
        <f>SUMIFS('NHL2025-26Results'!$E:$E,'NHL2025-26Results'!$D:$D,A25,'NHL2025-26Results'!$E:$E,"&gt;0")/COUNTIFS('NHL2025-26Results'!$D:$D,A25,'NHL2025-26Results'!$E:$E,"&gt;0")</f>
        <v>2.7</v>
      </c>
      <c r="P25" s="14">
        <f>SUMIFS('NHL2025-26Results'!$C:$C,'NHL2025-26Results'!$B:$B,A25,'NHL2025-26Results'!$C:$C,"&gt;0")/COUNTIFS('NHL2025-26Results'!$B:$B,A25,'NHL2025-26Results'!$C:$C,"&gt;0")</f>
        <v>2.7272727272727271</v>
      </c>
      <c r="Q25" s="14">
        <f>SUMIFS('NHL2025-26Results'!$C:$C,'NHL2025-26Results'!$D:$D,A25,'NHL2025-26Results'!$C:$C,"&gt;0")/COUNTIFS('NHL2025-26Results'!$D:$D,A25,'NHL2025-26Results'!$C:$C,"&gt;0")</f>
        <v>2.4</v>
      </c>
      <c r="R25" s="14">
        <f>SUMIFS('NHL2025-26Results'!$E:$E,'NHL2025-26Results'!$B:$B,A25,'NHL2025-26Results'!$E:$E,"&gt;0")/COUNTIFS('NHL2025-26Results'!$B:$B,A25,'NHL2025-26Results'!$E:$E,"&gt;0")</f>
        <v>3.1818181818181817</v>
      </c>
    </row>
    <row r="26" spans="1:18" x14ac:dyDescent="0.2">
      <c r="A26" s="4" t="s">
        <v>35</v>
      </c>
      <c r="B26">
        <f>SUM(Table1[[#This Row],[W]:[OTL]])</f>
        <v>22</v>
      </c>
      <c r="C26">
        <f>COUNTIF(NHL2025_26Results[Winning Team],Standings!A26)</f>
        <v>7</v>
      </c>
      <c r="D26">
        <f>COUNTIFS('NHL2025-26Results'!$H:$H,A26,'NHL2025-26Results'!$F:$F,"")</f>
        <v>9</v>
      </c>
      <c r="E26">
        <f>COUNTIFS('NHL2025-26Results'!$F:$F,"OT",'NHL2025-26Results'!$H:$H,A26) + COUNTIFS('NHL2025-26Results'!$F:$F,"SO",'NHL2025-26Results'!$H:$H,A26)</f>
        <v>6</v>
      </c>
      <c r="F26" s="3">
        <f>(Table1[[#This Row],[W]]*2)+Table1[[#This Row],[OTL]]</f>
        <v>20</v>
      </c>
      <c r="G26">
        <f>COUNTIFS('NHL2025-26Results'!$D:$D,A26,'NHL2025-26Results'!$G:$G,A26)</f>
        <v>3</v>
      </c>
      <c r="H26">
        <f>COUNTIFS('NHL2025-26Results'!$D:$D,A26,'NHL2025-26Results'!$H:$H,A26,'NHL2025-26Results'!$F:$F,"")</f>
        <v>5</v>
      </c>
      <c r="I26">
        <f>COUNTIFS('NHL2025-26Results'!$D:$D,A26,'NHL2025-26Results'!$H:$H,A26,'NHL2025-26Results'!$F:$F,"OT") + COUNTIFS('NHL2025-26Results'!$D:$D,A26,'NHL2025-26Results'!$H:$H,A26,'NHL2025-26Results'!$F:$F,"SO")</f>
        <v>4</v>
      </c>
      <c r="J26">
        <f>COUNTIFS('NHL2025-26Results'!$B:$B,A26,'NHL2025-26Results'!$G:$G,A26)</f>
        <v>4</v>
      </c>
      <c r="K26">
        <f>COUNTIFS('NHL2025-26Results'!$B:$B,A26,'NHL2025-26Results'!$H:$H,A26,'NHL2025-26Results'!$F:$F,"")</f>
        <v>4</v>
      </c>
      <c r="L26">
        <f>COUNTIFS('NHL2025-26Results'!$B:$B,A26,'NHL2025-26Results'!$H:$H,A26,'NHL2025-26Results'!$F:$F,"OT") + COUNTIFS('NHL2025-26Results'!$B:$B,A26,'NHL2025-26Results'!$H:$H,A26,'NHL2025-26Results'!$F:$F,"SO")</f>
        <v>2</v>
      </c>
      <c r="M26" s="11">
        <f>Table1[[#This Row],[HomeWins]]/SUM(Table1[[#This Row],[HomeWins]:[HomeOTL]])</f>
        <v>0.25</v>
      </c>
      <c r="N26" s="11">
        <f>Table1[[#This Row],[AwayWins]]/SUM(Table1[[#This Row],[AwayWins]:[AwayOTL]])</f>
        <v>0.4</v>
      </c>
      <c r="O26" s="14">
        <f>SUMIFS('NHL2025-26Results'!$E:$E,'NHL2025-26Results'!$D:$D,A26,'NHL2025-26Results'!$E:$E,"&gt;0")/COUNTIFS('NHL2025-26Results'!$D:$D,A26,'NHL2025-26Results'!$E:$E,"&gt;0")</f>
        <v>2.8181818181818183</v>
      </c>
      <c r="P26" s="14">
        <f>SUMIFS('NHL2025-26Results'!$C:$C,'NHL2025-26Results'!$B:$B,A26,'NHL2025-26Results'!$C:$C,"&gt;0")/COUNTIFS('NHL2025-26Results'!$B:$B,A26,'NHL2025-26Results'!$C:$C,"&gt;0")</f>
        <v>2.8</v>
      </c>
      <c r="Q26" s="14">
        <f>SUMIFS('NHL2025-26Results'!$C:$C,'NHL2025-26Results'!$D:$D,A26,'NHL2025-26Results'!$C:$C,"&gt;0")/COUNTIFS('NHL2025-26Results'!$D:$D,A26,'NHL2025-26Results'!$C:$C,"&gt;0")</f>
        <v>4.166666666666667</v>
      </c>
      <c r="R26" s="14">
        <f>SUMIFS('NHL2025-26Results'!$E:$E,'NHL2025-26Results'!$B:$B,A26,'NHL2025-26Results'!$E:$E,"&gt;0")/COUNTIFS('NHL2025-26Results'!$B:$B,A26,'NHL2025-26Results'!$E:$E,"&gt;0")</f>
        <v>3.5555555555555554</v>
      </c>
    </row>
    <row r="27" spans="1:18" x14ac:dyDescent="0.2">
      <c r="A27" s="4" t="s">
        <v>37</v>
      </c>
      <c r="B27">
        <f>SUM(Table1[[#This Row],[W]:[OTL]])</f>
        <v>21</v>
      </c>
      <c r="C27">
        <f>COUNTIF(NHL2025_26Results[Winning Team],Standings!A27)</f>
        <v>12</v>
      </c>
      <c r="D27">
        <f>COUNTIFS('NHL2025-26Results'!$H:$H,A27,'NHL2025-26Results'!$F:$F,"")</f>
        <v>7</v>
      </c>
      <c r="E27">
        <f>COUNTIFS('NHL2025-26Results'!$F:$F,"OT",'NHL2025-26Results'!$H:$H,A27) + COUNTIFS('NHL2025-26Results'!$F:$F,"SO",'NHL2025-26Results'!$H:$H,A27)</f>
        <v>2</v>
      </c>
      <c r="F27" s="3">
        <f>(Table1[[#This Row],[W]]*2)+Table1[[#This Row],[OTL]]</f>
        <v>26</v>
      </c>
      <c r="G27">
        <f>COUNTIFS('NHL2025-26Results'!$D:$D,A27,'NHL2025-26Results'!$G:$G,A27)</f>
        <v>6</v>
      </c>
      <c r="H27">
        <f>COUNTIFS('NHL2025-26Results'!$D:$D,A27,'NHL2025-26Results'!$H:$H,A27,'NHL2025-26Results'!$F:$F,"")</f>
        <v>5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6</v>
      </c>
      <c r="K27">
        <f>COUNTIFS('NHL2025-26Results'!$B:$B,A27,'NHL2025-26Results'!$H:$H,A27,'NHL2025-26Results'!$F:$F,"")</f>
        <v>2</v>
      </c>
      <c r="L27">
        <f>COUNTIFS('NHL2025-26Results'!$B:$B,A27,'NHL2025-26Results'!$H:$H,A27,'NHL2025-26Results'!$F:$F,"OT") + COUNTIFS('NHL2025-26Results'!$B:$B,A27,'NHL2025-26Results'!$H:$H,A27,'NHL2025-26Results'!$F:$F,"SO")</f>
        <v>2</v>
      </c>
      <c r="M27" s="11">
        <f>Table1[[#This Row],[HomeWins]]/SUM(Table1[[#This Row],[HomeWins]:[HomeOTL]])</f>
        <v>0.54545454545454541</v>
      </c>
      <c r="N27" s="11">
        <f>Table1[[#This Row],[AwayWins]]/SUM(Table1[[#This Row],[AwayWins]:[AwayOTL]])</f>
        <v>0.6</v>
      </c>
      <c r="O27" s="14">
        <f>SUMIFS('NHL2025-26Results'!$E:$E,'NHL2025-26Results'!$D:$D,A27,'NHL2025-26Results'!$E:$E,"&gt;0")/COUNTIFS('NHL2025-26Results'!$D:$D,A27,'NHL2025-26Results'!$E:$E,"&gt;0")</f>
        <v>2.9090909090909092</v>
      </c>
      <c r="P27" s="14">
        <f>SUMIFS('NHL2025-26Results'!$C:$C,'NHL2025-26Results'!$B:$B,A27,'NHL2025-26Results'!$C:$C,"&gt;0")/COUNTIFS('NHL2025-26Results'!$B:$B,A27,'NHL2025-26Results'!$C:$C,"&gt;0")</f>
        <v>3.4</v>
      </c>
      <c r="Q27" s="14">
        <f>SUMIFS('NHL2025-26Results'!$C:$C,'NHL2025-26Results'!$D:$D,A27,'NHL2025-26Results'!$C:$C,"&gt;0")/COUNTIFS('NHL2025-26Results'!$D:$D,A27,'NHL2025-26Results'!$C:$C,"&gt;0")</f>
        <v>3.1818181818181817</v>
      </c>
      <c r="R27" s="14">
        <f>SUMIFS('NHL2025-26Results'!$E:$E,'NHL2025-26Results'!$B:$B,A27,'NHL2025-26Results'!$E:$E,"&gt;0")/COUNTIFS('NHL2025-26Results'!$B:$B,A27,'NHL2025-26Results'!$E:$E,"&gt;0")</f>
        <v>2.5</v>
      </c>
    </row>
    <row r="28" spans="1:18" x14ac:dyDescent="0.2">
      <c r="A28" s="4" t="s">
        <v>19</v>
      </c>
      <c r="B28">
        <f>SUM(Table1[[#This Row],[W]:[OTL]])</f>
        <v>22</v>
      </c>
      <c r="C28">
        <f>COUNTIF(NHL2025_26Results[Winning Team],Standings!A28)</f>
        <v>9</v>
      </c>
      <c r="D28">
        <f>COUNTIFS('NHL2025-26Results'!$H:$H,A28,'NHL2025-26Results'!$F:$F,"")</f>
        <v>10</v>
      </c>
      <c r="E28">
        <f>COUNTIFS('NHL2025-26Results'!$F:$F,"OT",'NHL2025-26Results'!$H:$H,A28) + COUNTIFS('NHL2025-26Results'!$F:$F,"SO",'NHL2025-26Results'!$H:$H,A28)</f>
        <v>3</v>
      </c>
      <c r="F28" s="3">
        <f>(Table1[[#This Row],[W]]*2)+Table1[[#This Row],[OTL]]</f>
        <v>21</v>
      </c>
      <c r="G28">
        <f>COUNTIFS('NHL2025-26Results'!$D:$D,A28,'NHL2025-26Results'!$G:$G,A28)</f>
        <v>8</v>
      </c>
      <c r="H28">
        <f>COUNTIFS('NHL2025-26Results'!$D:$D,A28,'NHL2025-26Results'!$H:$H,A28,'NHL2025-26Results'!$F:$F,"")</f>
        <v>4</v>
      </c>
      <c r="I28">
        <f>COUNTIFS('NHL2025-26Results'!$D:$D,A28,'NHL2025-26Results'!$H:$H,A28,'NHL2025-26Results'!$F:$F,"OT") + COUNTIFS('NHL2025-26Results'!$D:$D,A28,'NHL2025-26Results'!$H:$H,A28,'NHL2025-26Results'!$F:$F,"SO")</f>
        <v>3</v>
      </c>
      <c r="J28">
        <f>COUNTIFS('NHL2025-26Results'!$B:$B,A28,'NHL2025-26Results'!$G:$G,A28)</f>
        <v>1</v>
      </c>
      <c r="K28">
        <f>COUNTIFS('NHL2025-26Results'!$B:$B,A28,'NHL2025-26Results'!$H:$H,A28,'NHL2025-26Results'!$F:$F,"")</f>
        <v>6</v>
      </c>
      <c r="L28">
        <f>COUNTIFS('NHL2025-26Results'!$B:$B,A28,'NHL2025-26Results'!$H:$H,A28,'NHL2025-26Results'!$F:$F,"OT") + COUNTIFS('NHL2025-26Results'!$B:$B,A28,'NHL2025-26Results'!$H:$H,A28,'NHL2025-26Results'!$F:$F,"SO")</f>
        <v>0</v>
      </c>
      <c r="M28" s="11">
        <f>Table1[[#This Row],[HomeWins]]/SUM(Table1[[#This Row],[HomeWins]:[HomeOTL]])</f>
        <v>0.53333333333333333</v>
      </c>
      <c r="N28" s="11">
        <f>Table1[[#This Row],[AwayWins]]/SUM(Table1[[#This Row],[AwayWins]:[AwayOTL]])</f>
        <v>0.14285714285714285</v>
      </c>
      <c r="O28" s="14">
        <f>SUMIFS('NHL2025-26Results'!$E:$E,'NHL2025-26Results'!$D:$D,A28,'NHL2025-26Results'!$E:$E,"&gt;0")/COUNTIFS('NHL2025-26Results'!$D:$D,A28,'NHL2025-26Results'!$E:$E,"&gt;0")</f>
        <v>3.5333333333333332</v>
      </c>
      <c r="P28" s="14">
        <f>SUMIFS('NHL2025-26Results'!$C:$C,'NHL2025-26Results'!$B:$B,A28,'NHL2025-26Results'!$C:$C,"&gt;0")/COUNTIFS('NHL2025-26Results'!$B:$B,A28,'NHL2025-26Results'!$C:$C,"&gt;0")</f>
        <v>3</v>
      </c>
      <c r="Q28" s="14">
        <f>SUMIFS('NHL2025-26Results'!$C:$C,'NHL2025-26Results'!$D:$D,A28,'NHL2025-26Results'!$C:$C,"&gt;0")/COUNTIFS('NHL2025-26Results'!$D:$D,A28,'NHL2025-26Results'!$C:$C,"&gt;0")</f>
        <v>3.3333333333333335</v>
      </c>
      <c r="R28" s="14">
        <f>SUMIFS('NHL2025-26Results'!$E:$E,'NHL2025-26Results'!$B:$B,A28,'NHL2025-26Results'!$E:$E,"&gt;0")/COUNTIFS('NHL2025-26Results'!$B:$B,A28,'NHL2025-26Results'!$E:$E,"&gt;0")</f>
        <v>4.5714285714285712</v>
      </c>
    </row>
    <row r="29" spans="1:18" x14ac:dyDescent="0.2">
      <c r="A29" t="s">
        <v>55</v>
      </c>
      <c r="B29">
        <f>SUM(Table1[[#This Row],[W]:[OTL]])</f>
        <v>22</v>
      </c>
      <c r="C29">
        <f>COUNTIF(NHL2025_26Results[Winning Team],Standings!A29)</f>
        <v>11</v>
      </c>
      <c r="D29">
        <f>COUNTIFS('NHL2025-26Results'!$H:$H,A29,'NHL2025-26Results'!$F:$F,"")</f>
        <v>8</v>
      </c>
      <c r="E29">
        <f>COUNTIFS('NHL2025-26Results'!$F:$F,"OT",'NHL2025-26Results'!$H:$H,A29) + COUNTIFS('NHL2025-26Results'!$F:$F,"SO",'NHL2025-26Results'!$H:$H,A29)</f>
        <v>3</v>
      </c>
      <c r="F29" s="3">
        <f>(Table1[[#This Row],[W]]*2)+Table1[[#This Row],[OTL]]</f>
        <v>25</v>
      </c>
      <c r="G29">
        <f>COUNTIFS('NHL2025-26Results'!$D:$D,A29,'NHL2025-26Results'!$G:$G,A29)</f>
        <v>6</v>
      </c>
      <c r="H29">
        <f>COUNTIFS('NHL2025-26Results'!$D:$D,A29,'NHL2025-26Results'!$H:$H,A29,'NHL2025-26Results'!$F:$F,"")</f>
        <v>2</v>
      </c>
      <c r="I29">
        <f>COUNTIFS('NHL2025-26Results'!$D:$D,A29,'NHL2025-26Results'!$H:$H,A29,'NHL2025-26Results'!$F:$F,"OT") + COUNTIFS('NHL2025-26Results'!$D:$D,A29,'NHL2025-26Results'!$H:$H,A29,'NHL2025-26Results'!$F:$F,"SO")</f>
        <v>1</v>
      </c>
      <c r="J29">
        <f>COUNTIFS('NHL2025-26Results'!$B:$B,A29,'NHL2025-26Results'!$G:$G,A29)</f>
        <v>5</v>
      </c>
      <c r="K29">
        <f>COUNTIFS('NHL2025-26Results'!$B:$B,A29,'NHL2025-26Results'!$H:$H,A29,'NHL2025-26Results'!$F:$F,"")</f>
        <v>6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0.66666666666666663</v>
      </c>
      <c r="N29" s="11">
        <f>Table1[[#This Row],[AwayWins]]/SUM(Table1[[#This Row],[AwayWins]:[AwayOTL]])</f>
        <v>0.38461538461538464</v>
      </c>
      <c r="O29" s="14">
        <f>SUMIFS('NHL2025-26Results'!$E:$E,'NHL2025-26Results'!$D:$D,A29,'NHL2025-26Results'!$E:$E,"&gt;0")/COUNTIFS('NHL2025-26Results'!$D:$D,A29,'NHL2025-26Results'!$E:$E,"&gt;0")</f>
        <v>3.2222222222222223</v>
      </c>
      <c r="P29" s="14">
        <f>SUMIFS('NHL2025-26Results'!$C:$C,'NHL2025-26Results'!$B:$B,A29,'NHL2025-26Results'!$C:$C,"&gt;0")/COUNTIFS('NHL2025-26Results'!$B:$B,A29,'NHL2025-26Results'!$C:$C,"&gt;0")</f>
        <v>2.8461538461538463</v>
      </c>
      <c r="Q29" s="14">
        <f>SUMIFS('NHL2025-26Results'!$C:$C,'NHL2025-26Results'!$D:$D,A29,'NHL2025-26Results'!$C:$C,"&gt;0")/COUNTIFS('NHL2025-26Results'!$D:$D,A29,'NHL2025-26Results'!$C:$C,"&gt;0")</f>
        <v>2.6666666666666665</v>
      </c>
      <c r="R29" s="14">
        <f>SUMIFS('NHL2025-26Results'!$E:$E,'NHL2025-26Results'!$B:$B,A29,'NHL2025-26Results'!$E:$E,"&gt;0")/COUNTIFS('NHL2025-26Results'!$B:$B,A29,'NHL2025-26Results'!$E:$E,"&gt;0")</f>
        <v>3.3076923076923075</v>
      </c>
    </row>
    <row r="30" spans="1:18" x14ac:dyDescent="0.2">
      <c r="A30" s="4" t="s">
        <v>38</v>
      </c>
      <c r="B30">
        <f>SUM(Table1[[#This Row],[W]:[OTL]])</f>
        <v>23</v>
      </c>
      <c r="C30">
        <f>COUNTIF(NHL2025_26Results[Winning Team],Standings!A30)</f>
        <v>9</v>
      </c>
      <c r="D30">
        <f>COUNTIFS('NHL2025-26Results'!$H:$H,A30,'NHL2025-26Results'!$F:$F,"")</f>
        <v>12</v>
      </c>
      <c r="E30">
        <f>COUNTIFS('NHL2025-26Results'!$F:$F,"OT",'NHL2025-26Results'!$H:$H,A30) + COUNTIFS('NHL2025-26Results'!$F:$F,"SO",'NHL2025-26Results'!$H:$H,A30)</f>
        <v>2</v>
      </c>
      <c r="F30" s="3">
        <f>(Table1[[#This Row],[W]]*2)+Table1[[#This Row],[OTL]]</f>
        <v>20</v>
      </c>
      <c r="G30">
        <f>COUNTIFS('NHL2025-26Results'!$D:$D,A30,'NHL2025-26Results'!$G:$G,A30)</f>
        <v>3</v>
      </c>
      <c r="H30">
        <f>COUNTIFS('NHL2025-26Results'!$D:$D,A30,'NHL2025-26Results'!$H:$H,A30,'NHL2025-26Results'!$F:$F,"")</f>
        <v>7</v>
      </c>
      <c r="I30">
        <f>COUNTIFS('NHL2025-26Results'!$D:$D,A30,'NHL2025-26Results'!$H:$H,A30,'NHL2025-26Results'!$F:$F,"OT") + COUNTIFS('NHL2025-26Results'!$D:$D,A30,'NHL2025-26Results'!$H:$H,A30,'NHL2025-26Results'!$F:$F,"SO")</f>
        <v>1</v>
      </c>
      <c r="J30">
        <f>COUNTIFS('NHL2025-26Results'!$B:$B,A30,'NHL2025-26Results'!$G:$G,A30)</f>
        <v>6</v>
      </c>
      <c r="K30">
        <f>COUNTIFS('NHL2025-26Results'!$B:$B,A30,'NHL2025-26Results'!$H:$H,A30,'NHL2025-26Results'!$F:$F,"")</f>
        <v>5</v>
      </c>
      <c r="L30">
        <f>COUNTIFS('NHL2025-26Results'!$B:$B,A30,'NHL2025-26Results'!$H:$H,A30,'NHL2025-26Results'!$F:$F,"OT") + COUNTIFS('NHL2025-26Results'!$B:$B,A30,'NHL2025-26Results'!$H:$H,A30,'NHL2025-26Results'!$F:$F,"SO")</f>
        <v>1</v>
      </c>
      <c r="M30" s="11">
        <f>Table1[[#This Row],[HomeWins]]/SUM(Table1[[#This Row],[HomeWins]:[HomeOTL]])</f>
        <v>0.27272727272727271</v>
      </c>
      <c r="N30" s="11">
        <f>Table1[[#This Row],[AwayWins]]/SUM(Table1[[#This Row],[AwayWins]:[AwayOTL]])</f>
        <v>0.5</v>
      </c>
      <c r="O30" s="14">
        <f>SUMIFS('NHL2025-26Results'!$E:$E,'NHL2025-26Results'!$D:$D,A30,'NHL2025-26Results'!$E:$E,"&gt;0")/COUNTIFS('NHL2025-26Results'!$D:$D,A30,'NHL2025-26Results'!$E:$E,"&gt;0")</f>
        <v>3.1</v>
      </c>
      <c r="P30" s="14">
        <f>SUMIFS('NHL2025-26Results'!$C:$C,'NHL2025-26Results'!$B:$B,A30,'NHL2025-26Results'!$C:$C,"&gt;0")/COUNTIFS('NHL2025-26Results'!$B:$B,A30,'NHL2025-26Results'!$C:$C,"&gt;0")</f>
        <v>3.3333333333333335</v>
      </c>
      <c r="Q30" s="14">
        <f>SUMIFS('NHL2025-26Results'!$C:$C,'NHL2025-26Results'!$D:$D,A30,'NHL2025-26Results'!$C:$C,"&gt;0")/COUNTIFS('NHL2025-26Results'!$D:$D,A30,'NHL2025-26Results'!$C:$C,"&gt;0")</f>
        <v>3.8181818181818183</v>
      </c>
      <c r="R30" s="14">
        <f>SUMIFS('NHL2025-26Results'!$E:$E,'NHL2025-26Results'!$B:$B,A30,'NHL2025-26Results'!$E:$E,"&gt;0")/COUNTIFS('NHL2025-26Results'!$B:$B,A30,'NHL2025-26Results'!$E:$E,"&gt;0")</f>
        <v>3.6666666666666665</v>
      </c>
    </row>
    <row r="31" spans="1:18" x14ac:dyDescent="0.2">
      <c r="A31" s="4" t="s">
        <v>20</v>
      </c>
      <c r="B31">
        <f>SUM(Table1[[#This Row],[W]:[OTL]])</f>
        <v>21</v>
      </c>
      <c r="C31">
        <f>COUNTIF(NHL2025_26Results[Winning Team],Standings!A31)</f>
        <v>10</v>
      </c>
      <c r="D31">
        <f>COUNTIFS('NHL2025-26Results'!$H:$H,A31,'NHL2025-26Results'!$F:$F,"")</f>
        <v>4</v>
      </c>
      <c r="E31">
        <f>COUNTIFS('NHL2025-26Results'!$F:$F,"OT",'NHL2025-26Results'!$H:$H,A31) + COUNTIFS('NHL2025-26Results'!$F:$F,"SO",'NHL2025-26Results'!$H:$H,A31)</f>
        <v>7</v>
      </c>
      <c r="F31" s="3">
        <f>(Table1[[#This Row],[W]]*2)+Table1[[#This Row],[OTL]]</f>
        <v>27</v>
      </c>
      <c r="G31">
        <f>COUNTIFS('NHL2025-26Results'!$D:$D,A31,'NHL2025-26Results'!$G:$G,A31)</f>
        <v>5</v>
      </c>
      <c r="H31">
        <f>COUNTIFS('NHL2025-26Results'!$D:$D,A31,'NHL2025-26Results'!$H:$H,A31,'NHL2025-26Results'!$F:$F,"")</f>
        <v>3</v>
      </c>
      <c r="I31">
        <f>COUNTIFS('NHL2025-26Results'!$D:$D,A31,'NHL2025-26Results'!$H:$H,A31,'NHL2025-26Results'!$F:$F,"OT") + COUNTIFS('NHL2025-26Results'!$D:$D,A31,'NHL2025-26Results'!$H:$H,A31,'NHL2025-26Results'!$F:$F,"SO")</f>
        <v>3</v>
      </c>
      <c r="J31">
        <f>COUNTIFS('NHL2025-26Results'!$B:$B,A31,'NHL2025-26Results'!$G:$G,A31)</f>
        <v>5</v>
      </c>
      <c r="K31">
        <f>COUNTIFS('NHL2025-26Results'!$B:$B,A31,'NHL2025-26Results'!$H:$H,A31,'NHL2025-26Results'!$F:$F,"")</f>
        <v>1</v>
      </c>
      <c r="L31">
        <f>COUNTIFS('NHL2025-26Results'!$B:$B,A31,'NHL2025-26Results'!$H:$H,A31,'NHL2025-26Results'!$F:$F,"OT") + COUNTIFS('NHL2025-26Results'!$B:$B,A31,'NHL2025-26Results'!$H:$H,A31,'NHL2025-26Results'!$F:$F,"SO")</f>
        <v>4</v>
      </c>
      <c r="M31" s="11">
        <f>Table1[[#This Row],[HomeWins]]/SUM(Table1[[#This Row],[HomeWins]:[HomeOTL]])</f>
        <v>0.45454545454545453</v>
      </c>
      <c r="N31" s="11">
        <f>Table1[[#This Row],[AwayWins]]/SUM(Table1[[#This Row],[AwayWins]:[AwayOTL]])</f>
        <v>0.5</v>
      </c>
      <c r="O31" s="14">
        <f>SUMIFS('NHL2025-26Results'!$E:$E,'NHL2025-26Results'!$D:$D,A31,'NHL2025-26Results'!$E:$E,"&gt;0")/COUNTIFS('NHL2025-26Results'!$D:$D,A31,'NHL2025-26Results'!$E:$E,"&gt;0")</f>
        <v>3.4545454545454546</v>
      </c>
      <c r="P31" s="14">
        <f>SUMIFS('NHL2025-26Results'!$C:$C,'NHL2025-26Results'!$B:$B,A31,'NHL2025-26Results'!$C:$C,"&gt;0")/COUNTIFS('NHL2025-26Results'!$B:$B,A31,'NHL2025-26Results'!$C:$C,"&gt;0")</f>
        <v>3.2222222222222223</v>
      </c>
      <c r="Q31" s="14">
        <f>SUMIFS('NHL2025-26Results'!$C:$C,'NHL2025-26Results'!$D:$D,A31,'NHL2025-26Results'!$C:$C,"&gt;0")/COUNTIFS('NHL2025-26Results'!$D:$D,A31,'NHL2025-26Results'!$C:$C,"&gt;0")</f>
        <v>3.6</v>
      </c>
      <c r="R31" s="14">
        <f>SUMIFS('NHL2025-26Results'!$E:$E,'NHL2025-26Results'!$B:$B,A31,'NHL2025-26Results'!$E:$E,"&gt;0")/COUNTIFS('NHL2025-26Results'!$B:$B,A31,'NHL2025-26Results'!$E:$E,"&gt;0")</f>
        <v>2.4</v>
      </c>
    </row>
    <row r="32" spans="1:18" x14ac:dyDescent="0.2">
      <c r="A32" s="4" t="s">
        <v>22</v>
      </c>
      <c r="B32">
        <f>SUM(Table1[[#This Row],[W]:[OTL]])</f>
        <v>22</v>
      </c>
      <c r="C32">
        <f>COUNTIF(NHL2025_26Results[Winning Team],Standings!A32)</f>
        <v>11</v>
      </c>
      <c r="D32">
        <f>COUNTIFS('NHL2025-26Results'!$H:$H,A32,'NHL2025-26Results'!$F:$F,"")</f>
        <v>9</v>
      </c>
      <c r="E32">
        <f>COUNTIFS('NHL2025-26Results'!$F:$F,"OT",'NHL2025-26Results'!$H:$H,A32) + COUNTIFS('NHL2025-26Results'!$F:$F,"SO",'NHL2025-26Results'!$H:$H,A32)</f>
        <v>2</v>
      </c>
      <c r="F32" s="3">
        <f>(Table1[[#This Row],[W]]*2)+Table1[[#This Row],[OTL]]</f>
        <v>24</v>
      </c>
      <c r="G32">
        <f>COUNTIFS('NHL2025-26Results'!$D:$D,A32,'NHL2025-26Results'!$G:$G,A32)</f>
        <v>6</v>
      </c>
      <c r="H32">
        <f>COUNTIFS('NHL2025-26Results'!$D:$D,A32,'NHL2025-26Results'!$H:$H,A32,'NHL2025-26Results'!$F:$F,"")</f>
        <v>5</v>
      </c>
      <c r="I32">
        <f>COUNTIFS('NHL2025-26Results'!$D:$D,A32,'NHL2025-26Results'!$H:$H,A32,'NHL2025-26Results'!$F:$F,"OT") + COUNTIFS('NHL2025-26Results'!$D:$D,A32,'NHL2025-26Results'!$H:$H,A32,'NHL2025-26Results'!$F:$F,"SO")</f>
        <v>1</v>
      </c>
      <c r="J32">
        <f>COUNTIFS('NHL2025-26Results'!$B:$B,A32,'NHL2025-26Results'!$G:$G,A32)</f>
        <v>5</v>
      </c>
      <c r="K32">
        <f>COUNTIFS('NHL2025-26Results'!$B:$B,A32,'NHL2025-26Results'!$H:$H,A32,'NHL2025-26Results'!$F:$F,"")</f>
        <v>4</v>
      </c>
      <c r="L32">
        <f>COUNTIFS('NHL2025-26Results'!$B:$B,A32,'NHL2025-26Results'!$H:$H,A32,'NHL2025-26Results'!$F:$F,"OT") + COUNTIFS('NHL2025-26Results'!$B:$B,A32,'NHL2025-26Results'!$H:$H,A32,'NHL2025-26Results'!$F:$F,"SO")</f>
        <v>1</v>
      </c>
      <c r="M32" s="11">
        <f>Table1[[#This Row],[HomeWins]]/SUM(Table1[[#This Row],[HomeWins]:[HomeOTL]])</f>
        <v>0.5</v>
      </c>
      <c r="N32" s="11">
        <f>Table1[[#This Row],[AwayWins]]/SUM(Table1[[#This Row],[AwayWins]:[AwayOTL]])</f>
        <v>0.5</v>
      </c>
      <c r="O32" s="14">
        <f>SUMIFS('NHL2025-26Results'!$E:$E,'NHL2025-26Results'!$D:$D,A32,'NHL2025-26Results'!$E:$E,"&gt;0")/COUNTIFS('NHL2025-26Results'!$D:$D,A32,'NHL2025-26Results'!$E:$E,"&gt;0")</f>
        <v>3.1666666666666665</v>
      </c>
      <c r="P32" s="14">
        <f>SUMIFS('NHL2025-26Results'!$C:$C,'NHL2025-26Results'!$B:$B,A32,'NHL2025-26Results'!$C:$C,"&gt;0")/COUNTIFS('NHL2025-26Results'!$B:$B,A32,'NHL2025-26Results'!$C:$C,"&gt;0")</f>
        <v>3.6666666666666665</v>
      </c>
      <c r="Q32" s="14">
        <f>SUMIFS('NHL2025-26Results'!$C:$C,'NHL2025-26Results'!$D:$D,A32,'NHL2025-26Results'!$C:$C,"&gt;0")/COUNTIFS('NHL2025-26Results'!$D:$D,A32,'NHL2025-26Results'!$C:$C,"&gt;0")</f>
        <v>2.9166666666666665</v>
      </c>
      <c r="R32" s="14">
        <f>SUMIFS('NHL2025-26Results'!$E:$E,'NHL2025-26Results'!$B:$B,A32,'NHL2025-26Results'!$E:$E,"&gt;0")/COUNTIFS('NHL2025-26Results'!$B:$B,A32,'NHL2025-26Results'!$E:$E,"&gt;0")</f>
        <v>3</v>
      </c>
    </row>
    <row r="33" spans="1:18" x14ac:dyDescent="0.2">
      <c r="A33" s="4" t="s">
        <v>40</v>
      </c>
      <c r="B33">
        <f>SUM(Table1[[#This Row],[W]:[OTL]])</f>
        <v>21</v>
      </c>
      <c r="C33">
        <f>COUNTIF(NHL2025_26Results[Winning Team],Standings!A33)</f>
        <v>12</v>
      </c>
      <c r="D33">
        <f>COUNTIFS('NHL2025-26Results'!$H:$H,A33,'NHL2025-26Results'!$F:$F,"")</f>
        <v>9</v>
      </c>
      <c r="E33">
        <f>COUNTIFS('NHL2025-26Results'!$F:$F,"OT",'NHL2025-26Results'!$H:$H,A33) + COUNTIFS('NHL2025-26Results'!$F:$F,"SO",'NHL2025-26Results'!$H:$H,A33)</f>
        <v>0</v>
      </c>
      <c r="F33" s="3">
        <f>(Table1[[#This Row],[W]]*2)+Table1[[#This Row],[OTL]]</f>
        <v>24</v>
      </c>
      <c r="G33">
        <f>COUNTIFS('NHL2025-26Results'!$D:$D,A33,'NHL2025-26Results'!$G:$G,A33)</f>
        <v>6</v>
      </c>
      <c r="H33">
        <f>COUNTIFS('NHL2025-26Results'!$D:$D,A33,'NHL2025-26Results'!$H:$H,A33,'NHL2025-26Results'!$F:$F,"")</f>
        <v>5</v>
      </c>
      <c r="I33">
        <f>COUNTIFS('NHL2025-26Results'!$D:$D,A33,'NHL2025-26Results'!$H:$H,A33,'NHL2025-26Results'!$F:$F,"OT") + COUNTIFS('NHL2025-26Results'!$D:$D,A33,'NHL2025-26Results'!$H:$H,A33,'NHL2025-26Results'!$F:$F,"SO")</f>
        <v>0</v>
      </c>
      <c r="J33">
        <f>COUNTIFS('NHL2025-26Results'!$B:$B,A33,'NHL2025-26Results'!$G:$G,A33)</f>
        <v>6</v>
      </c>
      <c r="K33">
        <f>COUNTIFS('NHL2025-26Results'!$B:$B,A33,'NHL2025-26Results'!$H:$H,A33,'NHL2025-26Results'!$F:$F,"")</f>
        <v>4</v>
      </c>
      <c r="L33">
        <f>COUNTIFS('NHL2025-26Results'!$B:$B,A33,'NHL2025-26Results'!$H:$H,A33,'NHL2025-26Results'!$F:$F,"OT") + COUNTIFS('NHL2025-26Results'!$B:$B,A33,'NHL2025-26Results'!$H:$H,A33,'NHL2025-26Results'!$F:$F,"SO")</f>
        <v>0</v>
      </c>
      <c r="M33" s="11">
        <f>Table1[[#This Row],[HomeWins]]/SUM(Table1[[#This Row],[HomeWins]:[HomeOTL]])</f>
        <v>0.54545454545454541</v>
      </c>
      <c r="N33" s="11">
        <f>Table1[[#This Row],[AwayWins]]/SUM(Table1[[#This Row],[AwayWins]:[AwayOTL]])</f>
        <v>0.6</v>
      </c>
      <c r="O33" s="14">
        <f>SUMIFS('NHL2025-26Results'!$E:$E,'NHL2025-26Results'!$D:$D,A33,'NHL2025-26Results'!$E:$E,"&gt;0")/COUNTIFS('NHL2025-26Results'!$D:$D,A33,'NHL2025-26Results'!$E:$E,"&gt;0")</f>
        <v>4.1111111111111107</v>
      </c>
      <c r="P33" s="14">
        <f>SUMIFS('NHL2025-26Results'!$C:$C,'NHL2025-26Results'!$B:$B,A33,'NHL2025-26Results'!$C:$C,"&gt;0")/COUNTIFS('NHL2025-26Results'!$B:$B,A33,'NHL2025-26Results'!$C:$C,"&gt;0")</f>
        <v>3.3333333333333335</v>
      </c>
      <c r="Q33" s="14">
        <f>SUMIFS('NHL2025-26Results'!$C:$C,'NHL2025-26Results'!$D:$D,A33,'NHL2025-26Results'!$C:$C,"&gt;0")/COUNTIFS('NHL2025-26Results'!$D:$D,A33,'NHL2025-26Results'!$C:$C,"&gt;0")</f>
        <v>2.8181818181818183</v>
      </c>
      <c r="R33" s="14">
        <f>SUMIFS('NHL2025-26Results'!$E:$E,'NHL2025-26Results'!$B:$B,A33,'NHL2025-26Results'!$E:$E,"&gt;0")/COUNTIFS('NHL2025-26Results'!$B:$B,A33,'NHL2025-26Results'!$E:$E,"&gt;0")</f>
        <v>2.8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57691-E514-6B4C-9563-56D36E7A2768}">
  <dimension ref="A1:AA60"/>
  <sheetViews>
    <sheetView tabSelected="1" zoomScale="59" workbookViewId="0">
      <selection activeCell="F36" sqref="F36"/>
    </sheetView>
  </sheetViews>
  <sheetFormatPr baseColWidth="10" defaultRowHeight="16" x14ac:dyDescent="0.2"/>
  <cols>
    <col min="1" max="1" width="14.5" bestFit="1" customWidth="1"/>
    <col min="2" max="2" width="14.83203125" bestFit="1" customWidth="1"/>
    <col min="3" max="4" width="19.83203125" bestFit="1" customWidth="1"/>
    <col min="5" max="5" width="39.5" bestFit="1" customWidth="1"/>
    <col min="6" max="7" width="18" bestFit="1" customWidth="1"/>
    <col min="8" max="8" width="19.1640625" bestFit="1" customWidth="1"/>
    <col min="9" max="9" width="18.1640625" style="11" bestFit="1" customWidth="1"/>
    <col min="10" max="10" width="10.33203125" bestFit="1" customWidth="1"/>
    <col min="11" max="11" width="15.1640625" bestFit="1" customWidth="1"/>
    <col min="12" max="12" width="14.33203125" bestFit="1" customWidth="1"/>
    <col min="13" max="13" width="59" bestFit="1" customWidth="1"/>
    <col min="14" max="14" width="19.83203125" bestFit="1" customWidth="1"/>
    <col min="15" max="15" width="20.1640625" bestFit="1" customWidth="1"/>
    <col min="16" max="16" width="21.33203125" bestFit="1" customWidth="1"/>
    <col min="17" max="17" width="20.5" bestFit="1" customWidth="1"/>
    <col min="18" max="18" width="12.6640625" bestFit="1" customWidth="1"/>
    <col min="19" max="19" width="18.5" bestFit="1" customWidth="1"/>
    <col min="20" max="20" width="16.5" bestFit="1" customWidth="1"/>
    <col min="21" max="21" width="19.83203125" bestFit="1" customWidth="1"/>
    <col min="22" max="22" width="20.5" bestFit="1" customWidth="1"/>
    <col min="23" max="23" width="21.6640625" bestFit="1" customWidth="1"/>
    <col min="24" max="24" width="12.83203125" bestFit="1" customWidth="1"/>
    <col min="25" max="25" width="15.6640625" bestFit="1" customWidth="1"/>
    <col min="26" max="27" width="20" bestFit="1" customWidth="1"/>
  </cols>
  <sheetData>
    <row r="1" spans="1:27" x14ac:dyDescent="0.2">
      <c r="A1" t="s">
        <v>272</v>
      </c>
      <c r="B1" t="s">
        <v>260</v>
      </c>
      <c r="C1" t="s">
        <v>262</v>
      </c>
      <c r="D1" t="s">
        <v>261</v>
      </c>
      <c r="E1" t="s">
        <v>273</v>
      </c>
      <c r="F1" t="s">
        <v>274</v>
      </c>
      <c r="G1" t="s">
        <v>275</v>
      </c>
      <c r="H1" t="s">
        <v>276</v>
      </c>
      <c r="I1" s="11" t="s">
        <v>263</v>
      </c>
      <c r="J1" t="s">
        <v>277</v>
      </c>
      <c r="K1" t="s">
        <v>278</v>
      </c>
      <c r="L1" t="s">
        <v>266</v>
      </c>
      <c r="M1" t="s">
        <v>279</v>
      </c>
      <c r="N1" t="s">
        <v>280</v>
      </c>
      <c r="O1" t="s">
        <v>281</v>
      </c>
      <c r="P1" t="s">
        <v>282</v>
      </c>
      <c r="Q1" t="s">
        <v>264</v>
      </c>
      <c r="R1" t="s">
        <v>283</v>
      </c>
      <c r="S1" t="s">
        <v>284</v>
      </c>
      <c r="T1" t="s">
        <v>267</v>
      </c>
      <c r="U1" t="s">
        <v>265</v>
      </c>
      <c r="V1" t="s">
        <v>271</v>
      </c>
      <c r="W1" t="s">
        <v>270</v>
      </c>
      <c r="X1" t="s">
        <v>285</v>
      </c>
      <c r="Y1" t="s">
        <v>286</v>
      </c>
      <c r="Z1" t="s">
        <v>287</v>
      </c>
      <c r="AA1" t="s">
        <v>288</v>
      </c>
    </row>
    <row r="2" spans="1:27" x14ac:dyDescent="0.2">
      <c r="A2" s="19" t="s">
        <v>216</v>
      </c>
      <c r="B2" s="19" t="s">
        <v>289</v>
      </c>
      <c r="C2" s="19" t="s">
        <v>55</v>
      </c>
      <c r="D2" s="19" t="s">
        <v>31</v>
      </c>
      <c r="E2" s="19" t="s">
        <v>290</v>
      </c>
      <c r="F2" s="19" t="s">
        <v>31</v>
      </c>
      <c r="G2" s="19">
        <v>4</v>
      </c>
      <c r="H2" s="19">
        <v>5</v>
      </c>
      <c r="I2" s="20">
        <v>0.96</v>
      </c>
      <c r="J2" s="19" t="s">
        <v>249</v>
      </c>
      <c r="K2" s="19"/>
      <c r="L2" s="19" t="s">
        <v>248</v>
      </c>
      <c r="M2" s="19" t="s">
        <v>291</v>
      </c>
      <c r="N2" s="19" t="s">
        <v>31</v>
      </c>
      <c r="O2" s="19">
        <v>2</v>
      </c>
      <c r="P2" s="19">
        <v>4</v>
      </c>
      <c r="Q2">
        <v>0.75549999999999995</v>
      </c>
      <c r="R2" s="19" t="s">
        <v>249</v>
      </c>
      <c r="S2" s="19">
        <v>0.8</v>
      </c>
      <c r="T2" s="19" t="s">
        <v>248</v>
      </c>
      <c r="U2" s="19" t="s">
        <v>31</v>
      </c>
      <c r="V2" s="19">
        <v>2</v>
      </c>
      <c r="W2" s="19">
        <v>3</v>
      </c>
      <c r="X2" s="19" t="s">
        <v>379</v>
      </c>
      <c r="Y2" s="19" t="s">
        <v>292</v>
      </c>
      <c r="Z2" s="19" t="s">
        <v>60</v>
      </c>
      <c r="AA2" s="19" t="s">
        <v>380</v>
      </c>
    </row>
    <row r="3" spans="1:27" x14ac:dyDescent="0.2">
      <c r="A3" s="19" t="s">
        <v>216</v>
      </c>
      <c r="B3" s="19" t="s">
        <v>293</v>
      </c>
      <c r="C3" s="19" t="s">
        <v>25</v>
      </c>
      <c r="D3" s="19" t="s">
        <v>21</v>
      </c>
      <c r="E3" s="19" t="s">
        <v>294</v>
      </c>
      <c r="F3" s="19" t="s">
        <v>21</v>
      </c>
      <c r="G3" s="19">
        <v>3</v>
      </c>
      <c r="H3" s="19">
        <v>4</v>
      </c>
      <c r="I3" s="20">
        <v>0.54630000000000001</v>
      </c>
      <c r="J3" s="19" t="s">
        <v>249</v>
      </c>
      <c r="K3" s="19"/>
      <c r="L3" s="19" t="s">
        <v>249</v>
      </c>
      <c r="M3" s="19" t="s">
        <v>381</v>
      </c>
      <c r="N3" s="19" t="s">
        <v>25</v>
      </c>
      <c r="O3" s="19">
        <v>2</v>
      </c>
      <c r="P3" s="19">
        <v>3</v>
      </c>
      <c r="Q3">
        <v>0.54330000000000001</v>
      </c>
      <c r="R3" s="19" t="s">
        <v>249</v>
      </c>
      <c r="S3" s="19">
        <v>-0.47</v>
      </c>
      <c r="T3" s="19" t="s">
        <v>248</v>
      </c>
      <c r="U3" s="19" t="s">
        <v>25</v>
      </c>
      <c r="V3" s="19">
        <v>3</v>
      </c>
      <c r="W3" s="19">
        <v>1</v>
      </c>
      <c r="X3" s="19" t="s">
        <v>379</v>
      </c>
      <c r="Y3" s="19" t="s">
        <v>292</v>
      </c>
      <c r="Z3" s="19" t="s">
        <v>60</v>
      </c>
      <c r="AA3" s="19" t="s">
        <v>380</v>
      </c>
    </row>
    <row r="4" spans="1:27" x14ac:dyDescent="0.2">
      <c r="A4" s="19" t="s">
        <v>216</v>
      </c>
      <c r="B4" s="19" t="s">
        <v>293</v>
      </c>
      <c r="C4" s="19" t="s">
        <v>17</v>
      </c>
      <c r="D4" s="19" t="s">
        <v>23</v>
      </c>
      <c r="E4" s="19" t="s">
        <v>295</v>
      </c>
      <c r="F4" s="19" t="s">
        <v>23</v>
      </c>
      <c r="G4" s="19">
        <v>3</v>
      </c>
      <c r="H4" s="19">
        <v>4</v>
      </c>
      <c r="I4" s="20">
        <v>0.55500000000000005</v>
      </c>
      <c r="J4" s="19" t="s">
        <v>249</v>
      </c>
      <c r="K4" s="19"/>
      <c r="L4" s="19" t="s">
        <v>248</v>
      </c>
      <c r="M4" s="19" t="s">
        <v>296</v>
      </c>
      <c r="N4" s="19" t="s">
        <v>17</v>
      </c>
      <c r="O4" s="19">
        <v>2</v>
      </c>
      <c r="P4" s="19">
        <v>3</v>
      </c>
      <c r="Q4">
        <v>0.47189999999999999</v>
      </c>
      <c r="R4" s="19" t="s">
        <v>248</v>
      </c>
      <c r="S4" s="19">
        <v>-0.09</v>
      </c>
      <c r="T4" s="19" t="s">
        <v>249</v>
      </c>
      <c r="U4" s="19" t="s">
        <v>23</v>
      </c>
      <c r="V4" s="19">
        <v>1</v>
      </c>
      <c r="W4" s="19">
        <v>5</v>
      </c>
      <c r="X4" s="19" t="s">
        <v>379</v>
      </c>
      <c r="Y4" s="19" t="s">
        <v>292</v>
      </c>
      <c r="Z4" s="19" t="s">
        <v>60</v>
      </c>
      <c r="AA4" s="19" t="s">
        <v>380</v>
      </c>
    </row>
    <row r="5" spans="1:27" x14ac:dyDescent="0.2">
      <c r="A5" s="19" t="s">
        <v>216</v>
      </c>
      <c r="B5" s="19" t="s">
        <v>297</v>
      </c>
      <c r="C5" s="19" t="s">
        <v>18</v>
      </c>
      <c r="D5" s="19" t="s">
        <v>28</v>
      </c>
      <c r="E5" s="19" t="s">
        <v>298</v>
      </c>
      <c r="F5" s="19" t="s">
        <v>18</v>
      </c>
      <c r="G5" s="19">
        <v>4</v>
      </c>
      <c r="H5" s="19">
        <v>3</v>
      </c>
      <c r="I5" s="20">
        <v>0.7097</v>
      </c>
      <c r="J5" s="19" t="s">
        <v>249</v>
      </c>
      <c r="K5" s="19"/>
      <c r="L5" s="19" t="s">
        <v>249</v>
      </c>
      <c r="M5" s="19" t="s">
        <v>382</v>
      </c>
      <c r="N5" s="19" t="s">
        <v>28</v>
      </c>
      <c r="O5" s="19">
        <v>2</v>
      </c>
      <c r="P5" s="19">
        <v>3</v>
      </c>
      <c r="Q5">
        <v>0.50209999999999999</v>
      </c>
      <c r="R5" s="19" t="s">
        <v>248</v>
      </c>
      <c r="S5" s="19">
        <v>0.28000000000000003</v>
      </c>
      <c r="T5" s="19" t="s">
        <v>248</v>
      </c>
      <c r="U5" s="19" t="s">
        <v>28</v>
      </c>
      <c r="V5" s="19">
        <v>3</v>
      </c>
      <c r="W5" s="19">
        <v>4</v>
      </c>
      <c r="X5" s="19" t="s">
        <v>379</v>
      </c>
      <c r="Y5" s="19" t="s">
        <v>292</v>
      </c>
      <c r="Z5" s="19" t="s">
        <v>60</v>
      </c>
      <c r="AA5" s="19" t="s">
        <v>380</v>
      </c>
    </row>
    <row r="6" spans="1:27" x14ac:dyDescent="0.2">
      <c r="A6" s="19" t="s">
        <v>216</v>
      </c>
      <c r="B6" s="19" t="s">
        <v>293</v>
      </c>
      <c r="C6" s="19" t="s">
        <v>38</v>
      </c>
      <c r="D6" s="19" t="s">
        <v>11</v>
      </c>
      <c r="E6" s="19" t="s">
        <v>299</v>
      </c>
      <c r="F6" s="19" t="s">
        <v>38</v>
      </c>
      <c r="G6" s="19">
        <v>5</v>
      </c>
      <c r="H6" s="19">
        <v>4</v>
      </c>
      <c r="I6" s="20">
        <v>0.5766</v>
      </c>
      <c r="J6" s="19" t="s">
        <v>249</v>
      </c>
      <c r="K6" s="19"/>
      <c r="L6" s="19" t="s">
        <v>249</v>
      </c>
      <c r="M6" s="19" t="s">
        <v>383</v>
      </c>
      <c r="N6" s="19" t="s">
        <v>11</v>
      </c>
      <c r="O6" s="19">
        <v>2</v>
      </c>
      <c r="P6" s="19">
        <v>4</v>
      </c>
      <c r="Q6">
        <v>0.62919999999999998</v>
      </c>
      <c r="R6" s="19" t="s">
        <v>249</v>
      </c>
      <c r="S6" s="19">
        <v>0.56999999999999995</v>
      </c>
      <c r="T6" s="19" t="s">
        <v>248</v>
      </c>
      <c r="U6" s="19" t="s">
        <v>11</v>
      </c>
      <c r="V6" s="19">
        <v>5</v>
      </c>
      <c r="W6" s="19">
        <v>8</v>
      </c>
      <c r="X6" s="19" t="s">
        <v>379</v>
      </c>
      <c r="Y6" s="19" t="s">
        <v>292</v>
      </c>
      <c r="Z6" s="19" t="s">
        <v>60</v>
      </c>
      <c r="AA6" s="19" t="s">
        <v>380</v>
      </c>
    </row>
    <row r="7" spans="1:27" x14ac:dyDescent="0.2">
      <c r="A7" s="19" t="s">
        <v>216</v>
      </c>
      <c r="B7" s="19" t="s">
        <v>293</v>
      </c>
      <c r="C7" s="19" t="s">
        <v>13</v>
      </c>
      <c r="D7" s="19" t="s">
        <v>22</v>
      </c>
      <c r="E7" s="19" t="s">
        <v>300</v>
      </c>
      <c r="F7" s="19" t="s">
        <v>13</v>
      </c>
      <c r="G7" s="19">
        <v>4</v>
      </c>
      <c r="H7" s="19">
        <v>1</v>
      </c>
      <c r="I7" s="20">
        <v>0.84499999999999997</v>
      </c>
      <c r="J7" s="19" t="s">
        <v>249</v>
      </c>
      <c r="K7" s="19"/>
      <c r="L7" s="19" t="s">
        <v>249</v>
      </c>
      <c r="M7" s="19" t="s">
        <v>384</v>
      </c>
      <c r="N7" s="19" t="s">
        <v>22</v>
      </c>
      <c r="O7" s="19">
        <v>2</v>
      </c>
      <c r="P7" s="19">
        <v>3</v>
      </c>
      <c r="Q7">
        <v>0.44309999999999999</v>
      </c>
      <c r="R7" s="19" t="s">
        <v>248</v>
      </c>
      <c r="S7" s="19">
        <v>0.18</v>
      </c>
      <c r="T7" s="19" t="s">
        <v>248</v>
      </c>
      <c r="U7" s="19" t="s">
        <v>22</v>
      </c>
      <c r="V7" s="19">
        <v>1</v>
      </c>
      <c r="W7" s="19">
        <v>2</v>
      </c>
      <c r="X7" s="19" t="s">
        <v>379</v>
      </c>
      <c r="Y7" s="19" t="s">
        <v>292</v>
      </c>
      <c r="Z7" s="19" t="s">
        <v>60</v>
      </c>
      <c r="AA7" s="19" t="s">
        <v>380</v>
      </c>
    </row>
    <row r="8" spans="1:27" x14ac:dyDescent="0.2">
      <c r="A8" s="19" t="s">
        <v>217</v>
      </c>
      <c r="B8" s="19" t="s">
        <v>301</v>
      </c>
      <c r="C8" s="19" t="s">
        <v>16</v>
      </c>
      <c r="D8" s="19" t="s">
        <v>10</v>
      </c>
      <c r="E8" s="19" t="s">
        <v>302</v>
      </c>
      <c r="F8" s="19" t="s">
        <v>10</v>
      </c>
      <c r="G8" s="19">
        <v>4</v>
      </c>
      <c r="H8" s="19">
        <v>5</v>
      </c>
      <c r="I8" s="20">
        <v>0.66520000000000001</v>
      </c>
      <c r="J8" s="19" t="s">
        <v>249</v>
      </c>
      <c r="K8" s="19"/>
      <c r="L8" s="19" t="s">
        <v>248</v>
      </c>
      <c r="M8" s="19" t="s">
        <v>303</v>
      </c>
      <c r="N8" s="19" t="s">
        <v>10</v>
      </c>
      <c r="O8" s="19">
        <v>2</v>
      </c>
      <c r="P8" s="19">
        <v>5</v>
      </c>
      <c r="Q8">
        <v>0.80840000000000001</v>
      </c>
      <c r="R8" s="19" t="s">
        <v>249</v>
      </c>
      <c r="S8" s="19">
        <v>1.87</v>
      </c>
      <c r="T8" s="19" t="s">
        <v>248</v>
      </c>
      <c r="U8" s="19" t="s">
        <v>10</v>
      </c>
      <c r="V8" s="19">
        <v>2</v>
      </c>
      <c r="W8" s="19">
        <v>5</v>
      </c>
      <c r="X8" s="19" t="s">
        <v>379</v>
      </c>
      <c r="Y8" s="19" t="s">
        <v>292</v>
      </c>
      <c r="Z8" s="19" t="s">
        <v>60</v>
      </c>
      <c r="AA8" s="19" t="s">
        <v>380</v>
      </c>
    </row>
    <row r="9" spans="1:27" x14ac:dyDescent="0.2">
      <c r="A9" s="19" t="s">
        <v>217</v>
      </c>
      <c r="B9" s="19" t="s">
        <v>304</v>
      </c>
      <c r="C9" s="19" t="s">
        <v>30</v>
      </c>
      <c r="D9" s="19" t="s">
        <v>39</v>
      </c>
      <c r="E9" s="19" t="s">
        <v>305</v>
      </c>
      <c r="F9" s="19" t="s">
        <v>39</v>
      </c>
      <c r="G9" s="19">
        <v>3</v>
      </c>
      <c r="H9" s="19">
        <v>4</v>
      </c>
      <c r="I9" s="20">
        <v>0.60160000000000002</v>
      </c>
      <c r="J9" s="19" t="s">
        <v>249</v>
      </c>
      <c r="K9" s="19"/>
      <c r="L9" s="19" t="s">
        <v>249</v>
      </c>
      <c r="M9" s="19" t="s">
        <v>385</v>
      </c>
      <c r="N9" s="19" t="s">
        <v>39</v>
      </c>
      <c r="O9" s="19">
        <v>2</v>
      </c>
      <c r="P9" s="19">
        <v>3</v>
      </c>
      <c r="Q9">
        <v>0.58560000000000001</v>
      </c>
      <c r="R9" s="19" t="s">
        <v>249</v>
      </c>
      <c r="S9" s="19">
        <v>0.43</v>
      </c>
      <c r="T9" s="19" t="s">
        <v>249</v>
      </c>
      <c r="U9" s="19" t="s">
        <v>30</v>
      </c>
      <c r="V9" s="19">
        <v>3</v>
      </c>
      <c r="W9" s="19">
        <v>2</v>
      </c>
      <c r="X9" s="19" t="s">
        <v>379</v>
      </c>
      <c r="Y9" s="19" t="s">
        <v>292</v>
      </c>
      <c r="Z9" s="19" t="s">
        <v>60</v>
      </c>
      <c r="AA9" s="19" t="s">
        <v>380</v>
      </c>
    </row>
    <row r="10" spans="1:27" x14ac:dyDescent="0.2">
      <c r="A10" s="19" t="s">
        <v>217</v>
      </c>
      <c r="B10" s="19" t="s">
        <v>293</v>
      </c>
      <c r="C10" s="19" t="s">
        <v>32</v>
      </c>
      <c r="D10" s="19" t="s">
        <v>26</v>
      </c>
      <c r="E10" s="19" t="s">
        <v>306</v>
      </c>
      <c r="F10" s="19" t="s">
        <v>26</v>
      </c>
      <c r="G10" s="19">
        <v>3</v>
      </c>
      <c r="H10" s="19">
        <v>4</v>
      </c>
      <c r="I10" s="20">
        <v>0.51580000000000004</v>
      </c>
      <c r="J10" s="19" t="s">
        <v>249</v>
      </c>
      <c r="K10" s="19"/>
      <c r="L10" s="19" t="s">
        <v>248</v>
      </c>
      <c r="M10" s="19" t="s">
        <v>307</v>
      </c>
      <c r="N10" s="19" t="s">
        <v>26</v>
      </c>
      <c r="O10" s="19">
        <v>2</v>
      </c>
      <c r="P10" s="19">
        <v>3</v>
      </c>
      <c r="Q10">
        <v>0.57440000000000002</v>
      </c>
      <c r="R10" s="19" t="s">
        <v>248</v>
      </c>
      <c r="S10" s="19">
        <v>0.06</v>
      </c>
      <c r="T10" s="19" t="s">
        <v>248</v>
      </c>
      <c r="U10" s="19" t="s">
        <v>26</v>
      </c>
      <c r="V10" s="19">
        <v>2</v>
      </c>
      <c r="W10" s="19">
        <v>4</v>
      </c>
      <c r="X10" s="19" t="s">
        <v>379</v>
      </c>
      <c r="Y10" s="19" t="s">
        <v>292</v>
      </c>
      <c r="Z10" s="19" t="s">
        <v>60</v>
      </c>
      <c r="AA10" s="19" t="s">
        <v>380</v>
      </c>
    </row>
    <row r="11" spans="1:27" x14ac:dyDescent="0.2">
      <c r="A11" s="19" t="s">
        <v>217</v>
      </c>
      <c r="B11" s="19" t="s">
        <v>289</v>
      </c>
      <c r="C11" s="19" t="s">
        <v>55</v>
      </c>
      <c r="D11" s="19" t="s">
        <v>33</v>
      </c>
      <c r="E11" s="19" t="s">
        <v>308</v>
      </c>
      <c r="F11" s="19" t="s">
        <v>33</v>
      </c>
      <c r="G11" s="19">
        <v>3</v>
      </c>
      <c r="H11" s="19">
        <v>4</v>
      </c>
      <c r="I11" s="20">
        <v>0.51419999999999999</v>
      </c>
      <c r="J11" s="19" t="s">
        <v>249</v>
      </c>
      <c r="K11" s="19"/>
      <c r="L11" s="19" t="s">
        <v>248</v>
      </c>
      <c r="M11" s="19" t="s">
        <v>309</v>
      </c>
      <c r="N11" s="19" t="s">
        <v>55</v>
      </c>
      <c r="O11" s="19">
        <v>2</v>
      </c>
      <c r="P11" s="19">
        <v>3</v>
      </c>
      <c r="Q11">
        <v>0.47210000000000002</v>
      </c>
      <c r="R11" s="19" t="s">
        <v>248</v>
      </c>
      <c r="S11" s="19">
        <v>-0.08</v>
      </c>
      <c r="T11" s="19" t="s">
        <v>249</v>
      </c>
      <c r="U11" s="19" t="s">
        <v>33</v>
      </c>
      <c r="V11" s="19">
        <v>2</v>
      </c>
      <c r="W11" s="19">
        <v>3</v>
      </c>
      <c r="X11" s="19" t="s">
        <v>379</v>
      </c>
      <c r="Y11" s="19" t="s">
        <v>292</v>
      </c>
      <c r="Z11" s="19" t="s">
        <v>60</v>
      </c>
      <c r="AA11" s="19" t="s">
        <v>380</v>
      </c>
    </row>
    <row r="12" spans="1:27" x14ac:dyDescent="0.2">
      <c r="A12" s="19" t="s">
        <v>217</v>
      </c>
      <c r="B12" s="19" t="s">
        <v>293</v>
      </c>
      <c r="C12" s="19" t="s">
        <v>24</v>
      </c>
      <c r="D12" s="19" t="s">
        <v>37</v>
      </c>
      <c r="E12" s="19" t="s">
        <v>310</v>
      </c>
      <c r="F12" s="19" t="s">
        <v>24</v>
      </c>
      <c r="G12" s="19">
        <v>4</v>
      </c>
      <c r="H12" s="19">
        <v>3</v>
      </c>
      <c r="I12" s="20">
        <v>0.66</v>
      </c>
      <c r="J12" s="19" t="s">
        <v>249</v>
      </c>
      <c r="K12" s="19"/>
      <c r="L12" s="19" t="s">
        <v>249</v>
      </c>
      <c r="M12" s="19" t="s">
        <v>386</v>
      </c>
      <c r="N12" s="19" t="s">
        <v>24</v>
      </c>
      <c r="O12" s="19">
        <v>2</v>
      </c>
      <c r="P12" s="19">
        <v>3</v>
      </c>
      <c r="Q12">
        <v>0.59699999999999998</v>
      </c>
      <c r="R12" s="19" t="s">
        <v>249</v>
      </c>
      <c r="S12" s="19">
        <v>-0.49</v>
      </c>
      <c r="T12" s="19" t="s">
        <v>249</v>
      </c>
      <c r="U12" s="19" t="s">
        <v>37</v>
      </c>
      <c r="V12" s="19">
        <v>1</v>
      </c>
      <c r="W12" s="19">
        <v>5</v>
      </c>
      <c r="X12" s="19" t="s">
        <v>379</v>
      </c>
      <c r="Y12" s="19" t="s">
        <v>292</v>
      </c>
      <c r="Z12" s="19" t="s">
        <v>60</v>
      </c>
      <c r="AA12" s="19" t="s">
        <v>380</v>
      </c>
    </row>
    <row r="13" spans="1:27" x14ac:dyDescent="0.2">
      <c r="A13" s="19" t="s">
        <v>217</v>
      </c>
      <c r="B13" s="19" t="s">
        <v>293</v>
      </c>
      <c r="C13" s="19" t="s">
        <v>35</v>
      </c>
      <c r="D13" s="19" t="s">
        <v>19</v>
      </c>
      <c r="E13" s="19" t="s">
        <v>311</v>
      </c>
      <c r="F13" s="19" t="s">
        <v>19</v>
      </c>
      <c r="G13" s="19">
        <v>3</v>
      </c>
      <c r="H13" s="19">
        <v>4</v>
      </c>
      <c r="I13" s="20">
        <v>0.5917</v>
      </c>
      <c r="J13" s="19" t="s">
        <v>249</v>
      </c>
      <c r="K13" s="19"/>
      <c r="L13" s="19" t="s">
        <v>248</v>
      </c>
      <c r="M13" s="19" t="s">
        <v>312</v>
      </c>
      <c r="N13" s="19" t="s">
        <v>19</v>
      </c>
      <c r="O13" s="19">
        <v>2</v>
      </c>
      <c r="P13" s="19">
        <v>4</v>
      </c>
      <c r="Q13">
        <v>0.7107</v>
      </c>
      <c r="R13" s="19" t="s">
        <v>249</v>
      </c>
      <c r="S13" s="19">
        <v>1.19</v>
      </c>
      <c r="T13" s="19" t="s">
        <v>248</v>
      </c>
      <c r="U13" s="19" t="s">
        <v>19</v>
      </c>
      <c r="V13" s="19">
        <v>2</v>
      </c>
      <c r="W13" s="19">
        <v>3</v>
      </c>
      <c r="X13" s="19" t="s">
        <v>379</v>
      </c>
      <c r="Y13" s="19" t="s">
        <v>292</v>
      </c>
      <c r="Z13" s="19" t="s">
        <v>60</v>
      </c>
      <c r="AA13" s="19" t="s">
        <v>380</v>
      </c>
    </row>
    <row r="14" spans="1:27" x14ac:dyDescent="0.2">
      <c r="A14" s="19" t="s">
        <v>217</v>
      </c>
      <c r="B14" s="19" t="s">
        <v>289</v>
      </c>
      <c r="C14" s="19" t="s">
        <v>15</v>
      </c>
      <c r="D14" s="19" t="s">
        <v>20</v>
      </c>
      <c r="E14" s="19" t="s">
        <v>313</v>
      </c>
      <c r="F14" s="19" t="s">
        <v>15</v>
      </c>
      <c r="G14" s="19">
        <v>5</v>
      </c>
      <c r="H14" s="19">
        <v>4</v>
      </c>
      <c r="I14" s="20">
        <v>0.55930000000000002</v>
      </c>
      <c r="J14" s="19" t="s">
        <v>249</v>
      </c>
      <c r="K14" s="19"/>
      <c r="L14" s="19" t="s">
        <v>249</v>
      </c>
      <c r="M14" s="19" t="s">
        <v>387</v>
      </c>
      <c r="N14" s="19" t="s">
        <v>20</v>
      </c>
      <c r="O14" s="19">
        <v>2</v>
      </c>
      <c r="P14" s="19">
        <v>4</v>
      </c>
      <c r="Q14">
        <v>0.47089999999999999</v>
      </c>
      <c r="R14" s="19" t="s">
        <v>249</v>
      </c>
      <c r="S14" s="19">
        <v>0.51</v>
      </c>
      <c r="T14" s="19" t="s">
        <v>248</v>
      </c>
      <c r="U14" s="19" t="s">
        <v>20</v>
      </c>
      <c r="V14" s="19">
        <v>2</v>
      </c>
      <c r="W14" s="19">
        <v>3</v>
      </c>
      <c r="X14" s="19" t="s">
        <v>379</v>
      </c>
      <c r="Y14" s="19" t="s">
        <v>292</v>
      </c>
      <c r="Z14" s="19" t="s">
        <v>60</v>
      </c>
      <c r="AA14" s="19" t="s">
        <v>380</v>
      </c>
    </row>
    <row r="15" spans="1:27" x14ac:dyDescent="0.2">
      <c r="A15" s="19" t="s">
        <v>217</v>
      </c>
      <c r="B15" s="19" t="s">
        <v>304</v>
      </c>
      <c r="C15" s="19" t="s">
        <v>28</v>
      </c>
      <c r="D15" s="19" t="s">
        <v>40</v>
      </c>
      <c r="E15" s="19" t="s">
        <v>314</v>
      </c>
      <c r="F15" s="19" t="s">
        <v>40</v>
      </c>
      <c r="G15" s="19">
        <v>3</v>
      </c>
      <c r="H15" s="19">
        <v>4</v>
      </c>
      <c r="I15" s="20">
        <v>0.67559999999999998</v>
      </c>
      <c r="J15" s="19" t="s">
        <v>249</v>
      </c>
      <c r="K15" s="19"/>
      <c r="L15" s="19" t="s">
        <v>248</v>
      </c>
      <c r="M15" s="19" t="s">
        <v>315</v>
      </c>
      <c r="N15" s="19" t="s">
        <v>40</v>
      </c>
      <c r="O15" s="19">
        <v>2</v>
      </c>
      <c r="P15" s="19">
        <v>4</v>
      </c>
      <c r="Q15">
        <v>0.64970000000000006</v>
      </c>
      <c r="R15" s="19" t="s">
        <v>249</v>
      </c>
      <c r="S15" s="19">
        <v>0.66</v>
      </c>
      <c r="T15" s="19" t="s">
        <v>248</v>
      </c>
      <c r="U15" s="19" t="s">
        <v>40</v>
      </c>
      <c r="V15" s="19">
        <v>2</v>
      </c>
      <c r="W15" s="19">
        <v>5</v>
      </c>
      <c r="X15" s="19" t="s">
        <v>379</v>
      </c>
      <c r="Y15" s="19" t="s">
        <v>292</v>
      </c>
      <c r="Z15" s="19" t="s">
        <v>60</v>
      </c>
      <c r="AA15" s="19" t="s">
        <v>380</v>
      </c>
    </row>
    <row r="16" spans="1:27" x14ac:dyDescent="0.2">
      <c r="A16" s="19" t="s">
        <v>218</v>
      </c>
      <c r="B16" s="19" t="s">
        <v>289</v>
      </c>
      <c r="C16" s="19" t="s">
        <v>21</v>
      </c>
      <c r="D16" s="19" t="s">
        <v>31</v>
      </c>
      <c r="E16" s="19" t="s">
        <v>316</v>
      </c>
      <c r="F16" s="19" t="s">
        <v>31</v>
      </c>
      <c r="G16" s="19">
        <v>4</v>
      </c>
      <c r="H16" s="19">
        <v>5</v>
      </c>
      <c r="I16" s="20">
        <v>0.84830000000000005</v>
      </c>
      <c r="J16" s="19" t="s">
        <v>249</v>
      </c>
      <c r="K16" s="19"/>
      <c r="L16" s="19" t="s">
        <v>248</v>
      </c>
      <c r="M16" s="19" t="s">
        <v>291</v>
      </c>
      <c r="N16" s="19" t="s">
        <v>31</v>
      </c>
      <c r="O16" s="19">
        <v>2</v>
      </c>
      <c r="P16" s="19">
        <v>4</v>
      </c>
      <c r="Q16">
        <v>0.76080000000000003</v>
      </c>
      <c r="R16" s="19" t="s">
        <v>249</v>
      </c>
      <c r="S16" s="19">
        <v>0.77</v>
      </c>
      <c r="T16" s="19" t="s">
        <v>248</v>
      </c>
      <c r="U16" s="19" t="s">
        <v>31</v>
      </c>
      <c r="V16" s="19">
        <v>3</v>
      </c>
      <c r="W16" s="19">
        <v>4</v>
      </c>
      <c r="X16" s="19" t="s">
        <v>379</v>
      </c>
      <c r="Y16" s="19" t="s">
        <v>292</v>
      </c>
      <c r="Z16" s="19" t="s">
        <v>60</v>
      </c>
      <c r="AA16" s="19" t="s">
        <v>380</v>
      </c>
    </row>
    <row r="17" spans="1:27" x14ac:dyDescent="0.2">
      <c r="A17" s="19" t="s">
        <v>218</v>
      </c>
      <c r="B17" s="19" t="s">
        <v>297</v>
      </c>
      <c r="C17" s="19" t="s">
        <v>16</v>
      </c>
      <c r="D17" s="19" t="s">
        <v>23</v>
      </c>
      <c r="E17" s="19" t="s">
        <v>317</v>
      </c>
      <c r="F17" s="19" t="s">
        <v>23</v>
      </c>
      <c r="G17" s="19">
        <v>3</v>
      </c>
      <c r="H17" s="19">
        <v>4</v>
      </c>
      <c r="I17" s="20">
        <v>0.82420000000000004</v>
      </c>
      <c r="J17" s="19" t="s">
        <v>249</v>
      </c>
      <c r="K17" s="19"/>
      <c r="L17" s="19" t="s">
        <v>249</v>
      </c>
      <c r="M17" s="19" t="s">
        <v>388</v>
      </c>
      <c r="N17" s="19" t="s">
        <v>23</v>
      </c>
      <c r="O17" s="19">
        <v>2</v>
      </c>
      <c r="P17" s="19">
        <v>4</v>
      </c>
      <c r="Q17">
        <v>0.68479999999999996</v>
      </c>
      <c r="R17" s="19" t="s">
        <v>249</v>
      </c>
      <c r="S17" s="19">
        <v>0.99</v>
      </c>
      <c r="T17" s="19" t="s">
        <v>249</v>
      </c>
      <c r="U17" s="19" t="s">
        <v>16</v>
      </c>
      <c r="V17" s="19">
        <v>6</v>
      </c>
      <c r="W17" s="19">
        <v>2</v>
      </c>
      <c r="X17" s="19" t="s">
        <v>379</v>
      </c>
      <c r="Y17" s="19" t="s">
        <v>292</v>
      </c>
      <c r="Z17" s="19" t="s">
        <v>60</v>
      </c>
      <c r="AA17" s="19" t="s">
        <v>380</v>
      </c>
    </row>
    <row r="18" spans="1:27" x14ac:dyDescent="0.2">
      <c r="A18" s="19" t="s">
        <v>218</v>
      </c>
      <c r="B18" s="19" t="s">
        <v>318</v>
      </c>
      <c r="C18" s="19" t="s">
        <v>25</v>
      </c>
      <c r="D18" s="19" t="s">
        <v>34</v>
      </c>
      <c r="E18" s="19" t="s">
        <v>319</v>
      </c>
      <c r="F18" s="19" t="s">
        <v>25</v>
      </c>
      <c r="G18" s="19">
        <v>5</v>
      </c>
      <c r="H18" s="19">
        <v>4</v>
      </c>
      <c r="I18" s="20">
        <v>0.62329999999999997</v>
      </c>
      <c r="J18" s="19" t="s">
        <v>249</v>
      </c>
      <c r="K18" s="19"/>
      <c r="L18" s="19" t="s">
        <v>249</v>
      </c>
      <c r="M18" s="19" t="s">
        <v>389</v>
      </c>
      <c r="N18" s="19" t="s">
        <v>25</v>
      </c>
      <c r="O18" s="19">
        <v>2</v>
      </c>
      <c r="P18" s="19">
        <v>4</v>
      </c>
      <c r="Q18">
        <v>0.72150000000000003</v>
      </c>
      <c r="R18" s="19" t="s">
        <v>249</v>
      </c>
      <c r="S18" s="19">
        <v>-1.0900000000000001</v>
      </c>
      <c r="T18" s="19" t="s">
        <v>249</v>
      </c>
      <c r="U18" s="19" t="s">
        <v>34</v>
      </c>
      <c r="V18" s="19">
        <v>3</v>
      </c>
      <c r="W18" s="19">
        <v>4</v>
      </c>
      <c r="X18" s="19" t="s">
        <v>379</v>
      </c>
      <c r="Y18" s="19" t="s">
        <v>292</v>
      </c>
      <c r="Z18" s="19" t="s">
        <v>60</v>
      </c>
      <c r="AA18" s="19" t="s">
        <v>380</v>
      </c>
    </row>
    <row r="19" spans="1:27" x14ac:dyDescent="0.2">
      <c r="A19" s="19" t="s">
        <v>218</v>
      </c>
      <c r="B19" s="19" t="s">
        <v>293</v>
      </c>
      <c r="C19" s="19" t="s">
        <v>17</v>
      </c>
      <c r="D19" s="19" t="s">
        <v>22</v>
      </c>
      <c r="E19" s="19" t="s">
        <v>320</v>
      </c>
      <c r="F19" s="19" t="s">
        <v>22</v>
      </c>
      <c r="G19" s="19">
        <v>3</v>
      </c>
      <c r="H19" s="19">
        <v>4</v>
      </c>
      <c r="I19" s="20">
        <v>0.54659999999999997</v>
      </c>
      <c r="J19" s="19" t="s">
        <v>249</v>
      </c>
      <c r="K19" s="19"/>
      <c r="L19" s="19" t="s">
        <v>248</v>
      </c>
      <c r="M19" s="19" t="s">
        <v>321</v>
      </c>
      <c r="N19" s="19" t="s">
        <v>22</v>
      </c>
      <c r="O19" s="19">
        <v>2</v>
      </c>
      <c r="P19" s="19">
        <v>4</v>
      </c>
      <c r="Q19">
        <v>0.68869999999999998</v>
      </c>
      <c r="R19" s="19" t="s">
        <v>249</v>
      </c>
      <c r="S19" s="19">
        <v>1.03</v>
      </c>
      <c r="T19" s="19" t="s">
        <v>248</v>
      </c>
      <c r="U19" s="19" t="s">
        <v>22</v>
      </c>
      <c r="V19" s="19">
        <v>4</v>
      </c>
      <c r="W19" s="19">
        <v>7</v>
      </c>
      <c r="X19" s="19" t="s">
        <v>379</v>
      </c>
      <c r="Y19" s="19" t="s">
        <v>292</v>
      </c>
      <c r="Z19" s="19" t="s">
        <v>60</v>
      </c>
      <c r="AA19" s="19" t="s">
        <v>380</v>
      </c>
    </row>
    <row r="20" spans="1:27" x14ac:dyDescent="0.2">
      <c r="A20" s="19" t="s">
        <v>219</v>
      </c>
      <c r="B20" s="19" t="s">
        <v>322</v>
      </c>
      <c r="C20" s="19" t="s">
        <v>36</v>
      </c>
      <c r="D20" s="19" t="s">
        <v>31</v>
      </c>
      <c r="E20" s="19" t="s">
        <v>323</v>
      </c>
      <c r="F20" s="19" t="s">
        <v>31</v>
      </c>
      <c r="G20" s="19">
        <v>3</v>
      </c>
      <c r="H20" s="19">
        <v>4</v>
      </c>
      <c r="I20" s="20">
        <v>0.79971067821067798</v>
      </c>
      <c r="J20" s="19" t="s">
        <v>248</v>
      </c>
      <c r="K20" s="19">
        <v>0.53300000000000003</v>
      </c>
      <c r="L20" s="19" t="s">
        <v>249</v>
      </c>
      <c r="M20" s="19" t="s">
        <v>390</v>
      </c>
      <c r="N20" s="19" t="s">
        <v>31</v>
      </c>
      <c r="O20" s="19">
        <v>2</v>
      </c>
      <c r="P20" s="19">
        <v>4</v>
      </c>
      <c r="Q20">
        <v>0.82141601872248204</v>
      </c>
      <c r="R20" s="19" t="s">
        <v>249</v>
      </c>
      <c r="S20" s="19">
        <v>1.21</v>
      </c>
      <c r="T20" s="19" t="s">
        <v>249</v>
      </c>
      <c r="U20" s="19" t="s">
        <v>36</v>
      </c>
      <c r="V20" s="19">
        <v>3</v>
      </c>
      <c r="W20" s="19">
        <v>2</v>
      </c>
      <c r="X20" s="19" t="s">
        <v>379</v>
      </c>
      <c r="Y20" s="19" t="s">
        <v>292</v>
      </c>
      <c r="Z20" s="19" t="s">
        <v>60</v>
      </c>
      <c r="AA20" s="19" t="s">
        <v>380</v>
      </c>
    </row>
    <row r="21" spans="1:27" x14ac:dyDescent="0.2">
      <c r="A21" s="19" t="s">
        <v>219</v>
      </c>
      <c r="B21" s="19" t="s">
        <v>324</v>
      </c>
      <c r="C21" s="19" t="s">
        <v>32</v>
      </c>
      <c r="D21" s="19" t="s">
        <v>10</v>
      </c>
      <c r="E21" s="19" t="s">
        <v>325</v>
      </c>
      <c r="F21" s="19" t="s">
        <v>10</v>
      </c>
      <c r="G21" s="19">
        <v>3</v>
      </c>
      <c r="H21" s="19">
        <v>4</v>
      </c>
      <c r="I21" s="20">
        <v>0.81409746588693999</v>
      </c>
      <c r="J21" s="19" t="s">
        <v>248</v>
      </c>
      <c r="K21" s="19">
        <v>0.50700000000000001</v>
      </c>
      <c r="L21" s="19" t="s">
        <v>249</v>
      </c>
      <c r="M21" s="19" t="s">
        <v>391</v>
      </c>
      <c r="N21" s="19" t="s">
        <v>10</v>
      </c>
      <c r="O21" s="19">
        <v>2</v>
      </c>
      <c r="P21" s="19">
        <v>4</v>
      </c>
      <c r="Q21">
        <v>0.68955873942591095</v>
      </c>
      <c r="R21" s="19" t="s">
        <v>249</v>
      </c>
      <c r="S21" s="19">
        <v>1.04</v>
      </c>
      <c r="T21" s="19" t="s">
        <v>249</v>
      </c>
      <c r="U21" s="19" t="s">
        <v>32</v>
      </c>
      <c r="V21" s="19">
        <v>3</v>
      </c>
      <c r="W21" s="19">
        <v>2</v>
      </c>
      <c r="X21" s="19" t="s">
        <v>379</v>
      </c>
      <c r="Y21" s="19" t="s">
        <v>292</v>
      </c>
      <c r="Z21" s="19" t="s">
        <v>60</v>
      </c>
      <c r="AA21" s="19" t="s">
        <v>380</v>
      </c>
    </row>
    <row r="22" spans="1:27" x14ac:dyDescent="0.2">
      <c r="A22" s="19" t="s">
        <v>219</v>
      </c>
      <c r="B22" s="19" t="s">
        <v>326</v>
      </c>
      <c r="C22" s="19" t="s">
        <v>15</v>
      </c>
      <c r="D22" s="19" t="s">
        <v>12</v>
      </c>
      <c r="E22" s="19" t="s">
        <v>327</v>
      </c>
      <c r="F22" s="19" t="s">
        <v>12</v>
      </c>
      <c r="G22" s="19">
        <v>3</v>
      </c>
      <c r="H22" s="19">
        <v>4</v>
      </c>
      <c r="I22" s="20">
        <v>0.68089417989418</v>
      </c>
      <c r="J22" s="19" t="s">
        <v>249</v>
      </c>
      <c r="K22" s="19">
        <v>0.28699999999999998</v>
      </c>
      <c r="L22" s="19" t="s">
        <v>248</v>
      </c>
      <c r="M22" s="19" t="s">
        <v>361</v>
      </c>
      <c r="N22" s="19" t="s">
        <v>12</v>
      </c>
      <c r="O22" s="19">
        <v>1</v>
      </c>
      <c r="P22" s="19">
        <v>5</v>
      </c>
      <c r="Q22">
        <v>0.79009355708149598</v>
      </c>
      <c r="R22" s="19" t="s">
        <v>249</v>
      </c>
      <c r="S22" s="19">
        <v>2.04</v>
      </c>
      <c r="T22" s="19" t="s">
        <v>248</v>
      </c>
      <c r="U22" s="19" t="s">
        <v>12</v>
      </c>
      <c r="V22" s="19">
        <v>3</v>
      </c>
      <c r="W22" s="19">
        <v>6</v>
      </c>
      <c r="X22" s="19" t="s">
        <v>379</v>
      </c>
      <c r="Y22" s="19" t="s">
        <v>292</v>
      </c>
      <c r="Z22" s="19" t="s">
        <v>60</v>
      </c>
      <c r="AA22" s="19" t="s">
        <v>380</v>
      </c>
    </row>
    <row r="23" spans="1:27" x14ac:dyDescent="0.2">
      <c r="A23" s="19" t="s">
        <v>219</v>
      </c>
      <c r="B23" s="19" t="s">
        <v>328</v>
      </c>
      <c r="C23" s="19" t="s">
        <v>30</v>
      </c>
      <c r="D23" s="19" t="s">
        <v>26</v>
      </c>
      <c r="E23" s="19" t="s">
        <v>329</v>
      </c>
      <c r="F23" s="19" t="s">
        <v>26</v>
      </c>
      <c r="G23" s="19">
        <v>3</v>
      </c>
      <c r="H23" s="19">
        <v>4</v>
      </c>
      <c r="I23" s="20">
        <v>0.507202173213117</v>
      </c>
      <c r="J23" s="19" t="s">
        <v>249</v>
      </c>
      <c r="K23" s="19">
        <v>0.44</v>
      </c>
      <c r="L23" s="19" t="s">
        <v>249</v>
      </c>
      <c r="M23" s="19" t="s">
        <v>392</v>
      </c>
      <c r="N23" s="19" t="s">
        <v>30</v>
      </c>
      <c r="O23" s="19">
        <v>2</v>
      </c>
      <c r="P23" s="19">
        <v>3</v>
      </c>
      <c r="Q23">
        <v>0.50783942088355705</v>
      </c>
      <c r="R23" s="19" t="s">
        <v>248</v>
      </c>
      <c r="S23" s="19">
        <v>-0.21</v>
      </c>
      <c r="T23" s="19" t="s">
        <v>248</v>
      </c>
      <c r="U23" s="19" t="s">
        <v>30</v>
      </c>
      <c r="V23" s="19">
        <v>5</v>
      </c>
      <c r="W23" s="19">
        <v>0</v>
      </c>
      <c r="X23" s="19" t="s">
        <v>379</v>
      </c>
      <c r="Y23" s="19" t="s">
        <v>292</v>
      </c>
      <c r="Z23" s="19" t="s">
        <v>60</v>
      </c>
      <c r="AA23" s="19" t="s">
        <v>380</v>
      </c>
    </row>
    <row r="24" spans="1:27" x14ac:dyDescent="0.2">
      <c r="A24" s="19" t="s">
        <v>219</v>
      </c>
      <c r="B24" s="19" t="s">
        <v>328</v>
      </c>
      <c r="C24" s="19" t="s">
        <v>24</v>
      </c>
      <c r="D24" s="19" t="s">
        <v>11</v>
      </c>
      <c r="E24" s="19" t="s">
        <v>330</v>
      </c>
      <c r="F24" s="19" t="s">
        <v>11</v>
      </c>
      <c r="G24" s="19">
        <v>3</v>
      </c>
      <c r="H24" s="19">
        <v>4</v>
      </c>
      <c r="I24" s="20">
        <v>0.61979461279461301</v>
      </c>
      <c r="J24" s="19" t="s">
        <v>249</v>
      </c>
      <c r="K24" s="19">
        <v>0.38100000000000001</v>
      </c>
      <c r="L24" s="19" t="s">
        <v>248</v>
      </c>
      <c r="M24" s="19" t="s">
        <v>393</v>
      </c>
      <c r="N24" s="19" t="s">
        <v>24</v>
      </c>
      <c r="O24" s="19">
        <v>2</v>
      </c>
      <c r="P24" s="19">
        <v>3</v>
      </c>
      <c r="Q24">
        <v>0.47717133510972898</v>
      </c>
      <c r="R24" s="19" t="s">
        <v>248</v>
      </c>
      <c r="S24" s="19">
        <v>-0.28000000000000003</v>
      </c>
      <c r="T24" s="19" t="s">
        <v>249</v>
      </c>
      <c r="U24" s="19" t="s">
        <v>11</v>
      </c>
      <c r="V24" s="19">
        <v>0</v>
      </c>
      <c r="W24" s="19">
        <v>1</v>
      </c>
      <c r="X24" s="19" t="s">
        <v>379</v>
      </c>
      <c r="Y24" s="19" t="s">
        <v>292</v>
      </c>
      <c r="Z24" s="19" t="s">
        <v>60</v>
      </c>
      <c r="AA24" s="19" t="s">
        <v>380</v>
      </c>
    </row>
    <row r="25" spans="1:27" x14ac:dyDescent="0.2">
      <c r="A25" s="19" t="s">
        <v>219</v>
      </c>
      <c r="B25" s="19" t="s">
        <v>328</v>
      </c>
      <c r="C25" s="19" t="s">
        <v>22</v>
      </c>
      <c r="D25" s="19" t="s">
        <v>18</v>
      </c>
      <c r="E25" s="19" t="s">
        <v>331</v>
      </c>
      <c r="F25" s="19" t="s">
        <v>18</v>
      </c>
      <c r="G25" s="19">
        <v>3</v>
      </c>
      <c r="H25" s="19">
        <v>4</v>
      </c>
      <c r="I25" s="20">
        <v>0.75639782537151001</v>
      </c>
      <c r="J25" s="19" t="s">
        <v>248</v>
      </c>
      <c r="K25" s="19">
        <v>0.63100000000000001</v>
      </c>
      <c r="L25" s="19" t="s">
        <v>249</v>
      </c>
      <c r="M25" s="19" t="s">
        <v>394</v>
      </c>
      <c r="N25" s="19" t="s">
        <v>22</v>
      </c>
      <c r="O25" s="19">
        <v>2</v>
      </c>
      <c r="P25" s="19">
        <v>3</v>
      </c>
      <c r="Q25">
        <v>0.52653488689618599</v>
      </c>
      <c r="R25" s="19" t="s">
        <v>249</v>
      </c>
      <c r="S25" s="19">
        <v>-0.48</v>
      </c>
      <c r="T25" s="19" t="s">
        <v>248</v>
      </c>
      <c r="U25" s="19" t="s">
        <v>22</v>
      </c>
      <c r="V25" s="19">
        <v>8</v>
      </c>
      <c r="W25" s="19">
        <v>4</v>
      </c>
      <c r="X25" s="19" t="s">
        <v>379</v>
      </c>
      <c r="Y25" s="19" t="s">
        <v>292</v>
      </c>
      <c r="Z25" s="19" t="s">
        <v>60</v>
      </c>
      <c r="AA25" s="19" t="s">
        <v>380</v>
      </c>
    </row>
    <row r="26" spans="1:27" x14ac:dyDescent="0.2">
      <c r="A26" s="19" t="s">
        <v>219</v>
      </c>
      <c r="B26" s="19" t="s">
        <v>328</v>
      </c>
      <c r="C26" s="19" t="s">
        <v>35</v>
      </c>
      <c r="D26" s="19" t="s">
        <v>27</v>
      </c>
      <c r="E26" s="19" t="s">
        <v>332</v>
      </c>
      <c r="F26" s="19" t="s">
        <v>27</v>
      </c>
      <c r="G26" s="19">
        <v>3</v>
      </c>
      <c r="H26" s="19">
        <v>4</v>
      </c>
      <c r="I26" s="20">
        <v>0.78318759018758999</v>
      </c>
      <c r="J26" s="19" t="s">
        <v>249</v>
      </c>
      <c r="K26" s="19">
        <v>0.42499999999999999</v>
      </c>
      <c r="L26" s="19" t="s">
        <v>248</v>
      </c>
      <c r="M26" s="19" t="s">
        <v>395</v>
      </c>
      <c r="N26" s="19" t="s">
        <v>27</v>
      </c>
      <c r="O26" s="19">
        <v>2</v>
      </c>
      <c r="P26" s="19">
        <v>4</v>
      </c>
      <c r="Q26">
        <v>0.72316153141538597</v>
      </c>
      <c r="R26" s="19" t="s">
        <v>249</v>
      </c>
      <c r="S26" s="19">
        <v>1.31</v>
      </c>
      <c r="T26" s="19" t="s">
        <v>248</v>
      </c>
      <c r="U26" s="19" t="s">
        <v>27</v>
      </c>
      <c r="V26" s="19">
        <v>2</v>
      </c>
      <c r="W26" s="19">
        <v>3</v>
      </c>
      <c r="X26" s="19" t="s">
        <v>379</v>
      </c>
      <c r="Y26" s="19" t="s">
        <v>292</v>
      </c>
      <c r="Z26" s="19" t="s">
        <v>60</v>
      </c>
      <c r="AA26" s="19" t="s">
        <v>380</v>
      </c>
    </row>
    <row r="27" spans="1:27" x14ac:dyDescent="0.2">
      <c r="A27" s="19" t="s">
        <v>219</v>
      </c>
      <c r="B27" s="19" t="s">
        <v>322</v>
      </c>
      <c r="C27" s="19" t="s">
        <v>13</v>
      </c>
      <c r="D27" s="19" t="s">
        <v>33</v>
      </c>
      <c r="E27" s="19" t="s">
        <v>333</v>
      </c>
      <c r="F27" s="19" t="s">
        <v>13</v>
      </c>
      <c r="G27" s="19">
        <v>5</v>
      </c>
      <c r="H27" s="19">
        <v>4</v>
      </c>
      <c r="I27" s="20">
        <v>0.68822126022125996</v>
      </c>
      <c r="J27" s="19" t="s">
        <v>249</v>
      </c>
      <c r="K27" s="19">
        <v>0.28199999999999997</v>
      </c>
      <c r="L27" s="19" t="s">
        <v>249</v>
      </c>
      <c r="M27" s="19" t="s">
        <v>396</v>
      </c>
      <c r="N27" s="19" t="s">
        <v>13</v>
      </c>
      <c r="O27" s="19">
        <v>2</v>
      </c>
      <c r="P27" s="19">
        <v>3</v>
      </c>
      <c r="Q27">
        <v>0.56836235759955001</v>
      </c>
      <c r="R27" s="19" t="s">
        <v>248</v>
      </c>
      <c r="S27" s="19">
        <v>-0.05</v>
      </c>
      <c r="T27" s="19" t="s">
        <v>249</v>
      </c>
      <c r="U27" s="19" t="s">
        <v>33</v>
      </c>
      <c r="V27" s="19">
        <v>3</v>
      </c>
      <c r="W27" s="19">
        <v>4</v>
      </c>
      <c r="X27" s="19" t="s">
        <v>379</v>
      </c>
      <c r="Y27" s="19" t="s">
        <v>292</v>
      </c>
      <c r="Z27" s="19" t="s">
        <v>60</v>
      </c>
      <c r="AA27" s="19" t="s">
        <v>380</v>
      </c>
    </row>
    <row r="28" spans="1:27" x14ac:dyDescent="0.2">
      <c r="A28" s="19" t="s">
        <v>219</v>
      </c>
      <c r="B28" s="19" t="s">
        <v>334</v>
      </c>
      <c r="C28" s="19" t="s">
        <v>17</v>
      </c>
      <c r="D28" s="19" t="s">
        <v>37</v>
      </c>
      <c r="E28" s="19" t="s">
        <v>335</v>
      </c>
      <c r="F28" s="19" t="s">
        <v>37</v>
      </c>
      <c r="G28" s="19">
        <v>3</v>
      </c>
      <c r="H28" s="19">
        <v>4</v>
      </c>
      <c r="I28" s="20">
        <v>0.77119047619047598</v>
      </c>
      <c r="J28" s="19" t="s">
        <v>248</v>
      </c>
      <c r="K28" s="19">
        <v>0.61599999999999999</v>
      </c>
      <c r="L28" s="19" t="s">
        <v>248</v>
      </c>
      <c r="M28" s="19" t="s">
        <v>397</v>
      </c>
      <c r="N28" s="19" t="s">
        <v>37</v>
      </c>
      <c r="O28" s="19">
        <v>2</v>
      </c>
      <c r="P28" s="19">
        <v>4</v>
      </c>
      <c r="Q28">
        <v>0.711970082114465</v>
      </c>
      <c r="R28" s="19" t="s">
        <v>249</v>
      </c>
      <c r="S28" s="19">
        <v>1.25</v>
      </c>
      <c r="T28" s="19" t="s">
        <v>248</v>
      </c>
      <c r="U28" s="19" t="s">
        <v>37</v>
      </c>
      <c r="V28" s="19">
        <v>1</v>
      </c>
      <c r="W28" s="19">
        <v>2</v>
      </c>
      <c r="X28" s="19" t="s">
        <v>379</v>
      </c>
      <c r="Y28" s="19" t="s">
        <v>292</v>
      </c>
      <c r="Z28" s="19" t="s">
        <v>60</v>
      </c>
      <c r="AA28" s="19" t="s">
        <v>380</v>
      </c>
    </row>
    <row r="29" spans="1:27" x14ac:dyDescent="0.2">
      <c r="A29" s="19" t="s">
        <v>219</v>
      </c>
      <c r="B29" s="19" t="s">
        <v>328</v>
      </c>
      <c r="C29" s="19" t="s">
        <v>28</v>
      </c>
      <c r="D29" s="19" t="s">
        <v>19</v>
      </c>
      <c r="E29" s="19" t="s">
        <v>336</v>
      </c>
      <c r="F29" s="19" t="s">
        <v>19</v>
      </c>
      <c r="G29" s="19">
        <v>3</v>
      </c>
      <c r="H29" s="19">
        <v>4</v>
      </c>
      <c r="I29" s="20">
        <v>0.56100667919398595</v>
      </c>
      <c r="J29" s="19" t="s">
        <v>249</v>
      </c>
      <c r="K29" s="19">
        <v>0.11600000000000001</v>
      </c>
      <c r="L29" s="19" t="s">
        <v>249</v>
      </c>
      <c r="M29" s="19" t="s">
        <v>398</v>
      </c>
      <c r="N29" s="19" t="s">
        <v>19</v>
      </c>
      <c r="O29" s="19">
        <v>2</v>
      </c>
      <c r="P29" s="19">
        <v>3</v>
      </c>
      <c r="Q29">
        <v>0.55864324773890295</v>
      </c>
      <c r="R29" s="19" t="s">
        <v>248</v>
      </c>
      <c r="S29" s="19">
        <v>0.03</v>
      </c>
      <c r="T29" s="19" t="s">
        <v>249</v>
      </c>
      <c r="U29" s="19" t="s">
        <v>28</v>
      </c>
      <c r="V29" s="19">
        <v>3</v>
      </c>
      <c r="W29" s="19">
        <v>2</v>
      </c>
      <c r="X29" s="19" t="s">
        <v>379</v>
      </c>
      <c r="Y29" s="19" t="s">
        <v>292</v>
      </c>
      <c r="Z29" s="19" t="s">
        <v>60</v>
      </c>
      <c r="AA29" s="19" t="s">
        <v>380</v>
      </c>
    </row>
    <row r="30" spans="1:27" x14ac:dyDescent="0.2">
      <c r="A30" s="19" t="s">
        <v>219</v>
      </c>
      <c r="B30" s="19" t="s">
        <v>326</v>
      </c>
      <c r="C30" s="19" t="s">
        <v>20</v>
      </c>
      <c r="D30" s="19" t="s">
        <v>55</v>
      </c>
      <c r="E30" s="19" t="s">
        <v>337</v>
      </c>
      <c r="F30" s="19" t="s">
        <v>55</v>
      </c>
      <c r="G30" s="19">
        <v>3</v>
      </c>
      <c r="H30" s="19">
        <v>4</v>
      </c>
      <c r="I30" s="20">
        <v>0.67815371762740195</v>
      </c>
      <c r="J30" s="19" t="s">
        <v>248</v>
      </c>
      <c r="K30" s="19">
        <v>0.54</v>
      </c>
      <c r="L30" s="19" t="s">
        <v>249</v>
      </c>
      <c r="M30" s="19" t="s">
        <v>399</v>
      </c>
      <c r="N30" s="19" t="s">
        <v>20</v>
      </c>
      <c r="O30" s="19">
        <v>2</v>
      </c>
      <c r="P30" s="19">
        <v>3</v>
      </c>
      <c r="Q30">
        <v>0.41674861628270699</v>
      </c>
      <c r="R30" s="19" t="s">
        <v>248</v>
      </c>
      <c r="S30" s="19">
        <v>-0.04</v>
      </c>
      <c r="T30" s="19" t="s">
        <v>248</v>
      </c>
      <c r="U30" s="19" t="s">
        <v>20</v>
      </c>
      <c r="V30" s="19">
        <v>4</v>
      </c>
      <c r="W30" s="19">
        <v>1</v>
      </c>
      <c r="X30" s="19" t="s">
        <v>379</v>
      </c>
      <c r="Y30" s="19" t="s">
        <v>292</v>
      </c>
      <c r="Z30" s="19" t="s">
        <v>60</v>
      </c>
      <c r="AA30" s="19" t="s">
        <v>380</v>
      </c>
    </row>
    <row r="31" spans="1:27" x14ac:dyDescent="0.2">
      <c r="A31" s="19" t="s">
        <v>219</v>
      </c>
      <c r="B31" s="19" t="s">
        <v>322</v>
      </c>
      <c r="C31" s="19" t="s">
        <v>39</v>
      </c>
      <c r="D31" s="19" t="s">
        <v>38</v>
      </c>
      <c r="E31" s="19" t="s">
        <v>338</v>
      </c>
      <c r="F31" s="19" t="s">
        <v>39</v>
      </c>
      <c r="G31" s="19">
        <v>5</v>
      </c>
      <c r="H31" s="19">
        <v>4</v>
      </c>
      <c r="I31" s="20">
        <v>0.73677777777777798</v>
      </c>
      <c r="J31" s="19" t="s">
        <v>249</v>
      </c>
      <c r="K31" s="19">
        <v>0.39100000000000001</v>
      </c>
      <c r="L31" s="19" t="s">
        <v>248</v>
      </c>
      <c r="M31" s="19" t="s">
        <v>400</v>
      </c>
      <c r="N31" s="19" t="s">
        <v>39</v>
      </c>
      <c r="O31" s="19">
        <v>2</v>
      </c>
      <c r="P31" s="19">
        <v>4</v>
      </c>
      <c r="Q31">
        <v>0.65070700646466895</v>
      </c>
      <c r="R31" s="19" t="s">
        <v>249</v>
      </c>
      <c r="S31" s="19">
        <v>-0.71</v>
      </c>
      <c r="T31" s="19" t="s">
        <v>248</v>
      </c>
      <c r="U31" s="19" t="s">
        <v>39</v>
      </c>
      <c r="V31" s="19">
        <v>4</v>
      </c>
      <c r="W31" s="19">
        <v>2</v>
      </c>
      <c r="X31" s="19" t="s">
        <v>379</v>
      </c>
      <c r="Y31" s="19" t="s">
        <v>292</v>
      </c>
      <c r="Z31" s="19" t="s">
        <v>60</v>
      </c>
      <c r="AA31" s="19" t="s">
        <v>380</v>
      </c>
    </row>
    <row r="32" spans="1:27" x14ac:dyDescent="0.2">
      <c r="A32" s="19" t="s">
        <v>220</v>
      </c>
      <c r="B32" s="19" t="s">
        <v>328</v>
      </c>
      <c r="C32" s="19" t="s">
        <v>10</v>
      </c>
      <c r="D32" s="19" t="s">
        <v>23</v>
      </c>
      <c r="E32" s="19" t="s">
        <v>339</v>
      </c>
      <c r="F32" s="19" t="s">
        <v>10</v>
      </c>
      <c r="G32" s="19">
        <v>4</v>
      </c>
      <c r="H32" s="19">
        <v>3</v>
      </c>
      <c r="I32" s="20">
        <v>0.58904761904761893</v>
      </c>
      <c r="J32" s="19" t="s">
        <v>248</v>
      </c>
      <c r="K32" s="19">
        <v>0.58099999999999996</v>
      </c>
      <c r="L32" s="19" t="s">
        <v>249</v>
      </c>
      <c r="M32" s="19" t="s">
        <v>401</v>
      </c>
      <c r="N32" s="19" t="s">
        <v>10</v>
      </c>
      <c r="O32" s="19">
        <v>2</v>
      </c>
      <c r="P32" s="19">
        <v>4</v>
      </c>
      <c r="Q32">
        <v>0.62127138852721631</v>
      </c>
      <c r="R32" s="19" t="s">
        <v>249</v>
      </c>
      <c r="S32" s="19">
        <v>-1.01</v>
      </c>
      <c r="T32" s="19" t="s">
        <v>249</v>
      </c>
      <c r="U32" s="19" t="s">
        <v>23</v>
      </c>
      <c r="V32" s="19">
        <v>3</v>
      </c>
      <c r="W32" s="19">
        <v>9</v>
      </c>
      <c r="X32" s="19" t="s">
        <v>379</v>
      </c>
      <c r="Y32" s="19" t="s">
        <v>292</v>
      </c>
      <c r="Z32" s="19" t="s">
        <v>60</v>
      </c>
      <c r="AA32" s="19" t="s">
        <v>380</v>
      </c>
    </row>
    <row r="33" spans="1:27" x14ac:dyDescent="0.2">
      <c r="A33" s="19" t="s">
        <v>220</v>
      </c>
      <c r="B33" s="19" t="s">
        <v>340</v>
      </c>
      <c r="C33" s="19" t="s">
        <v>21</v>
      </c>
      <c r="D33" s="19" t="s">
        <v>13</v>
      </c>
      <c r="E33" s="19" t="s">
        <v>341</v>
      </c>
      <c r="F33" s="19" t="s">
        <v>13</v>
      </c>
      <c r="G33" s="19">
        <v>3</v>
      </c>
      <c r="H33" s="19">
        <v>4</v>
      </c>
      <c r="I33" s="20">
        <v>0.54508201058201067</v>
      </c>
      <c r="J33" s="19" t="s">
        <v>248</v>
      </c>
      <c r="K33" s="19">
        <v>0.63700000000000001</v>
      </c>
      <c r="L33" s="19" t="s">
        <v>249</v>
      </c>
      <c r="M33" s="19" t="s">
        <v>402</v>
      </c>
      <c r="N33" s="19" t="s">
        <v>13</v>
      </c>
      <c r="O33" s="19">
        <v>2</v>
      </c>
      <c r="P33" s="19">
        <v>3</v>
      </c>
      <c r="Q33">
        <v>0.54352487978663888</v>
      </c>
      <c r="R33" s="19" t="s">
        <v>248</v>
      </c>
      <c r="S33" s="19">
        <v>0.03</v>
      </c>
      <c r="T33" s="19" t="s">
        <v>249</v>
      </c>
      <c r="U33" s="19" t="s">
        <v>21</v>
      </c>
      <c r="V33" s="19">
        <v>2</v>
      </c>
      <c r="W33" s="19">
        <v>1</v>
      </c>
      <c r="X33" s="19" t="s">
        <v>379</v>
      </c>
      <c r="Y33" s="19" t="s">
        <v>292</v>
      </c>
      <c r="Z33" s="19" t="s">
        <v>60</v>
      </c>
      <c r="AA33" s="19" t="s">
        <v>380</v>
      </c>
    </row>
    <row r="34" spans="1:27" x14ac:dyDescent="0.2">
      <c r="A34" s="19" t="s">
        <v>220</v>
      </c>
      <c r="B34" s="19" t="s">
        <v>328</v>
      </c>
      <c r="C34" s="19" t="s">
        <v>34</v>
      </c>
      <c r="D34" s="19" t="s">
        <v>14</v>
      </c>
      <c r="E34" s="19" t="s">
        <v>342</v>
      </c>
      <c r="F34" s="19" t="s">
        <v>34</v>
      </c>
      <c r="G34" s="19">
        <v>3</v>
      </c>
      <c r="H34" s="19">
        <v>2</v>
      </c>
      <c r="I34" s="20">
        <v>0.51067724867724873</v>
      </c>
      <c r="J34" s="19" t="s">
        <v>249</v>
      </c>
      <c r="K34" s="19">
        <v>0.44400000000000001</v>
      </c>
      <c r="L34" s="19" t="s">
        <v>248</v>
      </c>
      <c r="M34" s="19" t="s">
        <v>343</v>
      </c>
      <c r="N34" s="19" t="s">
        <v>14</v>
      </c>
      <c r="O34" s="19">
        <v>2</v>
      </c>
      <c r="P34" s="19">
        <v>4</v>
      </c>
      <c r="Q34">
        <v>0.69427003530691833</v>
      </c>
      <c r="R34" s="19" t="s">
        <v>249</v>
      </c>
      <c r="S34" s="19">
        <v>0.85</v>
      </c>
      <c r="T34" s="19" t="s">
        <v>249</v>
      </c>
      <c r="U34" s="19" t="s">
        <v>34</v>
      </c>
      <c r="V34" s="19">
        <v>5</v>
      </c>
      <c r="W34" s="19">
        <v>0</v>
      </c>
      <c r="X34" s="19" t="s">
        <v>379</v>
      </c>
      <c r="Y34" s="19" t="s">
        <v>292</v>
      </c>
      <c r="Z34" s="19" t="s">
        <v>60</v>
      </c>
      <c r="AA34" s="19" t="s">
        <v>380</v>
      </c>
    </row>
    <row r="35" spans="1:27" x14ac:dyDescent="0.2">
      <c r="A35" s="19" t="s">
        <v>220</v>
      </c>
      <c r="B35" s="19" t="s">
        <v>324</v>
      </c>
      <c r="C35" s="19" t="s">
        <v>25</v>
      </c>
      <c r="D35" s="19" t="s">
        <v>40</v>
      </c>
      <c r="E35" s="19" t="s">
        <v>344</v>
      </c>
      <c r="F35" s="19" t="s">
        <v>40</v>
      </c>
      <c r="G35" s="19">
        <v>3</v>
      </c>
      <c r="H35" s="19">
        <v>4</v>
      </c>
      <c r="I35" s="20">
        <v>0.75196825396825406</v>
      </c>
      <c r="J35" s="19" t="s">
        <v>248</v>
      </c>
      <c r="K35" s="19">
        <v>0.64800000000000002</v>
      </c>
      <c r="L35" s="19" t="s">
        <v>249</v>
      </c>
      <c r="M35" s="19" t="s">
        <v>403</v>
      </c>
      <c r="N35" s="19" t="s">
        <v>25</v>
      </c>
      <c r="O35" s="19">
        <v>2</v>
      </c>
      <c r="P35" s="19">
        <v>3</v>
      </c>
      <c r="Q35">
        <v>0.52384786307493458</v>
      </c>
      <c r="R35" s="19" t="s">
        <v>248</v>
      </c>
      <c r="S35" s="19">
        <v>-0.26</v>
      </c>
      <c r="T35" s="19" t="s">
        <v>248</v>
      </c>
      <c r="U35" s="19" t="s">
        <v>25</v>
      </c>
      <c r="V35" s="19">
        <v>4</v>
      </c>
      <c r="W35" s="19">
        <v>3</v>
      </c>
      <c r="X35" s="19" t="s">
        <v>379</v>
      </c>
      <c r="Y35" s="19" t="s">
        <v>292</v>
      </c>
      <c r="Z35" s="19" t="s">
        <v>60</v>
      </c>
      <c r="AA35" s="19" t="s">
        <v>380</v>
      </c>
    </row>
    <row r="36" spans="1:27" x14ac:dyDescent="0.2">
      <c r="A36" s="19" t="s">
        <v>221</v>
      </c>
      <c r="B36" s="19" t="s">
        <v>322</v>
      </c>
      <c r="C36" s="19" t="s">
        <v>20</v>
      </c>
      <c r="D36" s="19" t="s">
        <v>31</v>
      </c>
      <c r="E36" s="19" t="s">
        <v>345</v>
      </c>
      <c r="F36" s="19" t="s">
        <v>31</v>
      </c>
      <c r="G36" s="19">
        <v>3</v>
      </c>
      <c r="H36" s="19">
        <v>4</v>
      </c>
      <c r="I36" s="20">
        <v>0.7439365079365079</v>
      </c>
      <c r="J36" s="19" t="s">
        <v>248</v>
      </c>
      <c r="K36" s="19">
        <v>0.59399999999999997</v>
      </c>
      <c r="L36" s="19" t="s">
        <v>248</v>
      </c>
      <c r="M36" s="19" t="s">
        <v>291</v>
      </c>
      <c r="N36" s="19" t="s">
        <v>31</v>
      </c>
      <c r="O36" s="19">
        <v>2</v>
      </c>
      <c r="P36" s="19">
        <v>3</v>
      </c>
      <c r="Q36">
        <v>0.63411411850668342</v>
      </c>
      <c r="R36" s="19" t="s">
        <v>249</v>
      </c>
      <c r="S36" s="19">
        <v>0.35</v>
      </c>
      <c r="T36" s="19" t="s">
        <v>248</v>
      </c>
      <c r="U36" s="19" t="s">
        <v>31</v>
      </c>
      <c r="V36" s="19">
        <v>3</v>
      </c>
      <c r="W36" s="19">
        <v>4</v>
      </c>
      <c r="X36" s="19" t="s">
        <v>379</v>
      </c>
      <c r="Y36" s="19" t="s">
        <v>292</v>
      </c>
      <c r="Z36" s="19" t="s">
        <v>60</v>
      </c>
      <c r="AA36" s="19" t="s">
        <v>380</v>
      </c>
    </row>
    <row r="37" spans="1:27" x14ac:dyDescent="0.2">
      <c r="A37" s="19" t="s">
        <v>221</v>
      </c>
      <c r="B37" s="19" t="s">
        <v>322</v>
      </c>
      <c r="C37" s="19" t="s">
        <v>39</v>
      </c>
      <c r="D37" s="19" t="s">
        <v>16</v>
      </c>
      <c r="E37" s="19" t="s">
        <v>346</v>
      </c>
      <c r="F37" s="19" t="s">
        <v>39</v>
      </c>
      <c r="G37" s="19">
        <v>5</v>
      </c>
      <c r="H37" s="19">
        <v>4</v>
      </c>
      <c r="I37" s="20">
        <v>0.59559788359788357</v>
      </c>
      <c r="J37" s="19" t="s">
        <v>249</v>
      </c>
      <c r="K37" s="19">
        <v>0.39600000000000002</v>
      </c>
      <c r="L37" s="19" t="s">
        <v>249</v>
      </c>
      <c r="M37" s="19" t="s">
        <v>404</v>
      </c>
      <c r="N37" s="19" t="s">
        <v>39</v>
      </c>
      <c r="O37" s="19">
        <v>2</v>
      </c>
      <c r="P37" s="19">
        <v>4</v>
      </c>
      <c r="Q37">
        <v>0.75479145950448245</v>
      </c>
      <c r="R37" s="19" t="s">
        <v>249</v>
      </c>
      <c r="S37" s="19">
        <v>-1.31</v>
      </c>
      <c r="T37" s="19" t="s">
        <v>249</v>
      </c>
      <c r="U37" s="19" t="s">
        <v>16</v>
      </c>
      <c r="V37" s="19">
        <v>2</v>
      </c>
      <c r="W37" s="19">
        <v>3</v>
      </c>
      <c r="X37" s="19" t="s">
        <v>379</v>
      </c>
      <c r="Y37" s="19" t="s">
        <v>292</v>
      </c>
      <c r="Z37" s="19" t="s">
        <v>60</v>
      </c>
      <c r="AA37" s="19" t="s">
        <v>380</v>
      </c>
    </row>
    <row r="38" spans="1:27" x14ac:dyDescent="0.2">
      <c r="A38" s="19" t="s">
        <v>221</v>
      </c>
      <c r="B38" s="19" t="s">
        <v>347</v>
      </c>
      <c r="C38" s="19" t="s">
        <v>28</v>
      </c>
      <c r="D38" s="19" t="s">
        <v>26</v>
      </c>
      <c r="E38" s="19" t="s">
        <v>348</v>
      </c>
      <c r="F38" s="19" t="s">
        <v>26</v>
      </c>
      <c r="G38" s="19">
        <v>2</v>
      </c>
      <c r="H38" s="19">
        <v>3</v>
      </c>
      <c r="I38" s="20">
        <v>0.70020214957327953</v>
      </c>
      <c r="J38" s="19" t="s">
        <v>249</v>
      </c>
      <c r="K38" s="19">
        <v>0.36799999999999999</v>
      </c>
      <c r="L38" s="19" t="s">
        <v>248</v>
      </c>
      <c r="M38" s="19" t="s">
        <v>307</v>
      </c>
      <c r="N38" s="19" t="s">
        <v>28</v>
      </c>
      <c r="O38" s="19">
        <v>2</v>
      </c>
      <c r="P38" s="19">
        <v>3</v>
      </c>
      <c r="Q38">
        <v>0.46548155836437699</v>
      </c>
      <c r="R38" s="19" t="s">
        <v>248</v>
      </c>
      <c r="S38" s="19">
        <v>-0.03</v>
      </c>
      <c r="T38" s="19" t="s">
        <v>249</v>
      </c>
      <c r="U38" s="19" t="s">
        <v>26</v>
      </c>
      <c r="V38" s="19">
        <v>3</v>
      </c>
      <c r="W38" s="19">
        <v>4</v>
      </c>
      <c r="X38" s="19" t="s">
        <v>379</v>
      </c>
      <c r="Y38" s="19" t="s">
        <v>292</v>
      </c>
      <c r="Z38" s="19" t="s">
        <v>60</v>
      </c>
      <c r="AA38" s="19" t="s">
        <v>380</v>
      </c>
    </row>
    <row r="39" spans="1:27" x14ac:dyDescent="0.2">
      <c r="A39" s="19" t="s">
        <v>221</v>
      </c>
      <c r="B39" s="19" t="s">
        <v>328</v>
      </c>
      <c r="C39" s="19" t="s">
        <v>17</v>
      </c>
      <c r="D39" s="19" t="s">
        <v>11</v>
      </c>
      <c r="E39" s="19" t="s">
        <v>349</v>
      </c>
      <c r="F39" s="19" t="s">
        <v>11</v>
      </c>
      <c r="G39" s="19">
        <v>3</v>
      </c>
      <c r="H39" s="19">
        <v>4</v>
      </c>
      <c r="I39" s="20">
        <v>0.71271640211640208</v>
      </c>
      <c r="J39" s="19" t="s">
        <v>249</v>
      </c>
      <c r="K39" s="19">
        <v>0.317</v>
      </c>
      <c r="L39" s="19" t="s">
        <v>249</v>
      </c>
      <c r="M39" s="19" t="s">
        <v>405</v>
      </c>
      <c r="N39" s="19" t="s">
        <v>11</v>
      </c>
      <c r="O39" s="19">
        <v>2</v>
      </c>
      <c r="P39" s="19">
        <v>4</v>
      </c>
      <c r="Q39">
        <v>0.7567456775048037</v>
      </c>
      <c r="R39" s="19" t="s">
        <v>249</v>
      </c>
      <c r="S39" s="19">
        <v>1</v>
      </c>
      <c r="T39" s="19" t="s">
        <v>249</v>
      </c>
      <c r="U39" s="19" t="s">
        <v>17</v>
      </c>
      <c r="V39" s="19">
        <v>6</v>
      </c>
      <c r="W39" s="19">
        <v>3</v>
      </c>
      <c r="X39" s="19" t="s">
        <v>379</v>
      </c>
      <c r="Y39" s="19" t="s">
        <v>292</v>
      </c>
      <c r="Z39" s="19" t="s">
        <v>60</v>
      </c>
      <c r="AA39" s="19" t="s">
        <v>380</v>
      </c>
    </row>
    <row r="40" spans="1:27" x14ac:dyDescent="0.2">
      <c r="A40" s="19" t="s">
        <v>221</v>
      </c>
      <c r="B40" s="19" t="s">
        <v>328</v>
      </c>
      <c r="C40" s="19" t="s">
        <v>19</v>
      </c>
      <c r="D40" s="19" t="s">
        <v>18</v>
      </c>
      <c r="E40" s="19" t="s">
        <v>350</v>
      </c>
      <c r="F40" s="19" t="s">
        <v>18</v>
      </c>
      <c r="G40" s="19">
        <v>4</v>
      </c>
      <c r="H40" s="19">
        <v>5</v>
      </c>
      <c r="I40" s="20">
        <v>0.53974867724867714</v>
      </c>
      <c r="J40" s="19" t="s">
        <v>249</v>
      </c>
      <c r="K40" s="19">
        <v>0.46300000000000002</v>
      </c>
      <c r="L40" s="19" t="s">
        <v>248</v>
      </c>
      <c r="M40" s="19" t="s">
        <v>360</v>
      </c>
      <c r="N40" s="19" t="s">
        <v>18</v>
      </c>
      <c r="O40" s="19">
        <v>2</v>
      </c>
      <c r="P40" s="19">
        <v>3</v>
      </c>
      <c r="Q40">
        <v>0.55269401670466733</v>
      </c>
      <c r="R40" s="19" t="s">
        <v>248</v>
      </c>
      <c r="S40" s="19">
        <v>0.09</v>
      </c>
      <c r="T40" s="19" t="s">
        <v>248</v>
      </c>
      <c r="U40" s="19" t="s">
        <v>18</v>
      </c>
      <c r="V40" s="19">
        <v>2</v>
      </c>
      <c r="W40" s="19">
        <v>5</v>
      </c>
      <c r="X40" s="19" t="s">
        <v>379</v>
      </c>
      <c r="Y40" s="19" t="s">
        <v>292</v>
      </c>
      <c r="Z40" s="19" t="s">
        <v>60</v>
      </c>
      <c r="AA40" s="19" t="s">
        <v>380</v>
      </c>
    </row>
    <row r="41" spans="1:27" x14ac:dyDescent="0.2">
      <c r="A41" s="19" t="s">
        <v>221</v>
      </c>
      <c r="B41" s="19" t="s">
        <v>324</v>
      </c>
      <c r="C41" s="19" t="s">
        <v>12</v>
      </c>
      <c r="D41" s="19" t="s">
        <v>29</v>
      </c>
      <c r="E41" s="19" t="s">
        <v>351</v>
      </c>
      <c r="F41" s="19" t="s">
        <v>12</v>
      </c>
      <c r="G41" s="19">
        <v>4</v>
      </c>
      <c r="H41" s="19">
        <v>3</v>
      </c>
      <c r="I41" s="20">
        <v>0.79329100529100538</v>
      </c>
      <c r="J41" s="19" t="s">
        <v>249</v>
      </c>
      <c r="K41" s="19">
        <v>0.34200000000000003</v>
      </c>
      <c r="L41" s="19" t="s">
        <v>248</v>
      </c>
      <c r="M41" s="19" t="s">
        <v>361</v>
      </c>
      <c r="N41" s="19" t="s">
        <v>12</v>
      </c>
      <c r="O41" s="19">
        <v>1</v>
      </c>
      <c r="P41" s="19">
        <v>6</v>
      </c>
      <c r="Q41">
        <v>0.93629488580979003</v>
      </c>
      <c r="R41" s="19" t="s">
        <v>249</v>
      </c>
      <c r="S41" s="19">
        <v>-2.83</v>
      </c>
      <c r="T41" s="19" t="s">
        <v>248</v>
      </c>
      <c r="U41" s="19" t="s">
        <v>12</v>
      </c>
      <c r="V41" s="19">
        <v>3</v>
      </c>
      <c r="W41" s="19">
        <v>0</v>
      </c>
      <c r="X41" s="19" t="s">
        <v>379</v>
      </c>
      <c r="Y41" s="19" t="s">
        <v>292</v>
      </c>
      <c r="Z41" s="19" t="s">
        <v>60</v>
      </c>
      <c r="AA41" s="19" t="s">
        <v>380</v>
      </c>
    </row>
    <row r="42" spans="1:27" x14ac:dyDescent="0.2">
      <c r="A42" s="19" t="s">
        <v>221</v>
      </c>
      <c r="B42" s="19" t="s">
        <v>352</v>
      </c>
      <c r="C42" s="19" t="s">
        <v>35</v>
      </c>
      <c r="D42" s="19" t="s">
        <v>30</v>
      </c>
      <c r="E42" s="19" t="s">
        <v>353</v>
      </c>
      <c r="F42" s="19" t="s">
        <v>30</v>
      </c>
      <c r="G42" s="19">
        <v>3</v>
      </c>
      <c r="H42" s="19">
        <v>4</v>
      </c>
      <c r="I42" s="20">
        <v>0.82961190476190472</v>
      </c>
      <c r="J42" s="19" t="s">
        <v>249</v>
      </c>
      <c r="K42" s="19">
        <v>0.44800000000000001</v>
      </c>
      <c r="L42" s="19" t="s">
        <v>249</v>
      </c>
      <c r="M42" s="19" t="s">
        <v>406</v>
      </c>
      <c r="N42" s="19" t="s">
        <v>30</v>
      </c>
      <c r="O42" s="19">
        <v>1</v>
      </c>
      <c r="P42" s="19">
        <v>5</v>
      </c>
      <c r="Q42">
        <v>0.83238050643354911</v>
      </c>
      <c r="R42" s="19" t="s">
        <v>249</v>
      </c>
      <c r="S42" s="19">
        <v>2.02</v>
      </c>
      <c r="T42" s="19" t="s">
        <v>249</v>
      </c>
      <c r="U42" s="19" t="s">
        <v>35</v>
      </c>
      <c r="V42" s="19">
        <v>2</v>
      </c>
      <c r="W42" s="19">
        <v>1</v>
      </c>
      <c r="X42" s="19" t="s">
        <v>379</v>
      </c>
      <c r="Y42" s="19" t="s">
        <v>292</v>
      </c>
      <c r="Z42" s="19" t="s">
        <v>60</v>
      </c>
      <c r="AA42" s="19" t="s">
        <v>380</v>
      </c>
    </row>
    <row r="43" spans="1:27" x14ac:dyDescent="0.2">
      <c r="A43" s="19" t="s">
        <v>221</v>
      </c>
      <c r="B43" s="19" t="s">
        <v>328</v>
      </c>
      <c r="C43" s="19" t="s">
        <v>24</v>
      </c>
      <c r="D43" s="19" t="s">
        <v>27</v>
      </c>
      <c r="E43" s="19" t="s">
        <v>354</v>
      </c>
      <c r="F43" s="19" t="s">
        <v>24</v>
      </c>
      <c r="G43" s="19">
        <v>4</v>
      </c>
      <c r="H43" s="19">
        <v>3</v>
      </c>
      <c r="I43" s="20">
        <v>0.63601404151404162</v>
      </c>
      <c r="J43" s="19" t="s">
        <v>249</v>
      </c>
      <c r="K43" s="19">
        <v>0.44</v>
      </c>
      <c r="L43" s="19" t="s">
        <v>249</v>
      </c>
      <c r="M43" s="19" t="s">
        <v>407</v>
      </c>
      <c r="N43" s="19" t="s">
        <v>24</v>
      </c>
      <c r="O43" s="19">
        <v>2</v>
      </c>
      <c r="P43" s="19">
        <v>4</v>
      </c>
      <c r="Q43">
        <v>0.55265687829531895</v>
      </c>
      <c r="R43" s="19" t="s">
        <v>249</v>
      </c>
      <c r="S43" s="19">
        <v>-0.63</v>
      </c>
      <c r="T43" s="19" t="s">
        <v>249</v>
      </c>
      <c r="U43" s="19" t="s">
        <v>27</v>
      </c>
      <c r="V43" s="19">
        <v>3</v>
      </c>
      <c r="W43" s="19">
        <v>6</v>
      </c>
      <c r="X43" s="19" t="s">
        <v>379</v>
      </c>
      <c r="Y43" s="19" t="s">
        <v>292</v>
      </c>
      <c r="Z43" s="19" t="s">
        <v>60</v>
      </c>
      <c r="AA43" s="19" t="s">
        <v>380</v>
      </c>
    </row>
    <row r="44" spans="1:27" x14ac:dyDescent="0.2">
      <c r="A44" s="19" t="s">
        <v>221</v>
      </c>
      <c r="B44" s="19" t="s">
        <v>328</v>
      </c>
      <c r="C44" s="19" t="s">
        <v>32</v>
      </c>
      <c r="D44" s="19" t="s">
        <v>14</v>
      </c>
      <c r="E44" s="19" t="s">
        <v>355</v>
      </c>
      <c r="F44" s="19" t="s">
        <v>14</v>
      </c>
      <c r="G44" s="19">
        <v>3</v>
      </c>
      <c r="H44" s="19">
        <v>4</v>
      </c>
      <c r="I44" s="20">
        <v>0.53547883597883605</v>
      </c>
      <c r="J44" s="19" t="s">
        <v>249</v>
      </c>
      <c r="K44" s="19">
        <v>0.40500000000000003</v>
      </c>
      <c r="L44" s="19" t="s">
        <v>249</v>
      </c>
      <c r="M44" s="19" t="s">
        <v>408</v>
      </c>
      <c r="N44" s="19" t="s">
        <v>14</v>
      </c>
      <c r="O44" s="19">
        <v>2</v>
      </c>
      <c r="P44" s="19">
        <v>4</v>
      </c>
      <c r="Q44">
        <v>0.62760419841259008</v>
      </c>
      <c r="R44" s="19" t="s">
        <v>249</v>
      </c>
      <c r="S44" s="19">
        <v>0.56000000000000005</v>
      </c>
      <c r="T44" s="19" t="s">
        <v>249</v>
      </c>
      <c r="U44" s="19" t="s">
        <v>32</v>
      </c>
      <c r="V44" s="19">
        <v>3</v>
      </c>
      <c r="W44" s="19">
        <v>2</v>
      </c>
      <c r="X44" s="19" t="s">
        <v>379</v>
      </c>
      <c r="Y44" s="19" t="s">
        <v>292</v>
      </c>
      <c r="Z44" s="19" t="s">
        <v>60</v>
      </c>
      <c r="AA44" s="19" t="s">
        <v>380</v>
      </c>
    </row>
    <row r="45" spans="1:27" x14ac:dyDescent="0.2">
      <c r="A45" s="19" t="s">
        <v>221</v>
      </c>
      <c r="B45" s="19" t="s">
        <v>328</v>
      </c>
      <c r="C45" s="19" t="s">
        <v>36</v>
      </c>
      <c r="D45" s="19" t="s">
        <v>33</v>
      </c>
      <c r="E45" s="19" t="s">
        <v>356</v>
      </c>
      <c r="F45" s="19" t="s">
        <v>33</v>
      </c>
      <c r="G45" s="19">
        <v>4</v>
      </c>
      <c r="H45" s="19">
        <v>5</v>
      </c>
      <c r="I45" s="20">
        <v>0.57873187202660858</v>
      </c>
      <c r="J45" s="19" t="s">
        <v>248</v>
      </c>
      <c r="K45" s="19">
        <v>0.627</v>
      </c>
      <c r="L45" s="19" t="s">
        <v>249</v>
      </c>
      <c r="M45" s="19" t="s">
        <v>409</v>
      </c>
      <c r="N45" s="19" t="s">
        <v>33</v>
      </c>
      <c r="O45" s="19">
        <v>2</v>
      </c>
      <c r="P45" s="19">
        <v>3</v>
      </c>
      <c r="Q45">
        <v>0.5625647207386173</v>
      </c>
      <c r="R45" s="19" t="s">
        <v>248</v>
      </c>
      <c r="S45" s="19">
        <v>0.16</v>
      </c>
      <c r="T45" s="19" t="s">
        <v>249</v>
      </c>
      <c r="U45" s="19" t="s">
        <v>36</v>
      </c>
      <c r="V45" s="19">
        <v>3</v>
      </c>
      <c r="W45" s="19">
        <v>2</v>
      </c>
      <c r="X45" s="19" t="s">
        <v>379</v>
      </c>
      <c r="Y45" s="19" t="s">
        <v>292</v>
      </c>
      <c r="Z45" s="19" t="s">
        <v>60</v>
      </c>
      <c r="AA45" s="19" t="s">
        <v>380</v>
      </c>
    </row>
    <row r="46" spans="1:27" x14ac:dyDescent="0.2">
      <c r="A46" s="19" t="s">
        <v>221</v>
      </c>
      <c r="B46" s="19" t="s">
        <v>326</v>
      </c>
      <c r="C46" s="19" t="s">
        <v>15</v>
      </c>
      <c r="D46" s="19" t="s">
        <v>55</v>
      </c>
      <c r="E46" s="19" t="s">
        <v>357</v>
      </c>
      <c r="F46" s="19" t="s">
        <v>55</v>
      </c>
      <c r="G46" s="19">
        <v>3</v>
      </c>
      <c r="H46" s="19">
        <v>4</v>
      </c>
      <c r="I46" s="20">
        <v>0.6337840563691628</v>
      </c>
      <c r="J46" s="19" t="s">
        <v>249</v>
      </c>
      <c r="K46" s="19">
        <v>0.313</v>
      </c>
      <c r="L46" s="19" t="s">
        <v>248</v>
      </c>
      <c r="M46" s="19" t="s">
        <v>362</v>
      </c>
      <c r="N46" s="19" t="s">
        <v>55</v>
      </c>
      <c r="O46" s="19">
        <v>2</v>
      </c>
      <c r="P46" s="19">
        <v>3</v>
      </c>
      <c r="Q46">
        <v>0.51017063196028578</v>
      </c>
      <c r="R46" s="19" t="s">
        <v>248</v>
      </c>
      <c r="S46" s="19">
        <v>0.25</v>
      </c>
      <c r="T46" s="19" t="s">
        <v>248</v>
      </c>
      <c r="U46" s="19" t="s">
        <v>55</v>
      </c>
      <c r="V46" s="19">
        <v>2</v>
      </c>
      <c r="W46" s="19">
        <v>3</v>
      </c>
      <c r="X46" s="19" t="s">
        <v>379</v>
      </c>
      <c r="Y46" s="19" t="s">
        <v>292</v>
      </c>
      <c r="Z46" s="19" t="s">
        <v>60</v>
      </c>
      <c r="AA46" s="19" t="s">
        <v>380</v>
      </c>
    </row>
    <row r="47" spans="1:27" x14ac:dyDescent="0.2">
      <c r="A47" s="19" t="s">
        <v>221</v>
      </c>
      <c r="B47" s="19" t="s">
        <v>328</v>
      </c>
      <c r="C47" s="19" t="s">
        <v>37</v>
      </c>
      <c r="D47" s="19" t="s">
        <v>22</v>
      </c>
      <c r="E47" s="19" t="s">
        <v>358</v>
      </c>
      <c r="F47" s="19" t="s">
        <v>22</v>
      </c>
      <c r="G47" s="19">
        <v>3</v>
      </c>
      <c r="H47" s="19">
        <v>4</v>
      </c>
      <c r="I47" s="20">
        <v>0.64363278171788785</v>
      </c>
      <c r="J47" s="19" t="s">
        <v>248</v>
      </c>
      <c r="K47" s="19">
        <v>0.54700000000000004</v>
      </c>
      <c r="L47" s="19" t="s">
        <v>249</v>
      </c>
      <c r="M47" s="19" t="s">
        <v>410</v>
      </c>
      <c r="N47" s="19" t="s">
        <v>22</v>
      </c>
      <c r="O47" s="19">
        <v>2</v>
      </c>
      <c r="P47" s="19">
        <v>3</v>
      </c>
      <c r="Q47">
        <v>0.5417979763641656</v>
      </c>
      <c r="R47" s="19" t="s">
        <v>249</v>
      </c>
      <c r="S47" s="19">
        <v>0.32</v>
      </c>
      <c r="T47" s="19" t="s">
        <v>249</v>
      </c>
      <c r="U47" s="19" t="s">
        <v>37</v>
      </c>
      <c r="V47" s="19">
        <v>5</v>
      </c>
      <c r="W47" s="19">
        <v>3</v>
      </c>
      <c r="X47" s="19" t="s">
        <v>379</v>
      </c>
      <c r="Y47" s="19" t="s">
        <v>292</v>
      </c>
      <c r="Z47" s="19" t="s">
        <v>60</v>
      </c>
      <c r="AA47" s="19" t="s">
        <v>380</v>
      </c>
    </row>
    <row r="48" spans="1:27" x14ac:dyDescent="0.2">
      <c r="A48" s="19" t="s">
        <v>222</v>
      </c>
      <c r="B48" s="19" t="s">
        <v>347</v>
      </c>
      <c r="C48" s="19" t="s">
        <v>25</v>
      </c>
      <c r="D48" s="19" t="s">
        <v>23</v>
      </c>
      <c r="E48" s="19" t="s">
        <v>363</v>
      </c>
      <c r="F48" s="19" t="s">
        <v>25</v>
      </c>
      <c r="G48" s="19">
        <v>4</v>
      </c>
      <c r="H48" s="19">
        <v>3</v>
      </c>
      <c r="I48" s="20">
        <v>0.746</v>
      </c>
      <c r="J48" s="19" t="s">
        <v>249</v>
      </c>
      <c r="K48" s="19">
        <v>0.33900000000000002</v>
      </c>
      <c r="L48" s="19" t="s">
        <v>249</v>
      </c>
      <c r="M48" s="19" t="s">
        <v>411</v>
      </c>
      <c r="N48" s="19" t="s">
        <v>25</v>
      </c>
      <c r="O48" s="19">
        <v>4</v>
      </c>
      <c r="P48" s="19">
        <v>2</v>
      </c>
      <c r="Q48">
        <v>0.70099999999999996</v>
      </c>
      <c r="R48" s="19" t="s">
        <v>249</v>
      </c>
      <c r="S48" s="19">
        <v>-1.1599999999999999</v>
      </c>
      <c r="T48" s="19" t="s">
        <v>249</v>
      </c>
      <c r="U48" s="19" t="s">
        <v>23</v>
      </c>
      <c r="V48" s="19">
        <v>1</v>
      </c>
      <c r="W48" s="19">
        <v>4</v>
      </c>
      <c r="X48" s="19" t="s">
        <v>379</v>
      </c>
      <c r="Y48" s="19" t="s">
        <v>292</v>
      </c>
      <c r="Z48" s="19" t="s">
        <v>359</v>
      </c>
      <c r="AA48" s="19" t="s">
        <v>380</v>
      </c>
    </row>
    <row r="49" spans="1:27" x14ac:dyDescent="0.2">
      <c r="A49" s="19" t="s">
        <v>222</v>
      </c>
      <c r="B49" s="19" t="s">
        <v>328</v>
      </c>
      <c r="C49" s="19" t="s">
        <v>12</v>
      </c>
      <c r="D49" s="19" t="s">
        <v>10</v>
      </c>
      <c r="E49" s="19" t="s">
        <v>364</v>
      </c>
      <c r="F49" s="19" t="s">
        <v>12</v>
      </c>
      <c r="G49" s="19">
        <v>5</v>
      </c>
      <c r="H49" s="19">
        <v>4</v>
      </c>
      <c r="I49" s="20">
        <v>0.65200000000000002</v>
      </c>
      <c r="J49" s="19" t="s">
        <v>248</v>
      </c>
      <c r="K49" s="19">
        <v>0.53400000000000003</v>
      </c>
      <c r="L49" s="19" t="s">
        <v>248</v>
      </c>
      <c r="M49" s="19" t="s">
        <v>361</v>
      </c>
      <c r="N49" s="19" t="s">
        <v>12</v>
      </c>
      <c r="O49" s="19">
        <v>4</v>
      </c>
      <c r="P49" s="19">
        <v>2</v>
      </c>
      <c r="Q49">
        <v>0.73299999999999998</v>
      </c>
      <c r="R49" s="19" t="s">
        <v>249</v>
      </c>
      <c r="S49" s="19">
        <v>-1.5</v>
      </c>
      <c r="T49" s="19" t="s">
        <v>248</v>
      </c>
      <c r="U49" s="19" t="s">
        <v>12</v>
      </c>
      <c r="V49" s="19">
        <v>1</v>
      </c>
      <c r="W49" s="19">
        <v>0</v>
      </c>
      <c r="X49" s="19" t="s">
        <v>379</v>
      </c>
      <c r="Y49" s="19" t="s">
        <v>292</v>
      </c>
      <c r="Z49" s="19" t="s">
        <v>359</v>
      </c>
      <c r="AA49" s="19" t="s">
        <v>380</v>
      </c>
    </row>
    <row r="50" spans="1:27" x14ac:dyDescent="0.2">
      <c r="A50" s="19" t="s">
        <v>222</v>
      </c>
      <c r="B50" s="19" t="s">
        <v>365</v>
      </c>
      <c r="C50" s="19" t="s">
        <v>32</v>
      </c>
      <c r="D50" s="19" t="s">
        <v>30</v>
      </c>
      <c r="E50" s="19" t="s">
        <v>366</v>
      </c>
      <c r="F50" s="19" t="s">
        <v>32</v>
      </c>
      <c r="G50" s="19">
        <v>5</v>
      </c>
      <c r="H50" s="19">
        <v>4</v>
      </c>
      <c r="I50" s="20">
        <v>0.57899999999999996</v>
      </c>
      <c r="J50" s="19" t="s">
        <v>249</v>
      </c>
      <c r="K50" s="19">
        <v>0.48799999999999999</v>
      </c>
      <c r="L50" s="19" t="s">
        <v>249</v>
      </c>
      <c r="M50" s="19" t="s">
        <v>412</v>
      </c>
      <c r="N50" s="19" t="s">
        <v>30</v>
      </c>
      <c r="O50" s="19">
        <v>2</v>
      </c>
      <c r="P50" s="19">
        <v>4</v>
      </c>
      <c r="Q50">
        <v>0.61299999999999999</v>
      </c>
      <c r="R50" s="19" t="s">
        <v>249</v>
      </c>
      <c r="S50" s="19">
        <v>0.56999999999999995</v>
      </c>
      <c r="T50" s="19" t="s">
        <v>248</v>
      </c>
      <c r="U50" s="19" t="s">
        <v>30</v>
      </c>
      <c r="V50" s="19">
        <v>0</v>
      </c>
      <c r="W50" s="19">
        <v>1</v>
      </c>
      <c r="X50" s="19" t="s">
        <v>379</v>
      </c>
      <c r="Y50" s="19" t="s">
        <v>292</v>
      </c>
      <c r="Z50" s="19" t="s">
        <v>359</v>
      </c>
      <c r="AA50" s="19" t="s">
        <v>380</v>
      </c>
    </row>
    <row r="51" spans="1:27" x14ac:dyDescent="0.2">
      <c r="A51" s="19" t="s">
        <v>222</v>
      </c>
      <c r="B51" s="19" t="s">
        <v>324</v>
      </c>
      <c r="C51" s="19" t="s">
        <v>21</v>
      </c>
      <c r="D51" s="19" t="s">
        <v>33</v>
      </c>
      <c r="E51" s="19" t="s">
        <v>367</v>
      </c>
      <c r="F51" s="19" t="s">
        <v>33</v>
      </c>
      <c r="G51" s="19">
        <v>3</v>
      </c>
      <c r="H51" s="19">
        <v>4</v>
      </c>
      <c r="I51" s="20">
        <v>0.51900000000000002</v>
      </c>
      <c r="J51" s="19" t="s">
        <v>249</v>
      </c>
      <c r="K51" s="19">
        <v>0.27900000000000003</v>
      </c>
      <c r="L51" s="19" t="s">
        <v>248</v>
      </c>
      <c r="M51" s="19" t="s">
        <v>309</v>
      </c>
      <c r="N51" s="19" t="s">
        <v>21</v>
      </c>
      <c r="O51" s="19">
        <v>3</v>
      </c>
      <c r="P51" s="19">
        <v>2</v>
      </c>
      <c r="Q51">
        <v>0.49399999999999999</v>
      </c>
      <c r="R51" s="19" t="s">
        <v>248</v>
      </c>
      <c r="S51" s="19">
        <v>-0.26</v>
      </c>
      <c r="T51" s="19" t="s">
        <v>249</v>
      </c>
      <c r="U51" s="19" t="s">
        <v>33</v>
      </c>
      <c r="V51" s="19">
        <v>1</v>
      </c>
      <c r="W51" s="19">
        <v>3</v>
      </c>
      <c r="X51" s="19" t="s">
        <v>379</v>
      </c>
      <c r="Y51" s="19" t="s">
        <v>292</v>
      </c>
      <c r="Z51" s="19" t="s">
        <v>359</v>
      </c>
      <c r="AA51" s="19" t="s">
        <v>380</v>
      </c>
    </row>
    <row r="52" spans="1:27" x14ac:dyDescent="0.2">
      <c r="A52" s="19" t="s">
        <v>222</v>
      </c>
      <c r="B52" s="19" t="s">
        <v>326</v>
      </c>
      <c r="C52" s="19" t="s">
        <v>16</v>
      </c>
      <c r="D52" s="19" t="s">
        <v>38</v>
      </c>
      <c r="E52" s="19" t="s">
        <v>368</v>
      </c>
      <c r="F52" s="19" t="s">
        <v>16</v>
      </c>
      <c r="G52" s="19">
        <v>4</v>
      </c>
      <c r="H52" s="19">
        <v>2</v>
      </c>
      <c r="I52" s="20">
        <v>0.53600000000000003</v>
      </c>
      <c r="J52" s="19" t="s">
        <v>249</v>
      </c>
      <c r="K52" s="19">
        <v>0.182</v>
      </c>
      <c r="L52" s="19" t="s">
        <v>248</v>
      </c>
      <c r="M52" s="19" t="s">
        <v>372</v>
      </c>
      <c r="N52" s="19" t="s">
        <v>38</v>
      </c>
      <c r="O52" s="19">
        <v>2</v>
      </c>
      <c r="P52" s="19">
        <v>3</v>
      </c>
      <c r="Q52">
        <v>0.59</v>
      </c>
      <c r="R52" s="19" t="s">
        <v>249</v>
      </c>
      <c r="S52" s="19">
        <v>0.39</v>
      </c>
      <c r="T52" s="19" t="s">
        <v>249</v>
      </c>
      <c r="U52" s="19" t="s">
        <v>16</v>
      </c>
      <c r="V52" s="19">
        <v>5</v>
      </c>
      <c r="W52" s="19">
        <v>2</v>
      </c>
      <c r="X52" s="19" t="s">
        <v>379</v>
      </c>
      <c r="Y52" s="19" t="s">
        <v>292</v>
      </c>
      <c r="Z52" s="19" t="s">
        <v>359</v>
      </c>
      <c r="AA52" s="19" t="s">
        <v>380</v>
      </c>
    </row>
    <row r="53" spans="1:27" x14ac:dyDescent="0.2">
      <c r="A53" s="19" t="s">
        <v>222</v>
      </c>
      <c r="B53" s="19" t="s">
        <v>369</v>
      </c>
      <c r="C53" s="19" t="s">
        <v>34</v>
      </c>
      <c r="D53" s="19" t="s">
        <v>40</v>
      </c>
      <c r="E53" s="19" t="s">
        <v>370</v>
      </c>
      <c r="F53" s="19" t="s">
        <v>40</v>
      </c>
      <c r="G53" s="19">
        <v>3</v>
      </c>
      <c r="H53" s="19">
        <v>4</v>
      </c>
      <c r="I53" s="20">
        <v>0.78</v>
      </c>
      <c r="J53" s="19" t="s">
        <v>249</v>
      </c>
      <c r="K53" s="19">
        <v>0.24199999999999999</v>
      </c>
      <c r="L53" s="19" t="s">
        <v>249</v>
      </c>
      <c r="M53" s="19" t="s">
        <v>413</v>
      </c>
      <c r="N53" s="19" t="s">
        <v>40</v>
      </c>
      <c r="O53" s="19">
        <v>2</v>
      </c>
      <c r="P53" s="19">
        <v>4</v>
      </c>
      <c r="Q53">
        <v>0.63400000000000001</v>
      </c>
      <c r="R53" s="19" t="s">
        <v>249</v>
      </c>
      <c r="S53" s="19">
        <v>0.53</v>
      </c>
      <c r="T53" s="19" t="s">
        <v>249</v>
      </c>
      <c r="U53" s="19" t="s">
        <v>34</v>
      </c>
      <c r="V53" s="19">
        <v>3</v>
      </c>
      <c r="W53" s="19">
        <v>0</v>
      </c>
      <c r="X53" s="19" t="s">
        <v>379</v>
      </c>
      <c r="Y53" s="19" t="s">
        <v>292</v>
      </c>
      <c r="Z53" s="19" t="s">
        <v>359</v>
      </c>
      <c r="AA53" s="19" t="s">
        <v>380</v>
      </c>
    </row>
    <row r="54" spans="1:27" x14ac:dyDescent="0.2">
      <c r="A54" s="19" t="s">
        <v>223</v>
      </c>
      <c r="B54" s="19" t="s">
        <v>326</v>
      </c>
      <c r="C54" s="19" t="s">
        <v>36</v>
      </c>
      <c r="D54" s="19" t="s">
        <v>13</v>
      </c>
      <c r="E54" s="19" t="s">
        <v>373</v>
      </c>
      <c r="F54" s="19" t="s">
        <v>36</v>
      </c>
      <c r="G54" s="19">
        <v>5</v>
      </c>
      <c r="H54" s="19">
        <v>4</v>
      </c>
      <c r="I54" s="20">
        <v>0.60899999999999999</v>
      </c>
      <c r="J54" s="19" t="s">
        <v>249</v>
      </c>
      <c r="K54" s="19">
        <v>0.40400000000000003</v>
      </c>
      <c r="L54" s="19" t="s">
        <v>249</v>
      </c>
      <c r="M54" s="19" t="s">
        <v>414</v>
      </c>
      <c r="N54" s="19" t="s">
        <v>13</v>
      </c>
      <c r="O54" s="19">
        <v>2</v>
      </c>
      <c r="P54" s="19">
        <v>3</v>
      </c>
      <c r="Q54">
        <v>0.53200000000000003</v>
      </c>
      <c r="R54" s="19" t="s">
        <v>248</v>
      </c>
      <c r="S54" s="19">
        <v>0.09</v>
      </c>
      <c r="T54" s="19" t="s">
        <v>249</v>
      </c>
      <c r="U54" s="19" t="s">
        <v>60</v>
      </c>
      <c r="V54" s="19"/>
      <c r="W54" s="19"/>
      <c r="X54" s="19" t="s">
        <v>379</v>
      </c>
      <c r="Y54" s="19" t="s">
        <v>292</v>
      </c>
      <c r="Z54" s="19" t="s">
        <v>371</v>
      </c>
      <c r="AA54" s="19" t="s">
        <v>380</v>
      </c>
    </row>
    <row r="55" spans="1:27" x14ac:dyDescent="0.2">
      <c r="A55" s="19" t="s">
        <v>223</v>
      </c>
      <c r="B55" s="19" t="s">
        <v>328</v>
      </c>
      <c r="C55" s="19" t="s">
        <v>26</v>
      </c>
      <c r="D55" s="19" t="s">
        <v>24</v>
      </c>
      <c r="E55" s="19" t="s">
        <v>374</v>
      </c>
      <c r="F55" s="19" t="s">
        <v>24</v>
      </c>
      <c r="G55" s="19">
        <v>3</v>
      </c>
      <c r="H55" s="19">
        <v>4</v>
      </c>
      <c r="I55" s="20">
        <v>0.77800000000000002</v>
      </c>
      <c r="J55" s="19" t="s">
        <v>249</v>
      </c>
      <c r="K55" s="19">
        <v>0.39800000000000002</v>
      </c>
      <c r="L55" s="19" t="s">
        <v>249</v>
      </c>
      <c r="M55" s="19" t="s">
        <v>415</v>
      </c>
      <c r="N55" s="19" t="s">
        <v>24</v>
      </c>
      <c r="O55" s="19">
        <v>2</v>
      </c>
      <c r="P55" s="19">
        <v>4</v>
      </c>
      <c r="Q55">
        <v>0.71599999999999997</v>
      </c>
      <c r="R55" s="19" t="s">
        <v>249</v>
      </c>
      <c r="S55" s="19">
        <v>0.78</v>
      </c>
      <c r="T55" s="19" t="s">
        <v>249</v>
      </c>
      <c r="U55" s="19" t="s">
        <v>60</v>
      </c>
      <c r="V55" s="19"/>
      <c r="W55" s="19"/>
      <c r="X55" s="19" t="s">
        <v>379</v>
      </c>
      <c r="Y55" s="19" t="s">
        <v>292</v>
      </c>
      <c r="Z55" s="19" t="s">
        <v>371</v>
      </c>
      <c r="AA55" s="19" t="s">
        <v>380</v>
      </c>
    </row>
    <row r="56" spans="1:27" x14ac:dyDescent="0.2">
      <c r="A56" s="19" t="s">
        <v>223</v>
      </c>
      <c r="B56" s="19" t="s">
        <v>324</v>
      </c>
      <c r="C56" s="19" t="s">
        <v>11</v>
      </c>
      <c r="D56" s="19" t="s">
        <v>29</v>
      </c>
      <c r="E56" s="19" t="s">
        <v>375</v>
      </c>
      <c r="F56" s="19" t="s">
        <v>11</v>
      </c>
      <c r="G56" s="19">
        <v>5</v>
      </c>
      <c r="H56" s="19">
        <v>4</v>
      </c>
      <c r="I56" s="20">
        <v>0.50600000000000001</v>
      </c>
      <c r="J56" s="19" t="s">
        <v>249</v>
      </c>
      <c r="K56" s="19">
        <v>0.22700000000000001</v>
      </c>
      <c r="L56" s="19" t="s">
        <v>249</v>
      </c>
      <c r="M56" s="19" t="s">
        <v>416</v>
      </c>
      <c r="N56" s="19" t="s">
        <v>11</v>
      </c>
      <c r="O56" s="19">
        <v>4</v>
      </c>
      <c r="P56" s="19">
        <v>2</v>
      </c>
      <c r="Q56">
        <v>0.59099999999999997</v>
      </c>
      <c r="R56" s="19" t="s">
        <v>249</v>
      </c>
      <c r="S56" s="19">
        <v>-0.98</v>
      </c>
      <c r="T56" s="19" t="s">
        <v>249</v>
      </c>
      <c r="U56" s="19" t="s">
        <v>60</v>
      </c>
      <c r="V56" s="19"/>
      <c r="W56" s="19"/>
      <c r="X56" s="19" t="s">
        <v>379</v>
      </c>
      <c r="Y56" s="19" t="s">
        <v>292</v>
      </c>
      <c r="Z56" s="19" t="s">
        <v>371</v>
      </c>
      <c r="AA56" s="19" t="s">
        <v>380</v>
      </c>
    </row>
    <row r="57" spans="1:27" x14ac:dyDescent="0.2">
      <c r="A57" s="19" t="s">
        <v>223</v>
      </c>
      <c r="B57" s="19" t="s">
        <v>328</v>
      </c>
      <c r="C57" s="19" t="s">
        <v>35</v>
      </c>
      <c r="D57" s="19" t="s">
        <v>15</v>
      </c>
      <c r="E57" s="19" t="s">
        <v>376</v>
      </c>
      <c r="F57" s="19" t="s">
        <v>15</v>
      </c>
      <c r="G57" s="19">
        <v>3</v>
      </c>
      <c r="H57" s="19">
        <v>4</v>
      </c>
      <c r="I57" s="20">
        <v>0.63800000000000001</v>
      </c>
      <c r="J57" s="19" t="s">
        <v>249</v>
      </c>
      <c r="K57" s="19">
        <v>0.35499999999999998</v>
      </c>
      <c r="L57" s="19" t="s">
        <v>249</v>
      </c>
      <c r="M57" s="19" t="s">
        <v>417</v>
      </c>
      <c r="N57" s="19" t="s">
        <v>15</v>
      </c>
      <c r="O57" s="19">
        <v>2</v>
      </c>
      <c r="P57" s="19">
        <v>4</v>
      </c>
      <c r="Q57">
        <v>0.7</v>
      </c>
      <c r="R57" s="19" t="s">
        <v>249</v>
      </c>
      <c r="S57" s="19">
        <v>1.2</v>
      </c>
      <c r="T57" s="19" t="s">
        <v>249</v>
      </c>
      <c r="U57" s="19" t="s">
        <v>60</v>
      </c>
      <c r="V57" s="19"/>
      <c r="W57" s="19"/>
      <c r="X57" s="19" t="s">
        <v>379</v>
      </c>
      <c r="Y57" s="19" t="s">
        <v>292</v>
      </c>
      <c r="Z57" s="19" t="s">
        <v>371</v>
      </c>
      <c r="AA57" s="19" t="s">
        <v>380</v>
      </c>
    </row>
    <row r="58" spans="1:27" x14ac:dyDescent="0.2">
      <c r="A58" s="19" t="s">
        <v>223</v>
      </c>
      <c r="B58" s="19" t="s">
        <v>328</v>
      </c>
      <c r="C58" s="19" t="s">
        <v>27</v>
      </c>
      <c r="D58" s="19" t="s">
        <v>37</v>
      </c>
      <c r="E58" s="19" t="s">
        <v>377</v>
      </c>
      <c r="F58" s="19" t="s">
        <v>37</v>
      </c>
      <c r="G58" s="19">
        <v>2</v>
      </c>
      <c r="H58" s="19">
        <v>3</v>
      </c>
      <c r="I58" s="20">
        <v>0.71899999999999997</v>
      </c>
      <c r="J58" s="19" t="s">
        <v>248</v>
      </c>
      <c r="K58" s="19">
        <v>0.501</v>
      </c>
      <c r="L58" s="19" t="s">
        <v>249</v>
      </c>
      <c r="M58" s="19" t="s">
        <v>418</v>
      </c>
      <c r="N58" s="19" t="s">
        <v>37</v>
      </c>
      <c r="O58" s="19">
        <v>2</v>
      </c>
      <c r="P58" s="19">
        <v>4</v>
      </c>
      <c r="Q58">
        <v>0.627</v>
      </c>
      <c r="R58" s="19" t="s">
        <v>249</v>
      </c>
      <c r="S58" s="19">
        <v>0.63</v>
      </c>
      <c r="T58" s="19" t="s">
        <v>249</v>
      </c>
      <c r="U58" s="19" t="s">
        <v>60</v>
      </c>
      <c r="V58" s="19"/>
      <c r="W58" s="19"/>
      <c r="X58" s="19" t="s">
        <v>379</v>
      </c>
      <c r="Y58" s="19" t="s">
        <v>292</v>
      </c>
      <c r="Z58" s="19" t="s">
        <v>371</v>
      </c>
      <c r="AA58" s="19" t="s">
        <v>380</v>
      </c>
    </row>
    <row r="59" spans="1:27" x14ac:dyDescent="0.2">
      <c r="A59" s="19" t="s">
        <v>223</v>
      </c>
      <c r="B59" s="19" t="s">
        <v>326</v>
      </c>
      <c r="C59" s="19" t="s">
        <v>20</v>
      </c>
      <c r="D59" s="19" t="s">
        <v>55</v>
      </c>
      <c r="E59" s="19" t="s">
        <v>337</v>
      </c>
      <c r="F59" s="19" t="s">
        <v>55</v>
      </c>
      <c r="G59" s="19">
        <v>3</v>
      </c>
      <c r="H59" s="19">
        <v>4</v>
      </c>
      <c r="I59" s="20">
        <v>0.754</v>
      </c>
      <c r="J59" s="19" t="s">
        <v>249</v>
      </c>
      <c r="K59" s="19">
        <v>0.438</v>
      </c>
      <c r="L59" s="19" t="s">
        <v>249</v>
      </c>
      <c r="M59" s="19" t="s">
        <v>419</v>
      </c>
      <c r="N59" s="19" t="s">
        <v>20</v>
      </c>
      <c r="O59" s="19">
        <v>3</v>
      </c>
      <c r="P59" s="19">
        <v>2</v>
      </c>
      <c r="Q59">
        <v>0.46800000000000003</v>
      </c>
      <c r="R59" s="19" t="s">
        <v>248</v>
      </c>
      <c r="S59" s="19">
        <v>-0.28999999999999998</v>
      </c>
      <c r="T59" s="19" t="s">
        <v>249</v>
      </c>
      <c r="U59" s="19" t="s">
        <v>60</v>
      </c>
      <c r="V59" s="19"/>
      <c r="W59" s="19"/>
      <c r="X59" s="19" t="s">
        <v>379</v>
      </c>
      <c r="Y59" s="19" t="s">
        <v>292</v>
      </c>
      <c r="Z59" s="19" t="s">
        <v>371</v>
      </c>
      <c r="AA59" s="19" t="s">
        <v>380</v>
      </c>
    </row>
    <row r="60" spans="1:27" x14ac:dyDescent="0.2">
      <c r="A60" s="19" t="s">
        <v>223</v>
      </c>
      <c r="B60" s="19" t="s">
        <v>328</v>
      </c>
      <c r="C60" s="19" t="s">
        <v>28</v>
      </c>
      <c r="D60" s="19" t="s">
        <v>22</v>
      </c>
      <c r="E60" s="19" t="s">
        <v>378</v>
      </c>
      <c r="F60" s="19" t="s">
        <v>22</v>
      </c>
      <c r="G60" s="19">
        <v>3</v>
      </c>
      <c r="H60" s="19">
        <v>4</v>
      </c>
      <c r="I60" s="20">
        <v>0.59399999999999997</v>
      </c>
      <c r="J60" s="19" t="s">
        <v>249</v>
      </c>
      <c r="K60" s="19">
        <v>0.48699999999999999</v>
      </c>
      <c r="L60" s="19" t="s">
        <v>249</v>
      </c>
      <c r="M60" s="19" t="s">
        <v>420</v>
      </c>
      <c r="N60" s="19" t="s">
        <v>22</v>
      </c>
      <c r="O60" s="19">
        <v>2</v>
      </c>
      <c r="P60" s="19">
        <v>4</v>
      </c>
      <c r="Q60">
        <v>0.64500000000000002</v>
      </c>
      <c r="R60" s="19" t="s">
        <v>249</v>
      </c>
      <c r="S60" s="19">
        <v>0.8</v>
      </c>
      <c r="T60" s="19" t="s">
        <v>249</v>
      </c>
      <c r="U60" s="19" t="s">
        <v>60</v>
      </c>
      <c r="V60" s="19"/>
      <c r="W60" s="19"/>
      <c r="X60" s="19" t="s">
        <v>379</v>
      </c>
      <c r="Y60" s="19" t="s">
        <v>292</v>
      </c>
      <c r="Z60" s="19" t="s">
        <v>371</v>
      </c>
      <c r="AA60" s="19" t="s">
        <v>380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8" t="s">
        <v>268</v>
      </c>
      <c r="C3" s="18"/>
      <c r="D3" t="s">
        <v>269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NHL2025-26Results</vt:lpstr>
      <vt:lpstr>NHL Model</vt:lpstr>
      <vt:lpstr>NHL HomeIce Model</vt:lpstr>
      <vt:lpstr>Standings</vt:lpstr>
      <vt:lpstr>ML Prediction Model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2025-11-24T16:47:03Z</dcterms:modified>
</cp:coreProperties>
</file>