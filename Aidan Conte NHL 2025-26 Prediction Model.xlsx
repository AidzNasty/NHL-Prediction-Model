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276" documentId="14_{BC0C37BD-5950-BD49-823D-87212FE79B51}" xr6:coauthVersionLast="47" xr6:coauthVersionMax="47" xr10:uidLastSave="{9389A0BD-315D-044D-9D17-A65C76B4B727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Sheet2" sheetId="9" r:id="rId6"/>
  </sheets>
  <definedNames>
    <definedName name="ExternalData_1" localSheetId="0" hidden="1">'NHL2025-26Results'!$A$1:$J$1313</definedName>
    <definedName name="ExternalData_4" localSheetId="4" hidden="1">'ML Prediction Model'!$A$1:$T$41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7"/>
    <pivotCache cacheId="2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9" i="1" l="1"/>
  <c r="H459" i="1" s="1"/>
  <c r="I459" i="1"/>
  <c r="G460" i="1"/>
  <c r="H460" i="1"/>
  <c r="I460" i="1"/>
  <c r="G461" i="1"/>
  <c r="H461" i="1" s="1"/>
  <c r="I461" i="1"/>
  <c r="G462" i="1"/>
  <c r="H462" i="1"/>
  <c r="I462" i="1"/>
  <c r="G463" i="1"/>
  <c r="H463" i="1" s="1"/>
  <c r="I463" i="1"/>
  <c r="G464" i="1"/>
  <c r="H464" i="1"/>
  <c r="I464" i="1"/>
  <c r="G465" i="1"/>
  <c r="H465" i="1" s="1"/>
  <c r="I465" i="1"/>
  <c r="G466" i="1"/>
  <c r="H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H449" i="1" s="1"/>
  <c r="I449" i="1"/>
  <c r="G450" i="1"/>
  <c r="I450" i="1"/>
  <c r="G451" i="1"/>
  <c r="I451" i="1"/>
  <c r="G452" i="1"/>
  <c r="I452" i="1"/>
  <c r="G453" i="1"/>
  <c r="H453" i="1" s="1"/>
  <c r="I453" i="1"/>
  <c r="G454" i="1"/>
  <c r="H454" i="1" s="1"/>
  <c r="I454" i="1"/>
  <c r="G455" i="1"/>
  <c r="I455" i="1"/>
  <c r="G456" i="1"/>
  <c r="I456" i="1"/>
  <c r="G457" i="1"/>
  <c r="H457" i="1" s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H444" i="1" s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3" i="4"/>
  <c r="V5" i="4" s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66" i="1" l="1"/>
  <c r="J463" i="1"/>
  <c r="J464" i="1"/>
  <c r="J465" i="1"/>
  <c r="J461" i="1"/>
  <c r="J460" i="1"/>
  <c r="J462" i="1"/>
  <c r="J459" i="1"/>
  <c r="J457" i="1"/>
  <c r="H450" i="1"/>
  <c r="H448" i="1"/>
  <c r="H455" i="1"/>
  <c r="J455" i="1" s="1"/>
  <c r="H451" i="1"/>
  <c r="J451" i="1" s="1"/>
  <c r="H447" i="1"/>
  <c r="J447" i="1" s="1"/>
  <c r="J449" i="1"/>
  <c r="J453" i="1"/>
  <c r="H456" i="1"/>
  <c r="H452" i="1"/>
  <c r="J452" i="1" s="1"/>
  <c r="H443" i="1"/>
  <c r="J443" i="1" s="1"/>
  <c r="H458" i="1"/>
  <c r="J458" i="1" s="1"/>
  <c r="J450" i="1"/>
  <c r="J454" i="1"/>
  <c r="J456" i="1"/>
  <c r="J448" i="1"/>
  <c r="H431" i="1"/>
  <c r="J431" i="1" s="1"/>
  <c r="H439" i="1"/>
  <c r="J439" i="1" s="1"/>
  <c r="H437" i="1"/>
  <c r="J437" i="1" s="1"/>
  <c r="H446" i="1"/>
  <c r="J446" i="1" s="1"/>
  <c r="H442" i="1"/>
  <c r="J442" i="1" s="1"/>
  <c r="J444" i="1"/>
  <c r="H435" i="1"/>
  <c r="J435" i="1" s="1"/>
  <c r="H445" i="1"/>
  <c r="J445" i="1" s="1"/>
  <c r="H438" i="1"/>
  <c r="J438" i="1" s="1"/>
  <c r="H441" i="1"/>
  <c r="H420" i="1"/>
  <c r="J420" i="1" s="1"/>
  <c r="H434" i="1"/>
  <c r="J434" i="1" s="1"/>
  <c r="H440" i="1"/>
  <c r="H436" i="1"/>
  <c r="J436" i="1" s="1"/>
  <c r="H432" i="1"/>
  <c r="J432" i="1" s="1"/>
  <c r="H430" i="1"/>
  <c r="J430" i="1" s="1"/>
  <c r="J441" i="1"/>
  <c r="H433" i="1"/>
  <c r="J433" i="1" s="1"/>
  <c r="H419" i="1"/>
  <c r="J419" i="1" s="1"/>
  <c r="J440" i="1"/>
  <c r="H428" i="1"/>
  <c r="J428" i="1" s="1"/>
  <c r="H427" i="1"/>
  <c r="J427" i="1" s="1"/>
  <c r="J429" i="1"/>
  <c r="H421" i="1"/>
  <c r="J421" i="1" s="1"/>
  <c r="V6" i="4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J401" i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23" i="1" l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5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287" i="4" l="1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<sst xmlns="http://schemas.openxmlformats.org/spreadsheetml/2006/main" count="13024" uniqueCount="293">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</sst>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6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67"/>
    <tableColumn id="3" xr3:uid="{2C87C5E2-BA51-8A42-89C8-535F9675CB8F}" uniqueName="3" name="Visitor" queryTableFieldId="3" dataDxfId="66"/>
    <tableColumn id="4" xr3:uid="{CE6ABB56-546F-BB46-9A09-2A1A92669C31}" uniqueName="4" name="G" queryTableFieldId="4" dataDxfId="65"/>
    <tableColumn id="5" xr3:uid="{C1234731-C200-EA4C-B756-2CA67776A39C}" uniqueName="5" name="Home" queryTableFieldId="5" dataDxfId="64"/>
    <tableColumn id="6" xr3:uid="{339325E9-BBA1-9A48-8657-C4AC5A969A45}" uniqueName="6" name="G_1" queryTableFieldId="6" dataDxfId="63"/>
    <tableColumn id="11" xr3:uid="{D5C53254-CDEF-7A46-97BA-0F3F94C9C0F8}" uniqueName="11" name="Column1" queryTableFieldId="11" dataDxfId="62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1"/>
    <tableColumn id="10" xr3:uid="{D8B4237A-01AB-6648-9F38-4F24C83C2F02}" uniqueName="10" name="Losing_G" queryTableFieldId="10" dataDxfId="6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59" headerRowBorderDxfId="58" tableBorderDxfId="57">
  <autoFilter ref="D6:J1318" xr:uid="{082AB263-30A0-9143-A4CB-E8E85CF645DA}"/>
  <tableColumns count="7">
    <tableColumn id="1" xr3:uid="{A2DA1977-C625-F248-8922-D45BEAE345E6}" name="Visitor" dataDxfId="56"/>
    <tableColumn id="2" xr3:uid="{7F142366-1AE0-5D45-A506-465FBF578C3A}" name="G" dataDxfId="55"/>
    <tableColumn id="3" xr3:uid="{F73B07A5-94FF-C843-900F-F37684899EAA}" name="Home" dataDxfId="54"/>
    <tableColumn id="4" xr3:uid="{7D6FADB5-28D9-9449-ADC0-599788BF0B16}" name="G_1" dataDxfId="53"/>
    <tableColumn id="5" xr3:uid="{98CF2B62-3F88-D44B-AF59-BE4BB5C0604E}" name="HomeMargin" dataDxfId="52">
      <calculatedColumnFormula>Table3[[#This Row],[G_1]]-Table3[[#This Row],[G]]</calculatedColumnFormula>
    </tableColumn>
    <tableColumn id="6" xr3:uid="{FD0EC919-55F2-CA43-8B92-CA3E6283FCFD}" name="HomeForecast" dataDxfId="51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0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49" dataDxfId="48">
  <autoFilter ref="D1:R1313" xr:uid="{B940C27F-1AFD-1A45-A69A-42FED3D3591C}"/>
  <tableColumns count="15">
    <tableColumn id="1" xr3:uid="{27200A7D-FC6F-7D47-A38B-8116F873A9D8}" name="Date" dataDxfId="47"/>
    <tableColumn id="2" xr3:uid="{E6247AA5-111B-9544-9F6D-FFC524512888}" name="Time" dataDxfId="46"/>
    <tableColumn id="3" xr3:uid="{EDCD8AB3-2C72-284E-B537-7168C3C8687B}" name="Home" dataDxfId="45"/>
    <tableColumn id="4" xr3:uid="{EC6C1412-AAC2-6646-BF48-0D4526947D52}" name="Home Differential" dataDxfId="44">
      <calculatedColumnFormula>VLOOKUP(Table4[[#This Row],[Home]],'NHL Model'!$A$6:$B$38,2,FALSE)</calculatedColumnFormula>
    </tableColumn>
    <tableColumn id="5" xr3:uid="{67F5F1C4-5CC9-B648-BE7C-7E4EF3A85290}" name="Visitor" dataDxfId="43"/>
    <tableColumn id="6" xr3:uid="{84F489BE-33B4-0E4D-959D-E87A85C1D38D}" name="Away Differential" dataDxfId="42">
      <calculatedColumnFormula>VLOOKUP(Table4[[#This Row],[Visitor]],'NHL Model'!$A$6:$B$38,2,FALSE)</calculatedColumnFormula>
    </tableColumn>
    <tableColumn id="7" xr3:uid="{A6F9ABE3-1844-E54D-9016-325B538D2969}" name="HomeIce Differential" dataDxfId="41">
      <calculatedColumnFormula>($B$1+Table4[[#This Row],[Home Differential]])-Table4[[#This Row],[Away Differential]]</calculatedColumnFormula>
    </tableColumn>
    <tableColumn id="8" xr3:uid="{8FFD520F-0CF9-9D4A-93B6-B45373384612}" name="Predicted Winner" dataDxfId="40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39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38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37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36"/>
    <tableColumn id="13" xr3:uid="{F50D85A3-D772-F247-BFBE-86E765FD0BF6}" name="Locked Correct" dataDxfId="35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34">
  <autoFilter ref="A1:R33" xr:uid="{1B34B514-E1CC-0949-A7DD-8D37387465DD}"/>
  <tableColumns count="18">
    <tableColumn id="1" xr3:uid="{C9F77F0F-7B0D-CC44-9D34-395D1E3FA55B}" name="Team" dataDxfId="33"/>
    <tableColumn id="2" xr3:uid="{4080CFDD-7980-DD4D-A4DE-25DB03E50B7C}" name="GP" dataDxfId="32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1">
      <calculatedColumnFormula>COUNTIFS('NHL2025-26Results'!$H:$H,A2,'NHL2025-26Results'!$F:$F,"")</calculatedColumnFormula>
    </tableColumn>
    <tableColumn id="5" xr3:uid="{5EA2DCC3-F71A-5A40-B3F3-8F2F8CB0A7CE}" name="OTL" dataDxfId="30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29">
      <calculatedColumnFormula>(Table1[[#This Row],[W]]*2)+Table1[[#This Row],[OTL]]</calculatedColumnFormula>
    </tableColumn>
    <tableColumn id="7" xr3:uid="{40EA95E8-9958-E040-A5BE-EC17EEDC1CBD}" name="HomeWins" dataDxfId="28">
      <calculatedColumnFormula>COUNTIFS('NHL2025-26Results'!$D:$D,A2,'NHL2025-26Results'!$G:$G,A2)</calculatedColumnFormula>
    </tableColumn>
    <tableColumn id="9" xr3:uid="{F3FA5C24-502A-6446-A4B9-25DB670D2CB7}" name="HomeLoss" dataDxfId="27">
      <calculatedColumnFormula>COUNTIFS('NHL2025-26Results'!$D:$D,A2,'NHL2025-26Results'!$H:$H,A2,'NHL2025-26Results'!$F:$F,"")</calculatedColumnFormula>
    </tableColumn>
    <tableColumn id="8" xr3:uid="{999F1273-113E-7F4B-990E-AC7B23C4A496}" name="HomeOTL" dataDxfId="26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25">
      <calculatedColumnFormula>COUNTIFS('NHL2025-26Results'!$B:$B,A2,'NHL2025-26Results'!$G:$G,A2)</calculatedColumnFormula>
    </tableColumn>
    <tableColumn id="10" xr3:uid="{1A63BDD0-5CF0-0C48-B684-3675FC716427}" name="AwayLoss" dataDxfId="24">
      <calculatedColumnFormula>COUNTIFS('NHL2025-26Results'!$B:$B,A2,'NHL2025-26Results'!$H:$H,A2,'NHL2025-26Results'!$F:$F,"")</calculatedColumnFormula>
    </tableColumn>
    <tableColumn id="12" xr3:uid="{59628040-0BA7-5042-BB5A-1E9D40ABC469}" name="AwayOTL" dataDxfId="23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2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1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0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19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1" tableType="queryTable" totalsRowShown="0">
  <autoFilter ref="A1:T41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40" zoomScale="90" zoomScaleNormal="120" workbookViewId="0">
      <selection activeCell="G462" sqref="G462:H131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10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10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8.7068144877542997E-2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2642.636462815326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0.44031772420389576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0.2434478070222611</v>
      </c>
      <c r="J7">
        <f>(Table3[[#This Row],[HomeMargin]]-Table3[[#This Row],[HomeForecast]])^2</f>
        <v>0.57237122069942592</v>
      </c>
    </row>
    <row r="8" spans="1:10" x14ac:dyDescent="0.2">
      <c r="A8" s="4" t="s">
        <v>21</v>
      </c>
      <c r="B8">
        <v>0.20241790420125966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-1.5357355619871158</v>
      </c>
      <c r="J8">
        <f>(Table3[[#This Row],[HomeMargin]]-Table3[[#This Row],[HomeForecast]])^2</f>
        <v>2.1440703444291875</v>
      </c>
    </row>
    <row r="9" spans="1:10" x14ac:dyDescent="0.2">
      <c r="A9" s="4" t="s">
        <v>23</v>
      </c>
      <c r="B9">
        <v>-0.35383832279900912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-5.1329895971888861E-3</v>
      </c>
      <c r="J9">
        <f>(Table3[[#This Row],[HomeMargin]]-Table3[[#This Row],[HomeForecast]])^2</f>
        <v>8.9692284099990722</v>
      </c>
    </row>
    <row r="10" spans="1:10" x14ac:dyDescent="0.2">
      <c r="A10" s="4" t="s">
        <v>16</v>
      </c>
      <c r="B10">
        <v>-0.65802650867783552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0.54637868955229318</v>
      </c>
      <c r="J10">
        <f>(Table3[[#This Row],[HomeMargin]]-Table3[[#This Row],[HomeForecast]])^2</f>
        <v>2.3912870515014677</v>
      </c>
    </row>
    <row r="11" spans="1:10" x14ac:dyDescent="0.2">
      <c r="A11" s="4" t="s">
        <v>25</v>
      </c>
      <c r="B11">
        <v>0.48797916660265073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0.34086579283209589</v>
      </c>
      <c r="J11">
        <f>(Table3[[#This Row],[HomeMargin]]-Table3[[#This Row],[HomeForecast]])^2</f>
        <v>7.0709947317304778</v>
      </c>
    </row>
    <row r="12" spans="1:10" x14ac:dyDescent="0.2">
      <c r="A12" s="4" t="s">
        <v>10</v>
      </c>
      <c r="B12">
        <v>-0.25852364135215161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0.22707814595647036</v>
      </c>
      <c r="J12">
        <f>(Table3[[#This Row],[HomeMargin]]-Table3[[#This Row],[HomeForecast]])^2</f>
        <v>1.5057207762839688</v>
      </c>
    </row>
    <row r="13" spans="1:10" x14ac:dyDescent="0.2">
      <c r="A13" s="4" t="s">
        <v>12</v>
      </c>
      <c r="B13">
        <v>1.7072432657355574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0.85001051041582931</v>
      </c>
      <c r="J13">
        <f>(Table3[[#This Row],[HomeMargin]]-Table3[[#This Row],[HomeForecast]])^2</f>
        <v>8.1225599094806959</v>
      </c>
    </row>
    <row r="14" spans="1:10" x14ac:dyDescent="0.2">
      <c r="A14" s="4" t="s">
        <v>28</v>
      </c>
      <c r="B14">
        <v>-0.25582283032518105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0.54800969043095427</v>
      </c>
      <c r="J14">
        <f>(Table3[[#This Row],[HomeMargin]]-Table3[[#This Row],[HomeForecast]])^2</f>
        <v>0.2042952399443218</v>
      </c>
    </row>
    <row r="15" spans="1:10" x14ac:dyDescent="0.2">
      <c r="A15" s="4" t="s">
        <v>39</v>
      </c>
      <c r="B15">
        <v>0.86540791565538033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-0.43188055177453455</v>
      </c>
      <c r="J15">
        <f>(Table3[[#This Row],[HomeMargin]]-Table3[[#This Row],[HomeForecast]])^2</f>
        <v>12.731476396804799</v>
      </c>
    </row>
    <row r="16" spans="1:10" x14ac:dyDescent="0.2">
      <c r="A16" s="4" t="s">
        <v>26</v>
      </c>
      <c r="B16">
        <v>-0.47317909800770142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0.57534500552357437</v>
      </c>
      <c r="J16">
        <f>(Table3[[#This Row],[HomeMargin]]-Table3[[#This Row],[HomeForecast]])^2</f>
        <v>5.8789518422394753</v>
      </c>
    </row>
    <row r="17" spans="1:10" x14ac:dyDescent="0.2">
      <c r="A17" s="4" t="s">
        <v>17</v>
      </c>
      <c r="B17">
        <v>-0.19871596400308536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1.6250299281106564</v>
      </c>
      <c r="J17">
        <f>(Table3[[#This Row],[HomeMargin]]-Table3[[#This Row],[HomeForecast]])^2</f>
        <v>0.39066241103401228</v>
      </c>
    </row>
    <row r="18" spans="1:10" x14ac:dyDescent="0.2">
      <c r="A18" s="4" t="s">
        <v>11</v>
      </c>
      <c r="B18">
        <v>-0.10214397920743352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-6.8781946929283133E-2</v>
      </c>
      <c r="J18">
        <f>(Table3[[#This Row],[HomeMargin]]-Table3[[#This Row],[HomeForecast]])^2</f>
        <v>15.45447538078912</v>
      </c>
    </row>
    <row r="19" spans="1:10" x14ac:dyDescent="0.2">
      <c r="A19" s="4" t="s">
        <v>13</v>
      </c>
      <c r="B19">
        <v>8.443955887089849E-2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-8.5679538387247497E-2</v>
      </c>
      <c r="J19">
        <f>(Table3[[#This Row],[HomeMargin]]-Table3[[#This Row],[HomeForecast]])^2</f>
        <v>1.1787000600727469</v>
      </c>
    </row>
    <row r="20" spans="1:10" x14ac:dyDescent="0.2">
      <c r="A20" s="4" t="s">
        <v>34</v>
      </c>
      <c r="B20">
        <v>4.4994204383705286E-2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-0.53716696027227206</v>
      </c>
      <c r="J20">
        <f>(Table3[[#This Row],[HomeMargin]]-Table3[[#This Row],[HomeForecast]])^2</f>
        <v>2.3628822637526965</v>
      </c>
    </row>
    <row r="21" spans="1:10" x14ac:dyDescent="0.2">
      <c r="A21" s="4" t="s">
        <v>18</v>
      </c>
      <c r="B21">
        <v>-0.31732900620087529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4.1358303941409325E-2</v>
      </c>
      <c r="J21">
        <f>(Table3[[#This Row],[HomeMargin]]-Table3[[#This Row],[HomeForecast]])^2</f>
        <v>0.91899390142209125</v>
      </c>
    </row>
    <row r="22" spans="1:10" x14ac:dyDescent="0.2">
      <c r="A22" s="4" t="s">
        <v>29</v>
      </c>
      <c r="B22">
        <v>-0.88005793547499611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-0.88026733794277523</v>
      </c>
      <c r="J22">
        <f>(Table3[[#This Row],[HomeMargin]]-Table3[[#This Row],[HomeForecast]])^2</f>
        <v>8.2959399380199592</v>
      </c>
    </row>
    <row r="23" spans="1:10" x14ac:dyDescent="0.2">
      <c r="A23" s="4" t="s">
        <v>24</v>
      </c>
      <c r="B23">
        <v>-2.9769404338063311E-4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-0.39410578495603149</v>
      </c>
      <c r="J23">
        <f>(Table3[[#This Row],[HomeMargin]]-Table3[[#This Row],[HomeForecast]])^2</f>
        <v>0.36710779982374681</v>
      </c>
    </row>
    <row r="24" spans="1:10" x14ac:dyDescent="0.2">
      <c r="A24" s="4" t="s">
        <v>30</v>
      </c>
      <c r="B24">
        <v>0.30302134926393393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-0.91626707823284259</v>
      </c>
      <c r="J24">
        <f>(Table3[[#This Row],[HomeMargin]]-Table3[[#This Row],[HomeForecast]])^2</f>
        <v>16.676874576324924</v>
      </c>
    </row>
    <row r="25" spans="1:10" x14ac:dyDescent="0.2">
      <c r="A25" s="4" t="s">
        <v>15</v>
      </c>
      <c r="B25">
        <v>0.1651103738530684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0.93621773926797835</v>
      </c>
      <c r="J25">
        <f>(Table3[[#This Row],[HomeMargin]]-Table3[[#This Row],[HomeForecast]])^2</f>
        <v>3.7489391338560014</v>
      </c>
    </row>
    <row r="26" spans="1:10" x14ac:dyDescent="0.2">
      <c r="A26" s="4" t="s">
        <v>36</v>
      </c>
      <c r="B26">
        <v>-0.17962977873499933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0.15195625213881347</v>
      </c>
      <c r="J26">
        <f>(Table3[[#This Row],[HomeMargin]]-Table3[[#This Row],[HomeForecast]])^2</f>
        <v>14.807440685453566</v>
      </c>
    </row>
    <row r="27" spans="1:10" x14ac:dyDescent="0.2">
      <c r="A27" s="4" t="s">
        <v>27</v>
      </c>
      <c r="B27">
        <v>7.060370405735697E-2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-0.87548355409789103</v>
      </c>
      <c r="J27">
        <f>(Table3[[#This Row],[HomeMargin]]-Table3[[#This Row],[HomeForecast]])^2</f>
        <v>1.550434530009283E-2</v>
      </c>
    </row>
    <row r="28" spans="1:10" x14ac:dyDescent="0.2">
      <c r="A28" s="4" t="s">
        <v>14</v>
      </c>
      <c r="B28">
        <v>0.25731150832780025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0.64332437187781177</v>
      </c>
      <c r="J28">
        <f>(Table3[[#This Row],[HomeMargin]]-Table3[[#This Row],[HomeForecast]])^2</f>
        <v>1.8405687599407337</v>
      </c>
    </row>
    <row r="29" spans="1:10" x14ac:dyDescent="0.2">
      <c r="A29" s="4" t="s">
        <v>33</v>
      </c>
      <c r="B29">
        <v>-0.25672436988374864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0.50444360742283678</v>
      </c>
      <c r="J29">
        <f>(Table3[[#This Row],[HomeMargin]]-Table3[[#This Row],[HomeForecast]])^2</f>
        <v>0.24557613822409149</v>
      </c>
    </row>
    <row r="30" spans="1:10" x14ac:dyDescent="0.2">
      <c r="A30" s="4" t="s">
        <v>32</v>
      </c>
      <c r="B30">
        <v>-0.52701775861642253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0.38738265492638779</v>
      </c>
      <c r="J30">
        <f>(Table3[[#This Row],[HomeMargin]]-Table3[[#This Row],[HomeForecast]])^2</f>
        <v>5.699595941043369</v>
      </c>
    </row>
    <row r="31" spans="1:10" x14ac:dyDescent="0.2">
      <c r="A31" s="4" t="s">
        <v>35</v>
      </c>
      <c r="B31">
        <v>-0.95834101872668032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0.14587350972626667</v>
      </c>
      <c r="J31">
        <f>(Table3[[#This Row],[HomeMargin]]-Table3[[#This Row],[HomeForecast]])^2</f>
        <v>1.3130261002923926</v>
      </c>
    </row>
    <row r="32" spans="1:10" x14ac:dyDescent="0.2">
      <c r="A32" s="4" t="s">
        <v>37</v>
      </c>
      <c r="B32">
        <v>0.66951981565543606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0.92890349495772007</v>
      </c>
      <c r="J32">
        <f>(Table3[[#This Row],[HomeMargin]]-Table3[[#This Row],[HomeForecast]])^2</f>
        <v>3.7206686928601078</v>
      </c>
    </row>
    <row r="33" spans="1:10" x14ac:dyDescent="0.2">
      <c r="A33" s="4" t="s">
        <v>19</v>
      </c>
      <c r="B33">
        <v>-6.3531358246322375E-2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-0.32257959488383603</v>
      </c>
      <c r="J33">
        <f>(Table3[[#This Row],[HomeMargin]]-Table3[[#This Row],[HomeForecast]])^2</f>
        <v>11.039535164338437</v>
      </c>
    </row>
    <row r="34" spans="1:10" x14ac:dyDescent="0.2">
      <c r="A34" t="s">
        <v>55</v>
      </c>
      <c r="B34">
        <v>0.16928148250244404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0.48149058229102271</v>
      </c>
      <c r="J34">
        <f>(Table3[[#This Row],[HomeMargin]]-Table3[[#This Row],[HomeForecast]])^2</f>
        <v>2.3058708516708575</v>
      </c>
    </row>
    <row r="35" spans="1:10" x14ac:dyDescent="0.2">
      <c r="A35" s="4" t="s">
        <v>38</v>
      </c>
      <c r="B35">
        <v>-0.59313840141656504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0.16455394440510879</v>
      </c>
      <c r="J35">
        <f>(Table3[[#This Row],[HomeMargin]]-Table3[[#This Row],[HomeForecast]])^2</f>
        <v>14.710646445378408</v>
      </c>
    </row>
    <row r="36" spans="1:10" x14ac:dyDescent="0.2">
      <c r="A36" s="4" t="s">
        <v>20</v>
      </c>
      <c r="B36">
        <v>0.22444955994982585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0.38788517958642932</v>
      </c>
      <c r="J36">
        <f>(Table3[[#This Row],[HomeMargin]]-Table3[[#This Row],[HomeForecast]])^2</f>
        <v>11.477765990061371</v>
      </c>
    </row>
    <row r="37" spans="1:10" x14ac:dyDescent="0.2">
      <c r="A37" s="4" t="s">
        <v>22</v>
      </c>
      <c r="B37">
        <v>0.96536026973954592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-0.96227127309989713</v>
      </c>
      <c r="J37">
        <f>(Table3[[#This Row],[HomeMargin]]-Table3[[#This Row],[HomeForecast]])^2</f>
        <v>1.4234568335025461E-3</v>
      </c>
    </row>
    <row r="38" spans="1:10" x14ac:dyDescent="0.2">
      <c r="A38" s="4" t="s">
        <v>40</v>
      </c>
      <c r="B38">
        <v>-9.7143783320053662E-2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-0.57527077559806905</v>
      </c>
      <c r="J38">
        <f>(Table3[[#This Row],[HomeMargin]]-Table3[[#This Row],[HomeForecast]])^2</f>
        <v>2.0298533628649276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0.17926927935227485</v>
      </c>
      <c r="J39">
        <f>(Table3[[#This Row],[HomeMargin]]-Table3[[#This Row],[HomeForecast]])^2</f>
        <v>26.824830268042238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-0.66439917368870538</v>
      </c>
      <c r="J40">
        <f>(Table3[[#This Row],[HomeMargin]]-Table3[[#This Row],[HomeForecast]])^2</f>
        <v>2.7702246093756453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-0.6099739492101014</v>
      </c>
      <c r="J41">
        <f>(Table3[[#This Row],[HomeMargin]]-Table3[[#This Row],[HomeForecast]])^2</f>
        <v>0.15212032029476458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0.7568856545763597</v>
      </c>
      <c r="J42">
        <f>(Table3[[#This Row],[HomeMargin]]-Table3[[#This Row],[HomeForecast]])^2</f>
        <v>7.6004185124089236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-9.4515197313409155E-2</v>
      </c>
      <c r="J43">
        <f>(Table3[[#This Row],[HomeMargin]]-Table3[[#This Row],[HomeForecast]])^2</f>
        <v>1.1979635171500107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-0.71318175100893455</v>
      </c>
      <c r="J44">
        <f>(Table3[[#This Row],[HomeMargin]]-Table3[[#This Row],[HomeForecast]])^2</f>
        <v>8.2264707954300811E-2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-0.3800337665766334</v>
      </c>
      <c r="J45">
        <f>(Table3[[#This Row],[HomeMargin]]-Table3[[#This Row],[HomeForecast]])^2</f>
        <v>0.38435813058515633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-1.9740134436570236</v>
      </c>
      <c r="J46">
        <f>(Table3[[#This Row],[HomeMargin]]-Table3[[#This Row],[HomeForecast]])^2</f>
        <v>6.7530111056668797E-4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-0.16845699140425743</v>
      </c>
      <c r="J47">
        <f>(Table3[[#This Row],[HomeMargin]]-Table3[[#This Row],[HomeForecast]])^2</f>
        <v>0.69146377514445923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-0.34073697897705268</v>
      </c>
      <c r="J48">
        <f>(Table3[[#This Row],[HomeMargin]]-Table3[[#This Row],[HomeForecast]])^2</f>
        <v>5.4790496047506201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4.7622790390349778E-2</v>
      </c>
      <c r="J49">
        <f>(Table3[[#This Row],[HomeMargin]]-Table3[[#This Row],[HomeForecast]])^2</f>
        <v>0.90702234938386361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0.48723327746153056</v>
      </c>
      <c r="J50">
        <f>(Table3[[#This Row],[HomeMargin]]-Table3[[#This Row],[HomeForecast]])^2</f>
        <v>12.160795931435088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0.78749630161753981</v>
      </c>
      <c r="J51">
        <f>(Table3[[#This Row],[HomeMargin]]-Table3[[#This Row],[HomeForecast]])^2</f>
        <v>14.345128234766541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0.2598158281423335</v>
      </c>
      <c r="J52">
        <f>(Table3[[#This Row],[HomeMargin]]-Table3[[#This Row],[HomeForecast]])^2</f>
        <v>7.5086092956992854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0.49671588463892202</v>
      </c>
      <c r="J53">
        <f>(Table3[[#This Row],[HomeMargin]]-Table3[[#This Row],[HomeForecast]])^2</f>
        <v>2.2401584393304712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0.45227076218765827</v>
      </c>
      <c r="J54">
        <f>(Table3[[#This Row],[HomeMargin]]-Table3[[#This Row],[HomeForecast]])^2</f>
        <v>11.918173415455755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0.27007436075363855</v>
      </c>
      <c r="J55">
        <f>(Table3[[#This Row],[HomeMargin]]-Table3[[#This Row],[HomeForecast]])^2</f>
        <v>0.53279143882920943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-0.79540792375011837</v>
      </c>
      <c r="J56">
        <f>(Table3[[#This Row],[HomeMargin]]-Table3[[#This Row],[HomeForecast]])^2</f>
        <v>1.4510420701640006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0.90748185614921806</v>
      </c>
      <c r="J57">
        <f>(Table3[[#This Row],[HomeMargin]]-Table3[[#This Row],[HomeForecast]])^2</f>
        <v>4.3786321823447221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0.29675689729309024</v>
      </c>
      <c r="J58">
        <f>(Table3[[#This Row],[HomeMargin]]-Table3[[#This Row],[HomeForecast]])^2</f>
        <v>0.49455086150484118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0.4508944827336967</v>
      </c>
      <c r="J59">
        <f>(Table3[[#This Row],[HomeMargin]]-Table3[[#This Row],[HomeForecast]])^2</f>
        <v>6.0068837654944733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-0.65763539160885642</v>
      </c>
      <c r="J60">
        <f>(Table3[[#This Row],[HomeMargin]]-Table3[[#This Row],[HomeForecast]])^2</f>
        <v>11.171401175425682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0.90359472210621672</v>
      </c>
      <c r="J61">
        <f>(Table3[[#This Row],[HomeMargin]]-Table3[[#This Row],[HomeForecast]])^2</f>
        <v>4.3949150891809108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0.38290859896165297</v>
      </c>
      <c r="J62">
        <f>(Table3[[#This Row],[HomeMargin]]-Table3[[#This Row],[HomeForecast]])^2</f>
        <v>0.38080179723547003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-8.7140399186466794E-2</v>
      </c>
      <c r="J63">
        <f>(Table3[[#This Row],[HomeMargin]]-Table3[[#This Row],[HomeForecast]])^2</f>
        <v>16.70471664266211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-0.28396697392272491</v>
      </c>
      <c r="J64">
        <f>(Table3[[#This Row],[HomeMargin]]-Table3[[#This Row],[HomeForecast]])^2</f>
        <v>10.78443908581518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-0.61274923249698565</v>
      </c>
      <c r="J65">
        <f>(Table3[[#This Row],[HomeMargin]]-Table3[[#This Row],[HomeForecast]])^2</f>
        <v>19.247969296955784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0.91437613605782253</v>
      </c>
      <c r="J66">
        <f>(Table3[[#This Row],[HomeMargin]]-Table3[[#This Row],[HomeForecast]])^2</f>
        <v>1.1785791739607432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3.940670247878808E-2</v>
      </c>
      <c r="J67">
        <f>(Table3[[#This Row],[HomeMargin]]-Table3[[#This Row],[HomeForecast]])^2</f>
        <v>9.2379931030729807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-1.8759979511831955</v>
      </c>
      <c r="J68">
        <f>(Table3[[#This Row],[HomeMargin]]-Table3[[#This Row],[HomeForecast]])^2</f>
        <v>1.2633806057443742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1.5456144619494885</v>
      </c>
      <c r="J69">
        <f>(Table3[[#This Row],[HomeMargin]]-Table3[[#This Row],[HomeForecast]])^2</f>
        <v>12.571381912785361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-8.5803804579358767E-2</v>
      </c>
      <c r="J70">
        <f>(Table3[[#This Row],[HomeMargin]]-Table3[[#This Row],[HomeForecast]])^2</f>
        <v>3.6641470745628579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0.64979707415166388</v>
      </c>
      <c r="J71">
        <f>(Table3[[#This Row],[HomeMargin]]-Table3[[#This Row],[HomeForecast]])^2</f>
        <v>0.12264208927273521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0.18891443004159589</v>
      </c>
      <c r="J72">
        <f>(Table3[[#This Row],[HomeMargin]]-Table3[[#This Row],[HomeForecast]])^2</f>
        <v>3.2800309417115572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0.58880545814456231</v>
      </c>
      <c r="J73">
        <f>(Table3[[#This Row],[HomeMargin]]-Table3[[#This Row],[HomeForecast]])^2</f>
        <v>1.9914700349625787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0.43445612475896622</v>
      </c>
      <c r="J74">
        <f>(Table3[[#This Row],[HomeMargin]]-Table3[[#This Row],[HomeForecast]])^2</f>
        <v>0.31983987482264598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0.25481563225495363</v>
      </c>
      <c r="J75">
        <f>(Table3[[#This Row],[HomeMargin]]-Table3[[#This Row],[HomeForecast]])^2</f>
        <v>10.593824799971213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-0.14157358722184776</v>
      </c>
      <c r="J76">
        <f>(Table3[[#This Row],[HomeMargin]]-Table3[[#This Row],[HomeForecast]])^2</f>
        <v>1.3031902550425576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0.10909980062610919</v>
      </c>
      <c r="J77">
        <f>(Table3[[#This Row],[HomeMargin]]-Table3[[#This Row],[HomeForecast]])^2</f>
        <v>0.79370316524443829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0.42168290494195643</v>
      </c>
      <c r="J78">
        <f>(Table3[[#This Row],[HomeMargin]]-Table3[[#This Row],[HomeForecast]])^2</f>
        <v>2.0211822822041996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-1.0556307687855946</v>
      </c>
      <c r="J79">
        <f>(Table3[[#This Row],[HomeMargin]]-Table3[[#This Row],[HomeForecast]])^2</f>
        <v>4.2256178575780545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0.5130739972637357</v>
      </c>
      <c r="J80">
        <f>(Table3[[#This Row],[HomeMargin]]-Table3[[#This Row],[HomeForecast]])^2</f>
        <v>6.1848009430857722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1.0074342102333838</v>
      </c>
      <c r="J81">
        <f>(Table3[[#This Row],[HomeMargin]]-Table3[[#This Row],[HomeForecast]])^2</f>
        <v>8.9554500060814934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-0.16462619871403261</v>
      </c>
      <c r="J82">
        <f>(Table3[[#This Row],[HomeMargin]]-Table3[[#This Row],[HomeForecast]])^2</f>
        <v>10.014858977587227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-0.83827450110307411</v>
      </c>
      <c r="J83">
        <f>(Table3[[#This Row],[HomeMargin]]-Table3[[#This Row],[HomeForecast]])^2</f>
        <v>3.3792531414057558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1.5918935064118407</v>
      </c>
      <c r="J84">
        <f>(Table3[[#This Row],[HomeMargin]]-Table3[[#This Row],[HomeForecast]])^2</f>
        <v>1.9827638972851409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-0.31647146285420924</v>
      </c>
      <c r="J85">
        <f>(Table3[[#This Row],[HomeMargin]]-Table3[[#This Row],[HomeForecast]])^2</f>
        <v>0.46721126109266464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-0.39537123517640071</v>
      </c>
      <c r="J86">
        <f>(Table3[[#This Row],[HomeMargin]]-Table3[[#This Row],[HomeForecast]])^2</f>
        <v>0.36557594325211135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0.28548641483724774</v>
      </c>
      <c r="J87">
        <f>(Table3[[#This Row],[HomeMargin]]-Table3[[#This Row],[HomeForecast]])^2</f>
        <v>2.9395568337076341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-0.39558298312139029</v>
      </c>
      <c r="J88">
        <f>(Table3[[#This Row],[HomeMargin]]-Table3[[#This Row],[HomeForecast]])^2</f>
        <v>0.36531993029243759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0.11267764455119468</v>
      </c>
      <c r="J89">
        <f>(Table3[[#This Row],[HomeMargin]]-Table3[[#This Row],[HomeForecast]])^2</f>
        <v>0.78734096247921603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-0.42696773333400589</v>
      </c>
      <c r="J90">
        <f>(Table3[[#This Row],[HomeMargin]]-Table3[[#This Row],[HomeForecast]])^2</f>
        <v>6.6204950453043434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-1.7366807895045175</v>
      </c>
      <c r="J91">
        <f>(Table3[[#This Row],[HomeMargin]]-Table3[[#This Row],[HomeForecast]])^2</f>
        <v>13.962783322652104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0.55055454524764313</v>
      </c>
      <c r="J92">
        <f>(Table3[[#This Row],[HomeMargin]]-Table3[[#This Row],[HomeForecast]])^2</f>
        <v>2.404219397788125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0.96954421350520437</v>
      </c>
      <c r="J93">
        <f>(Table3[[#This Row],[HomeMargin]]-Table3[[#This Row],[HomeForecast]])^2</f>
        <v>16.244573846889381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0.86998229703248542</v>
      </c>
      <c r="J94">
        <f>(Table3[[#This Row],[HomeMargin]]-Table3[[#This Row],[HomeForecast]])^2</f>
        <v>4.5369754149550063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-0.61177322067850437</v>
      </c>
      <c r="J95">
        <f>(Table3[[#This Row],[HomeMargin]]-Table3[[#This Row],[HomeForecast]])^2</f>
        <v>2.5978129148963585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-0.18739498912707306</v>
      </c>
      <c r="J96">
        <f>(Table3[[#This Row],[HomeMargin]]-Table3[[#This Row],[HomeForecast]])^2</f>
        <v>4.7846968384582276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5.3931723178727353E-2</v>
      </c>
      <c r="J97">
        <f>(Table3[[#This Row],[HomeMargin]]-Table3[[#This Row],[HomeForecast]])^2</f>
        <v>0.8950451844075723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1.6455668160336541</v>
      </c>
      <c r="J98">
        <f>(Table3[[#This Row],[HomeMargin]]-Table3[[#This Row],[HomeForecast]])^2</f>
        <v>6.9990237780984463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-0.47381458048023883</v>
      </c>
      <c r="J99">
        <f>(Table3[[#This Row],[HomeMargin]]-Table3[[#This Row],[HomeForecast]])^2</f>
        <v>0.27687109571518703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0.12357746147567683</v>
      </c>
      <c r="J100">
        <f>(Table3[[#This Row],[HomeMargin]]-Table3[[#This Row],[HomeForecast]])^2</f>
        <v>3.5209615430820649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0.2071843143469061</v>
      </c>
      <c r="J101">
        <f>(Table3[[#This Row],[HomeMargin]]-Table3[[#This Row],[HomeForecast]])^2</f>
        <v>4.8716625974990224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0.68468960755132247</v>
      </c>
      <c r="J102">
        <f>(Table3[[#This Row],[HomeMargin]]-Table3[[#This Row],[HomeForecast]])^2</f>
        <v>5.3606622133808486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-0.17646146177528188</v>
      </c>
      <c r="J103">
        <f>(Table3[[#This Row],[HomeMargin]]-Table3[[#This Row],[HomeForecast]])^2</f>
        <v>10.089907418143559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0.39163002828623616</v>
      </c>
      <c r="J104">
        <f>(Table3[[#This Row],[HomeMargin]]-Table3[[#This Row],[HomeForecast]])^2</f>
        <v>1.9366341356279504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1.2082988908581043</v>
      </c>
      <c r="J105">
        <f>(Table3[[#This Row],[HomeMargin]]-Table3[[#This Row],[HomeForecast]])^2</f>
        <v>27.126377336513762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-1.2333075148013488</v>
      </c>
      <c r="J106">
        <f>(Table3[[#This Row],[HomeMargin]]-Table3[[#This Row],[HomeForecast]])^2</f>
        <v>3.1212023372573863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0.64681386402522556</v>
      </c>
      <c r="J107">
        <f>(Table3[[#This Row],[HomeMargin]]-Table3[[#This Row],[HomeForecast]])^2</f>
        <v>0.12474044664479186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0.10615433014562903</v>
      </c>
      <c r="J108">
        <f>(Table3[[#This Row],[HomeMargin]]-Table3[[#This Row],[HomeForecast]])^2</f>
        <v>1.2235774020999255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0.93751805462190829</v>
      </c>
      <c r="J109">
        <f>(Table3[[#This Row],[HomeMargin]]-Table3[[#This Row],[HomeForecast]])^2</f>
        <v>9.3787956657667824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-0.95571243272003581</v>
      </c>
      <c r="J110">
        <f>(Table3[[#This Row],[HomeMargin]]-Table3[[#This Row],[HomeForecast]])^2</f>
        <v>1.9613886155773548E-3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2.3834480674601255E-2</v>
      </c>
      <c r="J111">
        <f>(Table3[[#This Row],[HomeMargin]]-Table3[[#This Row],[HomeForecast]])^2</f>
        <v>9.1435749665166366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-1.4508936383555704</v>
      </c>
      <c r="J112">
        <f>(Table3[[#This Row],[HomeMargin]]-Table3[[#This Row],[HomeForecast]])^2</f>
        <v>6.0068796265318056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1.5794461732335114</v>
      </c>
      <c r="J113">
        <f>(Table3[[#This Row],[HomeMargin]]-Table3[[#This Row],[HomeForecast]])^2</f>
        <v>2.0179731747409146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0.20640892008623529</v>
      </c>
      <c r="J114">
        <f>(Table3[[#This Row],[HomeMargin]]-Table3[[#This Row],[HomeForecast]])^2</f>
        <v>3.2169689619462245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-0.25362935759941724</v>
      </c>
      <c r="J115">
        <f>(Table3[[#This Row],[HomeMargin]]-Table3[[#This Row],[HomeForecast]])^2</f>
        <v>0.55706913583745854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4.1776246450457077E-2</v>
      </c>
      <c r="J116">
        <f>(Table3[[#This Row],[HomeMargin]]-Table3[[#This Row],[HomeForecast]])^2</f>
        <v>8.7510877760647467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-0.1508316751250931</v>
      </c>
      <c r="J117">
        <f>(Table3[[#This Row],[HomeMargin]]-Table3[[#This Row],[HomeForecast]])^2</f>
        <v>3.4194234937206693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1.3063322440104497</v>
      </c>
      <c r="J118">
        <f>(Table3[[#This Row],[HomeMargin]]-Table3[[#This Row],[HomeForecast]])^2</f>
        <v>5.3191684197622751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0.86803650166202484</v>
      </c>
      <c r="J119">
        <f>(Table3[[#This Row],[HomeMargin]]-Table3[[#This Row],[HomeForecast]])^2</f>
        <v>3.4895603715416961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0.20568118707533292</v>
      </c>
      <c r="J120">
        <f>(Table3[[#This Row],[HomeMargin]]-Table3[[#This Row],[HomeForecast]])^2</f>
        <v>0.63094237656605234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-0.27238734265769077</v>
      </c>
      <c r="J121">
        <f>(Table3[[#This Row],[HomeMargin]]-Table3[[#This Row],[HomeForecast]])^2</f>
        <v>2.9846454938093552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-0.19985138918088807</v>
      </c>
      <c r="J122">
        <f>(Table3[[#This Row],[HomeMargin]]-Table3[[#This Row],[HomeForecast]])^2</f>
        <v>1.4396433561193072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0.86326859214917828</v>
      </c>
      <c r="J123">
        <f>(Table3[[#This Row],[HomeMargin]]-Table3[[#This Row],[HomeForecast]])^2</f>
        <v>17.112546740699443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0.50890288861436006</v>
      </c>
      <c r="J124">
        <f>(Table3[[#This Row],[HomeMargin]]-Table3[[#This Row],[HomeForecast]])^2</f>
        <v>2.2767879272687597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-0.1631653379148133</v>
      </c>
      <c r="J125">
        <f>(Table3[[#This Row],[HomeMargin]]-Table3[[#This Row],[HomeForecast]])^2</f>
        <v>1.3529536033264817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-1.0405543563515813</v>
      </c>
      <c r="J126">
        <f>(Table3[[#This Row],[HomeMargin]]-Table3[[#This Row],[HomeForecast]])^2</f>
        <v>3.8394272304127659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1.0151116018851307</v>
      </c>
      <c r="J127">
        <f>(Table3[[#This Row],[HomeMargin]]-Table3[[#This Row],[HomeForecast]])^2</f>
        <v>4.0606747680520572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0.51694212017391183</v>
      </c>
      <c r="J128">
        <f>(Table3[[#This Row],[HomeMargin]]-Table3[[#This Row],[HomeForecast]])^2</f>
        <v>12.36888187665337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-0.20323881967514373</v>
      </c>
      <c r="J129">
        <f>(Table3[[#This Row],[HomeMargin]]-Table3[[#This Row],[HomeForecast]])^2</f>
        <v>4.8542612965235197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-1.1341149551871839</v>
      </c>
      <c r="J130">
        <f>(Table3[[#This Row],[HomeMargin]]-Table3[[#This Row],[HomeForecast]])^2</f>
        <v>8.2132970900817579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0.34349482071791099</v>
      </c>
      <c r="J131">
        <f>(Table3[[#This Row],[HomeMargin]]-Table3[[#This Row],[HomeForecast]])^2</f>
        <v>2.744009408988386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0.64795087023532483</v>
      </c>
      <c r="J132">
        <f>(Table3[[#This Row],[HomeMargin]]-Table3[[#This Row],[HomeForecast]])^2</f>
        <v>1.8280368492974151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-1.4177572166567547</v>
      </c>
      <c r="J133">
        <f>(Table3[[#This Row],[HomeMargin]]-Table3[[#This Row],[HomeForecast]])^2</f>
        <v>5.8455499586958171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0.4644968939302726</v>
      </c>
      <c r="J134">
        <f>(Table3[[#This Row],[HomeMargin]]-Table3[[#This Row],[HomeForecast]])^2</f>
        <v>0.2867635766103257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0.5722300655965219</v>
      </c>
      <c r="J135">
        <f>(Table3[[#This Row],[HomeMargin]]-Table3[[#This Row],[HomeForecast]])^2</f>
        <v>2.0385269855865125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-0.23952539427971636</v>
      </c>
      <c r="J136">
        <f>(Table3[[#This Row],[HomeMargin]]-Table3[[#This Row],[HomeForecast]])^2</f>
        <v>10.494524780183152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-3.7219133241195773E-2</v>
      </c>
      <c r="J137">
        <f>(Table3[[#This Row],[HomeMargin]]-Table3[[#This Row],[HomeForecast]])^2</f>
        <v>15.703632197949659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-0.8774293494683516</v>
      </c>
      <c r="J138">
        <f>(Table3[[#This Row],[HomeMargin]]-Table3[[#This Row],[HomeForecast]])^2</f>
        <v>3.5247409622451578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-0.14534950032903396</v>
      </c>
      <c r="J139">
        <f>(Table3[[#This Row],[HomeMargin]]-Table3[[#This Row],[HomeForecast]])^2</f>
        <v>1.3118254779039678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0.6002024835305243</v>
      </c>
      <c r="J140">
        <f>(Table3[[#This Row],[HomeMargin]]-Table3[[#This Row],[HomeForecast]])^2</f>
        <v>2.5606479882972581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-0.24123364973579417</v>
      </c>
      <c r="J141">
        <f>(Table3[[#This Row],[HomeMargin]]-Table3[[#This Row],[HomeForecast]])^2</f>
        <v>1.54066097323644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0.3162702363290833</v>
      </c>
      <c r="J142">
        <f>(Table3[[#This Row],[HomeMargin]]-Table3[[#This Row],[HomeForecast]])^2</f>
        <v>0.46748638972948769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0.37737510943022973</v>
      </c>
      <c r="J143">
        <f>(Table3[[#This Row],[HomeMargin]]-Table3[[#This Row],[HomeForecast]])^2</f>
        <v>0.38766175435701833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-0.18874125033814676</v>
      </c>
      <c r="J144">
        <f>(Table3[[#This Row],[HomeMargin]]-Table3[[#This Row],[HomeForecast]])^2</f>
        <v>0.65814075890291357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1.2320581933520884</v>
      </c>
      <c r="J145">
        <f>(Table3[[#This Row],[HomeMargin]]-Table3[[#This Row],[HomeForecast]])^2</f>
        <v>52.302665712031072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-0.73606873765336089</v>
      </c>
      <c r="J146">
        <f>(Table3[[#This Row],[HomeMargin]]-Table3[[#This Row],[HomeForecast]])^2</f>
        <v>22.430347087777502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-0.25589505534550711</v>
      </c>
      <c r="J147">
        <f>(Table3[[#This Row],[HomeMargin]]-Table3[[#This Row],[HomeForecast]])^2</f>
        <v>3.0419020579682519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0.38878671914499691</v>
      </c>
      <c r="J148">
        <f>(Table3[[#This Row],[HomeMargin]]-Table3[[#This Row],[HomeForecast]])^2</f>
        <v>1.9287285512735246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-1.6204728149013949</v>
      </c>
      <c r="J149">
        <f>(Table3[[#This Row],[HomeMargin]]-Table3[[#This Row],[HomeForecast]])^2</f>
        <v>6.8668777736372393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-1.6583977062528334</v>
      </c>
      <c r="J150">
        <f>(Table3[[#This Row],[HomeMargin]]-Table3[[#This Row],[HomeForecast]])^2</f>
        <v>0.43348753959899233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0.5321384005831532</v>
      </c>
      <c r="J151">
        <f>(Table3[[#This Row],[HomeMargin]]-Table3[[#This Row],[HomeForecast]])^2</f>
        <v>0.21889447620889002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-0.30735429253593671</v>
      </c>
      <c r="J152">
        <f>(Table3[[#This Row],[HomeMargin]]-Table3[[#This Row],[HomeForecast]])^2</f>
        <v>1.7091752462121397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-0.17935712094495471</v>
      </c>
      <c r="J153">
        <f>(Table3[[#This Row],[HomeMargin]]-Table3[[#This Row],[HomeForecast]])^2</f>
        <v>0.67345473494375374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-0.29497953805871602</v>
      </c>
      <c r="J154">
        <f>(Table3[[#This Row],[HomeMargin]]-Table3[[#This Row],[HomeForecast]])^2</f>
        <v>28.036808308460497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1.3027206719320237</v>
      </c>
      <c r="J155">
        <f>(Table3[[#This Row],[HomeMargin]]-Table3[[#This Row],[HomeForecast]])^2</f>
        <v>2.8807571174868811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-1.3535300185131272E-2</v>
      </c>
      <c r="J156">
        <f>(Table3[[#This Row],[HomeMargin]]-Table3[[#This Row],[HomeForecast]])^2</f>
        <v>9.0813950054618875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-1.0947347596285073E-2</v>
      </c>
      <c r="J157">
        <f>(Table3[[#This Row],[HomeMargin]]-Table3[[#This Row],[HomeForecast]])^2</f>
        <v>0.97822514922682369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0.35059775153036787</v>
      </c>
      <c r="J158">
        <f>(Table3[[#This Row],[HomeMargin]]-Table3[[#This Row],[HomeForecast]])^2</f>
        <v>11.226505292560356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8.1742822603907139E-3</v>
      </c>
      <c r="J159">
        <f>(Table3[[#This Row],[HomeMargin]]-Table3[[#This Row],[HomeForecast]])^2</f>
        <v>15.934672560807348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1.7946091046564809</v>
      </c>
      <c r="J160">
        <f>(Table3[[#This Row],[HomeMargin]]-Table3[[#This Row],[HomeForecast]])^2</f>
        <v>4.8637490012640878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-1.2884209206622588E-2</v>
      </c>
      <c r="J161">
        <f>(Table3[[#This Row],[HomeMargin]]-Table3[[#This Row],[HomeForecast]])^2</f>
        <v>1.0259344212601251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-0.28092930162798641</v>
      </c>
      <c r="J162">
        <f>(Table3[[#This Row],[HomeMargin]]-Table3[[#This Row],[HomeForecast]])^2</f>
        <v>10.764497082281109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-0.45539355853378627</v>
      </c>
      <c r="J163">
        <f>(Table3[[#This Row],[HomeMargin]]-Table3[[#This Row],[HomeForecast]])^2</f>
        <v>0.29659617608649247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0.22920613258130193</v>
      </c>
      <c r="J164">
        <f>(Table3[[#This Row],[HomeMargin]]-Table3[[#This Row],[HomeForecast]])^2</f>
        <v>1.5109477163754812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-1.4625096062528891</v>
      </c>
      <c r="J165">
        <f>(Table3[[#This Row],[HomeMargin]]-Table3[[#This Row],[HomeForecast]])^2</f>
        <v>2.3638767108646461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-9.9639659392900287E-2</v>
      </c>
      <c r="J166">
        <f>(Table3[[#This Row],[HomeMargin]]-Table3[[#This Row],[HomeForecast]])^2</f>
        <v>1.2092073805097339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-0.12262060753800424</v>
      </c>
      <c r="J167">
        <f>(Table3[[#This Row],[HomeMargin]]-Table3[[#This Row],[HomeForecast]])^2</f>
        <v>0.76979459831698072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-0.25409578387710413</v>
      </c>
      <c r="J168">
        <f>(Table3[[#This Row],[HomeMargin]]-Table3[[#This Row],[HomeForecast]])^2</f>
        <v>0.55637309962991188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-0.3980937758414359</v>
      </c>
      <c r="J169">
        <f>(Table3[[#This Row],[HomeMargin]]-Table3[[#This Row],[HomeForecast]])^2</f>
        <v>6.7699159993150761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0.68156329530905613</v>
      </c>
      <c r="J170">
        <f>(Table3[[#This Row],[HomeMargin]]-Table3[[#This Row],[HomeForecast]])^2</f>
        <v>0.10140193489442739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-0.67118063039209042</v>
      </c>
      <c r="J171">
        <f>(Table3[[#This Row],[HomeMargin]]-Table3[[#This Row],[HomeForecast]])^2</f>
        <v>1.7657609170451622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-0.10522332720131568</v>
      </c>
      <c r="J172">
        <f>(Table3[[#This Row],[HomeMargin]]-Table3[[#This Row],[HomeForecast]])^2</f>
        <v>9.642411911795211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0.64332437187781177</v>
      </c>
      <c r="J173">
        <f>(Table3[[#This Row],[HomeMargin]]-Table3[[#This Row],[HomeForecast]])^2</f>
        <v>0.12721750369635751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0.2720259622162598</v>
      </c>
      <c r="J174">
        <f>(Table3[[#This Row],[HomeMargin]]-Table3[[#This Row],[HomeForecast]])^2</f>
        <v>13.897790426389603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-0.27675819297861076</v>
      </c>
      <c r="J175">
        <f>(Table3[[#This Row],[HomeMargin]]-Table3[[#This Row],[HomeForecast]])^2</f>
        <v>0.52307871142356455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0.6446868017561429</v>
      </c>
      <c r="J176">
        <f>(Table3[[#This Row],[HomeMargin]]-Table3[[#This Row],[HomeForecast]])^2</f>
        <v>2.7049946758708501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-0.12524915906655198</v>
      </c>
      <c r="J177">
        <f>(Table3[[#This Row],[HomeMargin]]-Table3[[#This Row],[HomeForecast]])^2</f>
        <v>8.264192397447566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0.56546487482037922</v>
      </c>
      <c r="J178">
        <f>(Table3[[#This Row],[HomeMargin]]-Table3[[#This Row],[HomeForecast]])^2</f>
        <v>0.18882077501486871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1.037729784409896</v>
      </c>
      <c r="J179">
        <f>(Table3[[#This Row],[HomeMargin]]-Table3[[#This Row],[HomeForecast]])^2</f>
        <v>3.8505043989920331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-0.16935853096282502</v>
      </c>
      <c r="J180">
        <f>(Table3[[#This Row],[HomeMargin]]-Table3[[#This Row],[HomeForecast]])^2</f>
        <v>10.044833497786836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-0.27813447243257228</v>
      </c>
      <c r="J181">
        <f>(Table3[[#This Row],[HomeMargin]]-Table3[[#This Row],[HomeForecast]])^2</f>
        <v>0.52108983989020075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-0.10881995512240128</v>
      </c>
      <c r="J182">
        <f>(Table3[[#This Row],[HomeMargin]]-Table3[[#This Row],[HomeForecast]])^2</f>
        <v>1.2294816928776438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0.24844800290964095</v>
      </c>
      <c r="J183">
        <f>(Table3[[#This Row],[HomeMargin]]-Table3[[#This Row],[HomeForecast]])^2</f>
        <v>7.5710383926919445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1.0005649670891401</v>
      </c>
      <c r="J184">
        <f>(Table3[[#This Row],[HomeMargin]]-Table3[[#This Row],[HomeForecast]])^2</f>
        <v>3.9977404508312513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-1.3957255609081884</v>
      </c>
      <c r="J185">
        <f>(Table3[[#This Row],[HomeMargin]]-Table3[[#This Row],[HomeForecast]])^2</f>
        <v>0.3651475977397235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0.74940706535315504</v>
      </c>
      <c r="J186">
        <f>(Table3[[#This Row],[HomeMargin]]-Table3[[#This Row],[HomeForecast]])^2</f>
        <v>7.559239211013848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-0.19849311752384807</v>
      </c>
      <c r="J187">
        <f>(Table3[[#This Row],[HomeMargin]]-Table3[[#This Row],[HomeForecast]])^2</f>
        <v>1.4363857527520323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-1.232130447661012</v>
      </c>
      <c r="J188">
        <f>(Table3[[#This Row],[HomeMargin]]-Table3[[#This Row],[HomeForecast]])^2</f>
        <v>4.9824063353753498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0.78958633327904226</v>
      </c>
      <c r="J189">
        <f>(Table3[[#This Row],[HomeMargin]]-Table3[[#This Row],[HomeForecast]])^2</f>
        <v>4.4273911142958276E-2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0.14687582222660925</v>
      </c>
      <c r="J190">
        <f>(Table3[[#This Row],[HomeMargin]]-Table3[[#This Row],[HomeForecast]])^2</f>
        <v>0.72782086270152413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-0.8804837499852709</v>
      </c>
      <c r="J191">
        <f>(Table3[[#This Row],[HomeMargin]]-Table3[[#This Row],[HomeForecast]])^2</f>
        <v>3.5362191339586668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0.17180539779182211</v>
      </c>
      <c r="J192">
        <f>(Table3[[#This Row],[HomeMargin]]-Table3[[#This Row],[HomeForecast]])^2</f>
        <v>10.060349481461339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0.72520075067781331</v>
      </c>
      <c r="J193">
        <f>(Table3[[#This Row],[HomeMargin]]-Table3[[#This Row],[HomeForecast]])^2</f>
        <v>5.1747116247167844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-5.063108258833296E-2</v>
      </c>
      <c r="J194">
        <f>(Table3[[#This Row],[HomeMargin]]-Table3[[#This Row],[HomeForecast]])^2</f>
        <v>1.1038256717007324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-0.13496328191961759</v>
      </c>
      <c r="J195">
        <f>(Table3[[#This Row],[HomeMargin]]-Table3[[#This Row],[HomeForecast]])^2</f>
        <v>4.5580682151449832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0.22120320718122233</v>
      </c>
      <c r="J196">
        <f>(Table3[[#This Row],[HomeMargin]]-Table3[[#This Row],[HomeForecast]])^2</f>
        <v>10.376150101954593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-0.6050599875919479</v>
      </c>
      <c r="J197">
        <f>(Table3[[#This Row],[HomeMargin]]-Table3[[#This Row],[HomeForecast]])^2</f>
        <v>0.15597761340087235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-1.8768994907417631</v>
      </c>
      <c r="J198">
        <f>(Table3[[#This Row],[HomeMargin]]-Table3[[#This Row],[HomeForecast]])^2</f>
        <v>8.2765506798302155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-0.26738714677031095</v>
      </c>
      <c r="J199">
        <f>(Table3[[#This Row],[HomeMargin]]-Table3[[#This Row],[HomeForecast]])^2</f>
        <v>10.675818766879832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0.52768356312481945</v>
      </c>
      <c r="J200">
        <f>(Table3[[#This Row],[HomeMargin]]-Table3[[#This Row],[HomeForecast]])^2</f>
        <v>6.1123485640431889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0.64591232446665803</v>
      </c>
      <c r="J201">
        <f>(Table3[[#This Row],[HomeMargin]]-Table3[[#This Row],[HomeForecast]])^2</f>
        <v>0.12537808196460526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0.81569835761273546</v>
      </c>
      <c r="J202">
        <f>(Table3[[#This Row],[HomeMargin]]-Table3[[#This Row],[HomeForecast]])^2</f>
        <v>3.2967605258375849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0.30352287300149577</v>
      </c>
      <c r="J203">
        <f>(Table3[[#This Row],[HomeMargin]]-Table3[[#This Row],[HomeForecast]])^2</f>
        <v>1.6991718804380738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-0.41317018827544905</v>
      </c>
      <c r="J204">
        <f>(Table3[[#This Row],[HomeMargin]]-Table3[[#This Row],[HomeForecast]])^2</f>
        <v>2.5180288513777738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-0.19985138918088807</v>
      </c>
      <c r="J205">
        <f>(Table3[[#This Row],[HomeMargin]]-Table3[[#This Row],[HomeForecast]])^2</f>
        <v>0.64023779939575465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-0.18142597238672792</v>
      </c>
      <c r="J206">
        <f>(Table3[[#This Row],[HomeMargin]]-Table3[[#This Row],[HomeForecast]])^2</f>
        <v>4.7586192730033821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-0.67255690984605199</v>
      </c>
      <c r="J207">
        <f>(Table3[[#This Row],[HomeMargin]]-Table3[[#This Row],[HomeForecast]])^2</f>
        <v>2.7974466166737746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-0.23377472169657965</v>
      </c>
      <c r="J208">
        <f>(Table3[[#This Row],[HomeMargin]]-Table3[[#This Row],[HomeForecast]])^2</f>
        <v>1.5222000638974729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0.62952984828887237</v>
      </c>
      <c r="J209">
        <f>(Table3[[#This Row],[HomeMargin]]-Table3[[#This Row],[HomeForecast]])^2</f>
        <v>11.360069043575633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-0.43605166042391019</v>
      </c>
      <c r="J210">
        <f>(Table3[[#This Row],[HomeMargin]]-Table3[[#This Row],[HomeForecast]])^2</f>
        <v>0.31803772971062871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1.1247915949576643</v>
      </c>
      <c r="J211">
        <f>(Table3[[#This Row],[HomeMargin]]-Table3[[#This Row],[HomeForecast]])^2</f>
        <v>1.5572942172077756E-2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1.1511920245360088</v>
      </c>
      <c r="J212">
        <f>(Table3[[#This Row],[HomeMargin]]-Table3[[#This Row],[HomeForecast]])^2</f>
        <v>2.285902828329708E-2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0.26865148706849518</v>
      </c>
      <c r="J213">
        <f>(Table3[[#This Row],[HomeMargin]]-Table3[[#This Row],[HomeForecast]])^2</f>
        <v>7.4602646990931429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1.0121202847362443</v>
      </c>
      <c r="J214">
        <f>(Table3[[#This Row],[HomeMargin]]-Table3[[#This Row],[HomeForecast]])^2</f>
        <v>1.4690130208763581E-4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-0.30086456538068929</v>
      </c>
      <c r="J215">
        <f>(Table3[[#This Row],[HomeMargin]]-Table3[[#This Row],[HomeForecast]])^2</f>
        <v>0.48879035594033249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0.18767158994021726</v>
      </c>
      <c r="J216">
        <f>(Table3[[#This Row],[HomeMargin]]-Table3[[#This Row],[HomeForecast]])^2</f>
        <v>1.4105638055511236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-0.23580064787203936</v>
      </c>
      <c r="J217">
        <f>(Table3[[#This Row],[HomeMargin]]-Table3[[#This Row],[HomeForecast]])^2</f>
        <v>7.6407980583046378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0.78469680283507026</v>
      </c>
      <c r="J218">
        <f>(Table3[[#This Row],[HomeMargin]]-Table3[[#This Row],[HomeForecast]])^2</f>
        <v>4.6355466709440608E-2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-0.31513553347511147</v>
      </c>
      <c r="J219">
        <f>(Table3[[#This Row],[HomeMargin]]-Table3[[#This Row],[HomeForecast]])^2</f>
        <v>18.620394672259536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-0.18322524385513089</v>
      </c>
      <c r="J220">
        <f>(Table3[[#This Row],[HomeMargin]]-Table3[[#This Row],[HomeForecast]])^2</f>
        <v>23.201319051434464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-0.14574469587122341</v>
      </c>
      <c r="J221">
        <f>(Table3[[#This Row],[HomeMargin]]-Table3[[#This Row],[HomeForecast]])^2</f>
        <v>4.604220299859489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-0.24754661518687043</v>
      </c>
      <c r="J222">
        <f>(Table3[[#This Row],[HomeMargin]]-Table3[[#This Row],[HomeForecast]])^2</f>
        <v>7.5759996355692527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2.0107694333437696</v>
      </c>
      <c r="J223">
        <f>(Table3[[#This Row],[HomeMargin]]-Table3[[#This Row],[HomeForecast]])^2</f>
        <v>8.9354993806319278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0.46911582781380201</v>
      </c>
      <c r="J224">
        <f>(Table3[[#This Row],[HomeMargin]]-Table3[[#This Row],[HomeForecast]])^2</f>
        <v>0.28183800427782474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0.69157084080521414</v>
      </c>
      <c r="J225">
        <f>(Table3[[#This Row],[HomeMargin]]-Table3[[#This Row],[HomeForecast]])^2</f>
        <v>13.627695272683317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0.53005310709648845</v>
      </c>
      <c r="J226">
        <f>(Table3[[#This Row],[HomeMargin]]-Table3[[#This Row],[HomeForecast]])^2</f>
        <v>0.22085008214966456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0.51215833632902763</v>
      </c>
      <c r="J227">
        <f>(Table3[[#This Row],[HomeMargin]]-Table3[[#This Row],[HomeForecast]])^2</f>
        <v>6.3109395067874283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0.273651682955875</v>
      </c>
      <c r="J228">
        <f>(Table3[[#This Row],[HomeMargin]]-Table3[[#This Row],[HomeForecast]])^2</f>
        <v>10.716795341319832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0.40409945703503763</v>
      </c>
      <c r="J229">
        <f>(Table3[[#This Row],[HomeMargin]]-Table3[[#This Row],[HomeForecast]])^2</f>
        <v>0.35509745710593704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-0.86359349465481006</v>
      </c>
      <c r="J230">
        <f>(Table3[[#This Row],[HomeMargin]]-Table3[[#This Row],[HomeForecast]])^2</f>
        <v>1.2914197453908671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-0.62098061653420267</v>
      </c>
      <c r="J231">
        <f>(Table3[[#This Row],[HomeMargin]]-Table3[[#This Row],[HomeForecast]])^2</f>
        <v>6.8695393922480088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-0.35800211082806721</v>
      </c>
      <c r="J232">
        <f>(Table3[[#This Row],[HomeMargin]]-Table3[[#This Row],[HomeForecast]])^2</f>
        <v>6.9801528463889486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-0.31243472244814091</v>
      </c>
      <c r="J233">
        <f>(Table3[[#This Row],[HomeMargin]]-Table3[[#This Row],[HomeForecast]])^2</f>
        <v>13.59813767620612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-0.55122132698322679</v>
      </c>
      <c r="J234">
        <f>(Table3[[#This Row],[HomeMargin]]-Table3[[#This Row],[HomeForecast]])^2</f>
        <v>5.9965169894217896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0.34509528975777165</v>
      </c>
      <c r="J235">
        <f>(Table3[[#This Row],[HomeMargin]]-Table3[[#This Row],[HomeForecast]])^2</f>
        <v>11.189662497559631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-7.2512441686151979E-2</v>
      </c>
      <c r="J236">
        <f>(Table3[[#This Row],[HomeMargin]]-Table3[[#This Row],[HomeForecast]])^2</f>
        <v>1.1502829375715915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0.9288856342792029</v>
      </c>
      <c r="J237">
        <f>(Table3[[#This Row],[HomeMargin]]-Table3[[#This Row],[HomeForecast]])^2</f>
        <v>4.2895147158950602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-1.8188910848610997</v>
      </c>
      <c r="J238">
        <f>(Table3[[#This Row],[HomeMargin]]-Table3[[#This Row],[HomeForecast]])^2</f>
        <v>38.206107420809587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-0.39954234382577636</v>
      </c>
      <c r="J239">
        <f>(Table3[[#This Row],[HomeMargin]]-Table3[[#This Row],[HomeForecast]])^2</f>
        <v>19.355972835116003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-0.1705410574936379</v>
      </c>
      <c r="J240">
        <f>(Table3[[#This Row],[HomeMargin]]-Table3[[#This Row],[HomeForecast]])^2</f>
        <v>1.3701663672783242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-1.6583977062528334</v>
      </c>
      <c r="J241">
        <f>(Table3[[#This Row],[HomeMargin]]-Table3[[#This Row],[HomeForecast]])^2</f>
        <v>0.43348753959899233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-5.0842830533322558E-2</v>
      </c>
      <c r="J242">
        <f>(Table3[[#This Row],[HomeMargin]]-Table3[[#This Row],[HomeForecast]])^2</f>
        <v>24.494156688083415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0.3373016276698993</v>
      </c>
      <c r="J243">
        <f>(Table3[[#This Row],[HomeMargin]]-Table3[[#This Row],[HomeForecast]])^2</f>
        <v>1.7883756433685618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-6.7512245798772116E-2</v>
      </c>
      <c r="J244">
        <f>(Table3[[#This Row],[HomeMargin]]-Table3[[#This Row],[HomeForecast]])^2</f>
        <v>4.2746068865278826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-0.34425511523271479</v>
      </c>
      <c r="J245">
        <f>(Table3[[#This Row],[HomeMargin]]-Table3[[#This Row],[HomeForecast]])^2</f>
        <v>0.43000135389846017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-0.20877230920656686</v>
      </c>
      <c r="J246">
        <f>(Table3[[#This Row],[HomeMargin]]-Table3[[#This Row],[HomeForecast]])^2</f>
        <v>1.4611304955045759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-0.17888111757003905</v>
      </c>
      <c r="J247">
        <f>(Table3[[#This Row],[HomeMargin]]-Table3[[#This Row],[HomeForecast]])^2</f>
        <v>3.3164739839429496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-0.250247426213841</v>
      </c>
      <c r="J248">
        <f>(Table3[[#This Row],[HomeMargin]]-Table3[[#This Row],[HomeForecast]])^2</f>
        <v>1.5631186267543338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-0.12880001937652691</v>
      </c>
      <c r="J249">
        <f>(Table3[[#This Row],[HomeMargin]]-Table3[[#This Row],[HomeForecast]])^2</f>
        <v>0.75898940623833999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0.6245296524014925</v>
      </c>
      <c r="J250">
        <f>(Table3[[#This Row],[HomeMargin]]-Table3[[#This Row],[HomeForecast]])^2</f>
        <v>5.6428593723197729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1.4794938191493459</v>
      </c>
      <c r="J251">
        <f>(Table3[[#This Row],[HomeMargin]]-Table3[[#This Row],[HomeForecast]])^2</f>
        <v>0.22991432260242559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-0.12758731177800681</v>
      </c>
      <c r="J252">
        <f>(Table3[[#This Row],[HomeMargin]]-Table3[[#This Row],[HomeForecast]])^2</f>
        <v>14.995580027902685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0.79008885793908379</v>
      </c>
      <c r="J253">
        <f>(Table3[[#This Row],[HomeMargin]]-Table3[[#This Row],[HomeForecast]])^2</f>
        <v>1.4638849716831508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-0.26184311635990037</v>
      </c>
      <c r="J254">
        <f>(Table3[[#This Row],[HomeMargin]]-Table3[[#This Row],[HomeForecast]])^2</f>
        <v>5.1159342830246652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0.25994009433444476</v>
      </c>
      <c r="J255">
        <f>(Table3[[#This Row],[HomeMargin]]-Table3[[#This Row],[HomeForecast]])^2</f>
        <v>1.5874490413114895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-0.46444237997143012</v>
      </c>
      <c r="J256">
        <f>(Table3[[#This Row],[HomeMargin]]-Table3[[#This Row],[HomeForecast]])^2</f>
        <v>0.28682196437066604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-2.2133135222745794</v>
      </c>
      <c r="J257">
        <f>(Table3[[#This Row],[HomeMargin]]-Table3[[#This Row],[HomeForecast]])^2</f>
        <v>1.4721297033343463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0.14417501119963869</v>
      </c>
      <c r="J258">
        <f>(Table3[[#This Row],[HomeMargin]]-Table3[[#This Row],[HomeForecast]])^2</f>
        <v>0.73243641145513849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-0.21625089842977158</v>
      </c>
      <c r="J259">
        <f>(Table3[[#This Row],[HomeMargin]]-Table3[[#This Row],[HomeForecast]])^2</f>
        <v>0.61426265421214032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1.1322364542056076</v>
      </c>
      <c r="J260">
        <f>(Table3[[#This Row],[HomeMargin]]-Table3[[#This Row],[HomeForecast]])^2</f>
        <v>3.4885406629984415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0.41366168403480236</v>
      </c>
      <c r="J261">
        <f>(Table3[[#This Row],[HomeMargin]]-Table3[[#This Row],[HomeForecast]])^2</f>
        <v>1.9984393569081136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0.35301740732512504</v>
      </c>
      <c r="J262">
        <f>(Table3[[#This Row],[HomeMargin]]-Table3[[#This Row],[HomeForecast]])^2</f>
        <v>2.7125516605740527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-0.39031295825935219</v>
      </c>
      <c r="J263">
        <f>(Table3[[#This Row],[HomeMargin]]-Table3[[#This Row],[HomeForecast]])^2</f>
        <v>6.8104664558290544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1.3539936864092046</v>
      </c>
      <c r="J264">
        <f>(Table3[[#This Row],[HomeMargin]]-Table3[[#This Row],[HomeForecast]])^2</f>
        <v>2.7093367843807599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0.38878671914499691</v>
      </c>
      <c r="J265">
        <f>(Table3[[#This Row],[HomeMargin]]-Table3[[#This Row],[HomeForecast]])^2</f>
        <v>1.9287285512735246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-0.31470042019423078</v>
      </c>
      <c r="J266">
        <f>(Table3[[#This Row],[HomeMargin]]-Table3[[#This Row],[HomeForecast]])^2</f>
        <v>13.58143299291658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-0.95796954951283664</v>
      </c>
      <c r="J267">
        <f>(Table3[[#This Row],[HomeMargin]]-Table3[[#This Row],[HomeForecast]])^2</f>
        <v>1.7665587681538909E-3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-0.18412678341369848</v>
      </c>
      <c r="J268">
        <f>(Table3[[#This Row],[HomeMargin]]-Table3[[#This Row],[HomeForecast]])^2</f>
        <v>0.66564910554287804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-0.2132463651713018</v>
      </c>
      <c r="J269">
        <f>(Table3[[#This Row],[HomeMargin]]-Table3[[#This Row],[HomeForecast]])^2</f>
        <v>1.4719667426013761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-0.40892647321896836</v>
      </c>
      <c r="J270">
        <f>(Table3[[#This Row],[HomeMargin]]-Table3[[#This Row],[HomeForecast]])^2</f>
        <v>2.5315149676234303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-0.171157802431228</v>
      </c>
      <c r="J271">
        <f>(Table3[[#This Row],[HomeMargin]]-Table3[[#This Row],[HomeForecast]])^2</f>
        <v>0.68697938847063122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0.35638781293798533</v>
      </c>
      <c r="J272">
        <f>(Table3[[#This Row],[HomeMargin]]-Table3[[#This Row],[HomeForecast]])^2</f>
        <v>1.8397878990866912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0.59147758667991068</v>
      </c>
      <c r="J273">
        <f>(Table3[[#This Row],[HomeMargin]]-Table3[[#This Row],[HomeForecast]])^2</f>
        <v>21.081666428983979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0.61018795017899619</v>
      </c>
      <c r="J274">
        <f>(Table3[[#This Row],[HomeMargin]]-Table3[[#This Row],[HomeForecast]])^2</f>
        <v>5.7112016334696678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2.9961278555447307E-2</v>
      </c>
      <c r="J275">
        <f>(Table3[[#This Row],[HomeMargin]]-Table3[[#This Row],[HomeForecast]])^2</f>
        <v>0.9409751211017825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-0.31423399391654389</v>
      </c>
      <c r="J276">
        <f>(Table3[[#This Row],[HomeMargin]]-Table3[[#This Row],[HomeForecast]])^2</f>
        <v>5.3556789785989185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2.1481497334121094</v>
      </c>
      <c r="J277">
        <f>(Table3[[#This Row],[HomeMargin]]-Table3[[#This Row],[HomeForecast]])^2</f>
        <v>0.72564887668586031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-0.82642867733405412</v>
      </c>
      <c r="J278">
        <f>(Table3[[#This Row],[HomeMargin]]-Table3[[#This Row],[HomeForecast]])^2</f>
        <v>14.641556422724438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-0.98043610406943649</v>
      </c>
      <c r="J279">
        <f>(Table3[[#This Row],[HomeMargin]]-Table3[[#This Row],[HomeForecast]])^2</f>
        <v>15.843871578579476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-1.0956687769787126</v>
      </c>
      <c r="J280">
        <f>(Table3[[#This Row],[HomeMargin]]-Table3[[#This Row],[HomeForecast]])^2</f>
        <v>34.861127191144057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-0.29497953805871602</v>
      </c>
      <c r="J281">
        <f>(Table3[[#This Row],[HomeMargin]]-Table3[[#This Row],[HomeForecast]])^2</f>
        <v>5.266931080108197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-0.34280583041882584</v>
      </c>
      <c r="J282">
        <f>(Table3[[#This Row],[HomeMargin]]-Table3[[#This Row],[HomeForecast]])^2</f>
        <v>5.488739159044445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-6.0902772239677869E-2</v>
      </c>
      <c r="J283">
        <f>(Table3[[#This Row],[HomeMargin]]-Table3[[#This Row],[HomeForecast]])^2</f>
        <v>0.88190360318712235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8.4963555634349208E-3</v>
      </c>
      <c r="J284">
        <f>(Table3[[#This Row],[HomeMargin]]-Table3[[#This Row],[HomeForecast]])^2</f>
        <v>1.0170648991847302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1.1681857128967588</v>
      </c>
      <c r="J285">
        <f>(Table3[[#This Row],[HomeMargin]]-Table3[[#This Row],[HomeForecast]])^2</f>
        <v>2.8286434022590966E-2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-1.0503012989252534</v>
      </c>
      <c r="J286">
        <f>(Table3[[#This Row],[HomeMargin]]-Table3[[#This Row],[HomeForecast]])^2</f>
        <v>4.2037354163745819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-0.94187657790649426</v>
      </c>
      <c r="J287">
        <f>(Table3[[#This Row],[HomeMargin]]-Table3[[#This Row],[HomeForecast]])^2</f>
        <v>3.3783321958598309E-3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-4.6671721883946915E-2</v>
      </c>
      <c r="J288">
        <f>(Table3[[#This Row],[HomeMargin]]-Table3[[#This Row],[HomeForecast]])^2</f>
        <v>0.90883480585571852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0.77376327548327906</v>
      </c>
      <c r="J289">
        <f>(Table3[[#This Row],[HomeMargin]]-Table3[[#This Row],[HomeForecast]])^2</f>
        <v>3.146236157453171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-0.33386505930070642</v>
      </c>
      <c r="J290">
        <f>(Table3[[#This Row],[HomeMargin]]-Table3[[#This Row],[HomeForecast]])^2</f>
        <v>0.44373575922045139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-0.47381458048023883</v>
      </c>
      <c r="J291">
        <f>(Table3[[#This Row],[HomeMargin]]-Table3[[#This Row],[HomeForecast]])^2</f>
        <v>0.27687109571518703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-0.10792413822828624</v>
      </c>
      <c r="J292">
        <f>(Table3[[#This Row],[HomeMargin]]-Table3[[#This Row],[HomeForecast]])^2</f>
        <v>1.2274958960688909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0.88187235647556639</v>
      </c>
      <c r="J293">
        <f>(Table3[[#This Row],[HomeMargin]]-Table3[[#This Row],[HomeForecast]])^2</f>
        <v>9.722720001311238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-3.2272630331149299E-2</v>
      </c>
      <c r="J294">
        <f>(Table3[[#This Row],[HomeMargin]]-Table3[[#This Row],[HomeForecast]])^2</f>
        <v>0.93649626200619229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-0.68459564998532663</v>
      </c>
      <c r="J295">
        <f>(Table3[[#This Row],[HomeMargin]]-Table3[[#This Row],[HomeForecast]])^2</f>
        <v>1.7302886040375252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-0.30825537494264749</v>
      </c>
      <c r="J296">
        <f>(Table3[[#This Row],[HomeMargin]]-Table3[[#This Row],[HomeForecast]])^2</f>
        <v>5.3280428759516223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-0.43267876552459195</v>
      </c>
      <c r="J297">
        <f>(Table3[[#This Row],[HomeMargin]]-Table3[[#This Row],[HomeForecast]])^2</f>
        <v>0.32185338308670092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-0.17700119272835482</v>
      </c>
      <c r="J298">
        <f>(Table3[[#This Row],[HomeMargin]]-Table3[[#This Row],[HomeForecast]])^2</f>
        <v>0.67732703677055062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-0.18322524385513089</v>
      </c>
      <c r="J299">
        <f>(Table3[[#This Row],[HomeMargin]]-Table3[[#This Row],[HomeForecast]])^2</f>
        <v>10.132922953116559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-1.0957224337989633</v>
      </c>
      <c r="J300">
        <f>(Table3[[#This Row],[HomeMargin]]-Table3[[#This Row],[HomeForecast]])^2</f>
        <v>3.6262730491365436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1.0527261086604696</v>
      </c>
      <c r="J301">
        <f>(Table3[[#This Row],[HomeMargin]]-Table3[[#This Row],[HomeForecast]])^2</f>
        <v>4.2136844771763551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1.4912900613491664</v>
      </c>
      <c r="J302">
        <f>(Table3[[#This Row],[HomeMargin]]-Table3[[#This Row],[HomeForecast]])^2</f>
        <v>2.2762056789838021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-9.2387210688577581E-2</v>
      </c>
      <c r="J303">
        <f>(Table3[[#This Row],[HomeMargin]]-Table3[[#This Row],[HomeForecast]])^2</f>
        <v>1.1933098180759709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0.72535761673831278</v>
      </c>
      <c r="J304">
        <f>(Table3[[#This Row],[HomeMargin]]-Table3[[#This Row],[HomeForecast]])^2</f>
        <v>2.9768589056369104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1.2244375886803394</v>
      </c>
      <c r="J305">
        <f>(Table3[[#This Row],[HomeMargin]]-Table3[[#This Row],[HomeForecast]])^2</f>
        <v>7.7037466991306101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1.3497263619495441</v>
      </c>
      <c r="J306">
        <f>(Table3[[#This Row],[HomeMargin]]-Table3[[#This Row],[HomeForecast]])^2</f>
        <v>28.619572147737909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0.35810438657899479</v>
      </c>
      <c r="J307">
        <f>(Table3[[#This Row],[HomeMargin]]-Table3[[#This Row],[HomeForecast]])^2</f>
        <v>0.41202997852912854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-0.19849311752384807</v>
      </c>
      <c r="J308">
        <f>(Table3[[#This Row],[HomeMargin]]-Table3[[#This Row],[HomeForecast]])^2</f>
        <v>3.2454270476089442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-6.8054213918380763E-2</v>
      </c>
      <c r="J309">
        <f>(Table3[[#This Row],[HomeMargin]]-Table3[[#This Row],[HomeForecast]])^2</f>
        <v>16.549065087379095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0.14857432075323723</v>
      </c>
      <c r="J310">
        <f>(Table3[[#This Row],[HomeMargin]]-Table3[[#This Row],[HomeForecast]])^2</f>
        <v>0.7249256872808113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0.57806256708667447</v>
      </c>
      <c r="J311">
        <f>(Table3[[#This Row],[HomeMargin]]-Table3[[#This Row],[HomeForecast]])^2</f>
        <v>5.8657809289467888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0.96798885574619054</v>
      </c>
      <c r="J312">
        <f>(Table3[[#This Row],[HomeMargin]]-Table3[[#This Row],[HomeForecast]])^2</f>
        <v>1.0247133564381986E-3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0.4865710122032269</v>
      </c>
      <c r="J313">
        <f>(Table3[[#This Row],[HomeMargin]]-Table3[[#This Row],[HomeForecast]])^2</f>
        <v>6.3173252766971109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0.64945471126898946</v>
      </c>
      <c r="J314">
        <f>(Table3[[#This Row],[HomeMargin]]-Table3[[#This Row],[HomeForecast]])^2</f>
        <v>2.7207008445274652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0.14090680548626411</v>
      </c>
      <c r="J315">
        <f>(Table3[[#This Row],[HomeMargin]]-Table3[[#This Row],[HomeForecast]])^2</f>
        <v>3.4562275058872873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-0.33893770750864971</v>
      </c>
      <c r="J316">
        <f>(Table3[[#This Row],[HomeMargin]]-Table3[[#This Row],[HomeForecast]])^2</f>
        <v>1.7927541845885184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0.7568856545763597</v>
      </c>
      <c r="J317">
        <f>(Table3[[#This Row],[HomeMargin]]-Table3[[#This Row],[HomeForecast]])^2</f>
        <v>10.517790657492606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0.98187780535790092</v>
      </c>
      <c r="J318">
        <f>(Table3[[#This Row],[HomeMargin]]-Table3[[#This Row],[HomeForecast]])^2</f>
        <v>3.2841393864612448E-4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0.14640733097430045</v>
      </c>
      <c r="J319">
        <f>(Table3[[#This Row],[HomeMargin]]-Table3[[#This Row],[HomeForecast]])^2</f>
        <v>0.72862044461441744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0.24574719188267038</v>
      </c>
      <c r="J320">
        <f>(Table3[[#This Row],[HomeMargin]]-Table3[[#This Row],[HomeForecast]])^2</f>
        <v>7.5859085310221959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0.32496796488017915</v>
      </c>
      <c r="J321">
        <f>(Table3[[#This Row],[HomeMargin]]-Table3[[#This Row],[HomeForecast]])^2</f>
        <v>0.45566824843800713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0.3912563307563694</v>
      </c>
      <c r="J322">
        <f>(Table3[[#This Row],[HomeMargin]]-Table3[[#This Row],[HomeForecast]])^2</f>
        <v>19.283132162407892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-0.35591681734140246</v>
      </c>
      <c r="J323">
        <f>(Table3[[#This Row],[HomeMargin]]-Table3[[#This Row],[HomeForecast]])^2</f>
        <v>1.8385104155492382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1.2511443786201744</v>
      </c>
      <c r="J324">
        <f>(Table3[[#This Row],[HomeMargin]]-Table3[[#This Row],[HomeForecast]])^2</f>
        <v>3.0584959844318163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0.70701564781643811</v>
      </c>
      <c r="J325">
        <f>(Table3[[#This Row],[HomeMargin]]-Table3[[#This Row],[HomeForecast]])^2</f>
        <v>2.9139024218901737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0.35556226214181391</v>
      </c>
      <c r="J326">
        <f>(Table3[[#This Row],[HomeMargin]]-Table3[[#This Row],[HomeForecast]])^2</f>
        <v>1.837549046543032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1.629201036760032</v>
      </c>
      <c r="J327">
        <f>(Table3[[#This Row],[HomeMargin]]-Table3[[#This Row],[HomeForecast]])^2</f>
        <v>1.8790897976197711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-0.68913230239409229</v>
      </c>
      <c r="J328">
        <f>(Table3[[#This Row],[HomeMargin]]-Table3[[#This Row],[HomeForecast]])^2</f>
        <v>18.583580306262057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-1.4778140286509894E-2</v>
      </c>
      <c r="J329">
        <f>(Table3[[#This Row],[HomeMargin]]-Table3[[#This Row],[HomeForecast]])^2</f>
        <v>1.0297746740033475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-1.1956211310628782</v>
      </c>
      <c r="J330">
        <f>(Table3[[#This Row],[HomeMargin]]-Table3[[#This Row],[HomeForecast]])^2</f>
        <v>7.8645408405410517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1.1160128676615804</v>
      </c>
      <c r="J331">
        <f>(Table3[[#This Row],[HomeMargin]]-Table3[[#This Row],[HomeForecast]])^2</f>
        <v>1.345898546306336E-2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-0.25409578387710413</v>
      </c>
      <c r="J332">
        <f>(Table3[[#This Row],[HomeMargin]]-Table3[[#This Row],[HomeForecast]])^2</f>
        <v>1.5727562351383282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0.95530392453606439</v>
      </c>
      <c r="J333">
        <f>(Table3[[#This Row],[HomeMargin]]-Table3[[#This Row],[HomeForecast]])^2</f>
        <v>1.9977391618778272E-3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0.27935961695640166</v>
      </c>
      <c r="J334">
        <f>(Table3[[#This Row],[HomeMargin]]-Table3[[#This Row],[HomeForecast]])^2</f>
        <v>1.6367610294988308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3.1900067430161161E-2</v>
      </c>
      <c r="J335">
        <f>(Table3[[#This Row],[HomeMargin]]-Table3[[#This Row],[HomeForecast]])^2</f>
        <v>9.192418018883016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-1.3714781721944025</v>
      </c>
      <c r="J336">
        <f>(Table3[[#This Row],[HomeMargin]]-Table3[[#This Row],[HomeForecast]])^2</f>
        <v>0.39503968802808914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-8.246536569314511E-3</v>
      </c>
      <c r="J337">
        <f>(Table3[[#This Row],[HomeMargin]]-Table3[[#This Row],[HomeForecast]])^2</f>
        <v>36.099026444197172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-3.0910200452818171E-2</v>
      </c>
      <c r="J338">
        <f>(Table3[[#This Row],[HomeMargin]]-Table3[[#This Row],[HomeForecast]])^2</f>
        <v>0.93913503958639721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0.29938544882163798</v>
      </c>
      <c r="J339">
        <f>(Table3[[#This Row],[HomeMargin]]-Table3[[#This Row],[HomeForecast]])^2</f>
        <v>28.083486135182511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-0.49805480504516142</v>
      </c>
      <c r="J340">
        <f>(Table3[[#This Row],[HomeMargin]]-Table3[[#This Row],[HomeForecast]])^2</f>
        <v>0.25194897873825089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0.30293630913161296</v>
      </c>
      <c r="J341">
        <f>(Table3[[#This Row],[HomeMargin]]-Table3[[#This Row],[HomeForecast]])^2</f>
        <v>0.48589778912705828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-1.4363662794556729</v>
      </c>
      <c r="J342">
        <f>(Table3[[#This Row],[HomeMargin]]-Table3[[#This Row],[HomeForecast]])^2</f>
        <v>5.9358806476686778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-0.13028812280497737</v>
      </c>
      <c r="J343">
        <f>(Table3[[#This Row],[HomeMargin]]-Table3[[#This Row],[HomeForecast]])^2</f>
        <v>1.2775512405539999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0.18364012967319482</v>
      </c>
      <c r="J344">
        <f>(Table3[[#This Row],[HomeMargin]]-Table3[[#This Row],[HomeForecast]])^2</f>
        <v>10.135564475265557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-0.1667295030770099</v>
      </c>
      <c r="J345">
        <f>(Table3[[#This Row],[HomeMargin]]-Table3[[#This Row],[HomeForecast]])^2</f>
        <v>10.028175745658366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-2.5002330563330104</v>
      </c>
      <c r="J346">
        <f>(Table3[[#This Row],[HomeMargin]]-Table3[[#This Row],[HomeForecast]])^2</f>
        <v>0.24976699798224394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1.3484305128681573</v>
      </c>
      <c r="J347">
        <f>(Table3[[#This Row],[HomeMargin]]-Table3[[#This Row],[HomeForecast]])^2</f>
        <v>5.515125873770196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0.15796954297828059</v>
      </c>
      <c r="J348">
        <f>(Table3[[#This Row],[HomeMargin]]-Table3[[#This Row],[HomeForecast]])^2</f>
        <v>8.077137118639083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0.87139741182176578</v>
      </c>
      <c r="J349">
        <f>(Table3[[#This Row],[HomeMargin]]-Table3[[#This Row],[HomeForecast]])^2</f>
        <v>3.5021282729732035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9.9735537287936882E-3</v>
      </c>
      <c r="J350">
        <f>(Table3[[#This Row],[HomeMargin]]-Table3[[#This Row],[HomeForecast]])^2</f>
        <v>1.0200465792315685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9.1239253526918612E-2</v>
      </c>
      <c r="J351">
        <f>(Table3[[#This Row],[HomeMargin]]-Table3[[#This Row],[HomeForecast]])^2</f>
        <v>0.82584609433031209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0.38290859896165297</v>
      </c>
      <c r="J352">
        <f>(Table3[[#This Row],[HomeMargin]]-Table3[[#This Row],[HomeForecast]])^2</f>
        <v>5.6782533910053887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-0.75474934452411691</v>
      </c>
      <c r="J353">
        <f>(Table3[[#This Row],[HomeMargin]]-Table3[[#This Row],[HomeForecast]])^2</f>
        <v>14.098142640204287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-1.8786987622101661</v>
      </c>
      <c r="J354">
        <f>(Table3[[#This Row],[HomeMargin]]-Table3[[#This Row],[HomeForecast]])^2</f>
        <v>0.77211151470967798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0.91710725275789939</v>
      </c>
      <c r="J355">
        <f>(Table3[[#This Row],[HomeMargin]]-Table3[[#This Row],[HomeForecast]])^2</f>
        <v>6.8712075453427777E-3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-0.3720741292074653</v>
      </c>
      <c r="J356">
        <f>(Table3[[#This Row],[HomeMargin]]-Table3[[#This Row],[HomeForecast]])^2</f>
        <v>5.6267356744553538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0.15195625213881347</v>
      </c>
      <c r="J357">
        <f>(Table3[[#This Row],[HomeMargin]]-Table3[[#This Row],[HomeForecast]])^2</f>
        <v>9.9348282153969567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-5.5069842826215951E-2</v>
      </c>
      <c r="J358">
        <f>(Table3[[#This Row],[HomeMargin]]-Table3[[#This Row],[HomeForecast]])^2</f>
        <v>8.6726136306316075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0.35113748248344079</v>
      </c>
      <c r="J359">
        <f>(Table3[[#This Row],[HomeMargin]]-Table3[[#This Row],[HomeForecast]])^2</f>
        <v>0.42102256663792709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0.55994954884186376</v>
      </c>
      <c r="J360">
        <f>(Table3[[#This Row],[HomeMargin]]-Table3[[#This Row],[HomeForecast]])^2</f>
        <v>0.19364439956447924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-0.69084581139001955</v>
      </c>
      <c r="J361">
        <f>(Table3[[#This Row],[HomeMargin]]-Table3[[#This Row],[HomeForecast]])^2</f>
        <v>18.568809821214938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1.2105195374572917</v>
      </c>
      <c r="J362">
        <f>(Table3[[#This Row],[HomeMargin]]-Table3[[#This Row],[HomeForecast]])^2</f>
        <v>4.4318475651232037E-2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0.68598425647562211</v>
      </c>
      <c r="J363">
        <f>(Table3[[#This Row],[HomeMargin]]-Table3[[#This Row],[HomeForecast]])^2</f>
        <v>5.3546688612786797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3.1900067430161161E-2</v>
      </c>
      <c r="J364">
        <f>(Table3[[#This Row],[HomeMargin]]-Table3[[#This Row],[HomeForecast]])^2</f>
        <v>15.745817074860758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1.3082512449422701</v>
      </c>
      <c r="J365">
        <f>(Table3[[#This Row],[HomeMargin]]-Table3[[#This Row],[HomeForecast]])^2</f>
        <v>7.245511360354838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-0.97705573478092267</v>
      </c>
      <c r="J366">
        <f>(Table3[[#This Row],[HomeMargin]]-Table3[[#This Row],[HomeForecast]])^2</f>
        <v>16.184080561059066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1.1205242704980038</v>
      </c>
      <c r="J367">
        <f>(Table3[[#This Row],[HomeMargin]]-Table3[[#This Row],[HomeForecast]])^2</f>
        <v>4.496623181771092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0.40993693762712535</v>
      </c>
      <c r="J368">
        <f>(Table3[[#This Row],[HomeMargin]]-Table3[[#This Row],[HomeForecast]])^2</f>
        <v>5.8077960433396072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-0.10522332720131568</v>
      </c>
      <c r="J369">
        <f>(Table3[[#This Row],[HomeMargin]]-Table3[[#This Row],[HomeForecast]])^2</f>
        <v>0.80062529418468376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-0.21644970085831389</v>
      </c>
      <c r="J370">
        <f>(Table3[[#This Row],[HomeMargin]]-Table3[[#This Row],[HomeForecast]])^2</f>
        <v>0.61395107128502568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2.0510357804968491</v>
      </c>
      <c r="J371">
        <f>(Table3[[#This Row],[HomeMargin]]-Table3[[#This Row],[HomeForecast]])^2</f>
        <v>15.59431840691613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0.49394698234483769</v>
      </c>
      <c r="J372">
        <f>(Table3[[#This Row],[HomeMargin]]-Table3[[#This Row],[HomeForecast]])^2</f>
        <v>12.207665515436597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-8.5679538387247497E-2</v>
      </c>
      <c r="J373">
        <f>(Table3[[#This Row],[HomeMargin]]-Table3[[#This Row],[HomeForecast]])^2</f>
        <v>3.6646228297492618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1.0451114695608428</v>
      </c>
      <c r="J374">
        <f>(Table3[[#This Row],[HomeMargin]]-Table3[[#This Row],[HomeForecast]])^2</f>
        <v>2.0350446859388445E-3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0.18767158994021726</v>
      </c>
      <c r="J375">
        <f>(Table3[[#This Row],[HomeMargin]]-Table3[[#This Row],[HomeForecast]])^2</f>
        <v>4.7859069854315592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0.69821797600435231</v>
      </c>
      <c r="J376">
        <f>(Table3[[#This Row],[HomeMargin]]-Table3[[#This Row],[HomeForecast]])^2</f>
        <v>1.6946364379982051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-1.3053575293942599</v>
      </c>
      <c r="J377">
        <f>(Table3[[#This Row],[HomeMargin]]-Table3[[#This Row],[HomeForecast]])^2</f>
        <v>9.3243220757766282E-2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1.4146144692108145</v>
      </c>
      <c r="J378">
        <f>(Table3[[#This Row],[HomeMargin]]-Table3[[#This Row],[HomeForecast]])^2</f>
        <v>6.6842183428140789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0.57367863358086235</v>
      </c>
      <c r="J379">
        <f>(Table3[[#This Row],[HomeMargin]]-Table3[[#This Row],[HomeForecast]])^2</f>
        <v>2.4764644417889299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0.49114748356236815</v>
      </c>
      <c r="J380">
        <f>(Table3[[#This Row],[HomeMargin]]-Table3[[#This Row],[HomeForecast]])^2</f>
        <v>2.223520817734383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1.1495721979371427</v>
      </c>
      <c r="J381">
        <f>(Table3[[#This Row],[HomeMargin]]-Table3[[#This Row],[HomeForecast]])^2</f>
        <v>2.2371842395747799E-2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0.44294631021054032</v>
      </c>
      <c r="J382">
        <f>(Table3[[#This Row],[HomeMargin]]-Table3[[#This Row],[HomeForecast]])^2</f>
        <v>0.3103088133080516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0.12437567522573426</v>
      </c>
      <c r="J383">
        <f>(Table3[[#This Row],[HomeMargin]]-Table3[[#This Row],[HomeForecast]])^2</f>
        <v>17.010474710393733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-0.26647248387808548</v>
      </c>
      <c r="J384">
        <f>(Table3[[#This Row],[HomeMargin]]-Table3[[#This Row],[HomeForecast]])^2</f>
        <v>22.406282745883303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0.67219109480024741</v>
      </c>
      <c r="J385">
        <f>(Table3[[#This Row],[HomeMargin]]-Table3[[#This Row],[HomeForecast]])^2</f>
        <v>11.074312109526776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-0.42606619377543831</v>
      </c>
      <c r="J386">
        <f>(Table3[[#This Row],[HomeMargin]]-Table3[[#This Row],[HomeForecast]])^2</f>
        <v>0.32940001392741275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0.70860243900038755</v>
      </c>
      <c r="J387">
        <f>(Table3[[#This Row],[HomeMargin]]-Table3[[#This Row],[HomeForecast]])^2</f>
        <v>2.9193222945580732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0.78319457803047932</v>
      </c>
      <c r="J388">
        <f>(Table3[[#This Row],[HomeMargin]]-Table3[[#This Row],[HomeForecast]])^2</f>
        <v>4.7004590995381922E-2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-1.0556307687855946</v>
      </c>
      <c r="J389">
        <f>(Table3[[#This Row],[HomeMargin]]-Table3[[#This Row],[HomeForecast]])^2</f>
        <v>3.7805717072932978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0.64295067434794495</v>
      </c>
      <c r="J390">
        <f>(Table3[[#This Row],[HomeMargin]]-Table3[[#This Row],[HomeForecast]])^2</f>
        <v>6.9851882670362571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-1.5751809164743091</v>
      </c>
      <c r="J391">
        <f>(Table3[[#This Row],[HomeMargin]]-Table3[[#This Row],[HomeForecast]])^2</f>
        <v>6.6315567525734638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0.31948579008411992</v>
      </c>
      <c r="J392">
        <f>(Table3[[#This Row],[HomeMargin]]-Table3[[#This Row],[HomeForecast]])^2</f>
        <v>1.7410427502339141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0.4234821764103594</v>
      </c>
      <c r="J393">
        <f>(Table3[[#This Row],[HomeMargin]]-Table3[[#This Row],[HomeForecast]])^2</f>
        <v>0.33237280091653604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-0.69164309511413802</v>
      </c>
      <c r="J394">
        <f>(Table3[[#This Row],[HomeMargin]]-Table3[[#This Row],[HomeForecast]])^2</f>
        <v>2.86165636124734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0.62884671102824408</v>
      </c>
      <c r="J395">
        <f>(Table3[[#This Row],[HomeMargin]]-Table3[[#This Row],[HomeForecast]])^2</f>
        <v>13.168528452140505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1.1159597728634114</v>
      </c>
      <c r="J396">
        <f>(Table3[[#This Row],[HomeMargin]]-Table3[[#This Row],[HomeForecast]])^2</f>
        <v>0.78152712319571116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0.76266514708650401</v>
      </c>
      <c r="J397">
        <f>(Table3[[#This Row],[HomeMargin]]-Table3[[#This Row],[HomeForecast]])^2</f>
        <v>5.6327832407470774E-2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2.1116404168139757</v>
      </c>
      <c r="J398">
        <f>(Table3[[#This Row],[HomeMargin]]-Table3[[#This Row],[HomeForecast]])^2</f>
        <v>8.3426210817825446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0.76464610516500653</v>
      </c>
      <c r="J399">
        <f>(Table3[[#This Row],[HomeMargin]]-Table3[[#This Row],[HomeForecast]])^2</f>
        <v>5.5391455814001164E-2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0.48590067206025739</v>
      </c>
      <c r="J400">
        <f>(Table3[[#This Row],[HomeMargin]]-Table3[[#This Row],[HomeForecast]])^2</f>
        <v>2.2079008072291249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1.6166746776805394E-2</v>
      </c>
      <c r="J401">
        <f>(Table3[[#This Row],[HomeMargin]]-Table3[[#This Row],[HomeForecast]])^2</f>
        <v>4.0649283508085672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-0.69584600727739943</v>
      </c>
      <c r="J402">
        <f>(Table3[[#This Row],[HomeMargin]]-Table3[[#This Row],[HomeForecast]])^2</f>
        <v>5.3091256221795016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-0.41734129692482469</v>
      </c>
      <c r="J403">
        <f>(Table3[[#This Row],[HomeMargin]]-Table3[[#This Row],[HomeForecast]])^2</f>
        <v>6.6701259765699463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0.40791101145166564</v>
      </c>
      <c r="J404">
        <f>(Table3[[#This Row],[HomeMargin]]-Table3[[#This Row],[HomeForecast]])^2</f>
        <v>29.24550150778018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-0.24123364973579417</v>
      </c>
      <c r="J405">
        <f>(Table3[[#This Row],[HomeMargin]]-Table3[[#This Row],[HomeForecast]])^2</f>
        <v>14.128324475878497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-1.0405543563515813</v>
      </c>
      <c r="J406">
        <f>(Table3[[#This Row],[HomeMargin]]-Table3[[#This Row],[HomeForecast]])^2</f>
        <v>4.1638620812254166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0.56824207471111743</v>
      </c>
      <c r="J407">
        <f>(Table3[[#This Row],[HomeMargin]]-Table3[[#This Row],[HomeForecast]])^2</f>
        <v>0.1864149060497603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1.2330738201580291</v>
      </c>
      <c r="J408">
        <f>(Table3[[#This Row],[HomeMargin]]-Table3[[#This Row],[HomeForecast]])^2</f>
        <v>5.4323405643057307E-2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-0.61177322067850437</v>
      </c>
      <c r="J409">
        <f>(Table3[[#This Row],[HomeMargin]]-Table3[[#This Row],[HomeForecast]])^2</f>
        <v>6.8213593562533665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1.1321058392679226</v>
      </c>
      <c r="J410">
        <f>(Table3[[#This Row],[HomeMargin]]-Table3[[#This Row],[HomeForecast]])^2</f>
        <v>14.9606052386253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-0.57527077559806905</v>
      </c>
      <c r="J411">
        <f>(Table3[[#This Row],[HomeMargin]]-Table3[[#This Row],[HomeForecast]])^2</f>
        <v>5.8793118116687895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-0.16962639460141246</v>
      </c>
      <c r="J412">
        <f>(Table3[[#This Row],[HomeMargin]]-Table3[[#This Row],[HomeForecast]])^2</f>
        <v>17.385784270556769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0.3425932811593434</v>
      </c>
      <c r="J413">
        <f>(Table3[[#This Row],[HomeMargin]]-Table3[[#This Row],[HomeForecast]])^2</f>
        <v>5.4877432809328983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-9.9639659392900287E-2</v>
      </c>
      <c r="J414">
        <f>(Table3[[#This Row],[HomeMargin]]-Table3[[#This Row],[HomeForecast]])^2</f>
        <v>15.212810786580732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-0.33893770750864971</v>
      </c>
      <c r="J415">
        <f>(Table3[[#This Row],[HomeMargin]]-Table3[[#This Row],[HomeForecast]])^2</f>
        <v>11.148505014623115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-1.3115905980530331</v>
      </c>
      <c r="J416">
        <f>(Table3[[#This Row],[HomeMargin]]-Table3[[#This Row],[HomeForecast]])^2</f>
        <v>2.8507263085829142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2.3874498120296654</v>
      </c>
      <c r="J417">
        <f>(Table3[[#This Row],[HomeMargin]]-Table3[[#This Row],[HomeForecast]])^2</f>
        <v>0.15011735684182309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-0.58852885733141802</v>
      </c>
      <c r="J418">
        <f>(Table3[[#This Row],[HomeMargin]]-Table3[[#This Row],[HomeForecast]])^2</f>
        <v>2.5234239305746606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-0.15664202350924766</v>
      </c>
      <c r="J419">
        <f>(Table3[[#This Row],[HomeMargin]]-Table3[[#This Row],[HomeForecast]])^2</f>
        <v>0.71125267651057644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4.8455523916431847E-2</v>
      </c>
      <c r="J420">
        <f>(Table3[[#This Row],[HomeMargin]]-Table3[[#This Row],[HomeForecast]])^2</f>
        <v>9.2930810812966058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-0.79385256599110443</v>
      </c>
      <c r="J421">
        <f>(Table3[[#This Row],[HomeMargin]]-Table3[[#This Row],[HomeForecast]])^2</f>
        <v>1.4547916325662431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-5.063108258833296E-2</v>
      </c>
      <c r="J422">
        <f>(Table3[[#This Row],[HomeMargin]]-Table3[[#This Row],[HomeForecast]])^2</f>
        <v>8.6987770109940676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-0.13496328191961759</v>
      </c>
      <c r="J423">
        <f>(Table3[[#This Row],[HomeMargin]]-Table3[[#This Row],[HomeForecast]])^2</f>
        <v>17.097921342823454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-0.27943032151395913</v>
      </c>
      <c r="J424">
        <f>(Table3[[#This Row],[HomeMargin]]-Table3[[#This Row],[HomeForecast]])^2</f>
        <v>1.6369419476093128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-0.61322939692476897</v>
      </c>
      <c r="J425">
        <f>(Table3[[#This Row],[HomeMargin]]-Table3[[#This Row],[HomeForecast]])^2</f>
        <v>2.6025090871022543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0.5700413461795204</v>
      </c>
      <c r="J426">
        <f>(Table3[[#This Row],[HomeMargin]]-Table3[[#This Row],[HomeForecast]])^2</f>
        <v>0.184864443995119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0.35810438657899479</v>
      </c>
      <c r="J427">
        <f>(Table3[[#This Row],[HomeMargin]]-Table3[[#This Row],[HomeForecast]])^2</f>
        <v>54.14170016379304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-0.13311707800327863</v>
      </c>
      <c r="J428">
        <f>(Table3[[#This Row],[HomeMargin]]-Table3[[#This Row],[HomeForecast]])^2</f>
        <v>1.2839543124626882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-0.77863746482121798</v>
      </c>
      <c r="J429">
        <f>(Table3[[#This Row],[HomeMargin]]-Table3[[#This Row],[HomeForecast]])^2</f>
        <v>4.9344515126959063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0.51151017173390911</v>
      </c>
      <c r="J430">
        <f>(Table3[[#This Row],[HomeMargin]]-Table3[[#This Row],[HomeForecast]])^2</f>
        <v>6.1925816253837977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-1.1350164947457515</v>
      </c>
      <c r="J431">
        <f>(Table3[[#This Row],[HomeMargin]]-Table3[[#This Row],[HomeForecast]])^2</f>
        <v>23.668064506395918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1.247827067805483</v>
      </c>
      <c r="J432">
        <f>(Table3[[#This Row],[HomeMargin]]-Table3[[#This Row],[HomeForecast]])^2</f>
        <v>3.0701099843151312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0.63857866972651611</v>
      </c>
      <c r="J433">
        <f>(Table3[[#This Row],[HomeMargin]]-Table3[[#This Row],[HomeForecast]])^2</f>
        <v>21.516412075241814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0.30442441256006336</v>
      </c>
      <c r="J434">
        <f>(Table3[[#This Row],[HomeMargin]]-Table3[[#This Row],[HomeForecast]])^2</f>
        <v>0.48382539784241296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-0.6159525681839978</v>
      </c>
      <c r="J435">
        <f>(Table3[[#This Row],[HomeMargin]]-Table3[[#This Row],[HomeForecast]])^2</f>
        <v>13.075112975356449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0.41536993949088019</v>
      </c>
      <c r="J436">
        <f>(Table3[[#This Row],[HomeMargin]]-Table3[[#This Row],[HomeForecast]])^2</f>
        <v>21.01883279172386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0.86498210114510554</v>
      </c>
      <c r="J437">
        <f>(Table3[[#This Row],[HomeMargin]]-Table3[[#This Row],[HomeForecast]])^2</f>
        <v>3.4781582375916127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0.4300313451005931</v>
      </c>
      <c r="J438">
        <f>(Table3[[#This Row],[HomeMargin]]-Table3[[#This Row],[HomeForecast]])^2</f>
        <v>2.0449896479702114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-1.3171537715940804</v>
      </c>
      <c r="J439">
        <f>(Table3[[#This Row],[HomeMargin]]-Table3[[#This Row],[HomeForecast]])^2</f>
        <v>18.637816687588995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-0.25767200771052473</v>
      </c>
      <c r="J440">
        <f>(Table3[[#This Row],[HomeMargin]]-Table3[[#This Row],[HomeForecast]])^2</f>
        <v>3.0357068327154737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0.4992764522051788</v>
      </c>
      <c r="J441">
        <f>(Table3[[#This Row],[HomeMargin]]-Table3[[#This Row],[HomeForecast]])^2</f>
        <v>2.2478298801369476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-0.43797440065810711</v>
      </c>
      <c r="J442">
        <f>(Table3[[#This Row],[HomeMargin]]-Table3[[#This Row],[HomeForecast]])^2</f>
        <v>2.0677703769480429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1.2092004304166719</v>
      </c>
      <c r="J443">
        <f>(Table3[[#This Row],[HomeMargin]]-Table3[[#This Row],[HomeForecast]])^2</f>
        <v>3.2069630984198332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-0.1376791091156635</v>
      </c>
      <c r="J444">
        <f>(Table3[[#This Row],[HomeMargin]]-Table3[[#This Row],[HomeForecast]])^2</f>
        <v>8.1928808823929025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-0.67535173904146606</v>
      </c>
      <c r="J445">
        <f>(Table3[[#This Row],[HomeMargin]]-Table3[[#This Row],[HomeForecast]])^2</f>
        <v>5.4039895371775355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0.34376268435649848</v>
      </c>
      <c r="J446">
        <f>(Table3[[#This Row],[HomeMargin]]-Table3[[#This Row],[HomeForecast]])^2</f>
        <v>7.0555966770169949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0.2897837431221833</v>
      </c>
      <c r="J447">
        <f>(Table3[[#This Row],[HomeMargin]]-Table3[[#This Row],[HomeForecast]])^2</f>
        <v>7.3452721590448036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1.4551052469551897</v>
      </c>
      <c r="J448">
        <f>(Table3[[#This Row],[HomeMargin]]-Table3[[#This Row],[HomeForecast]])^2</f>
        <v>2.3866997979853855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-0.74023984630273654</v>
      </c>
      <c r="J449">
        <f>(Table3[[#This Row],[HomeMargin]]-Table3[[#This Row],[HomeForecast]])^2</f>
        <v>7.5089144152652461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-1.4504035805488702E-2</v>
      </c>
      <c r="J450">
        <f>(Table3[[#This Row],[HomeMargin]]-Table3[[#This Row],[HomeForecast]])^2</f>
        <v>16.116242653498556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0.24074699599529054</v>
      </c>
      <c r="J451">
        <f>(Table3[[#This Row],[HomeMargin]]-Table3[[#This Row],[HomeForecast]])^2</f>
        <v>0.57646512409017525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0.4300313451005931</v>
      </c>
      <c r="J452">
        <f>(Table3[[#This Row],[HomeMargin]]-Table3[[#This Row],[HomeForecast]])^2</f>
        <v>31.024550816561909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-1.455064747004946</v>
      </c>
      <c r="J453">
        <f>(Table3[[#This Row],[HomeMargin]]-Table3[[#This Row],[HomeForecast]])^2</f>
        <v>0.20708392396667555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0.86577938486922401</v>
      </c>
      <c r="J454">
        <f>(Table3[[#This Row],[HomeMargin]]-Table3[[#This Row],[HomeForecast]])^2</f>
        <v>3.4811327130029794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3.3229484268821885E-2</v>
      </c>
      <c r="J455">
        <f>(Table3[[#This Row],[HomeMargin]]-Table3[[#This Row],[HomeForecast]])^2</f>
        <v>1.0675631671624157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0.45356661126904513</v>
      </c>
      <c r="J456">
        <f>(Table3[[#This Row],[HomeMargin]]-Table3[[#This Row],[HomeForecast]])^2</f>
        <v>6.0199891159342656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0.34086579283209589</v>
      </c>
      <c r="J457">
        <f>(Table3[[#This Row],[HomeMargin]]-Table3[[#This Row],[HomeForecast]])^2</f>
        <v>1.7979210743872454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-0.55106446092272732</v>
      </c>
      <c r="J458">
        <f>(Table3[[#This Row],[HomeMargin]]-Table3[[#This Row],[HomeForecast]])^2</f>
        <v>6.5079298837829658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0.78590951043359047</v>
      </c>
      <c r="J459">
        <f>(Table3[[#This Row],[HomeMargin]]-Table3[[#This Row],[HomeForecast]])^2</f>
        <v>27.186739633386878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0.83177168136394242</v>
      </c>
      <c r="J460">
        <f>(Table3[[#This Row],[HomeMargin]]-Table3[[#This Row],[HomeForecast]])^2</f>
        <v>14.682474218102655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0.69516455220512308</v>
      </c>
      <c r="J461">
        <f>(Table3[[#This Row],[HomeMargin]]-Table3[[#This Row],[HomeForecast]])^2</f>
        <v>9.2924650232303133E-2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-0.31809718359382444</v>
      </c>
      <c r="J462">
        <f>(Table3[[#This Row],[HomeMargin]]-Table3[[#This Row],[HomeForecast]])^2</f>
        <v>11.00976891977327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0.72808015740334797</v>
      </c>
      <c r="J463">
        <f>(Table3[[#This Row],[HomeMargin]]-Table3[[#This Row],[HomeForecast]])^2</f>
        <v>2.9862610304111801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2.7728958780785518E-2</v>
      </c>
      <c r="J464">
        <f>(Table3[[#This Row],[HomeMargin]]-Table3[[#This Row],[HomeForecast]])^2</f>
        <v>1.0562268127166379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-1.5495714168006574</v>
      </c>
      <c r="J465">
        <f>(Table3[[#This Row],[HomeMargin]]-Table3[[#This Row],[HomeForecast]])^2</f>
        <v>0.30202874216428183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1.3082512449422701</v>
      </c>
      <c r="J466">
        <f>(Table3[[#This Row],[HomeMargin]]-Table3[[#This Row],[HomeForecast]])^2</f>
        <v>0.47851634012391925</v>
      </c>
    </row>
    <row r="467" spans="4:10" x14ac:dyDescent="0.2">
      <c r="D467" t="s">
        <v>23</v>
      </c>
      <c r="F467" t="s">
        <v>16</v>
      </c>
    </row>
    <row r="468" spans="4:10" x14ac:dyDescent="0.2">
      <c r="D468" t="s">
        <v>34</v>
      </c>
      <c r="F468" t="s">
        <v>32</v>
      </c>
    </row>
    <row r="469" spans="4:10" x14ac:dyDescent="0.2">
      <c r="D469" t="s">
        <v>37</v>
      </c>
      <c r="F469" t="s">
        <v>19</v>
      </c>
    </row>
    <row r="470" spans="4:10" x14ac:dyDescent="0.2">
      <c r="D470" t="s">
        <v>13</v>
      </c>
      <c r="F470" t="s">
        <v>55</v>
      </c>
    </row>
    <row r="471" spans="4:10" x14ac:dyDescent="0.2">
      <c r="D471" t="s">
        <v>26</v>
      </c>
      <c r="F471" t="s">
        <v>38</v>
      </c>
    </row>
    <row r="472" spans="4:10" x14ac:dyDescent="0.2">
      <c r="D472" t="s">
        <v>28</v>
      </c>
      <c r="F472" t="s">
        <v>25</v>
      </c>
    </row>
    <row r="473" spans="4:10" x14ac:dyDescent="0.2">
      <c r="D473" t="s">
        <v>23</v>
      </c>
      <c r="F473" t="s">
        <v>17</v>
      </c>
    </row>
    <row r="474" spans="4:10" x14ac:dyDescent="0.2">
      <c r="D474" t="s">
        <v>37</v>
      </c>
      <c r="F474" t="s">
        <v>18</v>
      </c>
    </row>
    <row r="475" spans="4:10" x14ac:dyDescent="0.2">
      <c r="D475" t="s">
        <v>12</v>
      </c>
      <c r="F475" t="s">
        <v>29</v>
      </c>
    </row>
    <row r="476" spans="4:10" x14ac:dyDescent="0.2">
      <c r="D476" t="s">
        <v>20</v>
      </c>
      <c r="F476" t="s">
        <v>30</v>
      </c>
    </row>
    <row r="477" spans="4:10" x14ac:dyDescent="0.2">
      <c r="D477" t="s">
        <v>24</v>
      </c>
      <c r="F477" t="s">
        <v>36</v>
      </c>
    </row>
    <row r="478" spans="4:10" x14ac:dyDescent="0.2">
      <c r="D478" t="s">
        <v>33</v>
      </c>
      <c r="F478" t="s">
        <v>27</v>
      </c>
    </row>
    <row r="479" spans="4:10" x14ac:dyDescent="0.2">
      <c r="D479" t="s">
        <v>31</v>
      </c>
      <c r="F479" t="s">
        <v>14</v>
      </c>
    </row>
    <row r="480" spans="4:10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432" activePane="bottomLeft" state="frozen"/>
      <selection activeCell="I1" sqref="I1"/>
      <selection pane="bottomLeft" activeCell="O462" sqref="O462:O466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8.7068144877542997E-2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-0.10214397920743352</v>
      </c>
      <c r="H2" t="s">
        <v>10</v>
      </c>
      <c r="I2">
        <f>VLOOKUP(Table4[[#This Row],[Visitor]],'NHL Model'!$A$6:$B$38,2,FALSE)</f>
        <v>-0.25852364135215161</v>
      </c>
      <c r="J2">
        <f>($B$1+Table4[[#This Row],[Home Differential]])-Table4[[#This Row],[Away Differential]]</f>
        <v>0.2434478070222611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0.57297961542471887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0.182346408842821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8.443955887089849E-2</v>
      </c>
      <c r="H3" t="s">
        <v>12</v>
      </c>
      <c r="I3">
        <f>VLOOKUP(Table4[[#This Row],[Visitor]],'NHL Model'!$A$6:$B$38,2,FALSE)</f>
        <v>1.7072432657355574</v>
      </c>
      <c r="J3">
        <f>($B$1+Table4[[#This Row],[Home Differential]])-Table4[[#This Row],[Away Differential]]</f>
        <v>-1.5357355619871158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0.70007735193602827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8.9953594821705049E-2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264</v>
      </c>
      <c r="V3">
        <f>COUNTIF(Table4[Locked Correct],"YES")</f>
        <v>266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0.1651103738530684</v>
      </c>
      <c r="H4" t="s">
        <v>14</v>
      </c>
      <c r="I4">
        <f>VLOOKUP(Table4[[#This Row],[Visitor]],'NHL Model'!$A$6:$B$38,2,FALSE)</f>
        <v>0.25731150832780025</v>
      </c>
      <c r="J4">
        <f>($B$1+Table4[[#This Row],[Home Differential]])-Table4[[#This Row],[Away Differential]]</f>
        <v>-5.1329895971888861E-3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0.49744120979171791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0.25256533761561212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196</v>
      </c>
      <c r="V4">
        <f>COUNTIF(Table4[Locked Correct],"NO")</f>
        <v>194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-0.19871596400308536</v>
      </c>
      <c r="H5" t="s">
        <v>16</v>
      </c>
      <c r="I5">
        <f>VLOOKUP(Table4[[#This Row],[Visitor]],'NHL Model'!$A$6:$B$38,2,FALSE)</f>
        <v>-0.65802650867783552</v>
      </c>
      <c r="J5">
        <f>($B$1+Table4[[#This Row],[Home Differential]])-Table4[[#This Row],[Away Differential]]</f>
        <v>0.54637868955229318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0.61730928735248214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0.38107075625162934</v>
      </c>
      <c r="O5">
        <v>-4.1674767740132361E-3</v>
      </c>
      <c r="P5" s="11"/>
      <c r="Q5" t="s">
        <v>16</v>
      </c>
      <c r="R5" t="s">
        <v>248</v>
      </c>
      <c r="T5">
        <f>SUM(T3:T4)</f>
        <v>460</v>
      </c>
      <c r="V5">
        <f>SUM(V3:V4)</f>
        <v>460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-6.3531358246322375E-2</v>
      </c>
      <c r="H6" t="s">
        <v>18</v>
      </c>
      <c r="I6">
        <f>VLOOKUP(Table4[[#This Row],[Visitor]],'NHL Model'!$A$6:$B$38,2,FALSE)</f>
        <v>-0.31732900620087529</v>
      </c>
      <c r="J6">
        <f>($B$1+Table4[[#This Row],[Home Differential]])-Table4[[#This Row],[Away Differential]]</f>
        <v>0.34086579283209589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0.50368809982559248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0.24632550225473104</v>
      </c>
      <c r="O6">
        <v>-4.4363714293103977E-3</v>
      </c>
      <c r="P6" s="11"/>
      <c r="Q6" t="s">
        <v>18</v>
      </c>
      <c r="R6" t="s">
        <v>249</v>
      </c>
      <c r="T6" s="13">
        <f>T3/T5</f>
        <v>0.57391304347826089</v>
      </c>
      <c r="V6" s="13">
        <f>V3/V5</f>
        <v>0.57826086956521738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0.22444955994982585</v>
      </c>
      <c r="H7" t="s">
        <v>13</v>
      </c>
      <c r="I7">
        <f>VLOOKUP(Table4[[#This Row],[Visitor]],'NHL Model'!$A$6:$B$38,2,FALSE)</f>
        <v>8.443955887089849E-2</v>
      </c>
      <c r="J7">
        <f>($B$1+Table4[[#This Row],[Home Differential]])-Table4[[#This Row],[Away Differential]]</f>
        <v>0.22707814595647036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0.49787406999630335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0.24787858957468398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0.96536026973954592</v>
      </c>
      <c r="H8" t="s">
        <v>21</v>
      </c>
      <c r="I8">
        <f>VLOOKUP(Table4[[#This Row],[Visitor]],'NHL Model'!$A$6:$B$38,2,FALSE)</f>
        <v>0.20241790420125966</v>
      </c>
      <c r="J8">
        <f>($B$1+Table4[[#This Row],[Home Differential]])-Table4[[#This Row],[Away Differential]]</f>
        <v>0.85001051041582931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0.66658558344696839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0.44433634005933526</v>
      </c>
      <c r="O8">
        <v>-4.9858230986448791E-3</v>
      </c>
      <c r="P8" s="11"/>
      <c r="Q8" t="s">
        <v>21</v>
      </c>
      <c r="R8" t="s">
        <v>248</v>
      </c>
      <c r="T8">
        <f>SUM(Table4[Error])</f>
        <v>106.55491665092036</v>
      </c>
      <c r="V8">
        <f>COUNTIF(Table4[Locked Correct],"")</f>
        <v>852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0.20241790420125966</v>
      </c>
      <c r="H9" t="s">
        <v>10</v>
      </c>
      <c r="I9">
        <f>VLOOKUP(Table4[[#This Row],[Visitor]],'NHL Model'!$A$6:$B$38,2,FALSE)</f>
        <v>-0.25852364135215161</v>
      </c>
      <c r="J9">
        <f>($B$1+Table4[[#This Row],[Home Differential]])-Table4[[#This Row],[Away Differential]]</f>
        <v>0.54800969043095427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0.65750614130170626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0.1173020432460468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-0.35383832279900912</v>
      </c>
      <c r="H10" t="s">
        <v>15</v>
      </c>
      <c r="I10">
        <f>VLOOKUP(Table4[[#This Row],[Visitor]],'NHL Model'!$A$6:$B$38,2,FALSE)</f>
        <v>0.1651103738530684</v>
      </c>
      <c r="J10">
        <f>($B$1+Table4[[#This Row],[Home Differential]])-Table4[[#This Row],[Away Differential]]</f>
        <v>-0.43188055177453455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0.60252849953990784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0.15798359367799705</v>
      </c>
      <c r="O10">
        <v>2.893763878885032E-2</v>
      </c>
      <c r="P10" s="11"/>
      <c r="Q10" t="s">
        <v>23</v>
      </c>
      <c r="R10" t="s">
        <v>249</v>
      </c>
      <c r="T10">
        <v>0.10652658523389838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0.48797916660265073</v>
      </c>
      <c r="H11" t="s">
        <v>24</v>
      </c>
      <c r="I11">
        <f>VLOOKUP(Table4[[#This Row],[Visitor]],'NHL Model'!$A$6:$B$38,2,FALSE)</f>
        <v>-2.9769404338063311E-4</v>
      </c>
      <c r="J11">
        <f>($B$1+Table4[[#This Row],[Home Differential]])-Table4[[#This Row],[Away Differential]]</f>
        <v>0.57534500552357437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0.62378953876980481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0.1415343111390362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1.7072432657355574</v>
      </c>
      <c r="H12" t="s">
        <v>55</v>
      </c>
      <c r="I12">
        <f>VLOOKUP(Table4[[#This Row],[Visitor]],'NHL Model'!$A$6:$B$38,2,FALSE)</f>
        <v>0.16928148250244404</v>
      </c>
      <c r="J12">
        <f>($B$1+Table4[[#This Row],[Home Differential]])-Table4[[#This Row],[Away Differential]]</f>
        <v>1.6250299281106564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0.82092985498668281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3.2066116835090447E-2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-0.47317909800770142</v>
      </c>
      <c r="H13" t="s">
        <v>18</v>
      </c>
      <c r="I13">
        <f>VLOOKUP(Table4[[#This Row],[Visitor]],'NHL Model'!$A$6:$B$38,2,FALSE)</f>
        <v>-0.31732900620087529</v>
      </c>
      <c r="J13">
        <f>($B$1+Table4[[#This Row],[Home Differential]])-Table4[[#This Row],[Away Differential]]</f>
        <v>-6.8781946929283133E-2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0.5297760855239525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0.22111052974517723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-0.10214397920743352</v>
      </c>
      <c r="H14" t="s">
        <v>27</v>
      </c>
      <c r="I14">
        <f>VLOOKUP(Table4[[#This Row],[Visitor]],'NHL Model'!$A$6:$B$38,2,FALSE)</f>
        <v>7.060370405735697E-2</v>
      </c>
      <c r="J14">
        <f>($B$1+Table4[[#This Row],[Home Differential]])-Table4[[#This Row],[Away Differential]]</f>
        <v>-8.5679538387247497E-2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0.50453999268550742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0.25456060421909188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-0.88005793547499611</v>
      </c>
      <c r="H15" t="s">
        <v>28</v>
      </c>
      <c r="I15">
        <f>VLOOKUP(Table4[[#This Row],[Visitor]],'NHL Model'!$A$6:$B$38,2,FALSE)</f>
        <v>-0.25582283032518105</v>
      </c>
      <c r="J15">
        <f>($B$1+Table4[[#This Row],[Home Differential]])-Table4[[#This Row],[Away Differential]]</f>
        <v>-0.53716696027227206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0.51722256197827832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0.26751917861937397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0.25731150832780025</v>
      </c>
      <c r="H16" t="s">
        <v>30</v>
      </c>
      <c r="I16">
        <f>VLOOKUP(Table4[[#This Row],[Visitor]],'NHL Model'!$A$6:$B$38,2,FALSE)</f>
        <v>0.30302134926393393</v>
      </c>
      <c r="J16">
        <f>($B$1+Table4[[#This Row],[Home Differential]])-Table4[[#This Row],[Away Differential]]</f>
        <v>4.1358303941409325E-2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0.47808996941625975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0.27239008002392073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-0.52701775861642253</v>
      </c>
      <c r="H17" t="s">
        <v>31</v>
      </c>
      <c r="I17">
        <f>VLOOKUP(Table4[[#This Row],[Visitor]],'NHL Model'!$A$6:$B$38,2,FALSE)</f>
        <v>0.44031772420389576</v>
      </c>
      <c r="J17">
        <f>($B$1+Table4[[#This Row],[Home Differential]])-Table4[[#This Row],[Away Differential]]</f>
        <v>-0.88026733794277523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0.5745411043732086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0.33009748061438615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-0.25672436988374864</v>
      </c>
      <c r="H18" t="s">
        <v>20</v>
      </c>
      <c r="I18">
        <f>VLOOKUP(Table4[[#This Row],[Visitor]],'NHL Model'!$A$6:$B$38,2,FALSE)</f>
        <v>0.22444955994982585</v>
      </c>
      <c r="J18">
        <f>($B$1+Table4[[#This Row],[Home Differential]])-Table4[[#This Row],[Away Differential]]</f>
        <v>-0.39410578495603149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0.54126947673052228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0.21043369297908884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-0.95834101872668032</v>
      </c>
      <c r="H19" t="s">
        <v>34</v>
      </c>
      <c r="I19">
        <f>VLOOKUP(Table4[[#This Row],[Visitor]],'NHL Model'!$A$6:$B$38,2,FALSE)</f>
        <v>4.4994204383705286E-2</v>
      </c>
      <c r="J19">
        <f>($B$1+Table4[[#This Row],[Home Differential]])-Table4[[#This Row],[Away Differential]]</f>
        <v>-0.91626707823284259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0.57837603377561664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0.17776676889477996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0.66951981565543606</v>
      </c>
      <c r="H20" t="s">
        <v>36</v>
      </c>
      <c r="I20">
        <f>VLOOKUP(Table4[[#This Row],[Visitor]],'NHL Model'!$A$6:$B$38,2,FALSE)</f>
        <v>-0.17962977873499933</v>
      </c>
      <c r="J20">
        <f>($B$1+Table4[[#This Row],[Home Differential]])-Table4[[#This Row],[Away Differential]]</f>
        <v>0.93621773926797835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0.6361559198592206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0.40469435437193108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-0.59313840141656504</v>
      </c>
      <c r="H21" t="s">
        <v>16</v>
      </c>
      <c r="I21">
        <f>VLOOKUP(Table4[[#This Row],[Visitor]],'NHL Model'!$A$6:$B$38,2,FALSE)</f>
        <v>-0.65802650867783552</v>
      </c>
      <c r="J21">
        <f>($B$1+Table4[[#This Row],[Home Differential]])-Table4[[#This Row],[Away Differential]]</f>
        <v>0.15195625213881347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0.55618738064528905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0.19696964109848955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-9.7143783320053662E-2</v>
      </c>
      <c r="H22" t="s">
        <v>39</v>
      </c>
      <c r="I22">
        <f>VLOOKUP(Table4[[#This Row],[Visitor]],'NHL Model'!$A$6:$B$38,2,FALSE)</f>
        <v>0.86540791565538033</v>
      </c>
      <c r="J22">
        <f>($B$1+Table4[[#This Row],[Home Differential]])-Table4[[#This Row],[Away Differential]]</f>
        <v>-0.87548355409789103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0.62659560677981863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0.13943084087613183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0.20241790420125966</v>
      </c>
      <c r="H23" t="s">
        <v>23</v>
      </c>
      <c r="I23">
        <f>VLOOKUP(Table4[[#This Row],[Visitor]],'NHL Model'!$A$6:$B$38,2,FALSE)</f>
        <v>-0.35383832279900912</v>
      </c>
      <c r="J23">
        <f>($B$1+Table4[[#This Row],[Home Differential]])-Table4[[#This Row],[Away Differential]]</f>
        <v>0.64332437187781177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0.66765968883889681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0.11045008242265889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0.48797916660265073</v>
      </c>
      <c r="H24" t="s">
        <v>27</v>
      </c>
      <c r="I24">
        <f>VLOOKUP(Table4[[#This Row],[Visitor]],'NHL Model'!$A$6:$B$38,2,FALSE)</f>
        <v>7.060370405735697E-2</v>
      </c>
      <c r="J24">
        <f>($B$1+Table4[[#This Row],[Home Differential]])-Table4[[#This Row],[Away Differential]]</f>
        <v>0.50444360742283678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0.57754617875134773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0.17846723108758825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-0.65802650867783552</v>
      </c>
      <c r="H25" t="s">
        <v>35</v>
      </c>
      <c r="I25">
        <f>VLOOKUP(Table4[[#This Row],[Visitor]],'NHL Model'!$A$6:$B$38,2,FALSE)</f>
        <v>-0.95834101872668032</v>
      </c>
      <c r="J25">
        <f>($B$1+Table4[[#This Row],[Home Differential]])-Table4[[#This Row],[Away Differential]]</f>
        <v>0.38738265492638779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0.58126655140814976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0.33787080378592321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-0.25852364135215161</v>
      </c>
      <c r="H26" t="s">
        <v>18</v>
      </c>
      <c r="I26">
        <f>VLOOKUP(Table4[[#This Row],[Visitor]],'NHL Model'!$A$6:$B$38,2,FALSE)</f>
        <v>-0.31732900620087529</v>
      </c>
      <c r="J26">
        <f>($B$1+Table4[[#This Row],[Home Differential]])-Table4[[#This Row],[Away Differential]]</f>
        <v>0.14587350972626667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0.48291623775936687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0.23320809269166135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1.7072432657355574</v>
      </c>
      <c r="H27" t="s">
        <v>39</v>
      </c>
      <c r="I27">
        <f>VLOOKUP(Table4[[#This Row],[Visitor]],'NHL Model'!$A$6:$B$38,2,FALSE)</f>
        <v>0.86540791565538033</v>
      </c>
      <c r="J27">
        <f>($B$1+Table4[[#This Row],[Home Differential]])-Table4[[#This Row],[Away Differential]]</f>
        <v>0.92890349495772007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0.65827495122798485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0.43332591141420584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-0.47317909800770142</v>
      </c>
      <c r="H28" t="s">
        <v>19</v>
      </c>
      <c r="I28">
        <f>VLOOKUP(Table4[[#This Row],[Visitor]],'NHL Model'!$A$6:$B$38,2,FALSE)</f>
        <v>-6.3531358246322375E-2</v>
      </c>
      <c r="J28">
        <f>($B$1+Table4[[#This Row],[Home Differential]])-Table4[[#This Row],[Away Differential]]</f>
        <v>-0.32257959488383603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0.48424105332035633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0.23448939772080818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-0.19871596400308536</v>
      </c>
      <c r="H29" t="s">
        <v>38</v>
      </c>
      <c r="I29">
        <f>VLOOKUP(Table4[[#This Row],[Visitor]],'NHL Model'!$A$6:$B$38,2,FALSE)</f>
        <v>-0.59313840141656504</v>
      </c>
      <c r="J29">
        <f>($B$1+Table4[[#This Row],[Home Differential]])-Table4[[#This Row],[Away Differential]]</f>
        <v>0.48149058229102271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0.61039697886364808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0.15179051407857269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-0.10214397920743352</v>
      </c>
      <c r="H30" t="s">
        <v>36</v>
      </c>
      <c r="I30">
        <f>VLOOKUP(Table4[[#This Row],[Visitor]],'NHL Model'!$A$6:$B$38,2,FALSE)</f>
        <v>-0.17962977873499933</v>
      </c>
      <c r="J30">
        <f>($B$1+Table4[[#This Row],[Home Differential]])-Table4[[#This Row],[Away Differential]]</f>
        <v>0.16455394440510879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0.56100763065381032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0.19271430034418141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4.4994204383705286E-2</v>
      </c>
      <c r="H31" t="s">
        <v>28</v>
      </c>
      <c r="I31">
        <f>VLOOKUP(Table4[[#This Row],[Visitor]],'NHL Model'!$A$6:$B$38,2,FALSE)</f>
        <v>-0.25582283032518105</v>
      </c>
      <c r="J31">
        <f>($B$1+Table4[[#This Row],[Home Differential]])-Table4[[#This Row],[Away Differential]]</f>
        <v>0.38788517958642932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0.58132008364417975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0.33793303964807614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-0.88005793547499611</v>
      </c>
      <c r="H32" t="s">
        <v>55</v>
      </c>
      <c r="I32">
        <f>VLOOKUP(Table4[[#This Row],[Visitor]],'NHL Model'!$A$6:$B$38,2,FALSE)</f>
        <v>0.16928148250244404</v>
      </c>
      <c r="J32">
        <f>($B$1+Table4[[#This Row],[Home Differential]])-Table4[[#This Row],[Away Differential]]</f>
        <v>-0.96227127309989713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0.56250747279200808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0.19139971136283554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0.30302134926393393</v>
      </c>
      <c r="H33" t="s">
        <v>22</v>
      </c>
      <c r="I33">
        <f>VLOOKUP(Table4[[#This Row],[Visitor]],'NHL Model'!$A$6:$B$38,2,FALSE)</f>
        <v>0.96536026973954592</v>
      </c>
      <c r="J33">
        <f>($B$1+Table4[[#This Row],[Home Differential]])-Table4[[#This Row],[Away Differential]]</f>
        <v>-0.57527077559806905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0.57542044879003829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0.18026779530565251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0.25731150832780025</v>
      </c>
      <c r="H34" t="s">
        <v>15</v>
      </c>
      <c r="I34">
        <f>VLOOKUP(Table4[[#This Row],[Visitor]],'NHL Model'!$A$6:$B$38,2,FALSE)</f>
        <v>0.1651103738530684</v>
      </c>
      <c r="J34">
        <f>($B$1+Table4[[#This Row],[Home Differential]])-Table4[[#This Row],[Away Differential]]</f>
        <v>0.17926927935227485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0.45252470620639962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0.20477860972718828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-0.52701775861642253</v>
      </c>
      <c r="H35" t="s">
        <v>20</v>
      </c>
      <c r="I35">
        <f>VLOOKUP(Table4[[#This Row],[Visitor]],'NHL Model'!$A$6:$B$38,2,FALSE)</f>
        <v>0.22444955994982585</v>
      </c>
      <c r="J35">
        <f>($B$1+Table4[[#This Row],[Home Differential]])-Table4[[#This Row],[Away Differential]]</f>
        <v>-0.66439917368870538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0.57006290844351271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0.32497171958307675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-0.25672436988374864</v>
      </c>
      <c r="H36" t="s">
        <v>31</v>
      </c>
      <c r="I36">
        <f>VLOOKUP(Table4[[#This Row],[Visitor]],'NHL Model'!$A$6:$B$38,2,FALSE)</f>
        <v>0.44031772420389576</v>
      </c>
      <c r="J36">
        <f>($B$1+Table4[[#This Row],[Home Differential]])-Table4[[#This Row],[Away Differential]]</f>
        <v>-0.6099739492101014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0.54574767266021817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0.20634517689360829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0.66951981565543606</v>
      </c>
      <c r="H37" t="s">
        <v>24</v>
      </c>
      <c r="I37">
        <f>VLOOKUP(Table4[[#This Row],[Visitor]],'NHL Model'!$A$6:$B$38,2,FALSE)</f>
        <v>-2.9769404338063311E-4</v>
      </c>
      <c r="J37">
        <f>($B$1+Table4[[#This Row],[Home Differential]])-Table4[[#This Row],[Away Differential]]</f>
        <v>0.7568856545763597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0.61705228525414613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0.38075352273736413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-9.7143783320053662E-2</v>
      </c>
      <c r="H38" t="s">
        <v>13</v>
      </c>
      <c r="I38">
        <f>VLOOKUP(Table4[[#This Row],[Visitor]],'NHL Model'!$A$6:$B$38,2,FALSE)</f>
        <v>8.443955887089849E-2</v>
      </c>
      <c r="J38">
        <f>($B$1+Table4[[#This Row],[Home Differential]])-Table4[[#This Row],[Away Differential]]</f>
        <v>-9.4515197313409155E-2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0.51711063474363239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0.26740340856496236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0.1651103738530684</v>
      </c>
      <c r="H39" t="s">
        <v>22</v>
      </c>
      <c r="I39">
        <f>VLOOKUP(Table4[[#This Row],[Visitor]],'NHL Model'!$A$6:$B$38,2,FALSE)</f>
        <v>0.96536026973954592</v>
      </c>
      <c r="J39">
        <f>($B$1+Table4[[#This Row],[Home Differential]])-Table4[[#This Row],[Away Differential]]</f>
        <v>-0.71318175100893455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0.59011163406683398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0.16800847252736101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0.20241790420125966</v>
      </c>
      <c r="H40" t="s">
        <v>37</v>
      </c>
      <c r="I40">
        <f>VLOOKUP(Table4[[#This Row],[Visitor]],'NHL Model'!$A$6:$B$38,2,FALSE)</f>
        <v>0.66951981565543606</v>
      </c>
      <c r="J40">
        <f>($B$1+Table4[[#This Row],[Home Differential]])-Table4[[#This Row],[Away Differential]]</f>
        <v>-0.3800337665766334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0.51280842267421767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0.23735563301718374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-0.35383832279900912</v>
      </c>
      <c r="H41" t="s">
        <v>12</v>
      </c>
      <c r="I41">
        <f>VLOOKUP(Table4[[#This Row],[Visitor]],'NHL Model'!$A$6:$B$38,2,FALSE)</f>
        <v>1.7072432657355574</v>
      </c>
      <c r="J41">
        <f>($B$1+Table4[[#This Row],[Home Differential]])-Table4[[#This Row],[Away Differential]]</f>
        <v>-1.9740134436570236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0.73660070083227536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6.9379190802048504E-2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-0.25582283032518105</v>
      </c>
      <c r="H42" t="s">
        <v>24</v>
      </c>
      <c r="I42">
        <f>VLOOKUP(Table4[[#This Row],[Visitor]],'NHL Model'!$A$6:$B$38,2,FALSE)</f>
        <v>-2.9769404338063311E-4</v>
      </c>
      <c r="J42">
        <f>($B$1+Table4[[#This Row],[Home Differential]])-Table4[[#This Row],[Away Differential]]</f>
        <v>-0.16845699140425743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0.48152130699346901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0.26882015510176066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-0.25852364135215161</v>
      </c>
      <c r="H43" t="s">
        <v>55</v>
      </c>
      <c r="I43">
        <f>VLOOKUP(Table4[[#This Row],[Visitor]],'NHL Model'!$A$6:$B$38,2,FALSE)</f>
        <v>0.16928148250244404</v>
      </c>
      <c r="J43">
        <f>($B$1+Table4[[#This Row],[Home Differential]])-Table4[[#This Row],[Away Differential]]</f>
        <v>-0.34073697897705268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0.49629754683334004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0.24631125499279136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4.4994204383705286E-2</v>
      </c>
      <c r="H44" t="s">
        <v>13</v>
      </c>
      <c r="I44">
        <f>VLOOKUP(Table4[[#This Row],[Visitor]],'NHL Model'!$A$6:$B$38,2,FALSE)</f>
        <v>8.443955887089849E-2</v>
      </c>
      <c r="J44">
        <f>($B$1+Table4[[#This Row],[Home Differential]])-Table4[[#This Row],[Away Differential]]</f>
        <v>4.7622790390349778E-2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0.47875730376590941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0.27169394837738442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0.30302134926393393</v>
      </c>
      <c r="H45" t="s">
        <v>40</v>
      </c>
      <c r="I45">
        <f>VLOOKUP(Table4[[#This Row],[Visitor]],'NHL Model'!$A$6:$B$38,2,FALSE)</f>
        <v>-9.7143783320053662E-2</v>
      </c>
      <c r="J45">
        <f>($B$1+Table4[[#This Row],[Home Differential]])-Table4[[#This Row],[Away Differential]]</f>
        <v>0.48723327746153056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0.59190329726029745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0.35034951330761205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-0.17962977873499933</v>
      </c>
      <c r="H46" t="s">
        <v>29</v>
      </c>
      <c r="I46">
        <f>VLOOKUP(Table4[[#This Row],[Visitor]],'NHL Model'!$A$6:$B$38,2,FALSE)</f>
        <v>-0.88005793547499611</v>
      </c>
      <c r="J46">
        <f>($B$1+Table4[[#This Row],[Home Differential]])-Table4[[#This Row],[Away Differential]]</f>
        <v>0.78749630161753981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0.62388929189564069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0.38923784854204396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7.060370405735697E-2</v>
      </c>
      <c r="H47" t="s">
        <v>11</v>
      </c>
      <c r="I47">
        <f>VLOOKUP(Table4[[#This Row],[Visitor]],'NHL Model'!$A$6:$B$38,2,FALSE)</f>
        <v>-0.10214397920743352</v>
      </c>
      <c r="J47">
        <f>($B$1+Table4[[#This Row],[Home Differential]])-Table4[[#This Row],[Away Differential]]</f>
        <v>0.2598158281423335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0.57779954235047326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0.17825322643946981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-6.3531358246322375E-2</v>
      </c>
      <c r="H48" t="s">
        <v>26</v>
      </c>
      <c r="I48">
        <f>VLOOKUP(Table4[[#This Row],[Visitor]],'NHL Model'!$A$6:$B$38,2,FALSE)</f>
        <v>-0.47317909800770142</v>
      </c>
      <c r="J48">
        <f>($B$1+Table4[[#This Row],[Home Differential]])-Table4[[#This Row],[Away Differential]]</f>
        <v>0.49671588463892202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0.59208395393446178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0.35056340850666584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-0.59313840141656504</v>
      </c>
      <c r="H49" t="s">
        <v>35</v>
      </c>
      <c r="I49">
        <f>VLOOKUP(Table4[[#This Row],[Visitor]],'NHL Model'!$A$6:$B$38,2,FALSE)</f>
        <v>-0.95834101872668032</v>
      </c>
      <c r="J49">
        <f>($B$1+Table4[[#This Row],[Home Differential]])-Table4[[#This Row],[Away Differential]]</f>
        <v>0.45227076218765827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0.58817885989698382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0.34595437122971573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0.44031772420389576</v>
      </c>
      <c r="H50" t="s">
        <v>14</v>
      </c>
      <c r="I50">
        <f>VLOOKUP(Table4[[#This Row],[Visitor]],'NHL Model'!$A$6:$B$38,2,FALSE)</f>
        <v>0.25731150832780025</v>
      </c>
      <c r="J50">
        <f>($B$1+Table4[[#This Row],[Home Differential]])-Table4[[#This Row],[Away Differential]]</f>
        <v>0.27007436075363855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0.60771746783136571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0.15388558504463559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-0.65802650867783552</v>
      </c>
      <c r="H51" t="s">
        <v>20</v>
      </c>
      <c r="I51">
        <f>VLOOKUP(Table4[[#This Row],[Visitor]],'NHL Model'!$A$6:$B$38,2,FALSE)</f>
        <v>0.22444955994982585</v>
      </c>
      <c r="J51">
        <f>($B$1+Table4[[#This Row],[Home Differential]])-Table4[[#This Row],[Away Differential]]</f>
        <v>-0.79540792375011837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0.58401882322331633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0.17304033943251454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0.86540791565538033</v>
      </c>
      <c r="H52" t="s">
        <v>34</v>
      </c>
      <c r="I52">
        <f>VLOOKUP(Table4[[#This Row],[Visitor]],'NHL Model'!$A$6:$B$38,2,FALSE)</f>
        <v>4.4994204383705286E-2</v>
      </c>
      <c r="J52">
        <f>($B$1+Table4[[#This Row],[Home Differential]])-Table4[[#This Row],[Away Differential]]</f>
        <v>0.90748185614921806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0.66809951472586748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0.11015793212520465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-0.31732900620087529</v>
      </c>
      <c r="H53" t="s">
        <v>32</v>
      </c>
      <c r="I53">
        <f>VLOOKUP(Table4[[#This Row],[Visitor]],'NHL Model'!$A$6:$B$38,2,FALSE)</f>
        <v>-0.52701775861642253</v>
      </c>
      <c r="J53">
        <f>($B$1+Table4[[#This Row],[Home Differential]])-Table4[[#This Row],[Away Differential]]</f>
        <v>0.29675689729309024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0.57161249891323962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0.18351585108735913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0.1651103738530684</v>
      </c>
      <c r="H54" t="s">
        <v>17</v>
      </c>
      <c r="I54">
        <f>VLOOKUP(Table4[[#This Row],[Visitor]],'NHL Model'!$A$6:$B$38,2,FALSE)</f>
        <v>-0.19871596400308536</v>
      </c>
      <c r="J54">
        <f>($B$1+Table4[[#This Row],[Home Differential]])-Table4[[#This Row],[Away Differential]]</f>
        <v>0.4508944827336967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0.58803224954642574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0.34578192650662992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-0.25672436988374864</v>
      </c>
      <c r="H55" t="s">
        <v>25</v>
      </c>
      <c r="I55">
        <f>VLOOKUP(Table4[[#This Row],[Visitor]],'NHL Model'!$A$6:$B$38,2,FALSE)</f>
        <v>0.48797916660265073</v>
      </c>
      <c r="J55">
        <f>($B$1+Table4[[#This Row],[Home Differential]])-Table4[[#This Row],[Away Differential]]</f>
        <v>-0.65763539160885642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0.60267882170490528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0.15786411872180245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-6.3531358246322375E-2</v>
      </c>
      <c r="H56" t="s">
        <v>29</v>
      </c>
      <c r="I56">
        <f>VLOOKUP(Table4[[#This Row],[Visitor]],'NHL Model'!$A$6:$B$38,2,FALSE)</f>
        <v>-0.88005793547499611</v>
      </c>
      <c r="J56">
        <f>($B$1+Table4[[#This Row],[Home Differential]])-Table4[[#This Row],[Away Differential]]</f>
        <v>0.90359472210621672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0.63625686018134864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0.13230907176513096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0.96536026973954592</v>
      </c>
      <c r="H57" t="s">
        <v>37</v>
      </c>
      <c r="I57">
        <f>VLOOKUP(Table4[[#This Row],[Visitor]],'NHL Model'!$A$6:$B$38,2,FALSE)</f>
        <v>0.66951981565543606</v>
      </c>
      <c r="J57">
        <f>($B$1+Table4[[#This Row],[Home Differential]])-Table4[[#This Row],[Away Differential]]</f>
        <v>0.38290859896165297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0.54466591449632917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0.20732912942146423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-0.35383832279900912</v>
      </c>
      <c r="H58" t="s">
        <v>36</v>
      </c>
      <c r="I58">
        <f>VLOOKUP(Table4[[#This Row],[Visitor]],'NHL Model'!$A$6:$B$38,2,FALSE)</f>
        <v>-0.17962977873499933</v>
      </c>
      <c r="J58">
        <f>($B$1+Table4[[#This Row],[Home Differential]])-Table4[[#This Row],[Away Differential]]</f>
        <v>-8.7140399186466794E-2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0.46272406470781174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0.21411356005971915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-0.47317909800770142</v>
      </c>
      <c r="H59" t="s">
        <v>11</v>
      </c>
      <c r="I59">
        <f>VLOOKUP(Table4[[#This Row],[Visitor]],'NHL Model'!$A$6:$B$38,2,FALSE)</f>
        <v>-0.10214397920743352</v>
      </c>
      <c r="J59">
        <f>($B$1+Table4[[#This Row],[Home Differential]])-Table4[[#This Row],[Away Differential]]</f>
        <v>-0.28396697392272491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0.48012778266243833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0.23052268768434961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-0.95834101872668032</v>
      </c>
      <c r="H60" t="s">
        <v>10</v>
      </c>
      <c r="I60">
        <f>VLOOKUP(Table4[[#This Row],[Visitor]],'NHL Model'!$A$6:$B$38,2,FALSE)</f>
        <v>-0.25852364135215161</v>
      </c>
      <c r="J60">
        <f>($B$1+Table4[[#This Row],[Home Differential]])-Table4[[#This Row],[Away Differential]]</f>
        <v>-0.61274923249698565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0.52527408334259595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0.22536469594621253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0.16928148250244404</v>
      </c>
      <c r="H61" t="s">
        <v>16</v>
      </c>
      <c r="I61">
        <f>VLOOKUP(Table4[[#This Row],[Visitor]],'NHL Model'!$A$6:$B$38,2,FALSE)</f>
        <v>-0.65802650867783552</v>
      </c>
      <c r="J61">
        <f>($B$1+Table4[[#This Row],[Home Differential]])-Table4[[#This Row],[Away Differential]]</f>
        <v>0.91437613605782253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0.67783654483970901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0.10378929184081682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0.44031772420389576</v>
      </c>
      <c r="H62" t="s">
        <v>25</v>
      </c>
      <c r="I62">
        <f>VLOOKUP(Table4[[#This Row],[Visitor]],'NHL Model'!$A$6:$B$38,2,FALSE)</f>
        <v>0.48797916660265073</v>
      </c>
      <c r="J62">
        <f>($B$1+Table4[[#This Row],[Home Differential]])-Table4[[#This Row],[Away Differential]]</f>
        <v>3.940670247878808E-2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0.54792409719183821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0.30022081628349095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-0.25582283032518105</v>
      </c>
      <c r="H63" t="s">
        <v>12</v>
      </c>
      <c r="I63">
        <f>VLOOKUP(Table4[[#This Row],[Visitor]],'NHL Model'!$A$6:$B$38,2,FALSE)</f>
        <v>1.7072432657355574</v>
      </c>
      <c r="J63">
        <f>($B$1+Table4[[#This Row],[Home Differential]])-Table4[[#This Row],[Away Differential]]</f>
        <v>-1.8759979511831955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0.73632434234061428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6.9524852442109569E-2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0.86540791565538033</v>
      </c>
      <c r="H64" t="s">
        <v>38</v>
      </c>
      <c r="I64">
        <f>VLOOKUP(Table4[[#This Row],[Visitor]],'NHL Model'!$A$6:$B$38,2,FALSE)</f>
        <v>-0.59313840141656504</v>
      </c>
      <c r="J64">
        <f>($B$1+Table4[[#This Row],[Home Differential]])-Table4[[#This Row],[Away Differential]]</f>
        <v>1.5456144619494885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0.7563650070509691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0.57208802389121249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8.443955887089849E-2</v>
      </c>
      <c r="H65" t="s">
        <v>14</v>
      </c>
      <c r="I65">
        <f>VLOOKUP(Table4[[#This Row],[Visitor]],'NHL Model'!$A$6:$B$38,2,FALSE)</f>
        <v>0.25731150832780025</v>
      </c>
      <c r="J65">
        <f>($B$1+Table4[[#This Row],[Home Differential]])-Table4[[#This Row],[Away Differential]]</f>
        <v>-8.5803804579358767E-2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0.50603479623980407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0.24400162252585189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-0.31732900620087529</v>
      </c>
      <c r="H66" t="s">
        <v>29</v>
      </c>
      <c r="I66">
        <f>VLOOKUP(Table4[[#This Row],[Visitor]],'NHL Model'!$A$6:$B$38,2,FALSE)</f>
        <v>-0.88005793547499611</v>
      </c>
      <c r="J66">
        <f>($B$1+Table4[[#This Row],[Home Differential]])-Table4[[#This Row],[Away Differential]]</f>
        <v>0.64979707415166388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0.6092206634043551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0.15270848991013233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-2.9769404338063311E-4</v>
      </c>
      <c r="H67" t="s">
        <v>11</v>
      </c>
      <c r="I67">
        <f>VLOOKUP(Table4[[#This Row],[Visitor]],'NHL Model'!$A$6:$B$38,2,FALSE)</f>
        <v>-0.10214397920743352</v>
      </c>
      <c r="J67">
        <f>($B$1+Table4[[#This Row],[Home Differential]])-Table4[[#This Row],[Away Differential]]</f>
        <v>0.18891443004159589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0.6030259635378844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0.15758838562502508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0.30302134926393393</v>
      </c>
      <c r="H68" t="s">
        <v>17</v>
      </c>
      <c r="I68">
        <f>VLOOKUP(Table4[[#This Row],[Visitor]],'NHL Model'!$A$6:$B$38,2,FALSE)</f>
        <v>-0.19871596400308536</v>
      </c>
      <c r="J68">
        <f>($B$1+Table4[[#This Row],[Home Differential]])-Table4[[#This Row],[Away Differential]]</f>
        <v>0.58880545814456231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0.60272343482322133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0.15782866923865926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-0.17962977873499933</v>
      </c>
      <c r="H69" t="s">
        <v>32</v>
      </c>
      <c r="I69">
        <f>VLOOKUP(Table4[[#This Row],[Visitor]],'NHL Model'!$A$6:$B$38,2,FALSE)</f>
        <v>-0.52701775861642253</v>
      </c>
      <c r="J69">
        <f>($B$1+Table4[[#This Row],[Home Differential]])-Table4[[#This Row],[Away Differential]]</f>
        <v>0.43445612475896622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0.5862811274045252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0.1711633055416707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7.060370405735697E-2</v>
      </c>
      <c r="H70" t="s">
        <v>40</v>
      </c>
      <c r="I70">
        <f>VLOOKUP(Table4[[#This Row],[Visitor]],'NHL Model'!$A$6:$B$38,2,FALSE)</f>
        <v>-9.7143783320053662E-2</v>
      </c>
      <c r="J70">
        <f>($B$1+Table4[[#This Row],[Home Differential]])-Table4[[#This Row],[Away Differential]]</f>
        <v>0.25481563225495363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0.57726688855709007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0.33323706062438385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-6.3531358246322375E-2</v>
      </c>
      <c r="H71" t="s">
        <v>15</v>
      </c>
      <c r="I71">
        <f>VLOOKUP(Table4[[#This Row],[Visitor]],'NHL Model'!$A$6:$B$38,2,FALSE)</f>
        <v>0.1651103738530684</v>
      </c>
      <c r="J71">
        <f>($B$1+Table4[[#This Row],[Home Differential]])-Table4[[#This Row],[Away Differential]]</f>
        <v>-0.14157358722184776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0.58165358876639672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0.33832089732482856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0.22444955994982585</v>
      </c>
      <c r="H72" t="s">
        <v>21</v>
      </c>
      <c r="I72">
        <f>VLOOKUP(Table4[[#This Row],[Visitor]],'NHL Model'!$A$6:$B$38,2,FALSE)</f>
        <v>0.20241790420125966</v>
      </c>
      <c r="J72">
        <f>($B$1+Table4[[#This Row],[Home Differential]])-Table4[[#This Row],[Away Differential]]</f>
        <v>0.10909980062610919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0.5516220292103986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0.20104280468940064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-0.25852364135215161</v>
      </c>
      <c r="H73" t="s">
        <v>38</v>
      </c>
      <c r="I73">
        <f>VLOOKUP(Table4[[#This Row],[Visitor]],'NHL Model'!$A$6:$B$38,2,FALSE)</f>
        <v>-0.59313840141656504</v>
      </c>
      <c r="J73">
        <f>($B$1+Table4[[#This Row],[Home Differential]])-Table4[[#This Row],[Away Differential]]</f>
        <v>0.42168290494195643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0.58492043991497722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0.34213192103033047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-0.47317909800770142</v>
      </c>
      <c r="H74" t="s">
        <v>37</v>
      </c>
      <c r="I74">
        <f>VLOOKUP(Table4[[#This Row],[Visitor]],'NHL Model'!$A$6:$B$38,2,FALSE)</f>
        <v>0.66951981565543606</v>
      </c>
      <c r="J74">
        <f>($B$1+Table4[[#This Row],[Home Differential]])-Table4[[#This Row],[Away Differential]]</f>
        <v>-1.0556307687855946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0.63490172065840111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0.40310019489499838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0.16928148250244404</v>
      </c>
      <c r="H75" t="s">
        <v>33</v>
      </c>
      <c r="I75">
        <f>VLOOKUP(Table4[[#This Row],[Visitor]],'NHL Model'!$A$6:$B$38,2,FALSE)</f>
        <v>-0.25672436988374864</v>
      </c>
      <c r="J75">
        <f>($B$1+Table4[[#This Row],[Home Differential]])-Table4[[#This Row],[Away Differential]]</f>
        <v>0.5130739972637357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0.63508719834691507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0.1331613528103037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0.96536026973954592</v>
      </c>
      <c r="H76" t="s">
        <v>34</v>
      </c>
      <c r="I76">
        <f>VLOOKUP(Table4[[#This Row],[Visitor]],'NHL Model'!$A$6:$B$38,2,FALSE)</f>
        <v>4.4994204383705286E-2</v>
      </c>
      <c r="J76">
        <f>($B$1+Table4[[#This Row],[Home Differential]])-Table4[[#This Row],[Away Differential]]</f>
        <v>1.0074342102333838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0.66287408181952723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0.11365388470902682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-0.35383832279900912</v>
      </c>
      <c r="H77" t="s">
        <v>11</v>
      </c>
      <c r="I77">
        <f>VLOOKUP(Table4[[#This Row],[Visitor]],'NHL Model'!$A$6:$B$38,2,FALSE)</f>
        <v>-0.10214397920743352</v>
      </c>
      <c r="J77">
        <f>($B$1+Table4[[#This Row],[Home Differential]])-Table4[[#This Row],[Away Differential]]</f>
        <v>-0.16462619871403261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0.46741481740029006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0.2184766115253465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-0.25582283032518105</v>
      </c>
      <c r="H78" t="s">
        <v>37</v>
      </c>
      <c r="I78">
        <f>VLOOKUP(Table4[[#This Row],[Visitor]],'NHL Model'!$A$6:$B$38,2,FALSE)</f>
        <v>0.66951981565543606</v>
      </c>
      <c r="J78">
        <f>($B$1+Table4[[#This Row],[Home Differential]])-Table4[[#This Row],[Away Differential]]</f>
        <v>-0.83827450110307411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0.62192168919901647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0.38678658749615802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1.7072432657355574</v>
      </c>
      <c r="H79" t="s">
        <v>21</v>
      </c>
      <c r="I79">
        <f>VLOOKUP(Table4[[#This Row],[Visitor]],'NHL Model'!$A$6:$B$38,2,FALSE)</f>
        <v>0.20241790420125966</v>
      </c>
      <c r="J79">
        <f>($B$1+Table4[[#This Row],[Home Differential]])-Table4[[#This Row],[Away Differential]]</f>
        <v>1.5918935064118407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0.81739994513623748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3.3342780036249083E-2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8.443955887089849E-2</v>
      </c>
      <c r="H80" t="s">
        <v>25</v>
      </c>
      <c r="I80">
        <f>VLOOKUP(Table4[[#This Row],[Visitor]],'NHL Model'!$A$6:$B$38,2,FALSE)</f>
        <v>0.48797916660265073</v>
      </c>
      <c r="J80">
        <f>($B$1+Table4[[#This Row],[Home Differential]])-Table4[[#This Row],[Away Differential]]</f>
        <v>-0.31647146285420924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0.56633579336969164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0.18806464411229479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-0.31732900620087529</v>
      </c>
      <c r="H81" t="s">
        <v>15</v>
      </c>
      <c r="I81">
        <f>VLOOKUP(Table4[[#This Row],[Visitor]],'NHL Model'!$A$6:$B$38,2,FALSE)</f>
        <v>0.1651103738530684</v>
      </c>
      <c r="J81">
        <f>($B$1+Table4[[#This Row],[Home Differential]])-Table4[[#This Row],[Away Differential]]</f>
        <v>-0.39537123517640071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0.60868978554339037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0.15312368393807782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-2.9769404338063311E-4</v>
      </c>
      <c r="H82" t="s">
        <v>17</v>
      </c>
      <c r="I82">
        <f>VLOOKUP(Table4[[#This Row],[Visitor]],'NHL Model'!$A$6:$B$38,2,FALSE)</f>
        <v>-0.19871596400308536</v>
      </c>
      <c r="J82">
        <f>($B$1+Table4[[#This Row],[Home Differential]])-Table4[[#This Row],[Away Differential]]</f>
        <v>0.28548641483724774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0.61331344730742521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0.14952649003326743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-0.17962977873499933</v>
      </c>
      <c r="H83" t="s">
        <v>30</v>
      </c>
      <c r="I83">
        <f>VLOOKUP(Table4[[#This Row],[Visitor]],'NHL Model'!$A$6:$B$38,2,FALSE)</f>
        <v>0.30302134926393393</v>
      </c>
      <c r="J83">
        <f>($B$1+Table4[[#This Row],[Home Differential]])-Table4[[#This Row],[Away Differential]]</f>
        <v>-0.39558298312139029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0.56845589384224471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0.18623031555949596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7.060370405735697E-2</v>
      </c>
      <c r="H84" t="s">
        <v>34</v>
      </c>
      <c r="I84">
        <f>VLOOKUP(Table4[[#This Row],[Visitor]],'NHL Model'!$A$6:$B$38,2,FALSE)</f>
        <v>4.4994204383705286E-2</v>
      </c>
      <c r="J84">
        <f>($B$1+Table4[[#This Row],[Home Differential]])-Table4[[#This Row],[Away Differential]]</f>
        <v>0.11267764455119468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0.54141492941212011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0.21030026696609078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-0.25672436988374864</v>
      </c>
      <c r="H85" t="s">
        <v>14</v>
      </c>
      <c r="I85">
        <f>VLOOKUP(Table4[[#This Row],[Visitor]],'NHL Model'!$A$6:$B$38,2,FALSE)</f>
        <v>0.25731150832780025</v>
      </c>
      <c r="J85">
        <f>($B$1+Table4[[#This Row],[Home Differential]])-Table4[[#This Row],[Away Differential]]</f>
        <v>-0.42696773333400589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0.5423778245750176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0.20941805544069336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-0.95834101872668032</v>
      </c>
      <c r="H86" t="s">
        <v>39</v>
      </c>
      <c r="I86">
        <f>VLOOKUP(Table4[[#This Row],[Visitor]],'NHL Model'!$A$6:$B$38,2,FALSE)</f>
        <v>0.86540791565538033</v>
      </c>
      <c r="J86">
        <f>($B$1+Table4[[#This Row],[Home Differential]])-Table4[[#This Row],[Away Differential]]</f>
        <v>-1.7366807895045175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0.73748886199253083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0.54388982156303822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-6.3531358246322375E-2</v>
      </c>
      <c r="H87" t="s">
        <v>32</v>
      </c>
      <c r="I87">
        <f>VLOOKUP(Table4[[#This Row],[Visitor]],'NHL Model'!$A$6:$B$38,2,FALSE)</f>
        <v>-0.52701775861642253</v>
      </c>
      <c r="J87">
        <f>($B$1+Table4[[#This Row],[Home Differential]])-Table4[[#This Row],[Away Differential]]</f>
        <v>0.55055454524764313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0.59864869569023327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0.3583802608516175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0.22444955994982585</v>
      </c>
      <c r="H88" t="s">
        <v>16</v>
      </c>
      <c r="I88">
        <f>VLOOKUP(Table4[[#This Row],[Visitor]],'NHL Model'!$A$6:$B$38,2,FALSE)</f>
        <v>-0.65802650867783552</v>
      </c>
      <c r="J88">
        <f>($B$1+Table4[[#This Row],[Home Differential]])-Table4[[#This Row],[Away Differential]]</f>
        <v>0.96954421350520437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0.64328223429799514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0.12724756436743043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-9.7143783320053662E-2</v>
      </c>
      <c r="H89" t="s">
        <v>29</v>
      </c>
      <c r="I89">
        <f>VLOOKUP(Table4[[#This Row],[Visitor]],'NHL Model'!$A$6:$B$38,2,FALSE)</f>
        <v>-0.88005793547499611</v>
      </c>
      <c r="J89">
        <f>($B$1+Table4[[#This Row],[Home Differential]])-Table4[[#This Row],[Away Differential]]</f>
        <v>0.86998229703248542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0.65178167462671788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0.12125600212577298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-0.25852364135215161</v>
      </c>
      <c r="H90" t="s">
        <v>31</v>
      </c>
      <c r="I90">
        <f>VLOOKUP(Table4[[#This Row],[Visitor]],'NHL Model'!$A$6:$B$38,2,FALSE)</f>
        <v>0.44031772420389576</v>
      </c>
      <c r="J90">
        <f>($B$1+Table4[[#This Row],[Home Differential]])-Table4[[#This Row],[Away Differential]]</f>
        <v>-0.61177322067850437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0.54593934290565593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0.29804976613225936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-0.47317909800770142</v>
      </c>
      <c r="H91" t="s">
        <v>17</v>
      </c>
      <c r="I91">
        <f>VLOOKUP(Table4[[#This Row],[Visitor]],'NHL Model'!$A$6:$B$38,2,FALSE)</f>
        <v>-0.19871596400308536</v>
      </c>
      <c r="J91">
        <f>($B$1+Table4[[#This Row],[Home Differential]])-Table4[[#This Row],[Away Differential]]</f>
        <v>-0.18739498912707306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0.46984029889289758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0.22074990646376733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0.16928148250244404</v>
      </c>
      <c r="H92" t="s">
        <v>21</v>
      </c>
      <c r="I92">
        <f>VLOOKUP(Table4[[#This Row],[Visitor]],'NHL Model'!$A$6:$B$38,2,FALSE)</f>
        <v>0.20241790420125966</v>
      </c>
      <c r="J92">
        <f>($B$1+Table4[[#This Row],[Home Differential]])-Table4[[#This Row],[Away Differential]]</f>
        <v>5.3931723178727353E-2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0.58617633975211247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0.17125002178095905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0.96536026973954592</v>
      </c>
      <c r="H93" t="s">
        <v>38</v>
      </c>
      <c r="I93">
        <f>VLOOKUP(Table4[[#This Row],[Visitor]],'NHL Model'!$A$6:$B$38,2,FALSE)</f>
        <v>-0.59313840141656504</v>
      </c>
      <c r="J93">
        <f>($B$1+Table4[[#This Row],[Home Differential]])-Table4[[#This Row],[Away Differential]]</f>
        <v>1.6455668160336541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0.75133348004573086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0.5645019982376287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-0.65802650867783552</v>
      </c>
      <c r="H94" t="s">
        <v>40</v>
      </c>
      <c r="I94">
        <f>VLOOKUP(Table4[[#This Row],[Visitor]],'NHL Model'!$A$6:$B$38,2,FALSE)</f>
        <v>-9.7143783320053662E-2</v>
      </c>
      <c r="J94">
        <f>($B$1+Table4[[#This Row],[Home Differential]])-Table4[[#This Row],[Away Differential]]</f>
        <v>-0.47381458048023883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0.51047384929259199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0.23963585222641196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-0.31732900620087529</v>
      </c>
      <c r="H95" t="s">
        <v>23</v>
      </c>
      <c r="I95">
        <f>VLOOKUP(Table4[[#This Row],[Visitor]],'NHL Model'!$A$6:$B$38,2,FALSE)</f>
        <v>-0.35383832279900912</v>
      </c>
      <c r="J95">
        <f>($B$1+Table4[[#This Row],[Home Differential]])-Table4[[#This Row],[Away Differential]]</f>
        <v>0.12357746147567683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0.55316428498287751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0.19966215621486311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0.1651103738530684</v>
      </c>
      <c r="H96" t="s">
        <v>34</v>
      </c>
      <c r="I96">
        <f>VLOOKUP(Table4[[#This Row],[Visitor]],'NHL Model'!$A$6:$B$38,2,FALSE)</f>
        <v>4.4994204383705286E-2</v>
      </c>
      <c r="J96">
        <f>($B$1+Table4[[#This Row],[Home Differential]])-Table4[[#This Row],[Away Differential]]</f>
        <v>0.2071843143469061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0.54130140675217175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0.29300721295188009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7.060370405735697E-2</v>
      </c>
      <c r="H97" t="s">
        <v>32</v>
      </c>
      <c r="I97">
        <f>VLOOKUP(Table4[[#This Row],[Visitor]],'NHL Model'!$A$6:$B$38,2,FALSE)</f>
        <v>-0.52701775861642253</v>
      </c>
      <c r="J97">
        <f>($B$1+Table4[[#This Row],[Home Differential]])-Table4[[#This Row],[Away Differential]]</f>
        <v>0.68468960755132247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0.62305989522633354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0.14208384258678264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0.22444955994982585</v>
      </c>
      <c r="H98" t="s">
        <v>25</v>
      </c>
      <c r="I98">
        <f>VLOOKUP(Table4[[#This Row],[Visitor]],'NHL Model'!$A$6:$B$38,2,FALSE)</f>
        <v>0.48797916660265073</v>
      </c>
      <c r="J98">
        <f>($B$1+Table4[[#This Row],[Home Differential]])-Table4[[#This Row],[Away Differential]]</f>
        <v>-0.17646146177528188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0.55142100605615907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0.30406512591998663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0.20241790420125966</v>
      </c>
      <c r="H99" t="s">
        <v>11</v>
      </c>
      <c r="I99">
        <f>VLOOKUP(Table4[[#This Row],[Visitor]],'NHL Model'!$A$6:$B$38,2,FALSE)</f>
        <v>-0.10214397920743352</v>
      </c>
      <c r="J99">
        <f>($B$1+Table4[[#This Row],[Home Differential]])-Table4[[#This Row],[Away Differential]]</f>
        <v>0.39163002828623616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0.64084754989339876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0.41068558220437223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0.86540791565538033</v>
      </c>
      <c r="H100" t="s">
        <v>28</v>
      </c>
      <c r="I100">
        <f>VLOOKUP(Table4[[#This Row],[Visitor]],'NHL Model'!$A$6:$B$38,2,FALSE)</f>
        <v>-0.25582283032518105</v>
      </c>
      <c r="J100">
        <f>($B$1+Table4[[#This Row],[Home Differential]])-Table4[[#This Row],[Away Differential]]</f>
        <v>1.2082988908581043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0.7204319311163816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0.51902216737207885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-0.88005793547499611</v>
      </c>
      <c r="H101" t="s">
        <v>31</v>
      </c>
      <c r="I101">
        <f>VLOOKUP(Table4[[#This Row],[Visitor]],'NHL Model'!$A$6:$B$38,2,FALSE)</f>
        <v>0.44031772420389576</v>
      </c>
      <c r="J101">
        <f>($B$1+Table4[[#This Row],[Home Differential]])-Table4[[#This Row],[Away Differential]]</f>
        <v>-1.2333075148013488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0.61214926886432397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0.15042818964247845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0.30302134926393393</v>
      </c>
      <c r="H102" t="s">
        <v>33</v>
      </c>
      <c r="I102">
        <f>VLOOKUP(Table4[[#This Row],[Visitor]],'NHL Model'!$A$6:$B$38,2,FALSE)</f>
        <v>-0.25672436988374864</v>
      </c>
      <c r="J102">
        <f>($B$1+Table4[[#This Row],[Home Differential]])-Table4[[#This Row],[Away Differential]]</f>
        <v>0.64681386402522556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0.60890287221655037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0.15295696336046394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-0.17962977873499933</v>
      </c>
      <c r="H103" t="s">
        <v>17</v>
      </c>
      <c r="I103">
        <f>VLOOKUP(Table4[[#This Row],[Visitor]],'NHL Model'!$A$6:$B$38,2,FALSE)</f>
        <v>-0.19871596400308536</v>
      </c>
      <c r="J103">
        <f>($B$1+Table4[[#This Row],[Home Differential]])-Table4[[#This Row],[Away Differential]]</f>
        <v>0.10615433014562903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0.55130825829820573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0.30394079566780113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0.25731150832780025</v>
      </c>
      <c r="H104" t="s">
        <v>38</v>
      </c>
      <c r="I104">
        <f>VLOOKUP(Table4[[#This Row],[Visitor]],'NHL Model'!$A$6:$B$38,2,FALSE)</f>
        <v>-0.59313840141656504</v>
      </c>
      <c r="J104">
        <f>($B$1+Table4[[#This Row],[Home Differential]])-Table4[[#This Row],[Away Differential]]</f>
        <v>0.93751805462190829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0.63987059695399939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0.12969318693826876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-0.95834101872668032</v>
      </c>
      <c r="H105" t="s">
        <v>13</v>
      </c>
      <c r="I105">
        <f>VLOOKUP(Table4[[#This Row],[Visitor]],'NHL Model'!$A$6:$B$38,2,FALSE)</f>
        <v>8.443955887089849E-2</v>
      </c>
      <c r="J105">
        <f>($B$1+Table4[[#This Row],[Home Differential]])-Table4[[#This Row],[Away Differential]]</f>
        <v>-0.95571243272003581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0.62812457139693145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0.13829133439871594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-6.3531358246322375E-2</v>
      </c>
      <c r="H106" t="s">
        <v>24</v>
      </c>
      <c r="I106">
        <f>VLOOKUP(Table4[[#This Row],[Visitor]],'NHL Model'!$A$6:$B$38,2,FALSE)</f>
        <v>-2.9769404338063311E-4</v>
      </c>
      <c r="J106">
        <f>($B$1+Table4[[#This Row],[Home Differential]])-Table4[[#This Row],[Away Differential]]</f>
        <v>2.3834480674601255E-2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0.53896284689669127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0.29048095033498628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0.16928148250244404</v>
      </c>
      <c r="H107" t="s">
        <v>12</v>
      </c>
      <c r="I107">
        <f>VLOOKUP(Table4[[#This Row],[Visitor]],'NHL Model'!$A$6:$B$38,2,FALSE)</f>
        <v>1.7072432657355574</v>
      </c>
      <c r="J107">
        <f>($B$1+Table4[[#This Row],[Home Differential]])-Table4[[#This Row],[Away Differential]]</f>
        <v>-1.4508936383555704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0.65005424032710113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0.42257051536724455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0.96536026973954592</v>
      </c>
      <c r="H108" t="s">
        <v>32</v>
      </c>
      <c r="I108">
        <f>VLOOKUP(Table4[[#This Row],[Visitor]],'NHL Model'!$A$6:$B$38,2,FALSE)</f>
        <v>-0.52701775861642253</v>
      </c>
      <c r="J108">
        <f>($B$1+Table4[[#This Row],[Home Differential]])-Table4[[#This Row],[Away Differential]]</f>
        <v>1.5794461732335114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0.74428987375476141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6.5387668664355858E-2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-0.35383832279900912</v>
      </c>
      <c r="H109" t="s">
        <v>26</v>
      </c>
      <c r="I109">
        <f>VLOOKUP(Table4[[#This Row],[Visitor]],'NHL Model'!$A$6:$B$38,2,FALSE)</f>
        <v>-0.47317909800770142</v>
      </c>
      <c r="J109">
        <f>($B$1+Table4[[#This Row],[Home Differential]])-Table4[[#This Row],[Away Differential]]</f>
        <v>0.20640892008623529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0.57128381206649048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0.18379756979624026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-0.65802650867783552</v>
      </c>
      <c r="H110" t="s">
        <v>18</v>
      </c>
      <c r="I110">
        <f>VLOOKUP(Table4[[#This Row],[Visitor]],'NHL Model'!$A$6:$B$38,2,FALSE)</f>
        <v>-0.31732900620087529</v>
      </c>
      <c r="J110">
        <f>($B$1+Table4[[#This Row],[Home Differential]])-Table4[[#This Row],[Away Differential]]</f>
        <v>-0.25362935759941724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0.55964143848798942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0.1939156626969272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-2.9769404338063311E-4</v>
      </c>
      <c r="H111" t="s">
        <v>34</v>
      </c>
      <c r="I111">
        <f>VLOOKUP(Table4[[#This Row],[Visitor]],'NHL Model'!$A$6:$B$38,2,FALSE)</f>
        <v>4.4994204383705286E-2</v>
      </c>
      <c r="J111">
        <f>($B$1+Table4[[#This Row],[Home Differential]])-Table4[[#This Row],[Away Differential]]</f>
        <v>4.1776246450457077E-2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0.56695028087825705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0.18753205923142047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0.20241790420125966</v>
      </c>
      <c r="H112" t="s">
        <v>31</v>
      </c>
      <c r="I112">
        <f>VLOOKUP(Table4[[#This Row],[Visitor]],'NHL Model'!$A$6:$B$38,2,FALSE)</f>
        <v>0.44031772420389576</v>
      </c>
      <c r="J112">
        <f>($B$1+Table4[[#This Row],[Home Differential]])-Table4[[#This Row],[Away Differential]]</f>
        <v>-0.1508316751250931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0.43712021487513225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0.31683365250221723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1.7072432657355574</v>
      </c>
      <c r="H113" t="s">
        <v>25</v>
      </c>
      <c r="I113">
        <f>VLOOKUP(Table4[[#This Row],[Visitor]],'NHL Model'!$A$6:$B$38,2,FALSE)</f>
        <v>0.48797916660265073</v>
      </c>
      <c r="J113">
        <f>($B$1+Table4[[#This Row],[Home Differential]])-Table4[[#This Row],[Away Differential]]</f>
        <v>1.3063322440104497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0.71810648155642143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0.51567691885334299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0.86540791565538033</v>
      </c>
      <c r="H114" t="s">
        <v>13</v>
      </c>
      <c r="I114">
        <f>VLOOKUP(Table4[[#This Row],[Visitor]],'NHL Model'!$A$6:$B$38,2,FALSE)</f>
        <v>8.443955887089849E-2</v>
      </c>
      <c r="J114">
        <f>($B$1+Table4[[#This Row],[Home Differential]])-Table4[[#This Row],[Away Differential]]</f>
        <v>0.86803650166202484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0.6187847538541188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0.38289457160230239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-0.19871596400308536</v>
      </c>
      <c r="H115" t="s">
        <v>18</v>
      </c>
      <c r="I115">
        <f>VLOOKUP(Table4[[#This Row],[Visitor]],'NHL Model'!$A$6:$B$38,2,FALSE)</f>
        <v>-0.31732900620087529</v>
      </c>
      <c r="J115">
        <f>($B$1+Table4[[#This Row],[Home Differential]])-Table4[[#This Row],[Away Differential]]</f>
        <v>0.20568118707533292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0.50854153054877049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0.24153142719534509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-0.10214397920743352</v>
      </c>
      <c r="H116" t="s">
        <v>14</v>
      </c>
      <c r="I116">
        <f>VLOOKUP(Table4[[#This Row],[Visitor]],'NHL Model'!$A$6:$B$38,2,FALSE)</f>
        <v>0.25731150832780025</v>
      </c>
      <c r="J116">
        <f>($B$1+Table4[[#This Row],[Home Differential]])-Table4[[#This Row],[Away Differential]]</f>
        <v>-0.27238734265769077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0.51881241184160642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0.23154149499769178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-0.88005793547499611</v>
      </c>
      <c r="H117" t="s">
        <v>38</v>
      </c>
      <c r="I117">
        <f>VLOOKUP(Table4[[#This Row],[Visitor]],'NHL Model'!$A$6:$B$38,2,FALSE)</f>
        <v>-0.59313840141656504</v>
      </c>
      <c r="J117">
        <f>($B$1+Table4[[#This Row],[Home Differential]])-Table4[[#This Row],[Away Differential]]</f>
        <v>-0.19985138918088807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0.48128948604369087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0.23163956937620012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0.30302134926393393</v>
      </c>
      <c r="H118" t="s">
        <v>26</v>
      </c>
      <c r="I118">
        <f>VLOOKUP(Table4[[#This Row],[Visitor]],'NHL Model'!$A$6:$B$38,2,FALSE)</f>
        <v>-0.47317909800770142</v>
      </c>
      <c r="J118">
        <f>($B$1+Table4[[#This Row],[Home Differential]])-Table4[[#This Row],[Away Differential]]</f>
        <v>0.86326859214917828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0.63113156217376931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0.13606392442436382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0.1651103738530684</v>
      </c>
      <c r="H119" t="s">
        <v>33</v>
      </c>
      <c r="I119">
        <f>VLOOKUP(Table4[[#This Row],[Visitor]],'NHL Model'!$A$6:$B$38,2,FALSE)</f>
        <v>-0.25672436988374864</v>
      </c>
      <c r="J119">
        <f>($B$1+Table4[[#This Row],[Home Differential]])-Table4[[#This Row],[Away Differential]]</f>
        <v>0.50890288861436006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0.59421168693975479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0.35308752889578915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-0.17962977873499933</v>
      </c>
      <c r="H120" t="s">
        <v>27</v>
      </c>
      <c r="I120">
        <f>VLOOKUP(Table4[[#This Row],[Visitor]],'NHL Model'!$A$6:$B$38,2,FALSE)</f>
        <v>7.060370405735697E-2</v>
      </c>
      <c r="J120">
        <f>($B$1+Table4[[#This Row],[Home Differential]])-Table4[[#This Row],[Away Differential]]</f>
        <v>-0.1631653379148133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0.51989400909067052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0.27028978068837017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-0.95834101872668032</v>
      </c>
      <c r="H121" t="s">
        <v>55</v>
      </c>
      <c r="I121">
        <f>VLOOKUP(Table4[[#This Row],[Visitor]],'NHL Model'!$A$6:$B$38,2,FALSE)</f>
        <v>0.16928148250244404</v>
      </c>
      <c r="J121">
        <f>($B$1+Table4[[#This Row],[Home Differential]])-Table4[[#This Row],[Away Differential]]</f>
        <v>-1.0405543563515813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0.57084670233239099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0.18417255289898343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0.66951981565543606</v>
      </c>
      <c r="H122" t="s">
        <v>10</v>
      </c>
      <c r="I122">
        <f>VLOOKUP(Table4[[#This Row],[Visitor]],'NHL Model'!$A$6:$B$38,2,FALSE)</f>
        <v>-0.25852364135215161</v>
      </c>
      <c r="J122">
        <f>($B$1+Table4[[#This Row],[Home Differential]])-Table4[[#This Row],[Away Differential]]</f>
        <v>1.0151116018851307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0.64813637258013557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0.42008075746133633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-9.7143783320053662E-2</v>
      </c>
      <c r="H123" t="s">
        <v>32</v>
      </c>
      <c r="I123">
        <f>VLOOKUP(Table4[[#This Row],[Visitor]],'NHL Model'!$A$6:$B$38,2,FALSE)</f>
        <v>-0.52701775861642253</v>
      </c>
      <c r="J123">
        <f>($B$1+Table4[[#This Row],[Home Differential]])-Table4[[#This Row],[Away Differential]]</f>
        <v>0.51694212017391183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0.6141735101356024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0.3772091005522869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-0.35383832279900912</v>
      </c>
      <c r="H124" t="s">
        <v>19</v>
      </c>
      <c r="I124">
        <f>VLOOKUP(Table4[[#This Row],[Visitor]],'NHL Model'!$A$6:$B$38,2,FALSE)</f>
        <v>-6.3531358246322375E-2</v>
      </c>
      <c r="J124">
        <f>($B$1+Table4[[#This Row],[Home Differential]])-Table4[[#This Row],[Away Differential]]</f>
        <v>-0.20323881967514373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0.47152808805820806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0.2223387378278292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-0.25582283032518105</v>
      </c>
      <c r="H125" t="s">
        <v>22</v>
      </c>
      <c r="I125">
        <f>VLOOKUP(Table4[[#This Row],[Visitor]],'NHL Model'!$A$6:$B$38,2,FALSE)</f>
        <v>0.96536026973954592</v>
      </c>
      <c r="J125">
        <f>($B$1+Table4[[#This Row],[Home Differential]])-Table4[[#This Row],[Away Differential]]</f>
        <v>-1.1341149551871839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0.63495221091950615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0.13325988831255672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-2.9769404338063311E-4</v>
      </c>
      <c r="H126" t="s">
        <v>33</v>
      </c>
      <c r="I126">
        <f>VLOOKUP(Table4[[#This Row],[Visitor]],'NHL Model'!$A$6:$B$38,2,FALSE)</f>
        <v>-0.25672436988374864</v>
      </c>
      <c r="J126">
        <f>($B$1+Table4[[#This Row],[Home Differential]])-Table4[[#This Row],[Away Differential]]</f>
        <v>0.34349482071791099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0.61949288470075425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0.1447856647933535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-9.7143783320053662E-2</v>
      </c>
      <c r="H127" t="s">
        <v>16</v>
      </c>
      <c r="I127">
        <f>VLOOKUP(Table4[[#This Row],[Visitor]],'NHL Model'!$A$6:$B$38,2,FALSE)</f>
        <v>-0.65802650867783552</v>
      </c>
      <c r="J127">
        <f>($B$1+Table4[[#This Row],[Home Differential]])-Table4[[#This Row],[Away Differential]]</f>
        <v>0.64795087023532483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0.62812942491540602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0.13828772461374664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0.20241790420125966</v>
      </c>
      <c r="H128" t="s">
        <v>12</v>
      </c>
      <c r="I128">
        <f>VLOOKUP(Table4[[#This Row],[Visitor]],'NHL Model'!$A$6:$B$38,2,FALSE)</f>
        <v>1.7072432657355574</v>
      </c>
      <c r="J128">
        <f>($B$1+Table4[[#This Row],[Home Differential]])-Table4[[#This Row],[Away Differential]]</f>
        <v>-1.4177572166567547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0.62721931117163643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0.39340406430662206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0.86540791565538033</v>
      </c>
      <c r="H129" t="s">
        <v>25</v>
      </c>
      <c r="I129">
        <f>VLOOKUP(Table4[[#This Row],[Visitor]],'NHL Model'!$A$6:$B$38,2,FALSE)</f>
        <v>0.48797916660265073</v>
      </c>
      <c r="J129">
        <f>($B$1+Table4[[#This Row],[Home Differential]])-Table4[[#This Row],[Away Differential]]</f>
        <v>0.4644968939302726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0.56948126796214427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0.18534637863548303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-0.47317909800770142</v>
      </c>
      <c r="H130" t="s">
        <v>35</v>
      </c>
      <c r="I130">
        <f>VLOOKUP(Table4[[#This Row],[Visitor]],'NHL Model'!$A$6:$B$38,2,FALSE)</f>
        <v>-0.95834101872668032</v>
      </c>
      <c r="J130">
        <f>($B$1+Table4[[#This Row],[Home Differential]])-Table4[[#This Row],[Away Differential]]</f>
        <v>0.5722300655965219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0.61107996424492028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0.15125879421173249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-0.10214397920743352</v>
      </c>
      <c r="H131" t="s">
        <v>20</v>
      </c>
      <c r="I131">
        <f>VLOOKUP(Table4[[#This Row],[Visitor]],'NHL Model'!$A$6:$B$38,2,FALSE)</f>
        <v>0.22444955994982585</v>
      </c>
      <c r="J131">
        <f>($B$1+Table4[[#This Row],[Home Differential]])-Table4[[#This Row],[Away Differential]]</f>
        <v>-0.23952539427971636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0.51770332232942129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0.26801672995092068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4.4994204383705286E-2</v>
      </c>
      <c r="H132" t="s">
        <v>55</v>
      </c>
      <c r="I132">
        <f>VLOOKUP(Table4[[#This Row],[Visitor]],'NHL Model'!$A$6:$B$38,2,FALSE)</f>
        <v>0.16928148250244404</v>
      </c>
      <c r="J132">
        <f>($B$1+Table4[[#This Row],[Home Differential]])-Table4[[#This Row],[Away Differential]]</f>
        <v>-3.7219133241195773E-2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0.46396482716955006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0.28733370651137041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-0.88005793547499611</v>
      </c>
      <c r="H133" t="s">
        <v>13</v>
      </c>
      <c r="I133">
        <f>VLOOKUP(Table4[[#This Row],[Visitor]],'NHL Model'!$A$6:$B$38,2,FALSE)</f>
        <v>8.443955887089849E-2</v>
      </c>
      <c r="J133">
        <f>($B$1+Table4[[#This Row],[Home Differential]])-Table4[[#This Row],[Away Differential]]</f>
        <v>-0.8774293494683516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0.61978534185654854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0.38413386998023874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7.060370405735697E-2</v>
      </c>
      <c r="H134" t="s">
        <v>30</v>
      </c>
      <c r="I134">
        <f>VLOOKUP(Table4[[#This Row],[Visitor]],'NHL Model'!$A$6:$B$38,2,FALSE)</f>
        <v>0.30302134926393393</v>
      </c>
      <c r="J134">
        <f>($B$1+Table4[[#This Row],[Home Differential]])-Table4[[#This Row],[Away Differential]]</f>
        <v>-0.14534950032903396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0.53161261819356986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0.28261197582262226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0.25731150832780025</v>
      </c>
      <c r="H135" t="s">
        <v>28</v>
      </c>
      <c r="I135">
        <f>VLOOKUP(Table4[[#This Row],[Visitor]],'NHL Model'!$A$6:$B$38,2,FALSE)</f>
        <v>-0.25582283032518105</v>
      </c>
      <c r="J135">
        <f>($B$1+Table4[[#This Row],[Home Differential]])-Table4[[#This Row],[Away Differential]]</f>
        <v>0.6002024835305243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0.60393752101941189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0.36474052929507256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-0.52701775861642253</v>
      </c>
      <c r="H136" t="s">
        <v>17</v>
      </c>
      <c r="I136">
        <f>VLOOKUP(Table4[[#This Row],[Visitor]],'NHL Model'!$A$6:$B$38,2,FALSE)</f>
        <v>-0.19871596400308536</v>
      </c>
      <c r="J136">
        <f>($B$1+Table4[[#This Row],[Home Differential]])-Table4[[#This Row],[Away Differential]]</f>
        <v>-0.24123364973579417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0.48569779694986448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0.23590234996195178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0.66951981565543606</v>
      </c>
      <c r="H137" t="s">
        <v>31</v>
      </c>
      <c r="I137">
        <f>VLOOKUP(Table4[[#This Row],[Visitor]],'NHL Model'!$A$6:$B$38,2,FALSE)</f>
        <v>0.44031772420389576</v>
      </c>
      <c r="J137">
        <f>($B$1+Table4[[#This Row],[Home Differential]])-Table4[[#This Row],[Away Differential]]</f>
        <v>0.3162702363290833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0.55292195751802453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0.19987877606951507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-6.3531358246322375E-2</v>
      </c>
      <c r="H138" t="s">
        <v>23</v>
      </c>
      <c r="I138">
        <f>VLOOKUP(Table4[[#This Row],[Visitor]],'NHL Model'!$A$6:$B$38,2,FALSE)</f>
        <v>-0.35383832279900912</v>
      </c>
      <c r="J138">
        <f>($B$1+Table4[[#This Row],[Home Differential]])-Table4[[#This Row],[Away Differential]]</f>
        <v>0.37737510943022973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0.58020048175987116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0.17623163551464427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-0.59313840141656504</v>
      </c>
      <c r="H139" t="s">
        <v>18</v>
      </c>
      <c r="I139">
        <f>VLOOKUP(Table4[[#This Row],[Visitor]],'NHL Model'!$A$6:$B$38,2,FALSE)</f>
        <v>-0.31732900620087529</v>
      </c>
      <c r="J139">
        <f>($B$1+Table4[[#This Row],[Home Differential]])-Table4[[#This Row],[Away Differential]]</f>
        <v>-0.18874125033814676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0.55272912999915536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0.20005123115131246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0.96536026973954592</v>
      </c>
      <c r="H140" t="s">
        <v>36</v>
      </c>
      <c r="I140">
        <f>VLOOKUP(Table4[[#This Row],[Visitor]],'NHL Model'!$A$6:$B$38,2,FALSE)</f>
        <v>-0.17962977873499933</v>
      </c>
      <c r="J140">
        <f>($B$1+Table4[[#This Row],[Home Differential]])-Table4[[#This Row],[Away Differential]]</f>
        <v>1.2320581933520884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0.70376603611670974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0.495286633591426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-0.65802650867783552</v>
      </c>
      <c r="H141" t="s">
        <v>15</v>
      </c>
      <c r="I141">
        <f>VLOOKUP(Table4[[#This Row],[Visitor]],'NHL Model'!$A$6:$B$38,2,FALSE)</f>
        <v>0.1651103738530684</v>
      </c>
      <c r="J141">
        <f>($B$1+Table4[[#This Row],[Home Differential]])-Table4[[#This Row],[Away Differential]]</f>
        <v>-0.73606873765336089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0.64498312707997862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0.41600323421786783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-0.25852364135215161</v>
      </c>
      <c r="H142" t="s">
        <v>13</v>
      </c>
      <c r="I142">
        <f>VLOOKUP(Table4[[#This Row],[Visitor]],'NHL Model'!$A$6:$B$38,2,FALSE)</f>
        <v>8.443955887089849E-2</v>
      </c>
      <c r="J142">
        <f>($B$1+Table4[[#This Row],[Home Differential]])-Table4[[#This Row],[Away Differential]]</f>
        <v>-0.25589505534550711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0.55357541589788051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0.19929490929075036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4.4994204383705286E-2</v>
      </c>
      <c r="H143" t="s">
        <v>33</v>
      </c>
      <c r="I143">
        <f>VLOOKUP(Table4[[#This Row],[Visitor]],'NHL Model'!$A$6:$B$38,2,FALSE)</f>
        <v>-0.25672436988374864</v>
      </c>
      <c r="J143">
        <f>($B$1+Table4[[#This Row],[Home Differential]])-Table4[[#This Row],[Away Differential]]</f>
        <v>0.38878671914499691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0.58141612157480727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0.33804470642709106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-2.9769404338063311E-4</v>
      </c>
      <c r="H144" t="s">
        <v>12</v>
      </c>
      <c r="I144">
        <f>VLOOKUP(Table4[[#This Row],[Visitor]],'NHL Model'!$A$6:$B$38,2,FALSE)</f>
        <v>1.7072432657355574</v>
      </c>
      <c r="J144">
        <f>($B$1+Table4[[#This Row],[Home Differential]])-Table4[[#This Row],[Away Differential]]</f>
        <v>-1.6204728149013949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0.66558118191468196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0.44299830971894494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-0.88005793547499611</v>
      </c>
      <c r="H145" t="s">
        <v>39</v>
      </c>
      <c r="I145">
        <f>VLOOKUP(Table4[[#This Row],[Visitor]],'NHL Model'!$A$6:$B$38,2,FALSE)</f>
        <v>0.86540791565538033</v>
      </c>
      <c r="J145">
        <f>($B$1+Table4[[#This Row],[Home Differential]])-Table4[[#This Row],[Away Differential]]</f>
        <v>-1.6583977062528334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0.72914963245214792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7.3359921600806566E-2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0.66951981565543606</v>
      </c>
      <c r="H146" t="s">
        <v>20</v>
      </c>
      <c r="I146">
        <f>VLOOKUP(Table4[[#This Row],[Visitor]],'NHL Model'!$A$6:$B$38,2,FALSE)</f>
        <v>0.22444955994982585</v>
      </c>
      <c r="J146">
        <f>($B$1+Table4[[#This Row],[Home Differential]])-Table4[[#This Row],[Away Differential]]</f>
        <v>0.5321384005831532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0.55740015344772065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0.19589462416810122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-0.59313840141656504</v>
      </c>
      <c r="H147" t="s">
        <v>17</v>
      </c>
      <c r="I147">
        <f>VLOOKUP(Table4[[#This Row],[Visitor]],'NHL Model'!$A$6:$B$38,2,FALSE)</f>
        <v>-0.19871596400308536</v>
      </c>
      <c r="J147">
        <f>($B$1+Table4[[#This Row],[Home Differential]])-Table4[[#This Row],[Away Differential]]</f>
        <v>-0.30735429253593671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0.49274140324083404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0.24279409046774622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-9.7143783320053662E-2</v>
      </c>
      <c r="H148" t="s">
        <v>55</v>
      </c>
      <c r="I148">
        <f>VLOOKUP(Table4[[#This Row],[Visitor]],'NHL Model'!$A$6:$B$38,2,FALSE)</f>
        <v>0.16928148250244404</v>
      </c>
      <c r="J148">
        <f>($B$1+Table4[[#This Row],[Home Differential]])-Table4[[#This Row],[Away Differential]]</f>
        <v>-0.17935712094495471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0.46000087032174514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0.2915990600532728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-0.17962977873499933</v>
      </c>
      <c r="H149" t="s">
        <v>21</v>
      </c>
      <c r="I149">
        <f>VLOOKUP(Table4[[#This Row],[Visitor]],'NHL Model'!$A$6:$B$38,2,FALSE)</f>
        <v>0.20241790420125966</v>
      </c>
      <c r="J149">
        <f>($B$1+Table4[[#This Row],[Home Differential]])-Table4[[#This Row],[Away Differential]]</f>
        <v>-0.29497953805871602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0.49142316290326782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0.24149672503785169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0.25731150832780025</v>
      </c>
      <c r="H150" t="s">
        <v>35</v>
      </c>
      <c r="I150">
        <f>VLOOKUP(Table4[[#This Row],[Visitor]],'NHL Model'!$A$6:$B$38,2,FALSE)</f>
        <v>-0.95834101872668032</v>
      </c>
      <c r="J150">
        <f>($B$1+Table4[[#This Row],[Home Differential]])-Table4[[#This Row],[Away Differential]]</f>
        <v>1.3027206719320237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0.67877438469452811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0.10318589592837901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0.20241790420125966</v>
      </c>
      <c r="H151" t="s">
        <v>30</v>
      </c>
      <c r="I151">
        <f>VLOOKUP(Table4[[#This Row],[Visitor]],'NHL Model'!$A$6:$B$38,2,FALSE)</f>
        <v>0.30302134926393393</v>
      </c>
      <c r="J151">
        <f>($B$1+Table4[[#This Row],[Home Differential]])-Table4[[#This Row],[Away Differential]]</f>
        <v>-1.3535300185131272E-2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0.46746128678456589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0.21852005464228216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-0.35383832279900912</v>
      </c>
      <c r="H152" t="s">
        <v>28</v>
      </c>
      <c r="I152">
        <f>VLOOKUP(Table4[[#This Row],[Visitor]],'NHL Model'!$A$6:$B$38,2,FALSE)</f>
        <v>-0.25582283032518105</v>
      </c>
      <c r="J152">
        <f>($B$1+Table4[[#This Row],[Home Differential]])-Table4[[#This Row],[Away Differential]]</f>
        <v>-1.0947347596285073E-2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0.45104393416804772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0.30135276221369478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0.48797916660265073</v>
      </c>
      <c r="H153" t="s">
        <v>20</v>
      </c>
      <c r="I153">
        <f>VLOOKUP(Table4[[#This Row],[Visitor]],'NHL Model'!$A$6:$B$38,2,FALSE)</f>
        <v>0.22444955994982585</v>
      </c>
      <c r="J153">
        <f>($B$1+Table4[[#This Row],[Home Differential]])-Table4[[#This Row],[Away Differential]]</f>
        <v>0.35059775153036787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0.56437500828823994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0.31851914998035091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-0.25852364135215161</v>
      </c>
      <c r="H154" t="s">
        <v>36</v>
      </c>
      <c r="I154">
        <f>VLOOKUP(Table4[[#This Row],[Visitor]],'NHL Model'!$A$6:$B$38,2,FALSE)</f>
        <v>-0.17962977873499933</v>
      </c>
      <c r="J154">
        <f>($B$1+Table4[[#This Row],[Home Differential]])-Table4[[#This Row],[Away Differential]]</f>
        <v>8.1742822603907139E-3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0.53729461943554002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0.21409626920330174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1.7072432657355574</v>
      </c>
      <c r="H155" t="s">
        <v>24</v>
      </c>
      <c r="I155">
        <f>VLOOKUP(Table4[[#This Row],[Visitor]],'NHL Model'!$A$6:$B$38,2,FALSE)</f>
        <v>-2.9769404338063311E-4</v>
      </c>
      <c r="J155">
        <f>($B$1+Table4[[#This Row],[Home Differential]])-Table4[[#This Row],[Away Differential]]</f>
        <v>1.7946091046564809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0.83570482974871863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2.6992902967897532E-2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0.86540791565538033</v>
      </c>
      <c r="H156" t="s">
        <v>22</v>
      </c>
      <c r="I156">
        <f>VLOOKUP(Table4[[#This Row],[Visitor]],'NHL Model'!$A$6:$B$38,2,FALSE)</f>
        <v>0.96536026973954592</v>
      </c>
      <c r="J156">
        <f>($B$1+Table4[[#This Row],[Home Differential]])-Table4[[#This Row],[Away Differential]]</f>
        <v>-1.2884209206622588E-2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0.46291097234868217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0.2142865683208024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-0.19871596400308536</v>
      </c>
      <c r="H157" t="s">
        <v>55</v>
      </c>
      <c r="I157">
        <f>VLOOKUP(Table4[[#This Row],[Visitor]],'NHL Model'!$A$6:$B$38,2,FALSE)</f>
        <v>0.16928148250244404</v>
      </c>
      <c r="J157">
        <f>($B$1+Table4[[#This Row],[Home Differential]])-Table4[[#This Row],[Away Differential]]</f>
        <v>-0.28092930162798641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0.47082100788466902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0.22167242146553556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-0.10214397920743352</v>
      </c>
      <c r="H158" t="s">
        <v>31</v>
      </c>
      <c r="I158">
        <f>VLOOKUP(Table4[[#This Row],[Visitor]],'NHL Model'!$A$6:$B$38,2,FALSE)</f>
        <v>0.44031772420389576</v>
      </c>
      <c r="J158">
        <f>($B$1+Table4[[#This Row],[Home Differential]])-Table4[[#This Row],[Away Differential]]</f>
        <v>-0.45539355853378627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0.52219573125443342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0.22829691923148562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4.4994204383705286E-2</v>
      </c>
      <c r="H159" t="s">
        <v>40</v>
      </c>
      <c r="I159">
        <f>VLOOKUP(Table4[[#This Row],[Visitor]],'NHL Model'!$A$6:$B$38,2,FALSE)</f>
        <v>-9.7143783320053662E-2</v>
      </c>
      <c r="J159">
        <f>($B$1+Table4[[#This Row],[Home Differential]])-Table4[[#This Row],[Away Differential]]</f>
        <v>0.22920613258130193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0.56441654661855434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0.31856603809681472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-0.88005793547499611</v>
      </c>
      <c r="H160" t="s">
        <v>37</v>
      </c>
      <c r="I160">
        <f>VLOOKUP(Table4[[#This Row],[Visitor]],'NHL Model'!$A$6:$B$38,2,FALSE)</f>
        <v>0.66951981565543606</v>
      </c>
      <c r="J160">
        <f>($B$1+Table4[[#This Row],[Home Differential]])-Table4[[#This Row],[Away Differential]]</f>
        <v>-1.4625096062528891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0.68841932333374978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9.7082518071798365E-2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7.060370405735697E-2</v>
      </c>
      <c r="H161" t="s">
        <v>14</v>
      </c>
      <c r="I161">
        <f>VLOOKUP(Table4[[#This Row],[Visitor]],'NHL Model'!$A$6:$B$38,2,FALSE)</f>
        <v>0.25731150832780025</v>
      </c>
      <c r="J161">
        <f>($B$1+Table4[[#This Row],[Home Differential]])-Table4[[#This Row],[Away Differential]]</f>
        <v>-9.9639659392900287E-2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0.49730628787811992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0.2473135439631155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-0.52701775861642253</v>
      </c>
      <c r="H162" t="s">
        <v>18</v>
      </c>
      <c r="I162">
        <f>VLOOKUP(Table4[[#This Row],[Visitor]],'NHL Model'!$A$6:$B$38,2,FALSE)</f>
        <v>-0.31732900620087529</v>
      </c>
      <c r="J162">
        <f>($B$1+Table4[[#This Row],[Home Differential]])-Table4[[#This Row],[Away Differential]]</f>
        <v>-0.12262060753800424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0.54568552370818579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0.20640164336830541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-0.25672436988374864</v>
      </c>
      <c r="H163" t="s">
        <v>13</v>
      </c>
      <c r="I163">
        <f>VLOOKUP(Table4[[#This Row],[Visitor]],'NHL Model'!$A$6:$B$38,2,FALSE)</f>
        <v>8.443955887089849E-2</v>
      </c>
      <c r="J163">
        <f>($B$1+Table4[[#This Row],[Home Differential]])-Table4[[#This Row],[Away Differential]]</f>
        <v>-0.25409578387710413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0.55338374565244275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0.19946607864744195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-0.95834101872668032</v>
      </c>
      <c r="H164" t="s">
        <v>26</v>
      </c>
      <c r="I164">
        <f>VLOOKUP(Table4[[#This Row],[Visitor]],'NHL Model'!$A$6:$B$38,2,FALSE)</f>
        <v>-0.47317909800770142</v>
      </c>
      <c r="J164">
        <f>($B$1+Table4[[#This Row],[Home Differential]])-Table4[[#This Row],[Away Differential]]</f>
        <v>-0.3980937758414359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0.50323706363081466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0.24677341495013527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-6.3531358246322375E-2</v>
      </c>
      <c r="H165" t="s">
        <v>16</v>
      </c>
      <c r="I165">
        <f>VLOOKUP(Table4[[#This Row],[Visitor]],'NHL Model'!$A$6:$B$38,2,FALSE)</f>
        <v>-0.65802650867783552</v>
      </c>
      <c r="J165">
        <f>($B$1+Table4[[#This Row],[Home Differential]])-Table4[[#This Row],[Away Differential]]</f>
        <v>0.68156329530905613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0.61260461047003689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0.15007518782907184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-0.59313840141656504</v>
      </c>
      <c r="H166" t="s">
        <v>15</v>
      </c>
      <c r="I166">
        <f>VLOOKUP(Table4[[#This Row],[Visitor]],'NHL Model'!$A$6:$B$38,2,FALSE)</f>
        <v>0.1651103738530684</v>
      </c>
      <c r="J166">
        <f>($B$1+Table4[[#This Row],[Home Differential]])-Table4[[#This Row],[Away Differential]]</f>
        <v>-0.67118063039209042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0.63807081859114456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0.13099273235528419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-0.25582283032518105</v>
      </c>
      <c r="H167" t="s">
        <v>19</v>
      </c>
      <c r="I167">
        <f>VLOOKUP(Table4[[#This Row],[Visitor]],'NHL Model'!$A$6:$B$38,2,FALSE)</f>
        <v>-6.3531358246322375E-2</v>
      </c>
      <c r="J167">
        <f>($B$1+Table4[[#This Row],[Home Differential]])-Table4[[#This Row],[Away Differential]]</f>
        <v>-0.10522332720131568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0.47120908173370535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0.2220379987083218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0.20241790420125966</v>
      </c>
      <c r="H168" t="s">
        <v>23</v>
      </c>
      <c r="I168">
        <f>VLOOKUP(Table4[[#This Row],[Visitor]],'NHL Model'!$A$6:$B$38,2,FALSE)</f>
        <v>-0.35383832279900912</v>
      </c>
      <c r="J168">
        <f>($B$1+Table4[[#This Row],[Home Differential]])-Table4[[#This Row],[Away Differential]]</f>
        <v>0.64332437187781177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0.66765968883889681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0.11045008242265889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0.48797916660265073</v>
      </c>
      <c r="H169" t="s">
        <v>30</v>
      </c>
      <c r="I169">
        <f>VLOOKUP(Table4[[#This Row],[Visitor]],'NHL Model'!$A$6:$B$38,2,FALSE)</f>
        <v>0.30302134926393393</v>
      </c>
      <c r="J169">
        <f>($B$1+Table4[[#This Row],[Home Differential]])-Table4[[#This Row],[Away Differential]]</f>
        <v>0.2720259622162598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0.52897799684986357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0.22186172745156713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-0.19871596400308536</v>
      </c>
      <c r="H170" t="s">
        <v>15</v>
      </c>
      <c r="I170">
        <f>VLOOKUP(Table4[[#This Row],[Visitor]],'NHL Model'!$A$6:$B$38,2,FALSE)</f>
        <v>0.1651103738530684</v>
      </c>
      <c r="J170">
        <f>($B$1+Table4[[#This Row],[Home Differential]])-Table4[[#This Row],[Away Differential]]</f>
        <v>-0.27675819297861076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0.57701062234378186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0.17892001360999474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8.443955887089849E-2</v>
      </c>
      <c r="H171" t="s">
        <v>26</v>
      </c>
      <c r="I171">
        <f>VLOOKUP(Table4[[#This Row],[Visitor]],'NHL Model'!$A$6:$B$38,2,FALSE)</f>
        <v>-0.47317909800770142</v>
      </c>
      <c r="J171">
        <f>($B$1+Table4[[#This Row],[Home Differential]])-Table4[[#This Row],[Away Differential]]</f>
        <v>0.6446868017561429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0.60784679044888745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0.36947772065901369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4.4994204383705286E-2</v>
      </c>
      <c r="H172" t="s">
        <v>14</v>
      </c>
      <c r="I172">
        <f>VLOOKUP(Table4[[#This Row],[Visitor]],'NHL Model'!$A$6:$B$38,2,FALSE)</f>
        <v>0.25731150832780025</v>
      </c>
      <c r="J172">
        <f>($B$1+Table4[[#This Row],[Home Differential]])-Table4[[#This Row],[Away Differential]]</f>
        <v>-0.12524915906655198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0.51023677515666543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0.23986801640894267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-0.17962977873499933</v>
      </c>
      <c r="H173" t="s">
        <v>16</v>
      </c>
      <c r="I173">
        <f>VLOOKUP(Table4[[#This Row],[Visitor]],'NHL Model'!$A$6:$B$38,2,FALSE)</f>
        <v>-0.65802650867783552</v>
      </c>
      <c r="J173">
        <f>($B$1+Table4[[#This Row],[Home Differential]])-Table4[[#This Row],[Away Differential]]</f>
        <v>0.56546487482037922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0.60023704218432883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0.15981042244153409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7.060370405735697E-2</v>
      </c>
      <c r="H174" t="s">
        <v>29</v>
      </c>
      <c r="I174">
        <f>VLOOKUP(Table4[[#This Row],[Visitor]],'NHL Model'!$A$6:$B$38,2,FALSE)</f>
        <v>-0.88005793547499611</v>
      </c>
      <c r="J174">
        <f>($B$1+Table4[[#This Row],[Home Differential]])-Table4[[#This Row],[Away Differential]]</f>
        <v>1.037729784409896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0.66066805971744891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0.11514616569592082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-0.25672436988374864</v>
      </c>
      <c r="H175" t="s">
        <v>24</v>
      </c>
      <c r="I175">
        <f>VLOOKUP(Table4[[#This Row],[Visitor]],'NHL Model'!$A$6:$B$38,2,FALSE)</f>
        <v>-2.9769404338063311E-4</v>
      </c>
      <c r="J175">
        <f>($B$1+Table4[[#This Row],[Home Differential]])-Table4[[#This Row],[Away Differential]]</f>
        <v>-0.16935853096282502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0.48161734492409647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0.2319552669317361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-0.95834101872668032</v>
      </c>
      <c r="H176" t="s">
        <v>38</v>
      </c>
      <c r="I176">
        <f>VLOOKUP(Table4[[#This Row],[Visitor]],'NHL Model'!$A$6:$B$38,2,FALSE)</f>
        <v>-0.59313840141656504</v>
      </c>
      <c r="J176">
        <f>($B$1+Table4[[#This Row],[Home Differential]])-Table4[[#This Row],[Away Differential]]</f>
        <v>-0.27813447243257228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0.48962871558407378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0.26047884795636234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0.66951981565543606</v>
      </c>
      <c r="H177" t="s">
        <v>39</v>
      </c>
      <c r="I177">
        <f>VLOOKUP(Table4[[#This Row],[Visitor]],'NHL Model'!$A$6:$B$38,2,FALSE)</f>
        <v>0.86540791565538033</v>
      </c>
      <c r="J177">
        <f>($B$1+Table4[[#This Row],[Home Differential]])-Table4[[#This Row],[Away Differential]]</f>
        <v>-0.10881995512240128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0.56407840606979942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0.31818444819424552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-9.7143783320053662E-2</v>
      </c>
      <c r="H178" t="s">
        <v>10</v>
      </c>
      <c r="I178">
        <f>VLOOKUP(Table4[[#This Row],[Visitor]],'NHL Model'!$A$6:$B$38,2,FALSE)</f>
        <v>-0.25852364135215161</v>
      </c>
      <c r="J178">
        <f>($B$1+Table4[[#This Row],[Home Differential]])-Table4[[#This Row],[Away Differential]]</f>
        <v>0.24844800290964095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0.58557174866804984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0.17175077550205806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0.44031772420389576</v>
      </c>
      <c r="H179" t="s">
        <v>26</v>
      </c>
      <c r="I179">
        <f>VLOOKUP(Table4[[#This Row],[Visitor]],'NHL Model'!$A$6:$B$38,2,FALSE)</f>
        <v>-0.47317909800770142</v>
      </c>
      <c r="J179">
        <f>($B$1+Table4[[#This Row],[Home Differential]])-Table4[[#This Row],[Away Differential]]</f>
        <v>1.0005649670891401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0.72032067482807316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7.8220524928624385E-2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0.22444955994982585</v>
      </c>
      <c r="H180" t="s">
        <v>12</v>
      </c>
      <c r="I180">
        <f>VLOOKUP(Table4[[#This Row],[Visitor]],'NHL Model'!$A$6:$B$38,2,FALSE)</f>
        <v>1.7072432657355574</v>
      </c>
      <c r="J180">
        <f>($B$1+Table4[[#This Row],[Home Differential]])-Table4[[#This Row],[Away Differential]]</f>
        <v>-1.3957255609081884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0.6851625646224957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9.91226107150842E-2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0.96536026973954592</v>
      </c>
      <c r="H181" t="s">
        <v>30</v>
      </c>
      <c r="I181">
        <f>VLOOKUP(Table4[[#This Row],[Visitor]],'NHL Model'!$A$6:$B$38,2,FALSE)</f>
        <v>0.30302134926393393</v>
      </c>
      <c r="J181">
        <f>($B$1+Table4[[#This Row],[Home Differential]])-Table4[[#This Row],[Away Differential]]</f>
        <v>0.74940706535315504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0.59003585725488161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0.34814231284650304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0.20241790420125966</v>
      </c>
      <c r="H182" t="s">
        <v>25</v>
      </c>
      <c r="I182">
        <f>VLOOKUP(Table4[[#This Row],[Visitor]],'NHL Model'!$A$6:$B$38,2,FALSE)</f>
        <v>0.48797916660265073</v>
      </c>
      <c r="J182">
        <f>($B$1+Table4[[#This Row],[Home Differential]])-Table4[[#This Row],[Away Differential]]</f>
        <v>-0.19849311752384807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0.49346951724947885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0.24351216445443372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-0.35383832279900912</v>
      </c>
      <c r="H183" t="s">
        <v>22</v>
      </c>
      <c r="I183">
        <f>VLOOKUP(Table4[[#This Row],[Visitor]],'NHL Model'!$A$6:$B$38,2,FALSE)</f>
        <v>0.96536026973954592</v>
      </c>
      <c r="J183">
        <f>($B$1+Table4[[#This Row],[Home Differential]])-Table4[[#This Row],[Away Differential]]</f>
        <v>-1.232130447661012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0.63519165702605784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0.40346844115550912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-0.25582283032518105</v>
      </c>
      <c r="H184" t="s">
        <v>35</v>
      </c>
      <c r="I184">
        <f>VLOOKUP(Table4[[#This Row],[Visitor]],'NHL Model'!$A$6:$B$38,2,FALSE)</f>
        <v>-0.95834101872668032</v>
      </c>
      <c r="J184">
        <f>($B$1+Table4[[#This Row],[Home Differential]])-Table4[[#This Row],[Away Differential]]</f>
        <v>0.78958633327904226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0.62411193583157121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0.14129183678428883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-0.19871596400308536</v>
      </c>
      <c r="H185" t="s">
        <v>10</v>
      </c>
      <c r="I185">
        <f>VLOOKUP(Table4[[#This Row],[Visitor]],'NHL Model'!$A$6:$B$38,2,FALSE)</f>
        <v>-0.25852364135215161</v>
      </c>
      <c r="J185">
        <f>($B$1+Table4[[#This Row],[Home Differential]])-Table4[[#This Row],[Away Differential]]</f>
        <v>0.14687582222660925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0.57475161110512585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0.18083619225768613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-0.10214397920743352</v>
      </c>
      <c r="H186" t="s">
        <v>39</v>
      </c>
      <c r="I186">
        <f>VLOOKUP(Table4[[#This Row],[Visitor]],'NHL Model'!$A$6:$B$38,2,FALSE)</f>
        <v>0.86540791565538033</v>
      </c>
      <c r="J186">
        <f>($B$1+Table4[[#This Row],[Home Differential]])-Table4[[#This Row],[Away Differential]]</f>
        <v>-0.8804837499852709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0.63924947269441379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0.40863988834008608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8.443955887089849E-2</v>
      </c>
      <c r="H187" t="s">
        <v>24</v>
      </c>
      <c r="I187">
        <f>VLOOKUP(Table4[[#This Row],[Visitor]],'NHL Model'!$A$6:$B$38,2,FALSE)</f>
        <v>-2.9769404338063311E-4</v>
      </c>
      <c r="J187">
        <f>($B$1+Table4[[#This Row],[Home Differential]])-Table4[[#This Row],[Away Differential]]</f>
        <v>0.17180539779182211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0.55472568341111694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0.30772058383593076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4.4994204383705286E-2</v>
      </c>
      <c r="H188" t="s">
        <v>38</v>
      </c>
      <c r="I188">
        <f>VLOOKUP(Table4[[#This Row],[Visitor]],'NHL Model'!$A$6:$B$38,2,FALSE)</f>
        <v>-0.59313840141656504</v>
      </c>
      <c r="J188">
        <f>($B$1+Table4[[#This Row],[Home Differential]])-Table4[[#This Row],[Away Differential]]</f>
        <v>0.72520075067781331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0.61725315957876714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0.1464951438524367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-0.31732900620087529</v>
      </c>
      <c r="H189" t="s">
        <v>36</v>
      </c>
      <c r="I189">
        <f>VLOOKUP(Table4[[#This Row],[Visitor]],'NHL Model'!$A$6:$B$38,2,FALSE)</f>
        <v>-0.17962977873499933</v>
      </c>
      <c r="J189">
        <f>($B$1+Table4[[#This Row],[Home Differential]])-Table4[[#This Row],[Away Differential]]</f>
        <v>-5.063108258833296E-2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0.46896971527522785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0.21993259384532829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-0.88005793547499611</v>
      </c>
      <c r="H190" t="s">
        <v>16</v>
      </c>
      <c r="I190">
        <f>VLOOKUP(Table4[[#This Row],[Visitor]],'NHL Model'!$A$6:$B$38,2,FALSE)</f>
        <v>-0.65802650867783552</v>
      </c>
      <c r="J190">
        <f>($B$1+Table4[[#This Row],[Home Differential]])-Table4[[#This Row],[Away Differential]]</f>
        <v>-0.13496328191961759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0.47437717755485681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0.22503370658491215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7.060370405735697E-2</v>
      </c>
      <c r="H191" t="s">
        <v>19</v>
      </c>
      <c r="I191">
        <f>VLOOKUP(Table4[[#This Row],[Visitor]],'NHL Model'!$A$6:$B$38,2,FALSE)</f>
        <v>-6.3531358246322375E-2</v>
      </c>
      <c r="J191">
        <f>($B$1+Table4[[#This Row],[Home Differential]])-Table4[[#This Row],[Away Differential]]</f>
        <v>0.22120320718122233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0.57368627169255526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0.32911593832850433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-0.52701775861642253</v>
      </c>
      <c r="H192" t="s">
        <v>15</v>
      </c>
      <c r="I192">
        <f>VLOOKUP(Table4[[#This Row],[Visitor]],'NHL Model'!$A$6:$B$38,2,FALSE)</f>
        <v>0.1651103738530684</v>
      </c>
      <c r="J192">
        <f>($B$1+Table4[[#This Row],[Home Differential]])-Table4[[#This Row],[Away Differential]]</f>
        <v>-0.6050599875919479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0.631027212300175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0.13614091806298012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-0.25672436988374864</v>
      </c>
      <c r="H193" t="s">
        <v>12</v>
      </c>
      <c r="I193">
        <f>VLOOKUP(Table4[[#This Row],[Visitor]],'NHL Model'!$A$6:$B$38,2,FALSE)</f>
        <v>1.7072432657355574</v>
      </c>
      <c r="J193">
        <f>($B$1+Table4[[#This Row],[Home Differential]])-Table4[[#This Row],[Away Differential]]</f>
        <v>-1.8768994907417631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0.73642038027124179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0.54231497647884042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-9.7143783320053662E-2</v>
      </c>
      <c r="H194" t="s">
        <v>14</v>
      </c>
      <c r="I194">
        <f>VLOOKUP(Table4[[#This Row],[Visitor]],'NHL Model'!$A$6:$B$38,2,FALSE)</f>
        <v>0.25731150832780025</v>
      </c>
      <c r="J194">
        <f>($B$1+Table4[[#This Row],[Home Differential]])-Table4[[#This Row],[Away Differential]]</f>
        <v>-0.26738714677031095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0.50609577997938393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0.256132938512941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0.44031772420389576</v>
      </c>
      <c r="H195" t="s">
        <v>24</v>
      </c>
      <c r="I195">
        <f>VLOOKUP(Table4[[#This Row],[Visitor]],'NHL Model'!$A$6:$B$38,2,FALSE)</f>
        <v>-2.9769404338063311E-4</v>
      </c>
      <c r="J195">
        <f>($B$1+Table4[[#This Row],[Home Differential]])-Table4[[#This Row],[Away Differential]]</f>
        <v>0.52768356312481945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0.66732343917485437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0.11067369412244682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0.30302134926393393</v>
      </c>
      <c r="H196" t="s">
        <v>28</v>
      </c>
      <c r="I196">
        <f>VLOOKUP(Table4[[#This Row],[Visitor]],'NHL Model'!$A$6:$B$38,2,FALSE)</f>
        <v>-0.25582283032518105</v>
      </c>
      <c r="J196">
        <f>($B$1+Table4[[#This Row],[Home Differential]])-Table4[[#This Row],[Away Differential]]</f>
        <v>0.64591232446665803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0.60880683428592286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0.15303209290140141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7.060370405735697E-2</v>
      </c>
      <c r="H197" t="s">
        <v>16</v>
      </c>
      <c r="I197">
        <f>VLOOKUP(Table4[[#This Row],[Visitor]],'NHL Model'!$A$6:$B$38,2,FALSE)</f>
        <v>-0.65802650867783552</v>
      </c>
      <c r="J197">
        <f>($B$1+Table4[[#This Row],[Home Differential]])-Table4[[#This Row],[Away Differential]]</f>
        <v>0.81569835761273546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0.63701581000613705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0.4057891421977749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-0.25672436988374864</v>
      </c>
      <c r="H198" t="s">
        <v>26</v>
      </c>
      <c r="I198">
        <f>VLOOKUP(Table4[[#This Row],[Visitor]],'NHL Model'!$A$6:$B$38,2,FALSE)</f>
        <v>-0.47317909800770142</v>
      </c>
      <c r="J198">
        <f>($B$1+Table4[[#This Row],[Home Differential]])-Table4[[#This Row],[Away Differential]]</f>
        <v>0.30352287300149577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0.57150376211367393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0.32661655011008278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0.16928148250244404</v>
      </c>
      <c r="H199" t="s">
        <v>37</v>
      </c>
      <c r="I199">
        <f>VLOOKUP(Table4[[#This Row],[Visitor]],'NHL Model'!$A$6:$B$38,2,FALSE)</f>
        <v>0.66951981565543606</v>
      </c>
      <c r="J199">
        <f>($B$1+Table4[[#This Row],[Home Differential]])-Table4[[#This Row],[Away Differential]]</f>
        <v>-0.41317018827544905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0.53563372100927409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0.21563604106369269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-0.88005793547499611</v>
      </c>
      <c r="H200" t="s">
        <v>38</v>
      </c>
      <c r="I200">
        <f>VLOOKUP(Table4[[#This Row],[Visitor]],'NHL Model'!$A$6:$B$38,2,FALSE)</f>
        <v>-0.59313840141656504</v>
      </c>
      <c r="J200">
        <f>($B$1+Table4[[#This Row],[Home Differential]])-Table4[[#This Row],[Away Differential]]</f>
        <v>-0.19985138918088807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0.48128948604369087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0.26906059728881832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-0.52701775861642253</v>
      </c>
      <c r="H201" t="s">
        <v>10</v>
      </c>
      <c r="I201">
        <f>VLOOKUP(Table4[[#This Row],[Visitor]],'NHL Model'!$A$6:$B$38,2,FALSE)</f>
        <v>-0.25852364135215161</v>
      </c>
      <c r="J201">
        <f>($B$1+Table4[[#This Row],[Home Differential]])-Table4[[#This Row],[Away Differential]]</f>
        <v>-0.18142597238672792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0.47932668931109768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0.22975407508593756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-0.95834101872668032</v>
      </c>
      <c r="H202" t="s">
        <v>17</v>
      </c>
      <c r="I202">
        <f>VLOOKUP(Table4[[#This Row],[Visitor]],'NHL Model'!$A$6:$B$38,2,FALSE)</f>
        <v>-0.19871596400308536</v>
      </c>
      <c r="J202">
        <f>($B$1+Table4[[#This Row],[Home Differential]])-Table4[[#This Row],[Away Differential]]</f>
        <v>-0.67255690984605199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0.53164519098136276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0.28264660909360967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-6.3531358246322375E-2</v>
      </c>
      <c r="H203" t="s">
        <v>14</v>
      </c>
      <c r="I203">
        <f>VLOOKUP(Table4[[#This Row],[Visitor]],'NHL Model'!$A$6:$B$38,2,FALSE)</f>
        <v>0.25731150832780025</v>
      </c>
      <c r="J203">
        <f>($B$1+Table4[[#This Row],[Home Differential]])-Table4[[#This Row],[Away Differential]]</f>
        <v>-0.23377472169657965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0.52179763275422986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0.27227276954791813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0.44031772420389576</v>
      </c>
      <c r="H204" t="s">
        <v>11</v>
      </c>
      <c r="I204">
        <f>VLOOKUP(Table4[[#This Row],[Visitor]],'NHL Model'!$A$6:$B$38,2,FALSE)</f>
        <v>-0.10214397920743352</v>
      </c>
      <c r="J204">
        <f>($B$1+Table4[[#This Row],[Home Differential]])-Table4[[#This Row],[Away Differential]]</f>
        <v>0.62952984828887237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0.68158680470583199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0.10138696293744197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-0.35383832279900912</v>
      </c>
      <c r="H205" t="s">
        <v>55</v>
      </c>
      <c r="I205">
        <f>VLOOKUP(Table4[[#This Row],[Visitor]],'NHL Model'!$A$6:$B$38,2,FALSE)</f>
        <v>0.16928148250244404</v>
      </c>
      <c r="J205">
        <f>($B$1+Table4[[#This Row],[Home Differential]])-Table4[[#This Row],[Away Differential]]</f>
        <v>-0.43605166042391019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0.49632884498177754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0.25368463239739025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1.7072432657355574</v>
      </c>
      <c r="H206" t="s">
        <v>37</v>
      </c>
      <c r="I206">
        <f>VLOOKUP(Table4[[#This Row],[Visitor]],'NHL Model'!$A$6:$B$38,2,FALSE)</f>
        <v>0.66951981565543606</v>
      </c>
      <c r="J206">
        <f>($B$1+Table4[[#This Row],[Home Differential]])-Table4[[#This Row],[Away Differential]]</f>
        <v>1.1247915949576643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0.69876757613168272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9.0740973189581561E-2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0.86540791565538033</v>
      </c>
      <c r="H207" t="s">
        <v>17</v>
      </c>
      <c r="I207">
        <f>VLOOKUP(Table4[[#This Row],[Visitor]],'NHL Model'!$A$6:$B$38,2,FALSE)</f>
        <v>-0.19871596400308536</v>
      </c>
      <c r="J207">
        <f>($B$1+Table4[[#This Row],[Home Differential]])-Table4[[#This Row],[Away Differential]]</f>
        <v>1.1511920245360088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0.71434853165368006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8.1596761368408627E-2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8.443955887089849E-2</v>
      </c>
      <c r="H208" t="s">
        <v>40</v>
      </c>
      <c r="I208">
        <f>VLOOKUP(Table4[[#This Row],[Visitor]],'NHL Model'!$A$6:$B$38,2,FALSE)</f>
        <v>-9.7143783320053662E-2</v>
      </c>
      <c r="J208">
        <f>($B$1+Table4[[#This Row],[Home Differential]])-Table4[[#This Row],[Away Differential]]</f>
        <v>0.26865148706849518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0.56861852553541559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0.1860899765112389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4.4994204383705286E-2</v>
      </c>
      <c r="H209" t="s">
        <v>29</v>
      </c>
      <c r="I209">
        <f>VLOOKUP(Table4[[#This Row],[Visitor]],'NHL Model'!$A$6:$B$38,2,FALSE)</f>
        <v>-0.88005793547499611</v>
      </c>
      <c r="J209">
        <f>($B$1+Table4[[#This Row],[Home Differential]])-Table4[[#This Row],[Away Differential]]</f>
        <v>1.0121202847362443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0.64781771777891306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0.12403235991045333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-0.31732900620087529</v>
      </c>
      <c r="H210" t="s">
        <v>27</v>
      </c>
      <c r="I210">
        <f>VLOOKUP(Table4[[#This Row],[Visitor]],'NHL Model'!$A$6:$B$38,2,FALSE)</f>
        <v>7.060370405735697E-2</v>
      </c>
      <c r="J210">
        <f>($B$1+Table4[[#This Row],[Home Differential]])-Table4[[#This Row],[Away Differential]]</f>
        <v>-0.30086456538068929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0.5345626375819561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0.21663193833466554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0.30302134926393393</v>
      </c>
      <c r="H211" t="s">
        <v>21</v>
      </c>
      <c r="I211">
        <f>VLOOKUP(Table4[[#This Row],[Visitor]],'NHL Model'!$A$6:$B$38,2,FALSE)</f>
        <v>0.20241790420125966</v>
      </c>
      <c r="J211">
        <f>($B$1+Table4[[#This Row],[Home Differential]])-Table4[[#This Row],[Away Differential]]</f>
        <v>0.18767158994021726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0.55999201362174778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0.31359105532013976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0.1651103738530684</v>
      </c>
      <c r="H212" t="s">
        <v>25</v>
      </c>
      <c r="I212">
        <f>VLOOKUP(Table4[[#This Row],[Visitor]],'NHL Model'!$A$6:$B$38,2,FALSE)</f>
        <v>0.48797916660265073</v>
      </c>
      <c r="J212">
        <f>($B$1+Table4[[#This Row],[Home Differential]])-Table4[[#This Row],[Away Differential]]</f>
        <v>-0.23580064787203936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0.55774220692160548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0.19559195553857203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0.22444955994982585</v>
      </c>
      <c r="H213" t="s">
        <v>26</v>
      </c>
      <c r="I213">
        <f>VLOOKUP(Table4[[#This Row],[Visitor]],'NHL Model'!$A$6:$B$38,2,FALSE)</f>
        <v>-0.47317909800770142</v>
      </c>
      <c r="J213">
        <f>($B$1+Table4[[#This Row],[Home Differential]])-Table4[[#This Row],[Away Differential]]</f>
        <v>0.78469680283507026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0.62276157776242003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0.14230882721229868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-0.65802650867783552</v>
      </c>
      <c r="H214" t="s">
        <v>28</v>
      </c>
      <c r="I214">
        <f>VLOOKUP(Table4[[#This Row],[Visitor]],'NHL Model'!$A$6:$B$38,2,FALSE)</f>
        <v>-0.25582283032518105</v>
      </c>
      <c r="J214">
        <f>($B$1+Table4[[#This Row],[Home Differential]])-Table4[[#This Row],[Away Differential]]</f>
        <v>-0.31513553347511147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0.49357031226696652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0.24361165315131084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-0.52701775861642253</v>
      </c>
      <c r="H215" t="s">
        <v>33</v>
      </c>
      <c r="I215">
        <f>VLOOKUP(Table4[[#This Row],[Visitor]],'NHL Model'!$A$6:$B$38,2,FALSE)</f>
        <v>-0.25672436988374864</v>
      </c>
      <c r="J215">
        <f>($B$1+Table4[[#This Row],[Home Differential]])-Table4[[#This Row],[Away Differential]]</f>
        <v>-0.18322524385513089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0.47951835955653543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0.2709011380387199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-6.3531358246322375E-2</v>
      </c>
      <c r="H216" t="s">
        <v>55</v>
      </c>
      <c r="I216">
        <f>VLOOKUP(Table4[[#This Row],[Visitor]],'NHL Model'!$A$6:$B$38,2,FALSE)</f>
        <v>0.16928148250244404</v>
      </c>
      <c r="J216">
        <f>($B$1+Table4[[#This Row],[Home Differential]])-Table4[[#This Row],[Away Differential]]</f>
        <v>-0.14574469587122341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0.47552568476711449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0.22612467687323315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-0.59313840141656504</v>
      </c>
      <c r="H217" t="s">
        <v>10</v>
      </c>
      <c r="I217">
        <f>VLOOKUP(Table4[[#This Row],[Visitor]],'NHL Model'!$A$6:$B$38,2,FALSE)</f>
        <v>-0.25852364135215161</v>
      </c>
      <c r="J217">
        <f>($B$1+Table4[[#This Row],[Home Differential]])-Table4[[#This Row],[Away Differential]]</f>
        <v>-0.24754661518687043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0.48637029560206724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0.26381547323990778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0.96536026973954592</v>
      </c>
      <c r="H218" t="s">
        <v>35</v>
      </c>
      <c r="I218">
        <f>VLOOKUP(Table4[[#This Row],[Visitor]],'NHL Model'!$A$6:$B$38,2,FALSE)</f>
        <v>-0.95834101872668032</v>
      </c>
      <c r="J218">
        <f>($B$1+Table4[[#This Row],[Home Differential]])-Table4[[#This Row],[Away Differential]]</f>
        <v>2.0107694333437696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0.79023726778625969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4.4000403825773325E-2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0.20241790420125966</v>
      </c>
      <c r="H219" t="s">
        <v>36</v>
      </c>
      <c r="I219">
        <f>VLOOKUP(Table4[[#This Row],[Visitor]],'NHL Model'!$A$6:$B$38,2,FALSE)</f>
        <v>-0.17962977873499933</v>
      </c>
      <c r="J219">
        <f>($B$1+Table4[[#This Row],[Home Differential]])-Table4[[#This Row],[Away Differential]]</f>
        <v>0.46911582781380201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0.64564117725227876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0.12557017525915093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-0.35383832279900912</v>
      </c>
      <c r="H220" t="s">
        <v>35</v>
      </c>
      <c r="I220">
        <f>VLOOKUP(Table4[[#This Row],[Visitor]],'NHL Model'!$A$6:$B$38,2,FALSE)</f>
        <v>-0.95834101872668032</v>
      </c>
      <c r="J220">
        <f>($B$1+Table4[[#This Row],[Home Differential]])-Table4[[#This Row],[Away Differential]]</f>
        <v>0.69157084080521414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0.62379292950706855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0.38911761890301061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0.48797916660265073</v>
      </c>
      <c r="H221" t="s">
        <v>34</v>
      </c>
      <c r="I221">
        <f>VLOOKUP(Table4[[#This Row],[Visitor]],'NHL Model'!$A$6:$B$38,2,FALSE)</f>
        <v>4.4994204383705286E-2</v>
      </c>
      <c r="J221">
        <f>($B$1+Table4[[#This Row],[Home Differential]])-Table4[[#This Row],[Away Differential]]</f>
        <v>0.53005310709648845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0.60191929294615221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0.15846824932849138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0.86540791565538033</v>
      </c>
      <c r="H222" t="s">
        <v>31</v>
      </c>
      <c r="I222">
        <f>VLOOKUP(Table4[[#This Row],[Visitor]],'NHL Model'!$A$6:$B$38,2,FALSE)</f>
        <v>0.44031772420389576</v>
      </c>
      <c r="J222">
        <f>($B$1+Table4[[#This Row],[Home Differential]])-Table4[[#This Row],[Away Differential]]</f>
        <v>0.51215833632902763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0.62598705009677724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0.39185978688886508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8.443955887089849E-2</v>
      </c>
      <c r="H223" t="s">
        <v>11</v>
      </c>
      <c r="I223">
        <f>VLOOKUP(Table4[[#This Row],[Visitor]],'NHL Model'!$A$6:$B$38,2,FALSE)</f>
        <v>-0.10214397920743352</v>
      </c>
      <c r="J223">
        <f>($B$1+Table4[[#This Row],[Home Differential]])-Table4[[#This Row],[Away Differential]]</f>
        <v>0.273651682955875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0.56915117932879877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0.32393306493136248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-2.9769404338063311E-4</v>
      </c>
      <c r="H224" t="s">
        <v>18</v>
      </c>
      <c r="I224">
        <f>VLOOKUP(Table4[[#This Row],[Visitor]],'NHL Model'!$A$6:$B$38,2,FALSE)</f>
        <v>-0.31732900620087529</v>
      </c>
      <c r="J224">
        <f>($B$1+Table4[[#This Row],[Home Differential]])-Table4[[#This Row],[Away Differential]]</f>
        <v>0.40409945703503763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0.55396436582050068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0.19894778695790813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-0.88005793547499611</v>
      </c>
      <c r="H225" t="s">
        <v>27</v>
      </c>
      <c r="I225">
        <f>VLOOKUP(Table4[[#This Row],[Visitor]],'NHL Model'!$A$6:$B$38,2,FALSE)</f>
        <v>7.060370405735697E-2</v>
      </c>
      <c r="J225">
        <f>($B$1+Table4[[#This Row],[Home Differential]])-Table4[[#This Row],[Away Differential]]</f>
        <v>-0.86359349465481006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0.5945082288298561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0.16442357648670033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0.25731150832780025</v>
      </c>
      <c r="H226" t="s">
        <v>22</v>
      </c>
      <c r="I226">
        <f>VLOOKUP(Table4[[#This Row],[Visitor]],'NHL Model'!$A$6:$B$38,2,FALSE)</f>
        <v>0.96536026973954592</v>
      </c>
      <c r="J226">
        <f>($B$1+Table4[[#This Row],[Home Differential]])-Table4[[#This Row],[Away Differential]]</f>
        <v>-0.62098061653420267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0.58028976205654925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0.33673620794764653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0.22444955994982585</v>
      </c>
      <c r="H227" t="s">
        <v>37</v>
      </c>
      <c r="I227">
        <f>VLOOKUP(Table4[[#This Row],[Visitor]],'NHL Model'!$A$6:$B$38,2,FALSE)</f>
        <v>0.66951981565543606</v>
      </c>
      <c r="J227">
        <f>($B$1+Table4[[#This Row],[Home Differential]])-Table4[[#This Row],[Away Differential]]</f>
        <v>-0.35800211082806721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0.57075991148089789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0.18424705359188662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-0.65802650867783552</v>
      </c>
      <c r="H228" t="s">
        <v>10</v>
      </c>
      <c r="I228">
        <f>VLOOKUP(Table4[[#This Row],[Visitor]],'NHL Model'!$A$6:$B$38,2,FALSE)</f>
        <v>-0.25852364135215161</v>
      </c>
      <c r="J228">
        <f>($B$1+Table4[[#This Row],[Home Differential]])-Table4[[#This Row],[Away Differential]]</f>
        <v>-0.31243472244814091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0.4932826040909013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0.25676251931689825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-0.47317909800770142</v>
      </c>
      <c r="H229" t="s">
        <v>15</v>
      </c>
      <c r="I229">
        <f>VLOOKUP(Table4[[#This Row],[Visitor]],'NHL Model'!$A$6:$B$38,2,FALSE)</f>
        <v>0.1651103738530684</v>
      </c>
      <c r="J229">
        <f>($B$1+Table4[[#This Row],[Home Differential]])-Table4[[#This Row],[Away Differential]]</f>
        <v>-0.55122132698322679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0.6152414648020561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0.14803913040766742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0.30302134926393393</v>
      </c>
      <c r="H230" t="s">
        <v>34</v>
      </c>
      <c r="I230">
        <f>VLOOKUP(Table4[[#This Row],[Visitor]],'NHL Model'!$A$6:$B$38,2,FALSE)</f>
        <v>4.4994204383705286E-2</v>
      </c>
      <c r="J230">
        <f>($B$1+Table4[[#This Row],[Home Differential]])-Table4[[#This Row],[Away Differential]]</f>
        <v>0.34509528975777165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0.55599259202896745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0.30912776239108986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-0.25672436988374864</v>
      </c>
      <c r="H231" t="s">
        <v>40</v>
      </c>
      <c r="I231">
        <f>VLOOKUP(Table4[[#This Row],[Visitor]],'NHL Model'!$A$6:$B$38,2,FALSE)</f>
        <v>-9.7143783320053662E-2</v>
      </c>
      <c r="J231">
        <f>($B$1+Table4[[#This Row],[Home Differential]])-Table4[[#This Row],[Away Differential]]</f>
        <v>-7.2512441686151979E-2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0.46772450279979799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0.21876621051931824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0.48797916660265073</v>
      </c>
      <c r="H232" t="s">
        <v>23</v>
      </c>
      <c r="I232">
        <f>VLOOKUP(Table4[[#This Row],[Visitor]],'NHL Model'!$A$6:$B$38,2,FALSE)</f>
        <v>-0.35383832279900912</v>
      </c>
      <c r="J232">
        <f>($B$1+Table4[[#This Row],[Home Differential]])-Table4[[#This Row],[Away Differential]]</f>
        <v>0.9288856342792029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0.66498875054164386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0.11223253726364893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-0.19871596400308536</v>
      </c>
      <c r="H233" t="s">
        <v>12</v>
      </c>
      <c r="I233">
        <f>VLOOKUP(Table4[[#This Row],[Visitor]],'NHL Model'!$A$6:$B$38,2,FALSE)</f>
        <v>1.7072432657355574</v>
      </c>
      <c r="J233">
        <f>($B$1+Table4[[#This Row],[Home Differential]])-Table4[[#This Row],[Away Differential]]</f>
        <v>-1.8188910848610997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0.71100163549297857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8.3520054687733228E-2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-0.31732900620087529</v>
      </c>
      <c r="H234" t="s">
        <v>55</v>
      </c>
      <c r="I234">
        <f>VLOOKUP(Table4[[#This Row],[Visitor]],'NHL Model'!$A$6:$B$38,2,FALSE)</f>
        <v>0.16928148250244404</v>
      </c>
      <c r="J234">
        <f>($B$1+Table4[[#This Row],[Home Differential]])-Table4[[#This Row],[Away Differential]]</f>
        <v>-0.39954234382577636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0.50256188154410808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0.25256844478115414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-2.9769404338063311E-4</v>
      </c>
      <c r="H235" t="s">
        <v>14</v>
      </c>
      <c r="I235">
        <f>VLOOKUP(Table4[[#This Row],[Visitor]],'NHL Model'!$A$6:$B$38,2,FALSE)</f>
        <v>0.25731150832780025</v>
      </c>
      <c r="J235">
        <f>($B$1+Table4[[#This Row],[Home Differential]])-Table4[[#This Row],[Away Differential]]</f>
        <v>-0.1705410574936379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0.47160845204353391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0.22241453203889822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-0.88005793547499611</v>
      </c>
      <c r="H236" t="s">
        <v>39</v>
      </c>
      <c r="I236">
        <f>VLOOKUP(Table4[[#This Row],[Visitor]],'NHL Model'!$A$6:$B$38,2,FALSE)</f>
        <v>0.86540791565538033</v>
      </c>
      <c r="J236">
        <f>($B$1+Table4[[#This Row],[Home Differential]])-Table4[[#This Row],[Away Differential]]</f>
        <v>-1.6583977062528334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0.72914963245214792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7.3359921600806566E-2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0.1651103738530684</v>
      </c>
      <c r="H237" t="s">
        <v>30</v>
      </c>
      <c r="I237">
        <f>VLOOKUP(Table4[[#This Row],[Visitor]],'NHL Model'!$A$6:$B$38,2,FALSE)</f>
        <v>0.30302134926393393</v>
      </c>
      <c r="J237">
        <f>($B$1+Table4[[#This Row],[Home Differential]])-Table4[[#This Row],[Away Differential]]</f>
        <v>-5.0842830533322558E-2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0.53173190259402481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0.21927501104821187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7.060370405735697E-2</v>
      </c>
      <c r="H238" t="s">
        <v>36</v>
      </c>
      <c r="I238">
        <f>VLOOKUP(Table4[[#This Row],[Visitor]],'NHL Model'!$A$6:$B$38,2,FALSE)</f>
        <v>-0.17962977873499933</v>
      </c>
      <c r="J238">
        <f>($B$1+Table4[[#This Row],[Home Differential]])-Table4[[#This Row],[Away Differential]]</f>
        <v>0.3373016276698993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0.58249029504295147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0.33929494381922465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-0.25672436988374864</v>
      </c>
      <c r="H239" t="s">
        <v>11</v>
      </c>
      <c r="I239">
        <f>VLOOKUP(Table4[[#This Row],[Visitor]],'NHL Model'!$A$6:$B$38,2,FALSE)</f>
        <v>-0.10214397920743352</v>
      </c>
      <c r="J239">
        <f>($B$1+Table4[[#This Row],[Home Differential]])-Table4[[#This Row],[Away Differential]]</f>
        <v>-6.7512245798772116E-2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0.46719184900641481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0.21826822377803268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-0.95834101872668032</v>
      </c>
      <c r="H240" t="s">
        <v>32</v>
      </c>
      <c r="I240">
        <f>VLOOKUP(Table4[[#This Row],[Visitor]],'NHL Model'!$A$6:$B$38,2,FALSE)</f>
        <v>-0.52701775861642253</v>
      </c>
      <c r="J240">
        <f>($B$1+Table4[[#This Row],[Home Differential]])-Table4[[#This Row],[Away Differential]]</f>
        <v>-0.34425511523271479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0.49667232187504334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0.25333875156666003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0.66951981565543606</v>
      </c>
      <c r="H241" t="s">
        <v>22</v>
      </c>
      <c r="I241">
        <f>VLOOKUP(Table4[[#This Row],[Visitor]],'NHL Model'!$A$6:$B$38,2,FALSE)</f>
        <v>0.96536026973954592</v>
      </c>
      <c r="J241">
        <f>($B$1+Table4[[#This Row],[Home Differential]])-Table4[[#This Row],[Away Differential]]</f>
        <v>-0.20877230920656686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0.53637861867189085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0.28770202256836569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-6.3531358246322375E-2</v>
      </c>
      <c r="H242" t="s">
        <v>21</v>
      </c>
      <c r="I242">
        <f>VLOOKUP(Table4[[#This Row],[Visitor]],'NHL Model'!$A$6:$B$38,2,FALSE)</f>
        <v>0.20241790420125966</v>
      </c>
      <c r="J242">
        <f>($B$1+Table4[[#This Row],[Home Differential]])-Table4[[#This Row],[Away Differential]]</f>
        <v>-0.17888111757003905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0.47905559461755975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0.27138307349926422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-0.59313840141656504</v>
      </c>
      <c r="H243" t="s">
        <v>28</v>
      </c>
      <c r="I243">
        <f>VLOOKUP(Table4[[#This Row],[Visitor]],'NHL Model'!$A$6:$B$38,2,FALSE)</f>
        <v>-0.25582283032518105</v>
      </c>
      <c r="J243">
        <f>($B$1+Table4[[#This Row],[Home Differential]])-Table4[[#This Row],[Away Differential]]</f>
        <v>-0.250247426213841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0.48665800377813245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0.23683601264131679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0.22444955994982585</v>
      </c>
      <c r="H244" t="s">
        <v>31</v>
      </c>
      <c r="I244">
        <f>VLOOKUP(Table4[[#This Row],[Visitor]],'NHL Model'!$A$6:$B$38,2,FALSE)</f>
        <v>0.44031772420389576</v>
      </c>
      <c r="J244">
        <f>($B$1+Table4[[#This Row],[Home Differential]])-Table4[[#This Row],[Away Differential]]</f>
        <v>-0.12880001937652691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0.49448985701147208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0.25554050466428196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0.44031772420389576</v>
      </c>
      <c r="H245" t="s">
        <v>40</v>
      </c>
      <c r="I245">
        <f>VLOOKUP(Table4[[#This Row],[Visitor]],'NHL Model'!$A$6:$B$38,2,FALSE)</f>
        <v>-9.7143783320053662E-2</v>
      </c>
      <c r="J245">
        <f>($B$1+Table4[[#This Row],[Home Differential]])-Table4[[#This Row],[Away Differential]]</f>
        <v>0.6245296524014925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0.68105415091244892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0.1017264546501789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0.86540791565538033</v>
      </c>
      <c r="H246" t="s">
        <v>32</v>
      </c>
      <c r="I246">
        <f>VLOOKUP(Table4[[#This Row],[Visitor]],'NHL Model'!$A$6:$B$38,2,FALSE)</f>
        <v>-0.52701775861642253</v>
      </c>
      <c r="J246">
        <f>($B$1+Table4[[#This Row],[Home Differential]])-Table4[[#This Row],[Away Differential]]</f>
        <v>1.4794938191493459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0.74932140075999953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6.2839760116928767E-2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-0.47317909800770142</v>
      </c>
      <c r="H247" t="s">
        <v>10</v>
      </c>
      <c r="I247">
        <f>VLOOKUP(Table4[[#This Row],[Visitor]],'NHL Model'!$A$6:$B$38,2,FALSE)</f>
        <v>-0.25852364135215161</v>
      </c>
      <c r="J247">
        <f>($B$1+Table4[[#This Row],[Home Differential]])-Table4[[#This Row],[Away Differential]]</f>
        <v>-0.12758731177800681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0.46346919125413077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0.28786530873349653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4.4994204383705286E-2</v>
      </c>
      <c r="H248" t="s">
        <v>16</v>
      </c>
      <c r="I248">
        <f>VLOOKUP(Table4[[#This Row],[Visitor]],'NHL Model'!$A$6:$B$38,2,FALSE)</f>
        <v>-0.65802650867783552</v>
      </c>
      <c r="J248">
        <f>($B$1+Table4[[#This Row],[Home Differential]])-Table4[[#This Row],[Away Differential]]</f>
        <v>0.79008885793908379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0.62416546806760131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0.14125159539284521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-0.17962977873499933</v>
      </c>
      <c r="H249" t="s">
        <v>55</v>
      </c>
      <c r="I249">
        <f>VLOOKUP(Table4[[#This Row],[Visitor]],'NHL Model'!$A$6:$B$38,2,FALSE)</f>
        <v>0.16928148250244404</v>
      </c>
      <c r="J249">
        <f>($B$1+Table4[[#This Row],[Home Differential]])-Table4[[#This Row],[Away Differential]]</f>
        <v>-0.26184311635990037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0.4878932530528225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0.2380398263744655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0.25731150832780025</v>
      </c>
      <c r="H250" t="s">
        <v>13</v>
      </c>
      <c r="I250">
        <f>VLOOKUP(Table4[[#This Row],[Visitor]],'NHL Model'!$A$6:$B$38,2,FALSE)</f>
        <v>8.443955887089849E-2</v>
      </c>
      <c r="J250">
        <f>($B$1+Table4[[#This Row],[Home Differential]])-Table4[[#This Row],[Away Differential]]</f>
        <v>0.25994009433444476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0.50137474114114156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0.25137663105434671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-6.3531358246322375E-2</v>
      </c>
      <c r="H251" t="s">
        <v>25</v>
      </c>
      <c r="I251">
        <f>VLOOKUP(Table4[[#This Row],[Visitor]],'NHL Model'!$A$6:$B$38,2,FALSE)</f>
        <v>0.48797916660265073</v>
      </c>
      <c r="J251">
        <f>($B$1+Table4[[#This Row],[Home Differential]])-Table4[[#This Row],[Away Differential]]</f>
        <v>-0.46444237997143012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0.58209862988411742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0.17464155514473187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-0.59313840141656504</v>
      </c>
      <c r="H252" t="s">
        <v>12</v>
      </c>
      <c r="I252">
        <f>VLOOKUP(Table4[[#This Row],[Visitor]],'NHL Model'!$A$6:$B$38,2,FALSE)</f>
        <v>1.7072432657355574</v>
      </c>
      <c r="J252">
        <f>($B$1+Table4[[#This Row],[Home Differential]])-Table4[[#This Row],[Away Differential]]</f>
        <v>-2.2133135222745794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0.77225741827520178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5.1866683530676395E-2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-0.19871596400308536</v>
      </c>
      <c r="H253" t="s">
        <v>28</v>
      </c>
      <c r="I253">
        <f>VLOOKUP(Table4[[#This Row],[Visitor]],'NHL Model'!$A$6:$B$38,2,FALSE)</f>
        <v>-0.25582283032518105</v>
      </c>
      <c r="J253">
        <f>($B$1+Table4[[#This Row],[Home Differential]])-Table4[[#This Row],[Away Differential]]</f>
        <v>0.14417501119963869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0.57446390292906069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0.18108096991036787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-2.9769404338063311E-4</v>
      </c>
      <c r="H254" t="s">
        <v>30</v>
      </c>
      <c r="I254">
        <f>VLOOKUP(Table4[[#This Row],[Visitor]],'NHL Model'!$A$6:$B$38,2,FALSE)</f>
        <v>0.30302134926393393</v>
      </c>
      <c r="J254">
        <f>($B$1+Table4[[#This Row],[Home Differential]])-Table4[[#This Row],[Away Differential]]</f>
        <v>-0.21625089842977158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0.5057950904531413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0.24423849262021879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0.1651103738530684</v>
      </c>
      <c r="H255" t="s">
        <v>29</v>
      </c>
      <c r="I255">
        <f>VLOOKUP(Table4[[#This Row],[Visitor]],'NHL Model'!$A$6:$B$38,2,FALSE)</f>
        <v>-0.88005793547499611</v>
      </c>
      <c r="J255">
        <f>($B$1+Table4[[#This Row],[Home Differential]])-Table4[[#This Row],[Away Differential]]</f>
        <v>1.1322364542056076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0.66061328314386059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0.11518334357838934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0.22444955994982585</v>
      </c>
      <c r="H256" t="s">
        <v>11</v>
      </c>
      <c r="I256">
        <f>VLOOKUP(Table4[[#This Row],[Visitor]],'NHL Model'!$A$6:$B$38,2,FALSE)</f>
        <v>-0.10214397920743352</v>
      </c>
      <c r="J256">
        <f>($B$1+Table4[[#This Row],[Home Differential]])-Table4[[#This Row],[Away Differential]]</f>
        <v>0.41366168403480236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0.58406596664233135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0.3411330533898409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0.20241790420125966</v>
      </c>
      <c r="H257" t="s">
        <v>19</v>
      </c>
      <c r="I257">
        <f>VLOOKUP(Table4[[#This Row],[Visitor]],'NHL Model'!$A$6:$B$38,2,FALSE)</f>
        <v>-6.3531358246322375E-2</v>
      </c>
      <c r="J257">
        <f>($B$1+Table4[[#This Row],[Home Differential]])-Table4[[#This Row],[Away Differential]]</f>
        <v>0.35301740732512504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0.63673427923548065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0.13196198388256575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0.48797916660265073</v>
      </c>
      <c r="H258" t="s">
        <v>22</v>
      </c>
      <c r="I258">
        <f>VLOOKUP(Table4[[#This Row],[Visitor]],'NHL Model'!$A$6:$B$38,2,FALSE)</f>
        <v>0.96536026973954592</v>
      </c>
      <c r="J258">
        <f>($B$1+Table4[[#This Row],[Home Differential]])-Table4[[#This Row],[Away Differential]]</f>
        <v>-0.39031295825935219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0.52938358466469038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0.22147981038305664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1.7072432657355574</v>
      </c>
      <c r="H259" t="s">
        <v>31</v>
      </c>
      <c r="I259">
        <f>VLOOKUP(Table4[[#This Row],[Visitor]],'NHL Model'!$A$6:$B$38,2,FALSE)</f>
        <v>0.44031772420389576</v>
      </c>
      <c r="J259">
        <f>($B$1+Table4[[#This Row],[Home Differential]])-Table4[[#This Row],[Away Differential]]</f>
        <v>1.3539936864092046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0.77280775241285893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5.1616317363696811E-2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4.4994204383705286E-2</v>
      </c>
      <c r="H260" t="s">
        <v>33</v>
      </c>
      <c r="I260">
        <f>VLOOKUP(Table4[[#This Row],[Visitor]],'NHL Model'!$A$6:$B$38,2,FALSE)</f>
        <v>-0.25672436988374864</v>
      </c>
      <c r="J260">
        <f>($B$1+Table4[[#This Row],[Home Differential]])-Table4[[#This Row],[Away Differential]]</f>
        <v>0.38878671914499691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0.58141612157480727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0.33804470642709106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-0.31732900620087529</v>
      </c>
      <c r="H261" t="s">
        <v>13</v>
      </c>
      <c r="I261">
        <f>VLOOKUP(Table4[[#This Row],[Visitor]],'NHL Model'!$A$6:$B$38,2,FALSE)</f>
        <v>8.443955887089849E-2</v>
      </c>
      <c r="J261">
        <f>($B$1+Table4[[#This Row],[Home Differential]])-Table4[[#This Row],[Away Differential]]</f>
        <v>-0.31470042019423078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0.55983975060864855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0.19374104514425672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-0.17962977873499933</v>
      </c>
      <c r="H262" t="s">
        <v>39</v>
      </c>
      <c r="I262">
        <f>VLOOKUP(Table4[[#This Row],[Visitor]],'NHL Model'!$A$6:$B$38,2,FALSE)</f>
        <v>0.86540791565538033</v>
      </c>
      <c r="J262">
        <f>($B$1+Table4[[#This Row],[Home Differential]])-Table4[[#This Row],[Away Differential]]</f>
        <v>-0.95796954951283664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0.65453541271296234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0.11934578106940326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-0.52701775861642253</v>
      </c>
      <c r="H263" t="s">
        <v>28</v>
      </c>
      <c r="I263">
        <f>VLOOKUP(Table4[[#This Row],[Visitor]],'NHL Model'!$A$6:$B$38,2,FALSE)</f>
        <v>-0.25582283032518105</v>
      </c>
      <c r="J263">
        <f>($B$1+Table4[[#This Row],[Home Differential]])-Table4[[#This Row],[Away Differential]]</f>
        <v>-0.18412678341369848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0.47961439748716295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0.27080117530264847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-0.95834101872668032</v>
      </c>
      <c r="H264" t="s">
        <v>16</v>
      </c>
      <c r="I264">
        <f>VLOOKUP(Table4[[#This Row],[Visitor]],'NHL Model'!$A$6:$B$38,2,FALSE)</f>
        <v>-0.65802650867783552</v>
      </c>
      <c r="J264">
        <f>($B$1+Table4[[#This Row],[Home Differential]])-Table4[[#This Row],[Away Differential]]</f>
        <v>-0.2132463651713018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0.48271640709523972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0.2330151296789372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-0.59313840141656504</v>
      </c>
      <c r="H265" t="s">
        <v>40</v>
      </c>
      <c r="I265">
        <f>VLOOKUP(Table4[[#This Row],[Visitor]],'NHL Model'!$A$6:$B$38,2,FALSE)</f>
        <v>-9.7143783320053662E-2</v>
      </c>
      <c r="J265">
        <f>($B$1+Table4[[#This Row],[Home Differential]])-Table4[[#This Row],[Away Differential]]</f>
        <v>-0.40892647321896836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0.50356154080375792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0.2464511437691389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-0.25852364135215161</v>
      </c>
      <c r="H266" t="s">
        <v>24</v>
      </c>
      <c r="I266">
        <f>VLOOKUP(Table4[[#This Row],[Visitor]],'NHL Model'!$A$6:$B$38,2,FALSE)</f>
        <v>-2.9769404338063311E-4</v>
      </c>
      <c r="J266">
        <f>($B$1+Table4[[#This Row],[Home Differential]])-Table4[[#This Row],[Away Differential]]</f>
        <v>-0.171157802431228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0.48180901516953423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0.268521896759568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7.060370405735697E-2</v>
      </c>
      <c r="H267" t="s">
        <v>17</v>
      </c>
      <c r="I267">
        <f>VLOOKUP(Table4[[#This Row],[Visitor]],'NHL Model'!$A$6:$B$38,2,FALSE)</f>
        <v>-0.19871596400308536</v>
      </c>
      <c r="J267">
        <f>($B$1+Table4[[#This Row],[Home Differential]])-Table4[[#This Row],[Away Differential]]</f>
        <v>0.35638781293798533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0.58808702612001407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0.34584635029068211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0.66951981565543606</v>
      </c>
      <c r="H268" t="s">
        <v>15</v>
      </c>
      <c r="I268">
        <f>VLOOKUP(Table4[[#This Row],[Visitor]],'NHL Model'!$A$6:$B$38,2,FALSE)</f>
        <v>0.1651103738530684</v>
      </c>
      <c r="J268">
        <f>($B$1+Table4[[#This Row],[Home Differential]])-Table4[[#This Row],[Away Differential]]</f>
        <v>0.59147758667991068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0.49643584959105802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0.24644855275919558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0.16928148250244404</v>
      </c>
      <c r="H269" t="s">
        <v>23</v>
      </c>
      <c r="I269">
        <f>VLOOKUP(Table4[[#This Row],[Visitor]],'NHL Model'!$A$6:$B$38,2,FALSE)</f>
        <v>-0.35383832279900912</v>
      </c>
      <c r="J269">
        <f>($B$1+Table4[[#This Row],[Home Differential]])-Table4[[#This Row],[Away Differential]]</f>
        <v>0.61018795017899619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0.64543241612954327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0.12571817153173337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-0.25582283032518105</v>
      </c>
      <c r="H270" t="s">
        <v>17</v>
      </c>
      <c r="I270">
        <f>VLOOKUP(Table4[[#This Row],[Visitor]],'NHL Model'!$A$6:$B$38,2,FALSE)</f>
        <v>-0.19871596400308536</v>
      </c>
      <c r="J270">
        <f>($B$1+Table4[[#This Row],[Home Differential]])-Table4[[#This Row],[Away Differential]]</f>
        <v>2.9961278555447307E-2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0.54319167269375346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0.20867384789633087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-0.65802650867783552</v>
      </c>
      <c r="H271" t="s">
        <v>33</v>
      </c>
      <c r="I271">
        <f>VLOOKUP(Table4[[#This Row],[Visitor]],'NHL Model'!$A$6:$B$38,2,FALSE)</f>
        <v>-0.25672436988374864</v>
      </c>
      <c r="J271">
        <f>($B$1+Table4[[#This Row],[Home Differential]])-Table4[[#This Row],[Away Differential]]</f>
        <v>-0.31423399391654389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0.49347427433633906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0.24351685943177642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1.7072432657355574</v>
      </c>
      <c r="H272" t="s">
        <v>23</v>
      </c>
      <c r="I272">
        <f>VLOOKUP(Table4[[#This Row],[Visitor]],'NHL Model'!$A$6:$B$38,2,FALSE)</f>
        <v>-0.35383832279900912</v>
      </c>
      <c r="J272">
        <f>($B$1+Table4[[#This Row],[Home Differential]])-Table4[[#This Row],[Away Differential]]</f>
        <v>2.1481497334121094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0.87665602151366828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1.5213737028836662E-2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-0.47317909800770142</v>
      </c>
      <c r="H273" t="s">
        <v>31</v>
      </c>
      <c r="I273">
        <f>VLOOKUP(Table4[[#This Row],[Visitor]],'NHL Model'!$A$6:$B$38,2,FALSE)</f>
        <v>0.44031772420389576</v>
      </c>
      <c r="J273">
        <f>($B$1+Table4[[#This Row],[Home Differential]])-Table4[[#This Row],[Away Differential]]</f>
        <v>-0.82642867733405412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0.55862486022988167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0.31206173446685481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-0.10214397920743352</v>
      </c>
      <c r="H274" t="s">
        <v>22</v>
      </c>
      <c r="I274">
        <f>VLOOKUP(Table4[[#This Row],[Visitor]],'NHL Model'!$A$6:$B$38,2,FALSE)</f>
        <v>0.96536026973954592</v>
      </c>
      <c r="J274">
        <f>($B$1+Table4[[#This Row],[Home Differential]])-Table4[[#This Row],[Away Differential]]</f>
        <v>-0.98043610406943649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0.6114847637276708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0.37391361627108538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-0.31732900620087529</v>
      </c>
      <c r="H275" t="s">
        <v>39</v>
      </c>
      <c r="I275">
        <f>VLOOKUP(Table4[[#This Row],[Visitor]],'NHL Model'!$A$6:$B$38,2,FALSE)</f>
        <v>0.86540791565538033</v>
      </c>
      <c r="J275">
        <f>($B$1+Table4[[#This Row],[Home Differential]])-Table4[[#This Row],[Away Differential]]</f>
        <v>-1.0956687769787126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0.66920404120424792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0.10942596635560091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-0.17962977873499933</v>
      </c>
      <c r="H276" t="s">
        <v>21</v>
      </c>
      <c r="I276">
        <f>VLOOKUP(Table4[[#This Row],[Visitor]],'NHL Model'!$A$6:$B$38,2,FALSE)</f>
        <v>0.20241790420125966</v>
      </c>
      <c r="J276">
        <f>($B$1+Table4[[#This Row],[Home Differential]])-Table4[[#This Row],[Away Differential]]</f>
        <v>-0.29497953805871602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0.49142316290326782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0.24149672503785169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-0.52701775861642253</v>
      </c>
      <c r="H277" t="s">
        <v>40</v>
      </c>
      <c r="I277">
        <f>VLOOKUP(Table4[[#This Row],[Visitor]],'NHL Model'!$A$6:$B$38,2,FALSE)</f>
        <v>-9.7143783320053662E-2</v>
      </c>
      <c r="J277">
        <f>($B$1+Table4[[#This Row],[Home Differential]])-Table4[[#This Row],[Away Differential]]</f>
        <v>-0.34280583041882584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0.49651793451278836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0.2465300592928456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-6.3531358246322375E-2</v>
      </c>
      <c r="H278" t="s">
        <v>13</v>
      </c>
      <c r="I278">
        <f>VLOOKUP(Table4[[#This Row],[Visitor]],'NHL Model'!$A$6:$B$38,2,FALSE)</f>
        <v>8.443955887089849E-2</v>
      </c>
      <c r="J278">
        <f>($B$1+Table4[[#This Row],[Home Differential]])-Table4[[#This Row],[Away Differential]]</f>
        <v>-6.0902772239677869E-2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0.5328035538316549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0.21827251931233138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0.22444955994982585</v>
      </c>
      <c r="H279" t="s">
        <v>30</v>
      </c>
      <c r="I279">
        <f>VLOOKUP(Table4[[#This Row],[Visitor]],'NHL Model'!$A$6:$B$38,2,FALSE)</f>
        <v>0.30302134926393393</v>
      </c>
      <c r="J279">
        <f>($B$1+Table4[[#This Row],[Home Differential]])-Table4[[#This Row],[Away Differential]]</f>
        <v>8.4963555634349208E-3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0.47458929827142154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0.22523500203376032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0.48797916660265073</v>
      </c>
      <c r="H280" t="s">
        <v>38</v>
      </c>
      <c r="I280">
        <f>VLOOKUP(Table4[[#This Row],[Visitor]],'NHL Model'!$A$6:$B$38,2,FALSE)</f>
        <v>-0.59313840141656504</v>
      </c>
      <c r="J280">
        <f>($B$1+Table4[[#This Row],[Home Differential]])-Table4[[#This Row],[Away Differential]]</f>
        <v>1.1681857128967588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0.69048057076297553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9.5802277075213396E-2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-0.88005793547499611</v>
      </c>
      <c r="H281" t="s">
        <v>14</v>
      </c>
      <c r="I281">
        <f>VLOOKUP(Table4[[#This Row],[Visitor]],'NHL Model'!$A$6:$B$38,2,FALSE)</f>
        <v>0.25731150832780025</v>
      </c>
      <c r="J281">
        <f>($B$1+Table4[[#This Row],[Home Differential]])-Table4[[#This Row],[Away Differential]]</f>
        <v>-1.0503012989252534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0.60877942077912339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0.37061238316416495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-0.95834101872668032</v>
      </c>
      <c r="H282" t="s">
        <v>27</v>
      </c>
      <c r="I282">
        <f>VLOOKUP(Table4[[#This Row],[Visitor]],'NHL Model'!$A$6:$B$38,2,FALSE)</f>
        <v>7.060370405735697E-2</v>
      </c>
      <c r="J282">
        <f>($B$1+Table4[[#This Row],[Home Differential]])-Table4[[#This Row],[Away Differential]]</f>
        <v>-0.94187657790649426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0.60284745837023901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0.15773014132297905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0.16928148250244404</v>
      </c>
      <c r="H283" t="s">
        <v>30</v>
      </c>
      <c r="I283">
        <f>VLOOKUP(Table4[[#This Row],[Visitor]],'NHL Model'!$A$6:$B$38,2,FALSE)</f>
        <v>0.30302134926393393</v>
      </c>
      <c r="J283">
        <f>($B$1+Table4[[#This Row],[Home Differential]])-Table4[[#This Row],[Away Differential]]</f>
        <v>-4.6671721883946915E-2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0.49026589680634192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0.25982885595864286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0.48797916660265073</v>
      </c>
      <c r="H284" t="s">
        <v>17</v>
      </c>
      <c r="I284">
        <f>VLOOKUP(Table4[[#This Row],[Visitor]],'NHL Model'!$A$6:$B$38,2,FALSE)</f>
        <v>-0.19871596400308536</v>
      </c>
      <c r="J284">
        <f>($B$1+Table4[[#This Row],[Home Differential]])-Table4[[#This Row],[Away Differential]]</f>
        <v>0.77376327548327906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0.6484640953656865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0.42050568297843816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-0.25582283032518105</v>
      </c>
      <c r="H285" t="s">
        <v>15</v>
      </c>
      <c r="I285">
        <f>VLOOKUP(Table4[[#This Row],[Visitor]],'NHL Model'!$A$6:$B$38,2,FALSE)</f>
        <v>0.1651103738530684</v>
      </c>
      <c r="J285">
        <f>($B$1+Table4[[#This Row],[Home Differential]])-Table4[[#This Row],[Away Differential]]</f>
        <v>-0.33386505930070642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0.60213774265655706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0.15829437581842001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-0.65802650867783552</v>
      </c>
      <c r="H286" t="s">
        <v>40</v>
      </c>
      <c r="I286">
        <f>VLOOKUP(Table4[[#This Row],[Visitor]],'NHL Model'!$A$6:$B$38,2,FALSE)</f>
        <v>-9.7143783320053662E-2</v>
      </c>
      <c r="J286">
        <f>($B$1+Table4[[#This Row],[Home Differential]])-Table4[[#This Row],[Away Differential]]</f>
        <v>-0.47381458048023883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0.51047384929259199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0.23963585222641196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-0.25852364135215161</v>
      </c>
      <c r="H287" t="s">
        <v>19</v>
      </c>
      <c r="I287">
        <f>VLOOKUP(Table4[[#This Row],[Visitor]],'NHL Model'!$A$6:$B$38,2,FALSE)</f>
        <v>-6.3531358246322375E-2</v>
      </c>
      <c r="J287">
        <f>($B$1+Table4[[#This Row],[Home Differential]])-Table4[[#This Row],[Away Differential]]</f>
        <v>-0.10792413822828624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0.47149678990977056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0.22230922289521832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0.86540791565538033</v>
      </c>
      <c r="H288" t="s">
        <v>27</v>
      </c>
      <c r="I288">
        <f>VLOOKUP(Table4[[#This Row],[Visitor]],'NHL Model'!$A$6:$B$38,2,FALSE)</f>
        <v>7.060370405735697E-2</v>
      </c>
      <c r="J288">
        <f>($B$1+Table4[[#This Row],[Home Differential]])-Table4[[#This Row],[Away Differential]]</f>
        <v>0.88187235647556639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0.64394285074751334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0.12677669353380755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-0.47317909800770142</v>
      </c>
      <c r="H289" t="s">
        <v>23</v>
      </c>
      <c r="I289">
        <f>VLOOKUP(Table4[[#This Row],[Visitor]],'NHL Model'!$A$6:$B$38,2,FALSE)</f>
        <v>-0.35383832279900912</v>
      </c>
      <c r="J289">
        <f>($B$1+Table4[[#This Row],[Home Differential]])-Table4[[#This Row],[Away Differential]]</f>
        <v>-3.2272630331149299E-2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0.45331564371694022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0.29886378540462344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-0.10214397920743352</v>
      </c>
      <c r="H290" t="s">
        <v>37</v>
      </c>
      <c r="I290">
        <f>VLOOKUP(Table4[[#This Row],[Visitor]],'NHL Model'!$A$6:$B$38,2,FALSE)</f>
        <v>0.66951981565543606</v>
      </c>
      <c r="J290">
        <f>($B$1+Table4[[#This Row],[Home Differential]])-Table4[[#This Row],[Away Differential]]</f>
        <v>-0.68459564998532663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0.59847508211439249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0.16122225968304385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4.4994204383705286E-2</v>
      </c>
      <c r="H291" t="s">
        <v>31</v>
      </c>
      <c r="I291">
        <f>VLOOKUP(Table4[[#This Row],[Visitor]],'NHL Model'!$A$6:$B$38,2,FALSE)</f>
        <v>0.44031772420389576</v>
      </c>
      <c r="J291">
        <f>($B$1+Table4[[#This Row],[Home Differential]])-Table4[[#This Row],[Away Differential]]</f>
        <v>-0.30825537494264749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0.51360662324186601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0.26379176343791211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-0.31732900620087529</v>
      </c>
      <c r="H292" t="s">
        <v>21</v>
      </c>
      <c r="I292">
        <f>VLOOKUP(Table4[[#This Row],[Visitor]],'NHL Model'!$A$6:$B$38,2,FALSE)</f>
        <v>0.20241790420125966</v>
      </c>
      <c r="J292">
        <f>($B$1+Table4[[#This Row],[Home Differential]])-Table4[[#This Row],[Away Differential]]</f>
        <v>-0.43267876552459195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0.5060917913945534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0.24394531852784135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-0.17962977873499933</v>
      </c>
      <c r="H293" t="s">
        <v>13</v>
      </c>
      <c r="I293">
        <f>VLOOKUP(Table4[[#This Row],[Visitor]],'NHL Model'!$A$6:$B$38,2,FALSE)</f>
        <v>8.443955887089849E-2</v>
      </c>
      <c r="J293">
        <f>($B$1+Table4[[#This Row],[Home Differential]])-Table4[[#This Row],[Away Differential]]</f>
        <v>-0.17700119272835482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0.54517112211736296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0.20686930815597876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-0.52701775861642253</v>
      </c>
      <c r="H294" t="s">
        <v>33</v>
      </c>
      <c r="I294">
        <f>VLOOKUP(Table4[[#This Row],[Visitor]],'NHL Model'!$A$6:$B$38,2,FALSE)</f>
        <v>-0.25672436988374864</v>
      </c>
      <c r="J294">
        <f>($B$1+Table4[[#This Row],[Home Differential]])-Table4[[#This Row],[Away Differential]]</f>
        <v>-0.18322524385513089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0.47951835955653543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0.2299378571517908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-0.95834101872668032</v>
      </c>
      <c r="H295" t="s">
        <v>20</v>
      </c>
      <c r="I295">
        <f>VLOOKUP(Table4[[#This Row],[Visitor]],'NHL Model'!$A$6:$B$38,2,FALSE)</f>
        <v>0.22444955994982585</v>
      </c>
      <c r="J295">
        <f>($B$1+Table4[[#This Row],[Home Differential]])-Table4[[#This Row],[Away Differential]]</f>
        <v>-1.0957224337989633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0.61601030247501098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0.14744808780533256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0.96536026973954592</v>
      </c>
      <c r="H296" t="s">
        <v>24</v>
      </c>
      <c r="I296">
        <f>VLOOKUP(Table4[[#This Row],[Visitor]],'NHL Model'!$A$6:$B$38,2,FALSE)</f>
        <v>-2.9769404338063311E-4</v>
      </c>
      <c r="J296">
        <f>($B$1+Table4[[#This Row],[Home Differential]])-Table4[[#This Row],[Away Differential]]</f>
        <v>1.0527261086604696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0.68466240151163527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0.46876260404367964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1.7072432657355574</v>
      </c>
      <c r="H297" t="s">
        <v>30</v>
      </c>
      <c r="I297">
        <f>VLOOKUP(Table4[[#This Row],[Visitor]],'NHL Model'!$A$6:$B$38,2,FALSE)</f>
        <v>0.30302134926393393</v>
      </c>
      <c r="J297">
        <f>($B$1+Table4[[#This Row],[Home Differential]])-Table4[[#This Row],[Away Differential]]</f>
        <v>1.4912900613491664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0.74396842080750092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6.5552169543804925E-2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4.4994204383705286E-2</v>
      </c>
      <c r="H298" t="s">
        <v>20</v>
      </c>
      <c r="I298">
        <f>VLOOKUP(Table4[[#This Row],[Visitor]],'NHL Model'!$A$6:$B$38,2,FALSE)</f>
        <v>0.22444955994982585</v>
      </c>
      <c r="J298">
        <f>($B$1+Table4[[#This Row],[Home Differential]])-Table4[[#This Row],[Away Differential]]</f>
        <v>-9.2387210688577581E-2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0.50912842731217001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0.25921175549736358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0.1651103738530684</v>
      </c>
      <c r="H299" t="s">
        <v>26</v>
      </c>
      <c r="I299">
        <f>VLOOKUP(Table4[[#This Row],[Visitor]],'NHL Model'!$A$6:$B$38,2,FALSE)</f>
        <v>-0.47317909800770142</v>
      </c>
      <c r="J299">
        <f>($B$1+Table4[[#This Row],[Home Differential]])-Table4[[#This Row],[Away Differential]]</f>
        <v>0.72535761673831278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0.61644037689697362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0.37999873826888286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0.25731150832780025</v>
      </c>
      <c r="H300" t="s">
        <v>29</v>
      </c>
      <c r="I300">
        <f>VLOOKUP(Table4[[#This Row],[Visitor]],'NHL Model'!$A$6:$B$38,2,FALSE)</f>
        <v>-0.88005793547499611</v>
      </c>
      <c r="J300">
        <f>($B$1+Table4[[#This Row],[Home Differential]])-Table4[[#This Row],[Away Differential]]</f>
        <v>1.2244375886803394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0.6704351551541452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0.10861298695827235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0.66951981565543606</v>
      </c>
      <c r="H301" t="s">
        <v>38</v>
      </c>
      <c r="I301">
        <f>VLOOKUP(Table4[[#This Row],[Visitor]],'NHL Model'!$A$6:$B$38,2,FALSE)</f>
        <v>-0.59313840141656504</v>
      </c>
      <c r="J301">
        <f>($B$1+Table4[[#This Row],[Home Differential]])-Table4[[#This Row],[Away Differential]]</f>
        <v>1.3497263619495441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0.68378174033865768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0.4675574684205635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0.44031772420389576</v>
      </c>
      <c r="H302" t="s">
        <v>55</v>
      </c>
      <c r="I302">
        <f>VLOOKUP(Table4[[#This Row],[Visitor]],'NHL Model'!$A$6:$B$38,2,FALSE)</f>
        <v>0.16928148250244404</v>
      </c>
      <c r="J302">
        <f>($B$1+Table4[[#This Row],[Home Differential]])-Table4[[#This Row],[Away Differential]]</f>
        <v>0.35810438657899479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0.65267277712434457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0.12063619975051522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0.20241790420125966</v>
      </c>
      <c r="H303" t="s">
        <v>25</v>
      </c>
      <c r="I303">
        <f>VLOOKUP(Table4[[#This Row],[Visitor]],'NHL Model'!$A$6:$B$38,2,FALSE)</f>
        <v>0.48797916660265073</v>
      </c>
      <c r="J303">
        <f>($B$1+Table4[[#This Row],[Home Differential]])-Table4[[#This Row],[Away Differential]]</f>
        <v>-0.19849311752384807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0.49346951724947885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0.25657312995547599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-0.35383832279900912</v>
      </c>
      <c r="H304" t="s">
        <v>17</v>
      </c>
      <c r="I304">
        <f>VLOOKUP(Table4[[#This Row],[Visitor]],'NHL Model'!$A$6:$B$38,2,FALSE)</f>
        <v>-0.19871596400308536</v>
      </c>
      <c r="J304">
        <f>($B$1+Table4[[#This Row],[Home Differential]])-Table4[[#This Row],[Away Differential]]</f>
        <v>-6.8054213918380763E-2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0.45712733363074931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0.2089653991523584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-0.25582283032518105</v>
      </c>
      <c r="H305" t="s">
        <v>18</v>
      </c>
      <c r="I305">
        <f>VLOOKUP(Table4[[#This Row],[Visitor]],'NHL Model'!$A$6:$B$38,2,FALSE)</f>
        <v>-0.31732900620087529</v>
      </c>
      <c r="J305">
        <f>($B$1+Table4[[#This Row],[Home Differential]])-Table4[[#This Row],[Away Differential]]</f>
        <v>0.14857432075323723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0.48320394593543209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0.26707816149670788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-0.10214397920743352</v>
      </c>
      <c r="H306" t="s">
        <v>38</v>
      </c>
      <c r="I306">
        <f>VLOOKUP(Table4[[#This Row],[Visitor]],'NHL Model'!$A$6:$B$38,2,FALSE)</f>
        <v>-0.59313840141656504</v>
      </c>
      <c r="J306">
        <f>($B$1+Table4[[#This Row],[Home Differential]])-Table4[[#This Row],[Away Differential]]</f>
        <v>0.57806256708667447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0.60862498318324099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0.1531744037883184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0.96536026973954592</v>
      </c>
      <c r="H307" t="s">
        <v>13</v>
      </c>
      <c r="I307">
        <f>VLOOKUP(Table4[[#This Row],[Visitor]],'NHL Model'!$A$6:$B$38,2,FALSE)</f>
        <v>8.443955887089849E-2</v>
      </c>
      <c r="J307">
        <f>($B$1+Table4[[#This Row],[Home Differential]])-Table4[[#This Row],[Away Differential]]</f>
        <v>0.96798885574619054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0.61332062897976336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0.14952093597260582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-0.25852364135215161</v>
      </c>
      <c r="H308" t="s">
        <v>16</v>
      </c>
      <c r="I308">
        <f>VLOOKUP(Table4[[#This Row],[Visitor]],'NHL Model'!$A$6:$B$38,2,FALSE)</f>
        <v>-0.65802650867783552</v>
      </c>
      <c r="J308">
        <f>($B$1+Table4[[#This Row],[Home Differential]])-Table4[[#This Row],[Away Differential]]</f>
        <v>0.4865710122032269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0.59183274840381128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0.16660050527558642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0.86540791565538033</v>
      </c>
      <c r="H309" t="s">
        <v>30</v>
      </c>
      <c r="I309">
        <f>VLOOKUP(Table4[[#This Row],[Visitor]],'NHL Model'!$A$6:$B$38,2,FALSE)</f>
        <v>0.30302134926393393</v>
      </c>
      <c r="J309">
        <f>($B$1+Table4[[#This Row],[Home Differential]])-Table4[[#This Row],[Away Differential]]</f>
        <v>0.64945471126898946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0.59549998212923705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0.35462022871592164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-0.47317909800770142</v>
      </c>
      <c r="H310" t="s">
        <v>32</v>
      </c>
      <c r="I310">
        <f>VLOOKUP(Table4[[#This Row],[Visitor]],'NHL Model'!$A$6:$B$38,2,FALSE)</f>
        <v>-0.52701775861642253</v>
      </c>
      <c r="J310">
        <f>($B$1+Table4[[#This Row],[Home Differential]])-Table4[[#This Row],[Away Differential]]</f>
        <v>0.14090680548626411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0.56513257021342189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0.18910968148918444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-0.25672436988374864</v>
      </c>
      <c r="H311" t="s">
        <v>55</v>
      </c>
      <c r="I311">
        <f>VLOOKUP(Table4[[#This Row],[Visitor]],'NHL Model'!$A$6:$B$38,2,FALSE)</f>
        <v>0.16928148250244404</v>
      </c>
      <c r="J311">
        <f>($B$1+Table4[[#This Row],[Home Differential]])-Table4[[#This Row],[Away Differential]]</f>
        <v>-0.33893770750864971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0.49610587658790228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0.24612104078505093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0.66951981565543606</v>
      </c>
      <c r="H312" t="s">
        <v>24</v>
      </c>
      <c r="I312">
        <f>VLOOKUP(Table4[[#This Row],[Visitor]],'NHL Model'!$A$6:$B$38,2,FALSE)</f>
        <v>-2.9769404338063311E-4</v>
      </c>
      <c r="J312">
        <f>($B$1+Table4[[#This Row],[Home Differential]])-Table4[[#This Row],[Away Differential]]</f>
        <v>0.7568856545763597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0.61705228525414613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0.14664895222907187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-6.3531358246322375E-2</v>
      </c>
      <c r="H313" t="s">
        <v>35</v>
      </c>
      <c r="I313">
        <f>VLOOKUP(Table4[[#This Row],[Visitor]],'NHL Model'!$A$6:$B$38,2,FALSE)</f>
        <v>-0.95834101872668032</v>
      </c>
      <c r="J313">
        <f>($B$1+Table4[[#This Row],[Home Differential]])-Table4[[#This Row],[Away Differential]]</f>
        <v>0.98187780535790092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0.64459608972173155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0.12631193944108349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0.22444955994982585</v>
      </c>
      <c r="H314" t="s">
        <v>15</v>
      </c>
      <c r="I314">
        <f>VLOOKUP(Table4[[#This Row],[Visitor]],'NHL Model'!$A$6:$B$38,2,FALSE)</f>
        <v>0.1651103738530684</v>
      </c>
      <c r="J314">
        <f>($B$1+Table4[[#This Row],[Home Differential]])-Table4[[#This Row],[Away Differential]]</f>
        <v>0.14640733097430045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0.44902403506156136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0.30357451393984364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-9.7143783320053662E-2</v>
      </c>
      <c r="H315" t="s">
        <v>28</v>
      </c>
      <c r="I315">
        <f>VLOOKUP(Table4[[#This Row],[Visitor]],'NHL Model'!$A$6:$B$38,2,FALSE)</f>
        <v>-0.25582283032518105</v>
      </c>
      <c r="J315">
        <f>($B$1+Table4[[#This Row],[Home Differential]])-Table4[[#This Row],[Away Differential]]</f>
        <v>0.24574719188267038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0.58528404049198457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0.1719893270706539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0.44031772420389576</v>
      </c>
      <c r="H316" t="s">
        <v>21</v>
      </c>
      <c r="I316">
        <f>VLOOKUP(Table4[[#This Row],[Visitor]],'NHL Model'!$A$6:$B$38,2,FALSE)</f>
        <v>0.20241790420125966</v>
      </c>
      <c r="J316">
        <f>($B$1+Table4[[#This Row],[Home Differential]])-Table4[[#This Row],[Away Differential]]</f>
        <v>0.32496796488017915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0.64914286727389925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0.12310072758478068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-0.35383832279900912</v>
      </c>
      <c r="H317" t="s">
        <v>16</v>
      </c>
      <c r="I317">
        <f>VLOOKUP(Table4[[#This Row],[Visitor]],'NHL Model'!$A$6:$B$38,2,FALSE)</f>
        <v>-0.65802650867783552</v>
      </c>
      <c r="J317">
        <f>($B$1+Table4[[#This Row],[Home Differential]])-Table4[[#This Row],[Away Differential]]</f>
        <v>0.3912563307563694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0.59180145025537378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0.35022895652436364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4.4994204383705286E-2</v>
      </c>
      <c r="H318" t="s">
        <v>25</v>
      </c>
      <c r="I318">
        <f>VLOOKUP(Table4[[#This Row],[Visitor]],'NHL Model'!$A$6:$B$38,2,FALSE)</f>
        <v>0.48797916660265073</v>
      </c>
      <c r="J318">
        <f>($B$1+Table4[[#This Row],[Home Differential]])-Table4[[#This Row],[Away Differential]]</f>
        <v>-0.35591681734140246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0.570537772286553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0.32551334960570261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0.96536026973954592</v>
      </c>
      <c r="H319" t="s">
        <v>17</v>
      </c>
      <c r="I319">
        <f>VLOOKUP(Table4[[#This Row],[Visitor]],'NHL Model'!$A$6:$B$38,2,FALSE)</f>
        <v>-0.19871596400308536</v>
      </c>
      <c r="J319">
        <f>($B$1+Table4[[#This Row],[Home Differential]])-Table4[[#This Row],[Away Differential]]</f>
        <v>1.2511443786201744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0.70931700464844183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8.4496603786553992E-2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0.44031772420389576</v>
      </c>
      <c r="H320" t="s">
        <v>36</v>
      </c>
      <c r="I320">
        <f>VLOOKUP(Table4[[#This Row],[Visitor]],'NHL Model'!$A$6:$B$38,2,FALSE)</f>
        <v>-0.17962977873499933</v>
      </c>
      <c r="J320">
        <f>($B$1+Table4[[#This Row],[Home Differential]])-Table4[[#This Row],[Away Differential]]</f>
        <v>0.70701564781643811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0.68642707377992873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0.47118212761807571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-0.25852364135215161</v>
      </c>
      <c r="H321" t="s">
        <v>32</v>
      </c>
      <c r="I321">
        <f>VLOOKUP(Table4[[#This Row],[Visitor]],'NHL Model'!$A$6:$B$38,2,FALSE)</f>
        <v>-0.52701775861642253</v>
      </c>
      <c r="J321">
        <f>($B$1+Table4[[#This Row],[Home Differential]])-Table4[[#This Row],[Away Differential]]</f>
        <v>0.35556226214181391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0.57787683362400766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0.33394163483930905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1.7072432657355574</v>
      </c>
      <c r="H322" t="s">
        <v>15</v>
      </c>
      <c r="I322">
        <f>VLOOKUP(Table4[[#This Row],[Visitor]],'NHL Model'!$A$6:$B$38,2,FALSE)</f>
        <v>0.1651103738530684</v>
      </c>
      <c r="J322">
        <f>($B$1+Table4[[#This Row],[Home Differential]])-Table4[[#This Row],[Away Differential]]</f>
        <v>1.629201036760032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0.71874272747875101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7.9105653346092125E-2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-0.47317909800770142</v>
      </c>
      <c r="H323" t="s">
        <v>30</v>
      </c>
      <c r="I323">
        <f>VLOOKUP(Table4[[#This Row],[Visitor]],'NHL Model'!$A$6:$B$38,2,FALSE)</f>
        <v>0.30302134926393393</v>
      </c>
      <c r="J323">
        <f>($B$1+Table4[[#This Row],[Home Differential]])-Table4[[#This Row],[Away Differential]]</f>
        <v>-0.68913230239409229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0.5895399432064814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0.16847745822293853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-0.10214397920743352</v>
      </c>
      <c r="H324" t="s">
        <v>24</v>
      </c>
      <c r="I324">
        <f>VLOOKUP(Table4[[#This Row],[Visitor]],'NHL Model'!$A$6:$B$38,2,FALSE)</f>
        <v>-2.9769404338063311E-4</v>
      </c>
      <c r="J324">
        <f>($B$1+Table4[[#This Row],[Home Differential]])-Table4[[#This Row],[Away Differential]]</f>
        <v>-1.4778140286509894E-2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0.45809600395126421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0.20985194883611669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-0.31732900620087529</v>
      </c>
      <c r="H325" t="s">
        <v>22</v>
      </c>
      <c r="I325">
        <f>VLOOKUP(Table4[[#This Row],[Visitor]],'NHL Model'!$A$6:$B$38,2,FALSE)</f>
        <v>0.96536026973954592</v>
      </c>
      <c r="J325">
        <f>($B$1+Table4[[#This Row],[Home Differential]])-Table4[[#This Row],[Away Differential]]</f>
        <v>-1.1956211310628782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0.64150425380633946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0.12851920003894948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7.060370405735697E-2</v>
      </c>
      <c r="H326" t="s">
        <v>35</v>
      </c>
      <c r="I326">
        <f>VLOOKUP(Table4[[#This Row],[Visitor]],'NHL Model'!$A$6:$B$38,2,FALSE)</f>
        <v>-0.95834101872668032</v>
      </c>
      <c r="J326">
        <f>($B$1+Table4[[#This Row],[Home Differential]])-Table4[[#This Row],[Away Differential]]</f>
        <v>1.1160128676615804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0.66900728925783182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0.10955617456444862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-0.25672436988374864</v>
      </c>
      <c r="H327" t="s">
        <v>13</v>
      </c>
      <c r="I327">
        <f>VLOOKUP(Table4[[#This Row],[Visitor]],'NHL Model'!$A$6:$B$38,2,FALSE)</f>
        <v>8.443955887089849E-2</v>
      </c>
      <c r="J327">
        <f>($B$1+Table4[[#This Row],[Home Differential]])-Table4[[#This Row],[Away Differential]]</f>
        <v>-0.25409578387710413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0.55338374565244275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0.30623356995232742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0.66951981565543606</v>
      </c>
      <c r="H328" t="s">
        <v>17</v>
      </c>
      <c r="I328">
        <f>VLOOKUP(Table4[[#This Row],[Visitor]],'NHL Model'!$A$6:$B$38,2,FALSE)</f>
        <v>-0.19871596400308536</v>
      </c>
      <c r="J328">
        <f>($B$1+Table4[[#This Row],[Home Differential]])-Table4[[#This Row],[Away Differential]]</f>
        <v>0.95530392453606439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0.64176526494136876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0.12833212540252772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-6.3531358246322375E-2</v>
      </c>
      <c r="H329" t="s">
        <v>28</v>
      </c>
      <c r="I329">
        <f>VLOOKUP(Table4[[#This Row],[Visitor]],'NHL Model'!$A$6:$B$38,2,FALSE)</f>
        <v>-0.25582283032518105</v>
      </c>
      <c r="J329">
        <f>($B$1+Table4[[#This Row],[Home Differential]])-Table4[[#This Row],[Away Differential]]</f>
        <v>0.27935961695640166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0.56975922604661533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0.32462557566523809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0.16928148250244404</v>
      </c>
      <c r="H330" t="s">
        <v>20</v>
      </c>
      <c r="I330">
        <f>VLOOKUP(Table4[[#This Row],[Visitor]],'NHL Model'!$A$6:$B$38,2,FALSE)</f>
        <v>0.22444955994982585</v>
      </c>
      <c r="J330">
        <f>($B$1+Table4[[#This Row],[Home Differential]])-Table4[[#This Row],[Away Differential]]</f>
        <v>3.1900067430161161E-2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0.54506487191873276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0.29709571459978457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-0.59313840141656504</v>
      </c>
      <c r="H331" t="s">
        <v>39</v>
      </c>
      <c r="I331">
        <f>VLOOKUP(Table4[[#This Row],[Visitor]],'NHL Model'!$A$6:$B$38,2,FALSE)</f>
        <v>0.86540791565538033</v>
      </c>
      <c r="J331">
        <f>($B$1+Table4[[#This Row],[Home Differential]])-Table4[[#This Row],[Away Differential]]</f>
        <v>-1.3714781721944025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0.69858507425200211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9.0850957463671084E-2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-0.35383832279900912</v>
      </c>
      <c r="H332" t="s">
        <v>10</v>
      </c>
      <c r="I332">
        <f>VLOOKUP(Table4[[#This Row],[Visitor]],'NHL Model'!$A$6:$B$38,2,FALSE)</f>
        <v>-0.25852364135215161</v>
      </c>
      <c r="J332">
        <f>($B$1+Table4[[#This Row],[Home Differential]])-Table4[[#This Row],[Away Differential]]</f>
        <v>-8.246536569314511E-3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0.45075622599198251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0.2031811752705352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8.443955887089849E-2</v>
      </c>
      <c r="H333" t="s">
        <v>21</v>
      </c>
      <c r="I333">
        <f>VLOOKUP(Table4[[#This Row],[Visitor]],'NHL Model'!$A$6:$B$38,2,FALSE)</f>
        <v>0.20241790420125966</v>
      </c>
      <c r="J333">
        <f>($B$1+Table4[[#This Row],[Home Differential]])-Table4[[#This Row],[Away Differential]]</f>
        <v>-3.0910200452818171E-2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0.46329275810313403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0.28805466350454095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0.25731150832780025</v>
      </c>
      <c r="H334" t="s">
        <v>34</v>
      </c>
      <c r="I334">
        <f>VLOOKUP(Table4[[#This Row],[Visitor]],'NHL Model'!$A$6:$B$38,2,FALSE)</f>
        <v>4.4994204383705286E-2</v>
      </c>
      <c r="J334">
        <f>($B$1+Table4[[#This Row],[Home Differential]])-Table4[[#This Row],[Away Differential]]</f>
        <v>0.29938544882163798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0.55112327876245637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0.3037368683938802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-9.7143783320053662E-2</v>
      </c>
      <c r="H335" t="s">
        <v>25</v>
      </c>
      <c r="I335">
        <f>VLOOKUP(Table4[[#This Row],[Visitor]],'NHL Model'!$A$6:$B$38,2,FALSE)</f>
        <v>0.48797916660265073</v>
      </c>
      <c r="J335">
        <f>($B$1+Table4[[#This Row],[Home Differential]])-Table4[[#This Row],[Away Differential]]</f>
        <v>-0.49805480504516142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0.5664250615980152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0.18798722721028491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0.44031772420389576</v>
      </c>
      <c r="H336" t="s">
        <v>20</v>
      </c>
      <c r="I336">
        <f>VLOOKUP(Table4[[#This Row],[Visitor]],'NHL Model'!$A$6:$B$38,2,FALSE)</f>
        <v>0.22444955994982585</v>
      </c>
      <c r="J336">
        <f>($B$1+Table4[[#This Row],[Home Differential]])-Table4[[#This Row],[Away Differential]]</f>
        <v>0.30293630913161296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0.60888367378095787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0.15297198063508019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-0.65802650867783552</v>
      </c>
      <c r="H337" t="s">
        <v>39</v>
      </c>
      <c r="I337">
        <f>VLOOKUP(Table4[[#This Row],[Visitor]],'NHL Model'!$A$6:$B$38,2,FALSE)</f>
        <v>0.86540791565538033</v>
      </c>
      <c r="J337">
        <f>($B$1+Table4[[#This Row],[Home Differential]])-Table4[[#This Row],[Away Differential]]</f>
        <v>-1.4363662794556729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0.70549738274083618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0.4977265570541699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-0.47317909800770142</v>
      </c>
      <c r="H338" t="s">
        <v>28</v>
      </c>
      <c r="I338">
        <f>VLOOKUP(Table4[[#This Row],[Visitor]],'NHL Model'!$A$6:$B$38,2,FALSE)</f>
        <v>-0.25582283032518105</v>
      </c>
      <c r="J338">
        <f>($B$1+Table4[[#This Row],[Home Differential]])-Table4[[#This Row],[Away Differential]]</f>
        <v>-0.13028812280497737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0.46375689943019599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0.21507046176910891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-0.10214397920743352</v>
      </c>
      <c r="H339" t="s">
        <v>17</v>
      </c>
      <c r="I339">
        <f>VLOOKUP(Table4[[#This Row],[Visitor]],'NHL Model'!$A$6:$B$38,2,FALSE)</f>
        <v>-0.19871596400308536</v>
      </c>
      <c r="J339">
        <f>($B$1+Table4[[#This Row],[Home Differential]])-Table4[[#This Row],[Away Differential]]</f>
        <v>0.18364012967319482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0.56660850778595206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0.32104520109542328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-0.31732900620087529</v>
      </c>
      <c r="H340" t="s">
        <v>19</v>
      </c>
      <c r="I340">
        <f>VLOOKUP(Table4[[#This Row],[Visitor]],'NHL Model'!$A$6:$B$38,2,FALSE)</f>
        <v>-6.3531358246322375E-2</v>
      </c>
      <c r="J340">
        <f>($B$1+Table4[[#This Row],[Home Differential]])-Table4[[#This Row],[Away Differential]]</f>
        <v>-0.1667295030770099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0.47776112462053866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0.22825569219868186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-0.88005793547499611</v>
      </c>
      <c r="H341" t="s">
        <v>12</v>
      </c>
      <c r="I341">
        <f>VLOOKUP(Table4[[#This Row],[Visitor]],'NHL Model'!$A$6:$B$38,2,FALSE)</f>
        <v>1.7072432657355574</v>
      </c>
      <c r="J341">
        <f>($B$1+Table4[[#This Row],[Home Differential]])-Table4[[#This Row],[Away Differential]]</f>
        <v>-2.5002330563330104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0.80282197647534759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3.8879172961088379E-2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0.30302134926393393</v>
      </c>
      <c r="H342" t="s">
        <v>35</v>
      </c>
      <c r="I342">
        <f>VLOOKUP(Table4[[#This Row],[Visitor]],'NHL Model'!$A$6:$B$38,2,FALSE)</f>
        <v>-0.95834101872668032</v>
      </c>
      <c r="J342">
        <f>($B$1+Table4[[#This Row],[Home Differential]])-Table4[[#This Row],[Away Differential]]</f>
        <v>1.3484305128681573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0.68364369796103908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0.46736870576184442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7.060370405735697E-2</v>
      </c>
      <c r="H343" t="s">
        <v>24</v>
      </c>
      <c r="I343">
        <f>VLOOKUP(Table4[[#This Row],[Visitor]],'NHL Model'!$A$6:$B$38,2,FALSE)</f>
        <v>-2.9769404338063311E-4</v>
      </c>
      <c r="J343">
        <f>($B$1+Table4[[#This Row],[Home Differential]])-Table4[[#This Row],[Away Differential]]</f>
        <v>0.15796954297828059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0.563386660437877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0.19063120828358973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0.25731150832780025</v>
      </c>
      <c r="H344" t="s">
        <v>32</v>
      </c>
      <c r="I344">
        <f>VLOOKUP(Table4[[#This Row],[Visitor]],'NHL Model'!$A$6:$B$38,2,FALSE)</f>
        <v>-0.52701775861642253</v>
      </c>
      <c r="J344">
        <f>($B$1+Table4[[#This Row],[Home Differential]])-Table4[[#This Row],[Away Differential]]</f>
        <v>0.87139741182176578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0.63282699066302983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0.40047000011162642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-0.25672436988374864</v>
      </c>
      <c r="H345" t="s">
        <v>36</v>
      </c>
      <c r="I345">
        <f>VLOOKUP(Table4[[#This Row],[Visitor]],'NHL Model'!$A$6:$B$38,2,FALSE)</f>
        <v>-0.17962977873499933</v>
      </c>
      <c r="J345">
        <f>($B$1+Table4[[#This Row],[Home Differential]])-Table4[[#This Row],[Away Differential]]</f>
        <v>9.9735537287936882E-3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0.53748628968097778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0.28889151159502396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0.16928148250244404</v>
      </c>
      <c r="H346" t="s">
        <v>15</v>
      </c>
      <c r="I346">
        <f>VLOOKUP(Table4[[#This Row],[Visitor]],'NHL Model'!$A$6:$B$38,2,FALSE)</f>
        <v>0.1651103738530684</v>
      </c>
      <c r="J346">
        <f>($B$1+Table4[[#This Row],[Home Differential]])-Table4[[#This Row],[Away Differential]]</f>
        <v>9.1239253526918612E-2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0.48382299177488303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0.26643870382023244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0.96536026973954592</v>
      </c>
      <c r="H347" t="s">
        <v>37</v>
      </c>
      <c r="I347">
        <f>VLOOKUP(Table4[[#This Row],[Visitor]],'NHL Model'!$A$6:$B$38,2,FALSE)</f>
        <v>0.66951981565543606</v>
      </c>
      <c r="J347">
        <f>($B$1+Table4[[#This Row],[Home Differential]])-Table4[[#This Row],[Away Differential]]</f>
        <v>0.38290859896165297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0.54466591449632917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0.29666095841412254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-0.35383832279900912</v>
      </c>
      <c r="H348" t="s">
        <v>25</v>
      </c>
      <c r="I348">
        <f>VLOOKUP(Table4[[#This Row],[Visitor]],'NHL Model'!$A$6:$B$38,2,FALSE)</f>
        <v>0.48797916660265073</v>
      </c>
      <c r="J348">
        <f>($B$1+Table4[[#This Row],[Home Differential]])-Table4[[#This Row],[Away Differential]]</f>
        <v>-0.75474934452411691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0.60284984997151403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0.36342794161067699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-0.25852364135215161</v>
      </c>
      <c r="H349" t="s">
        <v>12</v>
      </c>
      <c r="I349">
        <f>VLOOKUP(Table4[[#This Row],[Visitor]],'NHL Model'!$A$6:$B$38,2,FALSE)</f>
        <v>1.7072432657355574</v>
      </c>
      <c r="J349">
        <f>($B$1+Table4[[#This Row],[Home Differential]])-Table4[[#This Row],[Away Differential]]</f>
        <v>-1.8786987622101661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0.73661205051667955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6.9373211933028159E-2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0.30302134926393393</v>
      </c>
      <c r="H350" t="s">
        <v>32</v>
      </c>
      <c r="I350">
        <f>VLOOKUP(Table4[[#This Row],[Visitor]],'NHL Model'!$A$6:$B$38,2,FALSE)</f>
        <v>-0.52701775861642253</v>
      </c>
      <c r="J350">
        <f>($B$1+Table4[[#This Row],[Home Differential]])-Table4[[#This Row],[Away Differential]]</f>
        <v>0.91710725275789939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0.6376963039295408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0.13126396818631567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-0.25672436988374864</v>
      </c>
      <c r="H351" t="s">
        <v>21</v>
      </c>
      <c r="I351">
        <f>VLOOKUP(Table4[[#This Row],[Visitor]],'NHL Model'!$A$6:$B$38,2,FALSE)</f>
        <v>0.20241790420125966</v>
      </c>
      <c r="J351">
        <f>($B$1+Table4[[#This Row],[Home Differential]])-Table4[[#This Row],[Away Differential]]</f>
        <v>-0.3720741292074653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0.49963578643834761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0.2496359190898661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-0.59313840141656504</v>
      </c>
      <c r="H352" t="s">
        <v>16</v>
      </c>
      <c r="I352">
        <f>VLOOKUP(Table4[[#This Row],[Visitor]],'NHL Model'!$A$6:$B$38,2,FALSE)</f>
        <v>-0.65802650867783552</v>
      </c>
      <c r="J352">
        <f>($B$1+Table4[[#This Row],[Home Differential]])-Table4[[#This Row],[Away Differential]]</f>
        <v>0.15195625213881347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0.55618738064528905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0.30934440238906763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-9.7143783320053662E-2</v>
      </c>
      <c r="H353" t="s">
        <v>34</v>
      </c>
      <c r="I353">
        <f>VLOOKUP(Table4[[#This Row],[Visitor]],'NHL Model'!$A$6:$B$38,2,FALSE)</f>
        <v>4.4994204383705286E-2</v>
      </c>
      <c r="J353">
        <f>($B$1+Table4[[#This Row],[Home Differential]])-Table4[[#This Row],[Away Differential]]</f>
        <v>-5.5069842826215951E-2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0.46740486384410573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0.28365757905691558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8.443955887089849E-2</v>
      </c>
      <c r="H354" t="s">
        <v>36</v>
      </c>
      <c r="I354">
        <f>VLOOKUP(Table4[[#This Row],[Visitor]],'NHL Model'!$A$6:$B$38,2,FALSE)</f>
        <v>-0.17962977873499933</v>
      </c>
      <c r="J354">
        <f>($B$1+Table4[[#This Row],[Home Differential]])-Table4[[#This Row],[Away Differential]]</f>
        <v>0.35113748248344079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0.57382931801619141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0.18162145018254452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-2.9769404338063311E-4</v>
      </c>
      <c r="H355" t="s">
        <v>26</v>
      </c>
      <c r="I355">
        <f>VLOOKUP(Table4[[#This Row],[Visitor]],'NHL Model'!$A$6:$B$38,2,FALSE)</f>
        <v>-0.47317909800770142</v>
      </c>
      <c r="J355">
        <f>($B$1+Table4[[#This Row],[Home Differential]])-Table4[[#This Row],[Away Differential]]</f>
        <v>0.55994954884186376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0.64173906558019178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0.12835089713135411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-0.88005793547499611</v>
      </c>
      <c r="H356" t="s">
        <v>11</v>
      </c>
      <c r="I356">
        <f>VLOOKUP(Table4[[#This Row],[Visitor]],'NHL Model'!$A$6:$B$38,2,FALSE)</f>
        <v>-0.10214397920743352</v>
      </c>
      <c r="J356">
        <f>($B$1+Table4[[#This Row],[Home Differential]])-Table4[[#This Row],[Away Differential]]</f>
        <v>-0.69084581139001955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0.53359344521052066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0.21753507435059161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0.1651103738530684</v>
      </c>
      <c r="H357" t="s">
        <v>35</v>
      </c>
      <c r="I357">
        <f>VLOOKUP(Table4[[#This Row],[Visitor]],'NHL Model'!$A$6:$B$38,2,FALSE)</f>
        <v>-0.95834101872668032</v>
      </c>
      <c r="J357">
        <f>($B$1+Table4[[#This Row],[Home Differential]])-Table4[[#This Row],[Away Differential]]</f>
        <v>1.2105195374572917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0.66895251268424349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0.10959243885807596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0.66951981565543606</v>
      </c>
      <c r="H358" t="s">
        <v>27</v>
      </c>
      <c r="I358">
        <f>VLOOKUP(Table4[[#This Row],[Visitor]],'NHL Model'!$A$6:$B$38,2,FALSE)</f>
        <v>7.060370405735697E-2</v>
      </c>
      <c r="J358">
        <f>($B$1+Table4[[#This Row],[Home Differential]])-Table4[[#This Row],[Away Differential]]</f>
        <v>0.68598425647562211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0.5705629975524924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0.18441613907110066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0.16928148250244404</v>
      </c>
      <c r="H359" t="s">
        <v>20</v>
      </c>
      <c r="I359">
        <f>VLOOKUP(Table4[[#This Row],[Visitor]],'NHL Model'!$A$6:$B$38,2,FALSE)</f>
        <v>0.22444955994982585</v>
      </c>
      <c r="J359">
        <f>($B$1+Table4[[#This Row],[Home Differential]])-Table4[[#This Row],[Away Differential]]</f>
        <v>3.1900067430161161E-2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0.54506487191873276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0.20696597076231901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0.96536026973954592</v>
      </c>
      <c r="H360" t="s">
        <v>28</v>
      </c>
      <c r="I360">
        <f>VLOOKUP(Table4[[#This Row],[Visitor]],'NHL Model'!$A$6:$B$38,2,FALSE)</f>
        <v>-0.25582283032518105</v>
      </c>
      <c r="J360">
        <f>($B$1+Table4[[#This Row],[Home Differential]])-Table4[[#This Row],[Away Differential]]</f>
        <v>1.3082512449422701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0.71540040411114347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8.0996929980100441E-2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-0.19871596400308536</v>
      </c>
      <c r="H361" t="s">
        <v>39</v>
      </c>
      <c r="I361">
        <f>VLOOKUP(Table4[[#This Row],[Visitor]],'NHL Model'!$A$6:$B$38,2,FALSE)</f>
        <v>0.86540791565538033</v>
      </c>
      <c r="J361">
        <f>($B$1+Table4[[#This Row],[Home Differential]])-Table4[[#This Row],[Away Differential]]</f>
        <v>-0.97705573478092267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0.63741574434274251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0.13146734245052746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0.44031772420389576</v>
      </c>
      <c r="H362" t="s">
        <v>38</v>
      </c>
      <c r="I362">
        <f>VLOOKUP(Table4[[#This Row],[Visitor]],'NHL Model'!$A$6:$B$38,2,FALSE)</f>
        <v>-0.59313840141656504</v>
      </c>
      <c r="J362">
        <f>($B$1+Table4[[#This Row],[Home Differential]])-Table4[[#This Row],[Away Differential]]</f>
        <v>1.1205242704980038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0.73389076387266183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0.53859565329759906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0.48797916660265073</v>
      </c>
      <c r="H363" t="s">
        <v>15</v>
      </c>
      <c r="I363">
        <f>VLOOKUP(Table4[[#This Row],[Visitor]],'NHL Model'!$A$6:$B$38,2,FALSE)</f>
        <v>0.1651103738530684</v>
      </c>
      <c r="J363">
        <f>($B$1+Table4[[#This Row],[Home Differential]])-Table4[[#This Row],[Away Differential]]</f>
        <v>0.40993693762712535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0.5031286415861187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0.25313842998429309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-0.25582283032518105</v>
      </c>
      <c r="H364" t="s">
        <v>19</v>
      </c>
      <c r="I364">
        <f>VLOOKUP(Table4[[#This Row],[Visitor]],'NHL Model'!$A$6:$B$38,2,FALSE)</f>
        <v>-6.3531358246322375E-2</v>
      </c>
      <c r="J364">
        <f>($B$1+Table4[[#This Row],[Home Differential]])-Table4[[#This Row],[Away Differential]]</f>
        <v>-0.10522332720131568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0.47120908173370535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0.27961983524091111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-0.25852364135215161</v>
      </c>
      <c r="H365" t="s">
        <v>34</v>
      </c>
      <c r="I365">
        <f>VLOOKUP(Table4[[#This Row],[Visitor]],'NHL Model'!$A$6:$B$38,2,FALSE)</f>
        <v>4.4994204383705286E-2</v>
      </c>
      <c r="J365">
        <f>($B$1+Table4[[#This Row],[Home Differential]])-Table4[[#This Row],[Away Differential]]</f>
        <v>-0.21644970085831389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0.50382687827656569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0.24618776672077797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1.7072432657355574</v>
      </c>
      <c r="H366" t="s">
        <v>33</v>
      </c>
      <c r="I366">
        <f>VLOOKUP(Table4[[#This Row],[Visitor]],'NHL Model'!$A$6:$B$38,2,FALSE)</f>
        <v>-0.25672436988374864</v>
      </c>
      <c r="J366">
        <f>($B$1+Table4[[#This Row],[Home Differential]])-Table4[[#This Row],[Away Differential]]</f>
        <v>2.0510357804968491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0.86631080373104008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1.7872801199040486E-2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-0.47317909800770142</v>
      </c>
      <c r="H367" t="s">
        <v>29</v>
      </c>
      <c r="I367">
        <f>VLOOKUP(Table4[[#This Row],[Visitor]],'NHL Model'!$A$6:$B$38,2,FALSE)</f>
        <v>-0.88005793547499611</v>
      </c>
      <c r="J367">
        <f>($B$1+Table4[[#This Row],[Home Differential]])-Table4[[#This Row],[Away Differential]]</f>
        <v>0.49394698234483769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0.60274073470453737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0.36329639327216551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-0.10214397920743352</v>
      </c>
      <c r="H368" t="s">
        <v>27</v>
      </c>
      <c r="I368">
        <f>VLOOKUP(Table4[[#This Row],[Visitor]],'NHL Model'!$A$6:$B$38,2,FALSE)</f>
        <v>7.060370405735697E-2</v>
      </c>
      <c r="J368">
        <f>($B$1+Table4[[#This Row],[Home Differential]])-Table4[[#This Row],[Away Differential]]</f>
        <v>-8.5679538387247497E-2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0.50453999268550742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0.24548061884807704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-2.9769404338063311E-4</v>
      </c>
      <c r="H369" t="s">
        <v>35</v>
      </c>
      <c r="I369">
        <f>VLOOKUP(Table4[[#This Row],[Visitor]],'NHL Model'!$A$6:$B$38,2,FALSE)</f>
        <v>-0.95834101872668032</v>
      </c>
      <c r="J369">
        <f>($B$1+Table4[[#This Row],[Home Differential]])-Table4[[#This Row],[Away Differential]]</f>
        <v>1.0451114695608428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0.69423371044524296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9.3493023828083527E-2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0.30302134926393393</v>
      </c>
      <c r="H370" t="s">
        <v>21</v>
      </c>
      <c r="I370">
        <f>VLOOKUP(Table4[[#This Row],[Visitor]],'NHL Model'!$A$6:$B$38,2,FALSE)</f>
        <v>0.20241790420125966</v>
      </c>
      <c r="J370">
        <f>($B$1+Table4[[#This Row],[Home Differential]])-Table4[[#This Row],[Away Differential]]</f>
        <v>0.18767158994021726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0.55999201362174778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0.31359105532013976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0.25731150832780025</v>
      </c>
      <c r="H371" t="s">
        <v>23</v>
      </c>
      <c r="I371">
        <f>VLOOKUP(Table4[[#This Row],[Visitor]],'NHL Model'!$A$6:$B$38,2,FALSE)</f>
        <v>-0.35383832279900912</v>
      </c>
      <c r="J371">
        <f>($B$1+Table4[[#This Row],[Home Differential]])-Table4[[#This Row],[Away Differential]]</f>
        <v>0.69821797600435231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0.61437877673266772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0.14870372783419372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-0.52701775861642253</v>
      </c>
      <c r="H372" t="s">
        <v>39</v>
      </c>
      <c r="I372">
        <f>VLOOKUP(Table4[[#This Row],[Visitor]],'NHL Model'!$A$6:$B$38,2,FALSE)</f>
        <v>0.86540791565538033</v>
      </c>
      <c r="J372">
        <f>($B$1+Table4[[#This Row],[Home Differential]])-Table4[[#This Row],[Away Differential]]</f>
        <v>-1.3053575293942599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0.69154146796103255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9.5146665987634702E-2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0.66951981565543606</v>
      </c>
      <c r="H373" t="s">
        <v>16</v>
      </c>
      <c r="I373">
        <f>VLOOKUP(Table4[[#This Row],[Visitor]],'NHL Model'!$A$6:$B$38,2,FALSE)</f>
        <v>-0.65802650867783552</v>
      </c>
      <c r="J373">
        <f>($B$1+Table4[[#This Row],[Home Differential]])-Table4[[#This Row],[Away Differential]]</f>
        <v>1.4146144692108145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0.69069404882749175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9.5670171430730061E-2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0.16928148250244404</v>
      </c>
      <c r="H374" t="s">
        <v>18</v>
      </c>
      <c r="I374">
        <f>VLOOKUP(Table4[[#This Row],[Visitor]],'NHL Model'!$A$6:$B$38,2,FALSE)</f>
        <v>-0.31732900620087529</v>
      </c>
      <c r="J374">
        <f>($B$1+Table4[[#This Row],[Home Differential]])-Table4[[#This Row],[Away Differential]]</f>
        <v>0.57367863358086235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0.56949191412517464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0.32432104025395531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0.22444955994982585</v>
      </c>
      <c r="H375" t="s">
        <v>36</v>
      </c>
      <c r="I375">
        <f>VLOOKUP(Table4[[#This Row],[Visitor]],'NHL Model'!$A$6:$B$38,2,FALSE)</f>
        <v>-0.17962977873499933</v>
      </c>
      <c r="J375">
        <f>($B$1+Table4[[#This Row],[Home Differential]])-Table4[[#This Row],[Away Differential]]</f>
        <v>0.49114748356236815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0.58874410532972388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0.34661962156049703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0.96536026973954592</v>
      </c>
      <c r="H376" t="s">
        <v>40</v>
      </c>
      <c r="I376">
        <f>VLOOKUP(Table4[[#This Row],[Visitor]],'NHL Model'!$A$6:$B$38,2,FALSE)</f>
        <v>-9.7143783320053662E-2</v>
      </c>
      <c r="J376">
        <f>($B$1+Table4[[#This Row],[Home Differential]])-Table4[[#This Row],[Away Differential]]</f>
        <v>1.1495721979371427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0.69849686708551806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9.0904139157247765E-2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0.44031772420389576</v>
      </c>
      <c r="H377" t="s">
        <v>13</v>
      </c>
      <c r="I377">
        <f>VLOOKUP(Table4[[#This Row],[Visitor]],'NHL Model'!$A$6:$B$38,2,FALSE)</f>
        <v>8.443955887089849E-2</v>
      </c>
      <c r="J377">
        <f>($B$1+Table4[[#This Row],[Home Differential]])-Table4[[#This Row],[Away Differential]]</f>
        <v>0.44294631021054032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0.59718555786868399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0.16225947478956335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0.20241790420125966</v>
      </c>
      <c r="H378" t="s">
        <v>15</v>
      </c>
      <c r="I378">
        <f>VLOOKUP(Table4[[#This Row],[Visitor]],'NHL Model'!$A$6:$B$38,2,FALSE)</f>
        <v>0.1651103738530684</v>
      </c>
      <c r="J378">
        <f>($B$1+Table4[[#This Row],[Home Differential]])-Table4[[#This Row],[Away Differential]]</f>
        <v>0.12437567522573426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0.50665300989935624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0.25669727244007717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-0.35383832279900912</v>
      </c>
      <c r="H379" t="s">
        <v>24</v>
      </c>
      <c r="I379">
        <f>VLOOKUP(Table4[[#This Row],[Visitor]],'NHL Model'!$A$6:$B$38,2,FALSE)</f>
        <v>-2.9769404338063311E-4</v>
      </c>
      <c r="J379">
        <f>($B$1+Table4[[#This Row],[Home Differential]])-Table4[[#This Row],[Away Differential]]</f>
        <v>-0.26647248387808548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0.48182769931288616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0.26850253319937673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0.48797916660265073</v>
      </c>
      <c r="H380" t="s">
        <v>40</v>
      </c>
      <c r="I380">
        <f>VLOOKUP(Table4[[#This Row],[Visitor]],'NHL Model'!$A$6:$B$38,2,FALSE)</f>
        <v>-9.7143783320053662E-2</v>
      </c>
      <c r="J380">
        <f>($B$1+Table4[[#This Row],[Home Differential]])-Table4[[#This Row],[Away Differential]]</f>
        <v>0.67219109480024741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0.63764395780276262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0.13130190131684608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-0.25582283032518105</v>
      </c>
      <c r="H381" t="s">
        <v>14</v>
      </c>
      <c r="I381">
        <f>VLOOKUP(Table4[[#This Row],[Visitor]],'NHL Model'!$A$6:$B$38,2,FALSE)</f>
        <v>0.25731150832780025</v>
      </c>
      <c r="J381">
        <f>($B$1+Table4[[#This Row],[Home Differential]])-Table4[[#This Row],[Away Differential]]</f>
        <v>-0.42606619377543831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0.54228178664439008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0.20950596283745163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-0.25852364135215161</v>
      </c>
      <c r="H382" t="s">
        <v>29</v>
      </c>
      <c r="I382">
        <f>VLOOKUP(Table4[[#This Row],[Visitor]],'NHL Model'!$A$6:$B$38,2,FALSE)</f>
        <v>-0.88005793547499611</v>
      </c>
      <c r="J382">
        <f>($B$1+Table4[[#This Row],[Home Differential]])-Table4[[#This Row],[Away Differential]]</f>
        <v>0.70860243900038755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0.61548499811512314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0.37882178290477314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0.86540791565538033</v>
      </c>
      <c r="H383" t="s">
        <v>55</v>
      </c>
      <c r="I383">
        <f>VLOOKUP(Table4[[#This Row],[Visitor]],'NHL Model'!$A$6:$B$38,2,FALSE)</f>
        <v>0.16928148250244404</v>
      </c>
      <c r="J383">
        <f>($B$1+Table4[[#This Row],[Home Differential]])-Table4[[#This Row],[Away Differential]]</f>
        <v>0.78319457803047932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0.67514702030265183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0.10552945841824569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-0.47317909800770142</v>
      </c>
      <c r="H384" t="s">
        <v>37</v>
      </c>
      <c r="I384">
        <f>VLOOKUP(Table4[[#This Row],[Visitor]],'NHL Model'!$A$6:$B$38,2,FALSE)</f>
        <v>0.66951981565543606</v>
      </c>
      <c r="J384">
        <f>($B$1+Table4[[#This Row],[Home Differential]])-Table4[[#This Row],[Away Differential]]</f>
        <v>-1.0556307687855946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0.63490172065840111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0.13329675357819618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-0.10214397920743352</v>
      </c>
      <c r="H385" t="s">
        <v>16</v>
      </c>
      <c r="I385">
        <f>VLOOKUP(Table4[[#This Row],[Visitor]],'NHL Model'!$A$6:$B$38,2,FALSE)</f>
        <v>-0.65802650867783552</v>
      </c>
      <c r="J385">
        <f>($B$1+Table4[[#This Row],[Home Differential]])-Table4[[#This Row],[Away Differential]]</f>
        <v>0.64295067434794495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0.61553729167207516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0.37888615743899334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4.4994204383705286E-2</v>
      </c>
      <c r="H386" t="s">
        <v>12</v>
      </c>
      <c r="I386">
        <f>VLOOKUP(Table4[[#This Row],[Visitor]],'NHL Model'!$A$6:$B$38,2,FALSE)</f>
        <v>1.7072432657355574</v>
      </c>
      <c r="J386">
        <f>($B$1+Table4[[#This Row],[Home Differential]])-Table4[[#This Row],[Away Differential]]</f>
        <v>-1.5751809164743091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0.70427933085288963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0.49600937586659399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0.30302134926393393</v>
      </c>
      <c r="H387" t="s">
        <v>27</v>
      </c>
      <c r="I387">
        <f>VLOOKUP(Table4[[#This Row],[Visitor]],'NHL Model'!$A$6:$B$38,2,FALSE)</f>
        <v>7.060370405735697E-2</v>
      </c>
      <c r="J387">
        <f>($B$1+Table4[[#This Row],[Home Differential]])-Table4[[#This Row],[Away Differential]]</f>
        <v>0.31948579008411992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0.53152116743434508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0.2825147514307691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-0.25672436988374864</v>
      </c>
      <c r="H388" t="s">
        <v>38</v>
      </c>
      <c r="I388">
        <f>VLOOKUP(Table4[[#This Row],[Visitor]],'NHL Model'!$A$6:$B$38,2,FALSE)</f>
        <v>-0.59313840141656504</v>
      </c>
      <c r="J388">
        <f>($B$1+Table4[[#This Row],[Home Differential]])-Table4[[#This Row],[Away Differential]]</f>
        <v>0.4234821764103594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0.58511211016041498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0.17213196113554363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-0.95834101872668032</v>
      </c>
      <c r="H389" t="s">
        <v>36</v>
      </c>
      <c r="I389">
        <f>VLOOKUP(Table4[[#This Row],[Visitor]],'NHL Model'!$A$6:$B$38,2,FALSE)</f>
        <v>-0.17962977873499933</v>
      </c>
      <c r="J389">
        <f>($B$1+Table4[[#This Row],[Home Differential]])-Table4[[#This Row],[Away Differential]]</f>
        <v>-0.69164309511413802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0.53725453606351081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0.28864243652081822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0.22444955994982585</v>
      </c>
      <c r="H390" t="s">
        <v>18</v>
      </c>
      <c r="I390">
        <f>VLOOKUP(Table4[[#This Row],[Visitor]],'NHL Model'!$A$6:$B$38,2,FALSE)</f>
        <v>-0.31732900620087529</v>
      </c>
      <c r="J390">
        <f>($B$1+Table4[[#This Row],[Home Differential]])-Table4[[#This Row],[Away Differential]]</f>
        <v>0.62884671102824408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0.53436572365355073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0.28554672661578295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0.96536026973954592</v>
      </c>
      <c r="H391" t="s">
        <v>19</v>
      </c>
      <c r="I391">
        <f>VLOOKUP(Table4[[#This Row],[Visitor]],'NHL Model'!$A$6:$B$38,2,FALSE)</f>
        <v>-6.3531358246322375E-2</v>
      </c>
      <c r="J391">
        <f>($B$1+Table4[[#This Row],[Home Differential]])-Table4[[#This Row],[Away Differential]]</f>
        <v>1.1159597728634114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0.69491625022098313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9.3076094379225774E-2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0.20241790420125966</v>
      </c>
      <c r="H392" t="s">
        <v>26</v>
      </c>
      <c r="I392">
        <f>VLOOKUP(Table4[[#This Row],[Visitor]],'NHL Model'!$A$6:$B$38,2,FALSE)</f>
        <v>-0.47317909800770142</v>
      </c>
      <c r="J392">
        <f>($B$1+Table4[[#This Row],[Home Differential]])-Table4[[#This Row],[Away Differential]]</f>
        <v>0.76266514708650401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0.67957047362867007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0.10267508137055482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1.7072432657355574</v>
      </c>
      <c r="H393" t="s">
        <v>18</v>
      </c>
      <c r="I393">
        <f>VLOOKUP(Table4[[#This Row],[Visitor]],'NHL Model'!$A$6:$B$38,2,FALSE)</f>
        <v>-0.31732900620087529</v>
      </c>
      <c r="J393">
        <f>($B$1+Table4[[#This Row],[Home Differential]])-Table4[[#This Row],[Away Differential]]</f>
        <v>2.1116404168139757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0.80389321126613122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3.8457872587510239E-2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8.443955887089849E-2</v>
      </c>
      <c r="H394" t="s">
        <v>38</v>
      </c>
      <c r="I394">
        <f>VLOOKUP(Table4[[#This Row],[Visitor]],'NHL Model'!$A$6:$B$38,2,FALSE)</f>
        <v>-0.59313840141656504</v>
      </c>
      <c r="J394">
        <f>($B$1+Table4[[#This Row],[Home Differential]])-Table4[[#This Row],[Away Differential]]</f>
        <v>0.76464610516500653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0.6214551384956285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0.14329621217136379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4.4994204383705286E-2</v>
      </c>
      <c r="H395" t="s">
        <v>23</v>
      </c>
      <c r="I395">
        <f>VLOOKUP(Table4[[#This Row],[Visitor]],'NHL Model'!$A$6:$B$38,2,FALSE)</f>
        <v>-0.35383832279900912</v>
      </c>
      <c r="J395">
        <f>($B$1+Table4[[#This Row],[Home Differential]])-Table4[[#This Row],[Away Differential]]</f>
        <v>0.48590067206025739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0.59176133935743558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0.35018148275810601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-2.9769404338063311E-4</v>
      </c>
      <c r="H396" t="s">
        <v>27</v>
      </c>
      <c r="I396">
        <f>VLOOKUP(Table4[[#This Row],[Visitor]],'NHL Model'!$A$6:$B$38,2,FALSE)</f>
        <v>7.060370405735697E-2</v>
      </c>
      <c r="J396">
        <f>($B$1+Table4[[#This Row],[Home Differential]])-Table4[[#This Row],[Away Differential]]</f>
        <v>1.6166746776805394E-2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0.54270579488585136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0.29452957980268374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-0.88005793547499611</v>
      </c>
      <c r="H397" t="s">
        <v>40</v>
      </c>
      <c r="I397">
        <f>VLOOKUP(Table4[[#This Row],[Visitor]],'NHL Model'!$A$6:$B$38,2,FALSE)</f>
        <v>-9.7143783320053662E-2</v>
      </c>
      <c r="J397">
        <f>($B$1+Table4[[#This Row],[Home Differential]])-Table4[[#This Row],[Away Differential]]</f>
        <v>-0.69584600727739943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0.53412609900390384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0.2170384916293204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0.1651103738530684</v>
      </c>
      <c r="H398" t="s">
        <v>37</v>
      </c>
      <c r="I398">
        <f>VLOOKUP(Table4[[#This Row],[Visitor]],'NHL Model'!$A$6:$B$38,2,FALSE)</f>
        <v>0.66951981565543606</v>
      </c>
      <c r="J398">
        <f>($B$1+Table4[[#This Row],[Home Differential]])-Table4[[#This Row],[Away Differential]]</f>
        <v>-0.41734129692482469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0.57708111234634429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0.17886038553420547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0.25731150832780025</v>
      </c>
      <c r="H399" t="s">
        <v>19</v>
      </c>
      <c r="I399">
        <f>VLOOKUP(Table4[[#This Row],[Visitor]],'NHL Model'!$A$6:$B$38,2,FALSE)</f>
        <v>-6.3531358246322375E-2</v>
      </c>
      <c r="J399">
        <f>($B$1+Table4[[#This Row],[Home Differential]])-Table4[[#This Row],[Away Differential]]</f>
        <v>0.40791101145166564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0.58345336712925155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0.34041783161446121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-0.52701775861642253</v>
      </c>
      <c r="H400" t="s">
        <v>17</v>
      </c>
      <c r="I400">
        <f>VLOOKUP(Table4[[#This Row],[Visitor]],'NHL Model'!$A$6:$B$38,2,FALSE)</f>
        <v>-0.19871596400308536</v>
      </c>
      <c r="J400">
        <f>($B$1+Table4[[#This Row],[Home Differential]])-Table4[[#This Row],[Away Differential]]</f>
        <v>-0.24123364973579417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0.48569779694986448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0.26450675606222285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-0.95834101872668032</v>
      </c>
      <c r="H401" t="s">
        <v>55</v>
      </c>
      <c r="I401">
        <f>VLOOKUP(Table4[[#This Row],[Visitor]],'NHL Model'!$A$6:$B$38,2,FALSE)</f>
        <v>0.16928148250244404</v>
      </c>
      <c r="J401">
        <f>($B$1+Table4[[#This Row],[Home Differential]])-Table4[[#This Row],[Away Differential]]</f>
        <v>-1.0405543563515813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0.57084670233239099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0.32586595756376541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0.22444955994982585</v>
      </c>
      <c r="H402" t="s">
        <v>33</v>
      </c>
      <c r="I402">
        <f>VLOOKUP(Table4[[#This Row],[Visitor]],'NHL Model'!$A$6:$B$38,2,FALSE)</f>
        <v>-0.25672436988374864</v>
      </c>
      <c r="J402">
        <f>($B$1+Table4[[#This Row],[Home Differential]])-Table4[[#This Row],[Away Differential]]</f>
        <v>0.56824207471111743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0.60053288780520109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0.15957397372525206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0.48797916660265073</v>
      </c>
      <c r="H403" t="s">
        <v>16</v>
      </c>
      <c r="I403">
        <f>VLOOKUP(Table4[[#This Row],[Visitor]],'NHL Model'!$A$6:$B$38,2,FALSE)</f>
        <v>-0.65802650867783552</v>
      </c>
      <c r="J403">
        <f>($B$1+Table4[[#This Row],[Home Differential]])-Table4[[#This Row],[Away Differential]]</f>
        <v>1.2330738201580291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0.69739287925180959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9.1571069527509888E-2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-0.25852364135215161</v>
      </c>
      <c r="H404" t="s">
        <v>31</v>
      </c>
      <c r="I404">
        <f>VLOOKUP(Table4[[#This Row],[Visitor]],'NHL Model'!$A$6:$B$38,2,FALSE)</f>
        <v>0.44031772420389576</v>
      </c>
      <c r="J404">
        <f>($B$1+Table4[[#This Row],[Home Differential]])-Table4[[#This Row],[Away Differential]]</f>
        <v>-0.61177322067850437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0.54593934290565593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0.29804976613225936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0.86540791565538033</v>
      </c>
      <c r="H405" t="s">
        <v>36</v>
      </c>
      <c r="I405">
        <f>VLOOKUP(Table4[[#This Row],[Visitor]],'NHL Model'!$A$6:$B$38,2,FALSE)</f>
        <v>-0.17962977873499933</v>
      </c>
      <c r="J405">
        <f>($B$1+Table4[[#This Row],[Home Differential]])-Table4[[#This Row],[Away Differential]]</f>
        <v>1.1321058392679226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0.70883466329821554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8.477725329666351E-2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0.30302134926393393</v>
      </c>
      <c r="H406" t="s">
        <v>22</v>
      </c>
      <c r="I406">
        <f>VLOOKUP(Table4[[#This Row],[Visitor]],'NHL Model'!$A$6:$B$38,2,FALSE)</f>
        <v>0.96536026973954592</v>
      </c>
      <c r="J406">
        <f>($B$1+Table4[[#This Row],[Home Differential]])-Table4[[#This Row],[Away Differential]]</f>
        <v>-0.57527077559806905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0.57542044879003829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0.18026779530565251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-0.35383832279900912</v>
      </c>
      <c r="H407" t="s">
        <v>40</v>
      </c>
      <c r="I407">
        <f>VLOOKUP(Table4[[#This Row],[Visitor]],'NHL Model'!$A$6:$B$38,2,FALSE)</f>
        <v>-9.7143783320053662E-2</v>
      </c>
      <c r="J407">
        <f>($B$1+Table4[[#This Row],[Home Differential]])-Table4[[#This Row],[Away Differential]]</f>
        <v>-0.16962639460141246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0.46794747119367319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0.21897483579655361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-2.9769404338063311E-4</v>
      </c>
      <c r="H408" t="s">
        <v>28</v>
      </c>
      <c r="I408">
        <f>VLOOKUP(Table4[[#This Row],[Visitor]],'NHL Model'!$A$6:$B$38,2,FALSE)</f>
        <v>-0.25582283032518105</v>
      </c>
      <c r="J408">
        <f>($B$1+Table4[[#This Row],[Home Differential]])-Table4[[#This Row],[Away Differential]]</f>
        <v>0.3425932811593434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0.61939684677012674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0.38365245378877588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7.060370405735697E-2</v>
      </c>
      <c r="H409" t="s">
        <v>14</v>
      </c>
      <c r="I409">
        <f>VLOOKUP(Table4[[#This Row],[Visitor]],'NHL Model'!$A$6:$B$38,2,FALSE)</f>
        <v>0.25731150832780025</v>
      </c>
      <c r="J409">
        <f>($B$1+Table4[[#This Row],[Home Differential]])-Table4[[#This Row],[Away Differential]]</f>
        <v>-9.9639659392900287E-2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0.49730628787811992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0.25270096820687565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-0.25672436988374864</v>
      </c>
      <c r="H410" t="s">
        <v>55</v>
      </c>
      <c r="I410">
        <f>VLOOKUP(Table4[[#This Row],[Visitor]],'NHL Model'!$A$6:$B$38,2,FALSE)</f>
        <v>0.16928148250244404</v>
      </c>
      <c r="J410">
        <f>($B$1+Table4[[#This Row],[Home Differential]])-Table4[[#This Row],[Away Differential]]</f>
        <v>-0.33893770750864971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0.49610587658790228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0.24612104078505093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-0.95834101872668032</v>
      </c>
      <c r="H411" t="s">
        <v>31</v>
      </c>
      <c r="I411">
        <f>VLOOKUP(Table4[[#This Row],[Visitor]],'NHL Model'!$A$6:$B$38,2,FALSE)</f>
        <v>0.44031772420389576</v>
      </c>
      <c r="J411">
        <f>($B$1+Table4[[#This Row],[Home Differential]])-Table4[[#This Row],[Away Differential]]</f>
        <v>-1.3115905980530331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0.62048849840470688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0.14402897984311416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1.7072432657355574</v>
      </c>
      <c r="H412" t="s">
        <v>38</v>
      </c>
      <c r="I412">
        <f>VLOOKUP(Table4[[#This Row],[Visitor]],'NHL Model'!$A$6:$B$38,2,FALSE)</f>
        <v>-0.59313840141656504</v>
      </c>
      <c r="J412">
        <f>($B$1+Table4[[#This Row],[Home Differential]])-Table4[[#This Row],[Away Differential]]</f>
        <v>2.3874498120296654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0.90214784173499996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9.5750448771186169E-3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-0.47317909800770142</v>
      </c>
      <c r="H413" t="s">
        <v>21</v>
      </c>
      <c r="I413">
        <f>VLOOKUP(Table4[[#This Row],[Visitor]],'NHL Model'!$A$6:$B$38,2,FALSE)</f>
        <v>0.20241790420125966</v>
      </c>
      <c r="J413">
        <f>($B$1+Table4[[#This Row],[Home Differential]])-Table4[[#This Row],[Away Differential]]</f>
        <v>-0.58852885733141802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0.51257172009437113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0.26272976824050237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-0.19871596400308536</v>
      </c>
      <c r="H414" t="s">
        <v>34</v>
      </c>
      <c r="I414">
        <f>VLOOKUP(Table4[[#This Row],[Visitor]],'NHL Model'!$A$6:$B$38,2,FALSE)</f>
        <v>4.4994204383705286E-2</v>
      </c>
      <c r="J414">
        <f>($B$1+Table4[[#This Row],[Home Differential]])-Table4[[#This Row],[Away Differential]]</f>
        <v>-0.15664202350924766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0.47822500140702962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0.27224914915669424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-0.10214397920743352</v>
      </c>
      <c r="H415" t="s">
        <v>19</v>
      </c>
      <c r="I415">
        <f>VLOOKUP(Table4[[#This Row],[Visitor]],'NHL Model'!$A$6:$B$38,2,FALSE)</f>
        <v>-6.3531358246322375E-2</v>
      </c>
      <c r="J415">
        <f>($B$1+Table4[[#This Row],[Home Differential]])-Table4[[#This Row],[Away Differential]]</f>
        <v>4.8455523916431847E-2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0.55220775335849326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0.30493340286923454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8.443955887089849E-2</v>
      </c>
      <c r="H416" t="s">
        <v>22</v>
      </c>
      <c r="I416">
        <f>VLOOKUP(Table4[[#This Row],[Visitor]],'NHL Model'!$A$6:$B$38,2,FALSE)</f>
        <v>0.96536026973954592</v>
      </c>
      <c r="J416">
        <f>($B$1+Table4[[#This Row],[Home Differential]])-Table4[[#This Row],[Away Differential]]</f>
        <v>-0.79385256599110443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0.59870522051492014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0.16103750004197886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-0.31732900620087529</v>
      </c>
      <c r="H417" t="s">
        <v>36</v>
      </c>
      <c r="I417">
        <f>VLOOKUP(Table4[[#This Row],[Visitor]],'NHL Model'!$A$6:$B$38,2,FALSE)</f>
        <v>-0.17962977873499933</v>
      </c>
      <c r="J417">
        <f>($B$1+Table4[[#This Row],[Home Differential]])-Table4[[#This Row],[Away Differential]]</f>
        <v>-5.063108258833296E-2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0.46896971527522785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0.28199316329487251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-0.88005793547499611</v>
      </c>
      <c r="H418" t="s">
        <v>16</v>
      </c>
      <c r="I418">
        <f>VLOOKUP(Table4[[#This Row],[Visitor]],'NHL Model'!$A$6:$B$38,2,FALSE)</f>
        <v>-0.65802650867783552</v>
      </c>
      <c r="J418">
        <f>($B$1+Table4[[#This Row],[Home Differential]])-Table4[[#This Row],[Away Differential]]</f>
        <v>-0.13496328191961759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0.47437717755485681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0.22503370658491215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0.30302134926393393</v>
      </c>
      <c r="H419" t="s">
        <v>37</v>
      </c>
      <c r="I419">
        <f>VLOOKUP(Table4[[#This Row],[Visitor]],'NHL Model'!$A$6:$B$38,2,FALSE)</f>
        <v>0.66951981565543606</v>
      </c>
      <c r="J419">
        <f>($B$1+Table4[[#This Row],[Home Differential]])-Table4[[#This Row],[Away Differential]]</f>
        <v>-0.27943032151395913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0.5623899270695486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0.31628243006929219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0.1651103738530684</v>
      </c>
      <c r="H420" t="s">
        <v>39</v>
      </c>
      <c r="I420">
        <f>VLOOKUP(Table4[[#This Row],[Visitor]],'NHL Model'!$A$6:$B$38,2,FALSE)</f>
        <v>0.86540791565538033</v>
      </c>
      <c r="J420">
        <f>($B$1+Table4[[#This Row],[Home Differential]])-Table4[[#This Row],[Away Differential]]</f>
        <v>-0.61322939692476897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0.61781142146474244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0.38169095249228563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0.22444955994982585</v>
      </c>
      <c r="H421" t="s">
        <v>10</v>
      </c>
      <c r="I421">
        <f>VLOOKUP(Table4[[#This Row],[Visitor]],'NHL Model'!$A$6:$B$38,2,FALSE)</f>
        <v>-0.25852364135215161</v>
      </c>
      <c r="J421">
        <f>($B$1+Table4[[#This Row],[Home Differential]])-Table4[[#This Row],[Away Differential]]</f>
        <v>0.5700413461795204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0.60072455805063885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0.15942087854385767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0.44031772420389576</v>
      </c>
      <c r="H422" t="s">
        <v>55</v>
      </c>
      <c r="I422">
        <f>VLOOKUP(Table4[[#This Row],[Visitor]],'NHL Model'!$A$6:$B$38,2,FALSE)</f>
        <v>0.16928148250244404</v>
      </c>
      <c r="J422">
        <f>($B$1+Table4[[#This Row],[Home Differential]])-Table4[[#This Row],[Away Differential]]</f>
        <v>0.35810438657899479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0.65267277712434457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0.42598175399920435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-0.31732900620087529</v>
      </c>
      <c r="H423" t="s">
        <v>40</v>
      </c>
      <c r="I423">
        <f>VLOOKUP(Table4[[#This Row],[Visitor]],'NHL Model'!$A$6:$B$38,2,FALSE)</f>
        <v>-9.7143783320053662E-2</v>
      </c>
      <c r="J423">
        <f>($B$1+Table4[[#This Row],[Home Differential]])-Table4[[#This Row],[Away Differential]]</f>
        <v>-0.13311707800327863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0.47418050775600379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0.22484715393574156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-2.9769404338063311E-4</v>
      </c>
      <c r="H424" t="s">
        <v>39</v>
      </c>
      <c r="I424">
        <f>VLOOKUP(Table4[[#This Row],[Visitor]],'NHL Model'!$A$6:$B$38,2,FALSE)</f>
        <v>0.86540791565538033</v>
      </c>
      <c r="J424">
        <f>($B$1+Table4[[#This Row],[Home Differential]])-Table4[[#This Row],[Away Differential]]</f>
        <v>-0.77863746482121798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0.59203649935349301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0.16643421785975251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7.060370405735697E-2</v>
      </c>
      <c r="H425" t="s">
        <v>23</v>
      </c>
      <c r="I425">
        <f>VLOOKUP(Table4[[#This Row],[Visitor]],'NHL Model'!$A$6:$B$38,2,FALSE)</f>
        <v>-0.35383832279900912</v>
      </c>
      <c r="J425">
        <f>($B$1+Table4[[#This Row],[Home Differential]])-Table4[[#This Row],[Away Differential]]</f>
        <v>0.51151017173390911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0.60461168129597131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0.15633192256759856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-0.25672436988374864</v>
      </c>
      <c r="H426" t="s">
        <v>22</v>
      </c>
      <c r="I426">
        <f>VLOOKUP(Table4[[#This Row],[Visitor]],'NHL Model'!$A$6:$B$38,2,FALSE)</f>
        <v>0.96536026973954592</v>
      </c>
      <c r="J426">
        <f>($B$1+Table4[[#This Row],[Home Differential]])-Table4[[#This Row],[Away Differential]]</f>
        <v>-1.1350164947457515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0.63504824885013367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0.13318978066735396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0.20241790420125966</v>
      </c>
      <c r="H427" t="s">
        <v>35</v>
      </c>
      <c r="I427">
        <f>VLOOKUP(Table4[[#This Row],[Visitor]],'NHL Model'!$A$6:$B$38,2,FALSE)</f>
        <v>-0.95834101872668032</v>
      </c>
      <c r="J427">
        <f>($B$1+Table4[[#This Row],[Home Differential]])-Table4[[#This Row],[Away Differential]]</f>
        <v>1.247827067805483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0.7320552968007572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7.1794363972530306E-2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0.48797916660265073</v>
      </c>
      <c r="H428" t="s">
        <v>19</v>
      </c>
      <c r="I428">
        <f>VLOOKUP(Table4[[#This Row],[Visitor]],'NHL Model'!$A$6:$B$38,2,FALSE)</f>
        <v>-6.3531358246322375E-2</v>
      </c>
      <c r="J428">
        <f>($B$1+Table4[[#This Row],[Home Differential]])-Table4[[#This Row],[Away Differential]]</f>
        <v>0.63857866972651611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0.63406334093822769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0.40203632032174719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-0.25582283032518105</v>
      </c>
      <c r="H429" t="s">
        <v>26</v>
      </c>
      <c r="I429">
        <f>VLOOKUP(Table4[[#This Row],[Visitor]],'NHL Model'!$A$6:$B$38,2,FALSE)</f>
        <v>-0.47317909800770142</v>
      </c>
      <c r="J429">
        <f>($B$1+Table4[[#This Row],[Home Differential]])-Table4[[#This Row],[Away Differential]]</f>
        <v>0.30442441256006336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0.57159980004430144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0.1835267313220825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-0.65802650867783552</v>
      </c>
      <c r="H430" t="s">
        <v>34</v>
      </c>
      <c r="I430">
        <f>VLOOKUP(Table4[[#This Row],[Visitor]],'NHL Model'!$A$6:$B$38,2,FALSE)</f>
        <v>4.4994204383705286E-2</v>
      </c>
      <c r="J430">
        <f>($B$1+Table4[[#This Row],[Home Differential]])-Table4[[#This Row],[Away Differential]]</f>
        <v>-0.6159525681839978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0.54638455452392198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0.2985360814223047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-0.19871596400308536</v>
      </c>
      <c r="H431" t="s">
        <v>32</v>
      </c>
      <c r="I431">
        <f>VLOOKUP(Table4[[#This Row],[Visitor]],'NHL Model'!$A$6:$B$38,2,FALSE)</f>
        <v>-0.52701775861642253</v>
      </c>
      <c r="J431">
        <f>($B$1+Table4[[#This Row],[Home Differential]])-Table4[[#This Row],[Away Differential]]</f>
        <v>0.41536993949088019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0.60335337257267851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0.15732854704946839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-0.10214397920743352</v>
      </c>
      <c r="H432" t="s">
        <v>29</v>
      </c>
      <c r="I432">
        <f>VLOOKUP(Table4[[#This Row],[Visitor]],'NHL Model'!$A$6:$B$38,2,FALSE)</f>
        <v>-0.88005793547499611</v>
      </c>
      <c r="J432">
        <f>($B$1+Table4[[#This Row],[Home Differential]])-Table4[[#This Row],[Away Differential]]</f>
        <v>0.86498210114510554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0.63918954138338691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0.40856326981390451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8.443955887089849E-2</v>
      </c>
      <c r="H433" t="s">
        <v>10</v>
      </c>
      <c r="I433">
        <f>VLOOKUP(Table4[[#This Row],[Visitor]],'NHL Model'!$A$6:$B$38,2,FALSE)</f>
        <v>-0.25852364135215161</v>
      </c>
      <c r="J433">
        <f>($B$1+Table4[[#This Row],[Home Differential]])-Table4[[#This Row],[Away Differential]]</f>
        <v>0.4300313451005931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0.58580977073710638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0.34317308749106112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0.30302134926393393</v>
      </c>
      <c r="H434" t="s">
        <v>12</v>
      </c>
      <c r="I434">
        <f>VLOOKUP(Table4[[#This Row],[Visitor]],'NHL Model'!$A$6:$B$38,2,FALSE)</f>
        <v>1.7072432657355574</v>
      </c>
      <c r="J434">
        <f>($B$1+Table4[[#This Row],[Home Differential]])-Table4[[#This Row],[Away Differential]]</f>
        <v>-1.3171537715940804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0.67679258021114652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0.4580481966288612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-0.17962977873499933</v>
      </c>
      <c r="H435" t="s">
        <v>15</v>
      </c>
      <c r="I435">
        <f>VLOOKUP(Table4[[#This Row],[Visitor]],'NHL Model'!$A$6:$B$38,2,FALSE)</f>
        <v>0.1651103738530684</v>
      </c>
      <c r="J435">
        <f>($B$1+Table4[[#This Row],[Home Differential]])-Table4[[#This Row],[Away Differential]]</f>
        <v>-0.25767200771052473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0.59402115705210479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0.16481882092131175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0.66951981565543606</v>
      </c>
      <c r="H436" t="s">
        <v>14</v>
      </c>
      <c r="I436">
        <f>VLOOKUP(Table4[[#This Row],[Visitor]],'NHL Model'!$A$6:$B$38,2,FALSE)</f>
        <v>0.25731150832780025</v>
      </c>
      <c r="J436">
        <f>($B$1+Table4[[#This Row],[Home Differential]])-Table4[[#This Row],[Away Differential]]</f>
        <v>0.4992764522051788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0.55629180560322522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0.30946057298129653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0.44031772420389576</v>
      </c>
      <c r="H437" t="s">
        <v>22</v>
      </c>
      <c r="I437">
        <f>VLOOKUP(Table4[[#This Row],[Visitor]],'NHL Model'!$A$6:$B$38,2,FALSE)</f>
        <v>0.96536026973954592</v>
      </c>
      <c r="J437">
        <f>($B$1+Table4[[#This Row],[Home Differential]])-Table4[[#This Row],[Away Differential]]</f>
        <v>-0.43797440065810711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0.48461212170153345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0.23484890850006188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0.86540791565538033</v>
      </c>
      <c r="H438" t="s">
        <v>33</v>
      </c>
      <c r="I438">
        <f>VLOOKUP(Table4[[#This Row],[Visitor]],'NHL Model'!$A$6:$B$38,2,FALSE)</f>
        <v>-0.25672436988374864</v>
      </c>
      <c r="J438">
        <f>($B$1+Table4[[#This Row],[Home Differential]])-Table4[[#This Row],[Away Differential]]</f>
        <v>1.2092004304166719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0.720527969047009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7.8104616084989559E-2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-2.9769404338063311E-4</v>
      </c>
      <c r="H439" t="s">
        <v>20</v>
      </c>
      <c r="I439">
        <f>VLOOKUP(Table4[[#This Row],[Visitor]],'NHL Model'!$A$6:$B$38,2,FALSE)</f>
        <v>0.22444955994982585</v>
      </c>
      <c r="J439">
        <f>($B$1+Table4[[#This Row],[Home Differential]])-Table4[[#This Row],[Away Differential]]</f>
        <v>-0.1376791091156635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0.470480438840509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0.28039096565053989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-0.59313840141656504</v>
      </c>
      <c r="H440" t="s">
        <v>55</v>
      </c>
      <c r="I440">
        <f>VLOOKUP(Table4[[#This Row],[Visitor]],'NHL Model'!$A$6:$B$38,2,FALSE)</f>
        <v>0.16928148250244404</v>
      </c>
      <c r="J440">
        <f>($B$1+Table4[[#This Row],[Home Differential]])-Table4[[#This Row],[Away Differential]]</f>
        <v>-0.67535173904146606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0.53194291459186227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0.21907743520076073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-9.7143783320053662E-2</v>
      </c>
      <c r="H441" t="s">
        <v>23</v>
      </c>
      <c r="I441">
        <f>VLOOKUP(Table4[[#This Row],[Visitor]],'NHL Model'!$A$6:$B$38,2,FALSE)</f>
        <v>-0.35383832279900912</v>
      </c>
      <c r="J441">
        <f>($B$1+Table4[[#This Row],[Home Differential]])-Table4[[#This Row],[Away Differential]]</f>
        <v>0.34376268435649848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0.59572529620524028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0.16343803612834071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0.20241790420125966</v>
      </c>
      <c r="H442" t="s">
        <v>24</v>
      </c>
      <c r="I442">
        <f>VLOOKUP(Table4[[#This Row],[Visitor]],'NHL Model'!$A$6:$B$38,2,FALSE)</f>
        <v>-2.9769404338063311E-4</v>
      </c>
      <c r="J442">
        <f>($B$1+Table4[[#This Row],[Home Differential]])-Table4[[#This Row],[Away Differential]]</f>
        <v>0.2897837431221833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0.6265375426472044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0.13947420705198868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0.48797916660265073</v>
      </c>
      <c r="H443" t="s">
        <v>29</v>
      </c>
      <c r="I443">
        <f>VLOOKUP(Table4[[#This Row],[Visitor]],'NHL Model'!$A$6:$B$38,2,FALSE)</f>
        <v>-0.88005793547499611</v>
      </c>
      <c r="J443">
        <f>($B$1+Table4[[#This Row],[Home Differential]])-Table4[[#This Row],[Away Differential]]</f>
        <v>1.4551052469551897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0.72104512896312134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7.7815820075201603E-2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-0.65802650867783552</v>
      </c>
      <c r="H444" t="s">
        <v>55</v>
      </c>
      <c r="I444">
        <f>VLOOKUP(Table4[[#This Row],[Visitor]],'NHL Model'!$A$6:$B$38,2,FALSE)</f>
        <v>0.16928148250244404</v>
      </c>
      <c r="J444">
        <f>($B$1+Table4[[#This Row],[Home Differential]])-Table4[[#This Row],[Away Differential]]</f>
        <v>-0.74023984630273654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0.53885522308069633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0.290364951441347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-0.19871596400308536</v>
      </c>
      <c r="H445" t="s">
        <v>40</v>
      </c>
      <c r="I445">
        <f>VLOOKUP(Table4[[#This Row],[Visitor]],'NHL Model'!$A$6:$B$38,2,FALSE)</f>
        <v>-9.7143783320053662E-2</v>
      </c>
      <c r="J445">
        <f>($B$1+Table4[[#This Row],[Home Differential]])-Table4[[#This Row],[Away Differential]]</f>
        <v>-1.4504035805488702E-2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0.44243963409656473</v>
      </c>
      <c r="M445" t="str">
        <f>IF(OR((NHL2025_26Results[[#This Row],[Winning Team]]="")),"-",IF(Table4[[#This Row],[Predicted Winner]]=NHL2025_26Results[[#This Row],[Winning Team]],"YES","NO"))</f>
        <v>NO</v>
      </c>
      <c r="N445">
        <f>IF(Table4[[#This Row],[Adjusted Correct]]="-", "",IF(Table4[[#This Row],[Adjusted Correct]]="YES",(Table4[[#This Row],[Strength of Win]]-1)^2,(Table4[[#This Row],[Strength of Win]]-0)^2))</f>
        <v>0.19575282981950209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-0.10214397920743352</v>
      </c>
      <c r="H446" t="s">
        <v>28</v>
      </c>
      <c r="I446">
        <f>VLOOKUP(Table4[[#This Row],[Visitor]],'NHL Model'!$A$6:$B$38,2,FALSE)</f>
        <v>-0.25582283032518105</v>
      </c>
      <c r="J446">
        <f>($B$1+Table4[[#This Row],[Home Differential]])-Table4[[#This Row],[Away Differential]]</f>
        <v>0.24074699599529054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0.5726919072486536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0.18259220613079327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8.443955887089849E-2</v>
      </c>
      <c r="H447" t="s">
        <v>10</v>
      </c>
      <c r="I447">
        <f>VLOOKUP(Table4[[#This Row],[Visitor]],'NHL Model'!$A$6:$B$38,2,FALSE)</f>
        <v>-0.25852364135215161</v>
      </c>
      <c r="J447">
        <f>($B$1+Table4[[#This Row],[Home Differential]])-Table4[[#This Row],[Away Differential]]</f>
        <v>0.4300313451005931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0.58580977073710638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0.17155354601684839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0.1651103738530684</v>
      </c>
      <c r="H448" t="s">
        <v>12</v>
      </c>
      <c r="I448">
        <f>VLOOKUP(Table4[[#This Row],[Visitor]],'NHL Model'!$A$6:$B$38,2,FALSE)</f>
        <v>1.7072432657355574</v>
      </c>
      <c r="J448">
        <f>($B$1+Table4[[#This Row],[Home Differential]])-Table4[[#This Row],[Away Differential]]</f>
        <v>-1.455064747004946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0.6914837654879421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9.5182266957499109E-2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-0.17962977873499933</v>
      </c>
      <c r="H449" t="s">
        <v>35</v>
      </c>
      <c r="I449">
        <f>VLOOKUP(Table4[[#This Row],[Visitor]],'NHL Model'!$A$6:$B$38,2,FALSE)</f>
        <v>-0.95834101872668032</v>
      </c>
      <c r="J449">
        <f>($B$1+Table4[[#This Row],[Home Differential]])-Table4[[#This Row],[Away Differential]]</f>
        <v>0.86577938486922401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0.63222852143602348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0.3997129033171804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-0.52701775861642253</v>
      </c>
      <c r="H450" t="s">
        <v>26</v>
      </c>
      <c r="I450">
        <f>VLOOKUP(Table4[[#This Row],[Visitor]],'NHL Model'!$A$6:$B$38,2,FALSE)</f>
        <v>-0.47317909800770142</v>
      </c>
      <c r="J450">
        <f>($B$1+Table4[[#This Row],[Home Differential]])-Table4[[#This Row],[Away Differential]]</f>
        <v>3.3229484268821885E-2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0.5427103304006835</v>
      </c>
      <c r="M450" t="str">
        <f>IF(OR((NHL2025_26Results[[#This Row],[Winning Team]]="")),"-",IF(Table4[[#This Row],[Predicted Winner]]=NHL2025_26Results[[#This Row],[Winning Team]],"YES","NO"))</f>
        <v>NO</v>
      </c>
      <c r="N450">
        <f>IF(Table4[[#This Row],[Adjusted Correct]]="-", "",IF(Table4[[#This Row],[Adjusted Correct]]="YES",(Table4[[#This Row],[Strength of Win]]-1)^2,(Table4[[#This Row],[Strength of Win]]-0)^2))</f>
        <v>0.29453450272361903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0.66951981565543606</v>
      </c>
      <c r="H451" t="s">
        <v>30</v>
      </c>
      <c r="I451">
        <f>VLOOKUP(Table4[[#This Row],[Visitor]],'NHL Model'!$A$6:$B$38,2,FALSE)</f>
        <v>0.30302134926393393</v>
      </c>
      <c r="J451">
        <f>($B$1+Table4[[#This Row],[Home Differential]])-Table4[[#This Row],[Away Differential]]</f>
        <v>0.45356661126904513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0.5220011128009181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0.27248516176539683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-6.3531358246322375E-2</v>
      </c>
      <c r="H452" t="s">
        <v>18</v>
      </c>
      <c r="I452">
        <f>VLOOKUP(Table4[[#This Row],[Visitor]],'NHL Model'!$A$6:$B$38,2,FALSE)</f>
        <v>-0.31732900620087529</v>
      </c>
      <c r="J452">
        <f>($B$1+Table4[[#This Row],[Home Differential]])-Table4[[#This Row],[Away Differential]]</f>
        <v>0.34086579283209589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0.50368809982559248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0.25370170190591601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-0.59313840141656504</v>
      </c>
      <c r="H453" t="s">
        <v>34</v>
      </c>
      <c r="I453">
        <f>VLOOKUP(Table4[[#This Row],[Visitor]],'NHL Model'!$A$6:$B$38,2,FALSE)</f>
        <v>4.4994204383705286E-2</v>
      </c>
      <c r="J453">
        <f>($B$1+Table4[[#This Row],[Home Differential]])-Table4[[#This Row],[Away Differential]]</f>
        <v>-0.55106446092272732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0.53947224603508792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0.29103030424214243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0.44031772420389576</v>
      </c>
      <c r="H454" t="s">
        <v>10</v>
      </c>
      <c r="I454">
        <f>VLOOKUP(Table4[[#This Row],[Visitor]],'NHL Model'!$A$6:$B$38,2,FALSE)</f>
        <v>-0.25852364135215161</v>
      </c>
      <c r="J454">
        <f>($B$1+Table4[[#This Row],[Home Differential]])-Table4[[#This Row],[Away Differential]]</f>
        <v>0.78590951043359047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0.6982453961141396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9.1055840966312515E-2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0.48797916660265073</v>
      </c>
      <c r="H455" t="s">
        <v>33</v>
      </c>
      <c r="I455">
        <f>VLOOKUP(Table4[[#This Row],[Visitor]],'NHL Model'!$A$6:$B$38,2,FALSE)</f>
        <v>-0.25672436988374864</v>
      </c>
      <c r="J455">
        <f>($B$1+Table4[[#This Row],[Home Differential]])-Table4[[#This Row],[Away Differential]]</f>
        <v>0.83177168136394242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0.65464353275901555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0.42855815498320426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0.86540791565538033</v>
      </c>
      <c r="H456" t="s">
        <v>14</v>
      </c>
      <c r="I456">
        <f>VLOOKUP(Table4[[#This Row],[Visitor]],'NHL Model'!$A$6:$B$38,2,FALSE)</f>
        <v>0.25731150832780025</v>
      </c>
      <c r="J456">
        <f>($B$1+Table4[[#This Row],[Home Differential]])-Table4[[#This Row],[Away Differential]]</f>
        <v>0.69516455220512308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0.62960906147761941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0.13718944733948993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-0.10214397920743352</v>
      </c>
      <c r="H457" t="s">
        <v>30</v>
      </c>
      <c r="I457">
        <f>VLOOKUP(Table4[[#This Row],[Visitor]],'NHL Model'!$A$6:$B$38,2,FALSE)</f>
        <v>0.30302134926393393</v>
      </c>
      <c r="J457">
        <f>($B$1+Table4[[#This Row],[Home Differential]])-Table4[[#This Row],[Away Differential]]</f>
        <v>-0.31809718359382444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0.55311657597153985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0.30593794661448021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-0.31732900620087529</v>
      </c>
      <c r="H458" t="s">
        <v>35</v>
      </c>
      <c r="I458">
        <f>VLOOKUP(Table4[[#This Row],[Visitor]],'NHL Model'!$A$6:$B$38,2,FALSE)</f>
        <v>-0.95834101872668032</v>
      </c>
      <c r="J458">
        <f>($B$1+Table4[[#This Row],[Home Differential]])-Table4[[#This Row],[Away Differential]]</f>
        <v>0.72808015740334797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0.6175598929447379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0.38138022137391614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0.1651103738530684</v>
      </c>
      <c r="H459" t="s">
        <v>20</v>
      </c>
      <c r="I459">
        <f>VLOOKUP(Table4[[#This Row],[Visitor]],'NHL Model'!$A$6:$B$38,2,FALSE)</f>
        <v>0.22444955994982585</v>
      </c>
      <c r="J459">
        <f>($B$1+Table4[[#This Row],[Home Differential]])-Table4[[#This Row],[Away Differential]]</f>
        <v>2.7728958780785518E-2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0.50366713805277763</v>
      </c>
      <c r="M459" t="str">
        <f>IF(OR((NHL2025_26Results[[#This Row],[Winning Team]]="")),"-",IF(Table4[[#This Row],[Predicted Winner]]=NHL2025_26Results[[#This Row],[Winning Team]],"YES","NO"))</f>
        <v>NO</v>
      </c>
      <c r="N459">
        <f>IF(Table4[[#This Row],[Adjusted Correct]]="-", "",IF(Table4[[#This Row],[Adjusted Correct]]="YES",(Table4[[#This Row],[Strength of Win]]-1)^2,(Table4[[#This Row],[Strength of Win]]-0)^2))</f>
        <v>0.25368058595427578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7.060370405735697E-2</v>
      </c>
      <c r="H460" t="s">
        <v>12</v>
      </c>
      <c r="I460">
        <f>VLOOKUP(Table4[[#This Row],[Visitor]],'NHL Model'!$A$6:$B$38,2,FALSE)</f>
        <v>1.7072432657355574</v>
      </c>
      <c r="J460">
        <f>($B$1+Table4[[#This Row],[Home Differential]])-Table4[[#This Row],[Away Differential]]</f>
        <v>-1.5495714168006574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0.69138634108151209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9.5242390471056787E-2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0.96536026973954592</v>
      </c>
      <c r="H461" t="s">
        <v>28</v>
      </c>
      <c r="I461">
        <f>VLOOKUP(Table4[[#This Row],[Visitor]],'NHL Model'!$A$6:$B$38,2,FALSE)</f>
        <v>-0.25582283032518105</v>
      </c>
      <c r="J461">
        <f>($B$1+Table4[[#This Row],[Home Differential]])-Table4[[#This Row],[Away Differential]]</f>
        <v>1.3082512449422701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0.71540040411114347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8.0996929980100441E-2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-0.65802650867783552</v>
      </c>
      <c r="H462" t="s">
        <v>23</v>
      </c>
      <c r="I462">
        <f>VLOOKUP(Table4[[#This Row],[Visitor]],'NHL Model'!$A$6:$B$38,2,FALSE)</f>
        <v>-0.35383832279900912</v>
      </c>
      <c r="J462">
        <f>($B$1+Table4[[#This Row],[Home Differential]])-Table4[[#This Row],[Away Differential]]</f>
        <v>-0.2171200410012834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0.48312905655371075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O462">
        <v>-0.2171200410012834</v>
      </c>
      <c r="P462" s="11">
        <v>0.48312905655371075</v>
      </c>
      <c r="Q462" t="s">
        <v>23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-0.52701775861642253</v>
      </c>
      <c r="H463" t="s">
        <v>34</v>
      </c>
      <c r="I463">
        <f>VLOOKUP(Table4[[#This Row],[Visitor]],'NHL Model'!$A$6:$B$38,2,FALSE)</f>
        <v>4.4994204383705286E-2</v>
      </c>
      <c r="J463">
        <f>($B$1+Table4[[#This Row],[Home Differential]])-Table4[[#This Row],[Away Differential]]</f>
        <v>-0.4849438181225848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0.53242863974411836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O463">
        <v>-0.4849438181225848</v>
      </c>
      <c r="P463" s="11">
        <v>0.53242863974411836</v>
      </c>
      <c r="Q463" t="s">
        <v>34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-6.3531358246322375E-2</v>
      </c>
      <c r="H464" t="s">
        <v>37</v>
      </c>
      <c r="I464">
        <f>VLOOKUP(Table4[[#This Row],[Visitor]],'NHL Model'!$A$6:$B$38,2,FALSE)</f>
        <v>0.66951981565543606</v>
      </c>
      <c r="J464">
        <f>($B$1+Table4[[#This Row],[Home Differential]])-Table4[[#This Row],[Away Differential]]</f>
        <v>-0.64598302902421545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0.60143753530885613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O464">
        <v>-0.64598302902421545</v>
      </c>
      <c r="P464" s="11">
        <v>0.60143753530885613</v>
      </c>
      <c r="Q464" t="s">
        <v>37</v>
      </c>
    </row>
    <row r="465" spans="4:17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0.16928148250244404</v>
      </c>
      <c r="H465" t="s">
        <v>13</v>
      </c>
      <c r="I465">
        <f>VLOOKUP(Table4[[#This Row],[Visitor]],'NHL Model'!$A$6:$B$38,2,FALSE)</f>
        <v>8.443955887089849E-2</v>
      </c>
      <c r="J465">
        <f>($B$1+Table4[[#This Row],[Home Differential]])-Table4[[#This Row],[Away Differential]]</f>
        <v>0.17191006850908852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0.53301887491853994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O465">
        <v>0.17191006850908852</v>
      </c>
      <c r="P465" s="11">
        <v>0.53301887491853994</v>
      </c>
      <c r="Q465" t="s">
        <v>55</v>
      </c>
    </row>
    <row r="466" spans="4:17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-0.59313840141656504</v>
      </c>
      <c r="H466" t="s">
        <v>26</v>
      </c>
      <c r="I466">
        <f>VLOOKUP(Table4[[#This Row],[Visitor]],'NHL Model'!$A$6:$B$38,2,FALSE)</f>
        <v>-0.47317909800770142</v>
      </c>
      <c r="J466">
        <f>($B$1+Table4[[#This Row],[Home Differential]])-Table4[[#This Row],[Away Differential]]</f>
        <v>-3.289115853132063E-2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0.46433327589028595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O466">
        <v>-3.289115853132063E-2</v>
      </c>
      <c r="P466" s="11">
        <v>0.46433327589028595</v>
      </c>
      <c r="Q466" t="s">
        <v>26</v>
      </c>
    </row>
    <row r="467" spans="4:17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0.48797916660265073</v>
      </c>
      <c r="H467" t="s">
        <v>28</v>
      </c>
      <c r="I467">
        <f>VLOOKUP(Table4[[#This Row],[Visitor]],'NHL Model'!$A$6:$B$38,2,FALSE)</f>
        <v>-0.25582283032518105</v>
      </c>
      <c r="J467">
        <f>($B$1+Table4[[#This Row],[Home Differential]])-Table4[[#This Row],[Away Differential]]</f>
        <v>0.83087014180537477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0.65454749482838803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7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-0.19871596400308536</v>
      </c>
      <c r="H468" t="s">
        <v>23</v>
      </c>
      <c r="I468">
        <f>VLOOKUP(Table4[[#This Row],[Visitor]],'NHL Model'!$A$6:$B$38,2,FALSE)</f>
        <v>-0.35383832279900912</v>
      </c>
      <c r="J468">
        <f>($B$1+Table4[[#This Row],[Home Differential]])-Table4[[#This Row],[Away Differential]]</f>
        <v>0.24219050367346676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0.5849051586423164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7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-0.31732900620087529</v>
      </c>
      <c r="H469" t="s">
        <v>37</v>
      </c>
      <c r="I469">
        <f>VLOOKUP(Table4[[#This Row],[Visitor]],'NHL Model'!$A$6:$B$38,2,FALSE)</f>
        <v>0.66951981565543606</v>
      </c>
      <c r="J469">
        <f>($B$1+Table4[[#This Row],[Home Differential]])-Table4[[#This Row],[Away Differential]]</f>
        <v>-0.8997806769787684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0.62847373208584978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7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-0.88005793547499611</v>
      </c>
      <c r="H470" t="s">
        <v>12</v>
      </c>
      <c r="I470">
        <f>VLOOKUP(Table4[[#This Row],[Visitor]],'NHL Model'!$A$6:$B$38,2,FALSE)</f>
        <v>1.7072432657355574</v>
      </c>
      <c r="J470">
        <f>($B$1+Table4[[#This Row],[Home Differential]])-Table4[[#This Row],[Away Differential]]</f>
        <v>-2.5002330563330104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0.80282197647534759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7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0.30302134926393393</v>
      </c>
      <c r="H471" t="s">
        <v>20</v>
      </c>
      <c r="I471">
        <f>VLOOKUP(Table4[[#This Row],[Visitor]],'NHL Model'!$A$6:$B$38,2,FALSE)</f>
        <v>0.22444955994982585</v>
      </c>
      <c r="J471">
        <f>($B$1+Table4[[#This Row],[Home Differential]])-Table4[[#This Row],[Away Differential]]</f>
        <v>0.16563993419165107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0.51835832332957321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7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-0.17962977873499933</v>
      </c>
      <c r="H472" t="s">
        <v>24</v>
      </c>
      <c r="I472">
        <f>VLOOKUP(Table4[[#This Row],[Visitor]],'NHL Model'!$A$6:$B$38,2,FALSE)</f>
        <v>-2.9769404338063311E-4</v>
      </c>
      <c r="J472">
        <f>($B$1+Table4[[#This Row],[Home Differential]])-Table4[[#This Row],[Away Differential]]</f>
        <v>-9.2263939814075699E-2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0.47340472138901668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7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7.060370405735697E-2</v>
      </c>
      <c r="H473" t="s">
        <v>33</v>
      </c>
      <c r="I473">
        <f>VLOOKUP(Table4[[#This Row],[Visitor]],'NHL Model'!$A$6:$B$38,2,FALSE)</f>
        <v>-0.25672436988374864</v>
      </c>
      <c r="J473">
        <f>($B$1+Table4[[#This Row],[Home Differential]])-Table4[[#This Row],[Away Differential]]</f>
        <v>0.41439621881864863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0.59426646351334311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7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0.25731150832780025</v>
      </c>
      <c r="H474" t="s">
        <v>31</v>
      </c>
      <c r="I474">
        <f>VLOOKUP(Table4[[#This Row],[Visitor]],'NHL Model'!$A$6:$B$38,2,FALSE)</f>
        <v>0.44031772420389576</v>
      </c>
      <c r="J474">
        <f>($B$1+Table4[[#This Row],[Home Differential]])-Table4[[#This Row],[Away Differential]]</f>
        <v>-9.5938070998552505E-2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0.49098918586663381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7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-0.95834101872668032</v>
      </c>
      <c r="H475" t="s">
        <v>21</v>
      </c>
      <c r="I475">
        <f>VLOOKUP(Table4[[#This Row],[Visitor]],'NHL Model'!$A$6:$B$38,2,FALSE)</f>
        <v>0.20241790420125966</v>
      </c>
      <c r="J475">
        <f>($B$1+Table4[[#This Row],[Home Differential]])-Table4[[#This Row],[Away Differential]]</f>
        <v>-1.073690778050397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0.57437661218283631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7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-9.7143783320053662E-2</v>
      </c>
      <c r="H476" t="s">
        <v>39</v>
      </c>
      <c r="I476">
        <f>VLOOKUP(Table4[[#This Row],[Visitor]],'NHL Model'!$A$6:$B$38,2,FALSE)</f>
        <v>0.86540791565538033</v>
      </c>
      <c r="J476">
        <f>($B$1+Table4[[#This Row],[Home Differential]])-Table4[[#This Row],[Away Differential]]</f>
        <v>-0.87548355409789103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0.62659560677981863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7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-0.65802650867783552</v>
      </c>
      <c r="H477" t="s">
        <v>26</v>
      </c>
      <c r="I477">
        <f>VLOOKUP(Table4[[#This Row],[Visitor]],'NHL Model'!$A$6:$B$38,2,FALSE)</f>
        <v>-0.47317909800770142</v>
      </c>
      <c r="J477">
        <f>($B$1+Table4[[#This Row],[Home Differential]])-Table4[[#This Row],[Away Differential]]</f>
        <v>-9.7779265792591108E-2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0.47124558437912001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7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-0.25852364135215161</v>
      </c>
      <c r="H478" t="s">
        <v>15</v>
      </c>
      <c r="I478">
        <f>VLOOKUP(Table4[[#This Row],[Visitor]],'NHL Model'!$A$6:$B$38,2,FALSE)</f>
        <v>0.1651103738530684</v>
      </c>
      <c r="J478">
        <f>($B$1+Table4[[#This Row],[Home Differential]])-Table4[[#This Row],[Away Differential]]</f>
        <v>-0.33656587032767704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0.60242545083262233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7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-0.52701775861642253</v>
      </c>
      <c r="H479" t="s">
        <v>13</v>
      </c>
      <c r="I479">
        <f>VLOOKUP(Table4[[#This Row],[Visitor]],'NHL Model'!$A$6:$B$38,2,FALSE)</f>
        <v>8.443955887089849E-2</v>
      </c>
      <c r="J479">
        <f>($B$1+Table4[[#This Row],[Home Differential]])-Table4[[#This Row],[Away Differential]]</f>
        <v>-0.52438917260977802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0.58217717736543317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7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0.16928148250244404</v>
      </c>
      <c r="H480" t="s">
        <v>11</v>
      </c>
      <c r="I480">
        <f>VLOOKUP(Table4[[#This Row],[Visitor]],'NHL Model'!$A$6:$B$38,2,FALSE)</f>
        <v>-0.10214397920743352</v>
      </c>
      <c r="J480">
        <f>($B$1+Table4[[#This Row],[Home Differential]])-Table4[[#This Row],[Away Differential]]</f>
        <v>0.35849360658742052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0.61862027718404522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-0.25582283032518105</v>
      </c>
      <c r="H481" t="s">
        <v>36</v>
      </c>
      <c r="I481">
        <f>VLOOKUP(Table4[[#This Row],[Visitor]],'NHL Model'!$A$6:$B$38,2,FALSE)</f>
        <v>-0.17962977873499933</v>
      </c>
      <c r="J481">
        <f>($B$1+Table4[[#This Row],[Home Differential]])-Table4[[#This Row],[Away Differential]]</f>
        <v>1.0875093287361276E-2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0.53758232761160529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1.7072432657355574</v>
      </c>
      <c r="H482" t="s">
        <v>11</v>
      </c>
      <c r="I482">
        <f>VLOOKUP(Table4[[#This Row],[Visitor]],'NHL Model'!$A$6:$B$38,2,FALSE)</f>
        <v>-0.10214397920743352</v>
      </c>
      <c r="J482">
        <f>($B$1+Table4[[#This Row],[Home Differential]])-Table4[[#This Row],[Away Differential]]</f>
        <v>1.8964553898205339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0.84984388256817023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-0.19871596400308536</v>
      </c>
      <c r="H483" t="s">
        <v>26</v>
      </c>
      <c r="I483">
        <f>VLOOKUP(Table4[[#This Row],[Visitor]],'NHL Model'!$A$6:$B$38,2,FALSE)</f>
        <v>-0.47317909800770142</v>
      </c>
      <c r="J483">
        <f>($B$1+Table4[[#This Row],[Home Differential]])-Table4[[#This Row],[Away Differential]]</f>
        <v>0.36153127888215908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0.59679490118351763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4.4994204383705286E-2</v>
      </c>
      <c r="H484" t="s">
        <v>39</v>
      </c>
      <c r="I484">
        <f>VLOOKUP(Table4[[#This Row],[Visitor]],'NHL Model'!$A$6:$B$38,2,FALSE)</f>
        <v>0.86540791565538033</v>
      </c>
      <c r="J484">
        <f>($B$1+Table4[[#This Row],[Home Differential]])-Table4[[#This Row],[Away Differential]]</f>
        <v>-0.73334556639413206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0.63060698682968985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-2.9769404338063311E-4</v>
      </c>
      <c r="H485" t="s">
        <v>37</v>
      </c>
      <c r="I485">
        <f>VLOOKUP(Table4[[#This Row],[Visitor]],'NHL Model'!$A$6:$B$38,2,FALSE)</f>
        <v>0.66951981565543606</v>
      </c>
      <c r="J485">
        <f>($B$1+Table4[[#This Row],[Home Differential]])-Table4[[#This Row],[Away Differential]]</f>
        <v>-0.58274936482127371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0.55116126931394804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-0.88005793547499611</v>
      </c>
      <c r="H486" t="s">
        <v>35</v>
      </c>
      <c r="I486">
        <f>VLOOKUP(Table4[[#This Row],[Visitor]],'NHL Model'!$A$6:$B$38,2,FALSE)</f>
        <v>-0.95834101872668032</v>
      </c>
      <c r="J486">
        <f>($B$1+Table4[[#This Row],[Home Differential]])-Table4[[#This Row],[Away Differential]]</f>
        <v>0.1653512281292272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0.5576143016968379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0.30302134926393393</v>
      </c>
      <c r="H487" t="s">
        <v>31</v>
      </c>
      <c r="I487">
        <f>VLOOKUP(Table4[[#This Row],[Visitor]],'NHL Model'!$A$6:$B$38,2,FALSE)</f>
        <v>0.44031772420389576</v>
      </c>
      <c r="J487">
        <f>($B$1+Table4[[#This Row],[Home Differential]])-Table4[[#This Row],[Away Differential]]</f>
        <v>-5.0228230062418833E-2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0.48611987260012285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7.060370405735697E-2</v>
      </c>
      <c r="H488" t="s">
        <v>20</v>
      </c>
      <c r="I488">
        <f>VLOOKUP(Table4[[#This Row],[Visitor]],'NHL Model'!$A$6:$B$38,2,FALSE)</f>
        <v>0.22444955994982585</v>
      </c>
      <c r="J488">
        <f>($B$1+Table4[[#This Row],[Home Differential]])-Table4[[#This Row],[Away Differential]]</f>
        <v>-6.6777711014925883E-2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0.49619657095647057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0.25731150832780025</v>
      </c>
      <c r="H489" t="s">
        <v>18</v>
      </c>
      <c r="I489">
        <f>VLOOKUP(Table4[[#This Row],[Visitor]],'NHL Model'!$A$6:$B$38,2,FALSE)</f>
        <v>-0.31732900620087529</v>
      </c>
      <c r="J489">
        <f>($B$1+Table4[[#This Row],[Home Differential]])-Table4[[#This Row],[Away Differential]]</f>
        <v>0.66170865940621848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0.53786639479838905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-6.3531358246322375E-2</v>
      </c>
      <c r="H490" t="s">
        <v>33</v>
      </c>
      <c r="I490">
        <f>VLOOKUP(Table4[[#This Row],[Visitor]],'NHL Model'!$A$6:$B$38,2,FALSE)</f>
        <v>-0.25672436988374864</v>
      </c>
      <c r="J490">
        <f>($B$1+Table4[[#This Row],[Home Differential]])-Table4[[#This Row],[Away Differential]]</f>
        <v>0.28026115651496925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0.56985526397724284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-0.59313840141656504</v>
      </c>
      <c r="H491" t="s">
        <v>23</v>
      </c>
      <c r="I491">
        <f>VLOOKUP(Table4[[#This Row],[Visitor]],'NHL Model'!$A$6:$B$38,2,FALSE)</f>
        <v>-0.35383832279900912</v>
      </c>
      <c r="J491">
        <f>($B$1+Table4[[#This Row],[Home Differential]])-Table4[[#This Row],[Away Differential]]</f>
        <v>-0.15223193374001293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0.47621674806487668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-9.7143783320053662E-2</v>
      </c>
      <c r="H492" t="s">
        <v>21</v>
      </c>
      <c r="I492">
        <f>VLOOKUP(Table4[[#This Row],[Visitor]],'NHL Model'!$A$6:$B$38,2,FALSE)</f>
        <v>0.20241790420125966</v>
      </c>
      <c r="J492">
        <f>($B$1+Table4[[#This Row],[Home Differential]])-Table4[[#This Row],[Away Differential]]</f>
        <v>-0.21249354264377032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0.4635307801721904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0.96536026973954592</v>
      </c>
      <c r="H493" t="s">
        <v>25</v>
      </c>
      <c r="I493">
        <f>VLOOKUP(Table4[[#This Row],[Visitor]],'NHL Model'!$A$6:$B$38,2,FALSE)</f>
        <v>0.48797916660265073</v>
      </c>
      <c r="J493">
        <f>($B$1+Table4[[#This Row],[Home Differential]])-Table4[[#This Row],[Away Differential]]</f>
        <v>0.5644492480144383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0.56400481992106799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-0.95834101872668032</v>
      </c>
      <c r="H494" t="s">
        <v>10</v>
      </c>
      <c r="I494">
        <f>VLOOKUP(Table4[[#This Row],[Visitor]],'NHL Model'!$A$6:$B$38,2,FALSE)</f>
        <v>-0.25852364135215161</v>
      </c>
      <c r="J494">
        <f>($B$1+Table4[[#This Row],[Home Differential]])-Table4[[#This Row],[Away Differential]]</f>
        <v>-0.61274923249698565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0.52527408334259595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0.16928148250244404</v>
      </c>
      <c r="H495" t="s">
        <v>32</v>
      </c>
      <c r="I495">
        <f>VLOOKUP(Table4[[#This Row],[Visitor]],'NHL Model'!$A$6:$B$38,2,FALSE)</f>
        <v>-0.52701775861642253</v>
      </c>
      <c r="J495">
        <f>($B$1+Table4[[#This Row],[Home Differential]])-Table4[[#This Row],[Away Differential]]</f>
        <v>0.78336738599640954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0.66388063005990539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-0.25582283032518105</v>
      </c>
      <c r="H496" t="s">
        <v>20</v>
      </c>
      <c r="I496">
        <f>VLOOKUP(Table4[[#This Row],[Visitor]],'NHL Model'!$A$6:$B$38,2,FALSE)</f>
        <v>0.22444955994982585</v>
      </c>
      <c r="J496">
        <f>($B$1+Table4[[#This Row],[Home Differential]])-Table4[[#This Row],[Away Differential]]</f>
        <v>-0.3932042453974639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0.54117343879989477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-0.25852364135215161</v>
      </c>
      <c r="H497" t="s">
        <v>26</v>
      </c>
      <c r="I497">
        <f>VLOOKUP(Table4[[#This Row],[Visitor]],'NHL Model'!$A$6:$B$38,2,FALSE)</f>
        <v>-0.47317909800770142</v>
      </c>
      <c r="J497">
        <f>($B$1+Table4[[#This Row],[Home Differential]])-Table4[[#This Row],[Away Differential]]</f>
        <v>0.3017236015330928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0.57131209186823617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1.7072432657355574</v>
      </c>
      <c r="H498" t="s">
        <v>29</v>
      </c>
      <c r="I498">
        <f>VLOOKUP(Table4[[#This Row],[Visitor]],'NHL Model'!$A$6:$B$38,2,FALSE)</f>
        <v>-0.88005793547499611</v>
      </c>
      <c r="J498">
        <f>($B$1+Table4[[#This Row],[Home Differential]])-Table4[[#This Row],[Away Differential]]</f>
        <v>2.6743693460880964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0.93271239993514587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0.86540791565538033</v>
      </c>
      <c r="H499" t="s">
        <v>11</v>
      </c>
      <c r="I499">
        <f>VLOOKUP(Table4[[#This Row],[Visitor]],'NHL Model'!$A$6:$B$38,2,FALSE)</f>
        <v>-0.10214397920743352</v>
      </c>
      <c r="J499">
        <f>($B$1+Table4[[#This Row],[Home Differential]])-Table4[[#This Row],[Away Differential]]</f>
        <v>1.0546200397403569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0.70406104788413926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8.443955887089849E-2</v>
      </c>
      <c r="H500" t="s">
        <v>16</v>
      </c>
      <c r="I500">
        <f>VLOOKUP(Table4[[#This Row],[Visitor]],'NHL Model'!$A$6:$B$38,2,FALSE)</f>
        <v>-0.65802650867783552</v>
      </c>
      <c r="J500">
        <f>($B$1+Table4[[#This Row],[Home Differential]])-Table4[[#This Row],[Away Differential]]</f>
        <v>0.82953421242627701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0.62836744698446256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4.4994204383705286E-2</v>
      </c>
      <c r="H501" t="s">
        <v>36</v>
      </c>
      <c r="I501">
        <f>VLOOKUP(Table4[[#This Row],[Visitor]],'NHL Model'!$A$6:$B$38,2,FALSE)</f>
        <v>-0.17962977873499933</v>
      </c>
      <c r="J501">
        <f>($B$1+Table4[[#This Row],[Home Differential]])-Table4[[#This Row],[Away Differential]]</f>
        <v>0.31169212799624757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0.56962733909933005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-2.9769404338063311E-4</v>
      </c>
      <c r="H502" t="s">
        <v>31</v>
      </c>
      <c r="I502">
        <f>VLOOKUP(Table4[[#This Row],[Visitor]],'NHL Model'!$A$6:$B$38,2,FALSE)</f>
        <v>0.44031772420389576</v>
      </c>
      <c r="J502">
        <f>($B$1+Table4[[#This Row],[Home Differential]])-Table4[[#This Row],[Away Differential]]</f>
        <v>-0.35354727336973341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0.4751621837508333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0.30302134926393393</v>
      </c>
      <c r="H503" t="s">
        <v>37</v>
      </c>
      <c r="I503">
        <f>VLOOKUP(Table4[[#This Row],[Visitor]],'NHL Model'!$A$6:$B$38,2,FALSE)</f>
        <v>0.66951981565543606</v>
      </c>
      <c r="J503">
        <f>($B$1+Table4[[#This Row],[Home Differential]])-Table4[[#This Row],[Away Differential]]</f>
        <v>-0.27943032151395913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0.5623899270695486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0.1651103738530684</v>
      </c>
      <c r="H504" t="s">
        <v>18</v>
      </c>
      <c r="I504">
        <f>VLOOKUP(Table4[[#This Row],[Visitor]],'NHL Model'!$A$6:$B$38,2,FALSE)</f>
        <v>-0.31732900620087529</v>
      </c>
      <c r="J504">
        <f>($B$1+Table4[[#This Row],[Home Differential]])-Table4[[#This Row],[Away Differential]]</f>
        <v>0.56950752493148671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0.52804452278810432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7.060370405735697E-2</v>
      </c>
      <c r="H505" t="s">
        <v>25</v>
      </c>
      <c r="I505">
        <f>VLOOKUP(Table4[[#This Row],[Visitor]],'NHL Model'!$A$6:$B$38,2,FALSE)</f>
        <v>0.48797916660265073</v>
      </c>
      <c r="J505">
        <f>($B$1+Table4[[#This Row],[Home Differential]])-Table4[[#This Row],[Away Differential]]</f>
        <v>-0.33030731766775079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0.55763549022075076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0.25731150832780025</v>
      </c>
      <c r="H506" t="s">
        <v>33</v>
      </c>
      <c r="I506">
        <f>VLOOKUP(Table4[[#This Row],[Visitor]],'NHL Model'!$A$6:$B$38,2,FALSE)</f>
        <v>-0.25672436988374864</v>
      </c>
      <c r="J506">
        <f>($B$1+Table4[[#This Row],[Home Differential]])-Table4[[#This Row],[Away Differential]]</f>
        <v>0.60110402308909183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0.60403355895003941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-6.3531358246322375E-2</v>
      </c>
      <c r="H507" t="s">
        <v>17</v>
      </c>
      <c r="I507">
        <f>VLOOKUP(Table4[[#This Row],[Visitor]],'NHL Model'!$A$6:$B$38,2,FALSE)</f>
        <v>-0.19871596400308536</v>
      </c>
      <c r="J507">
        <f>($B$1+Table4[[#This Row],[Home Differential]])-Table4[[#This Row],[Away Differential]]</f>
        <v>0.222252750634306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0.5636758265839138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-9.7143783320053662E-2</v>
      </c>
      <c r="H508" t="s">
        <v>22</v>
      </c>
      <c r="I508">
        <f>VLOOKUP(Table4[[#This Row],[Visitor]],'NHL Model'!$A$6:$B$38,2,FALSE)</f>
        <v>0.96536026973954592</v>
      </c>
      <c r="J508">
        <f>($B$1+Table4[[#This Row],[Home Differential]])-Table4[[#This Row],[Away Differential]]</f>
        <v>-0.97543590818205661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0.59875521723790326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0.48797916660265073</v>
      </c>
      <c r="H509" t="s">
        <v>27</v>
      </c>
      <c r="I509">
        <f>VLOOKUP(Table4[[#This Row],[Visitor]],'NHL Model'!$A$6:$B$38,2,FALSE)</f>
        <v>7.060370405735697E-2</v>
      </c>
      <c r="J509">
        <f>($B$1+Table4[[#This Row],[Home Differential]])-Table4[[#This Row],[Away Differential]]</f>
        <v>0.50444360742283678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0.57754617875134773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4.4994204383705286E-2</v>
      </c>
      <c r="H510" t="s">
        <v>21</v>
      </c>
      <c r="I510">
        <f>VLOOKUP(Table4[[#This Row],[Visitor]],'NHL Model'!$A$6:$B$38,2,FALSE)</f>
        <v>0.20241790420125966</v>
      </c>
      <c r="J510">
        <f>($B$1+Table4[[#This Row],[Home Differential]])-Table4[[#This Row],[Away Differential]]</f>
        <v>-7.0355554940011389E-2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0.46749473701999539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-0.31732900620087529</v>
      </c>
      <c r="H511" t="s">
        <v>17</v>
      </c>
      <c r="I511">
        <f>VLOOKUP(Table4[[#This Row],[Visitor]],'NHL Model'!$A$6:$B$38,2,FALSE)</f>
        <v>-0.19871596400308536</v>
      </c>
      <c r="J511">
        <f>($B$1+Table4[[#This Row],[Home Differential]])-Table4[[#This Row],[Away Differential]]</f>
        <v>-3.1544897320246928E-2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0.46336037019307985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-2.9769404338063311E-4</v>
      </c>
      <c r="H512" t="s">
        <v>38</v>
      </c>
      <c r="I512">
        <f>VLOOKUP(Table4[[#This Row],[Visitor]],'NHL Model'!$A$6:$B$38,2,FALSE)</f>
        <v>-0.59313840141656504</v>
      </c>
      <c r="J512">
        <f>($B$1+Table4[[#This Row],[Home Differential]])-Table4[[#This Row],[Away Differential]]</f>
        <v>0.67990885225072739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0.65532992270471413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0.25731150832780025</v>
      </c>
      <c r="H513" t="s">
        <v>55</v>
      </c>
      <c r="I513">
        <f>VLOOKUP(Table4[[#This Row],[Visitor]],'NHL Model'!$A$6:$B$38,2,FALSE)</f>
        <v>0.16928148250244404</v>
      </c>
      <c r="J513">
        <f>($B$1+Table4[[#This Row],[Home Differential]])-Table4[[#This Row],[Away Differential]]</f>
        <v>0.17509817070289921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0.55865261020568213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-0.52701775861642253</v>
      </c>
      <c r="H514" t="s">
        <v>23</v>
      </c>
      <c r="I514">
        <f>VLOOKUP(Table4[[#This Row],[Visitor]],'NHL Model'!$A$6:$B$38,2,FALSE)</f>
        <v>-0.35383832279900912</v>
      </c>
      <c r="J514">
        <f>($B$1+Table4[[#This Row],[Home Differential]])-Table4[[#This Row],[Away Differential]]</f>
        <v>-8.6111290939870411E-2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0.46917314177390712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0.86540791565538033</v>
      </c>
      <c r="H515" t="s">
        <v>13</v>
      </c>
      <c r="I515">
        <f>VLOOKUP(Table4[[#This Row],[Visitor]],'NHL Model'!$A$6:$B$38,2,FALSE)</f>
        <v>8.443955887089849E-2</v>
      </c>
      <c r="J515">
        <f>($B$1+Table4[[#This Row],[Home Differential]])-Table4[[#This Row],[Away Differential]]</f>
        <v>0.86803650166202484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0.6187847538541188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0.1651103738530684</v>
      </c>
      <c r="H516" t="s">
        <v>31</v>
      </c>
      <c r="I516">
        <f>VLOOKUP(Table4[[#This Row],[Visitor]],'NHL Model'!$A$6:$B$38,2,FALSE)</f>
        <v>0.44031772420389576</v>
      </c>
      <c r="J516">
        <f>($B$1+Table4[[#This Row],[Home Differential]])-Table4[[#This Row],[Away Differential]]</f>
        <v>-0.18813920547328439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0.50081105787691849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-0.95834101872668032</v>
      </c>
      <c r="H517" t="s">
        <v>29</v>
      </c>
      <c r="I517">
        <f>VLOOKUP(Table4[[#This Row],[Visitor]],'NHL Model'!$A$6:$B$38,2,FALSE)</f>
        <v>-0.88005793547499611</v>
      </c>
      <c r="J517">
        <f>($B$1+Table4[[#This Row],[Home Differential]])-Table4[[#This Row],[Away Differential]]</f>
        <v>8.7850616258587921E-3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0.54093584261607208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0.66951981565543606</v>
      </c>
      <c r="H518" t="s">
        <v>11</v>
      </c>
      <c r="I518">
        <f>VLOOKUP(Table4[[#This Row],[Visitor]],'NHL Model'!$A$6:$B$38,2,FALSE)</f>
        <v>-0.10214397920743352</v>
      </c>
      <c r="J518">
        <f>($B$1+Table4[[#This Row],[Home Differential]])-Table4[[#This Row],[Away Differential]]</f>
        <v>0.85873193974041262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0.63147778117182796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-9.7143783320053662E-2</v>
      </c>
      <c r="H519" t="s">
        <v>36</v>
      </c>
      <c r="I519">
        <f>VLOOKUP(Table4[[#This Row],[Visitor]],'NHL Model'!$A$6:$B$38,2,FALSE)</f>
        <v>-0.17962977873499933</v>
      </c>
      <c r="J519">
        <f>($B$1+Table4[[#This Row],[Home Differential]])-Table4[[#This Row],[Away Differential]]</f>
        <v>0.16955414029248866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0.57361757913318379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0.20241790420125966</v>
      </c>
      <c r="H520" t="s">
        <v>55</v>
      </c>
      <c r="I520">
        <f>VLOOKUP(Table4[[#This Row],[Visitor]],'NHL Model'!$A$6:$B$38,2,FALSE)</f>
        <v>0.16928148250244404</v>
      </c>
      <c r="J520">
        <f>($B$1+Table4[[#This Row],[Home Differential]])-Table4[[#This Row],[Away Differential]]</f>
        <v>0.12020456657635861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0.61193352231191123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-0.25582283032518105</v>
      </c>
      <c r="H521" t="s">
        <v>31</v>
      </c>
      <c r="I521">
        <f>VLOOKUP(Table4[[#This Row],[Visitor]],'NHL Model'!$A$6:$B$38,2,FALSE)</f>
        <v>0.44031772420389576</v>
      </c>
      <c r="J521">
        <f>($B$1+Table4[[#This Row],[Home Differential]])-Table4[[#This Row],[Away Differential]]</f>
        <v>-0.60907240965153386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0.54565163472959077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-0.47317909800770142</v>
      </c>
      <c r="H522" t="s">
        <v>30</v>
      </c>
      <c r="I522">
        <f>VLOOKUP(Table4[[#This Row],[Visitor]],'NHL Model'!$A$6:$B$38,2,FALSE)</f>
        <v>0.30302134926393393</v>
      </c>
      <c r="J522">
        <f>($B$1+Table4[[#This Row],[Home Differential]])-Table4[[#This Row],[Away Differential]]</f>
        <v>-0.68913230239409229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0.5895399432064814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4.4994204383705286E-2</v>
      </c>
      <c r="H523" t="s">
        <v>22</v>
      </c>
      <c r="I523">
        <f>VLOOKUP(Table4[[#This Row],[Visitor]],'NHL Model'!$A$6:$B$38,2,FALSE)</f>
        <v>0.96536026973954592</v>
      </c>
      <c r="J523">
        <f>($B$1+Table4[[#This Row],[Home Differential]])-Table4[[#This Row],[Away Differential]]</f>
        <v>-0.83329792047829765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0.60290719943178139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-0.31732900620087529</v>
      </c>
      <c r="H524" t="s">
        <v>27</v>
      </c>
      <c r="I524">
        <f>VLOOKUP(Table4[[#This Row],[Visitor]],'NHL Model'!$A$6:$B$38,2,FALSE)</f>
        <v>7.060370405735697E-2</v>
      </c>
      <c r="J524">
        <f>($B$1+Table4[[#This Row],[Home Differential]])-Table4[[#This Row],[Away Differential]]</f>
        <v>-0.30086456538068929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0.5345626375819561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0.1651103738530684</v>
      </c>
      <c r="H525" t="s">
        <v>38</v>
      </c>
      <c r="I525">
        <f>VLOOKUP(Table4[[#This Row],[Visitor]],'NHL Model'!$A$6:$B$38,2,FALSE)</f>
        <v>-0.59313840141656504</v>
      </c>
      <c r="J525">
        <f>($B$1+Table4[[#This Row],[Home Differential]])-Table4[[#This Row],[Away Differential]]</f>
        <v>0.84531692014717641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0.63004872494371467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0.25731150832780025</v>
      </c>
      <c r="H526" t="s">
        <v>17</v>
      </c>
      <c r="I526">
        <f>VLOOKUP(Table4[[#This Row],[Visitor]],'NHL Model'!$A$6:$B$38,2,FALSE)</f>
        <v>-0.19871596400308536</v>
      </c>
      <c r="J526">
        <f>($B$1+Table4[[#This Row],[Home Differential]])-Table4[[#This Row],[Away Differential]]</f>
        <v>0.54309561720842858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0.59785412155671036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-0.52701775861642253</v>
      </c>
      <c r="H527" t="s">
        <v>12</v>
      </c>
      <c r="I527">
        <f>VLOOKUP(Table4[[#This Row],[Visitor]],'NHL Model'!$A$6:$B$38,2,FALSE)</f>
        <v>1.7072432657355574</v>
      </c>
      <c r="J527">
        <f>($B$1+Table4[[#This Row],[Home Differential]])-Table4[[#This Row],[Away Differential]]</f>
        <v>-2.1471928794744368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0.76521381198423222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-0.25672436988374864</v>
      </c>
      <c r="H528" t="s">
        <v>16</v>
      </c>
      <c r="I528">
        <f>VLOOKUP(Table4[[#This Row],[Visitor]],'NHL Model'!$A$6:$B$38,2,FALSE)</f>
        <v>-0.65802650867783552</v>
      </c>
      <c r="J528">
        <f>($B$1+Table4[[#This Row],[Home Differential]])-Table4[[#This Row],[Away Differential]]</f>
        <v>0.48837028367162988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0.59202441864924904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-6.3531358246322375E-2</v>
      </c>
      <c r="H529" t="s">
        <v>10</v>
      </c>
      <c r="I529">
        <f>VLOOKUP(Table4[[#This Row],[Visitor]],'NHL Model'!$A$6:$B$38,2,FALSE)</f>
        <v>-0.25852364135215161</v>
      </c>
      <c r="J529">
        <f>($B$1+Table4[[#This Row],[Home Differential]])-Table4[[#This Row],[Away Differential]]</f>
        <v>0.28206042798337222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0.5700469342226806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-0.47317909800770142</v>
      </c>
      <c r="H530" t="s">
        <v>55</v>
      </c>
      <c r="I530">
        <f>VLOOKUP(Table4[[#This Row],[Visitor]],'NHL Model'!$A$6:$B$38,2,FALSE)</f>
        <v>0.16928148250244404</v>
      </c>
      <c r="J530">
        <f>($B$1+Table4[[#This Row],[Home Differential]])-Table4[[#This Row],[Away Differential]]</f>
        <v>-0.55539243563260243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0.50904181024392581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-0.10214397920743352</v>
      </c>
      <c r="H531" t="s">
        <v>13</v>
      </c>
      <c r="I531">
        <f>VLOOKUP(Table4[[#This Row],[Visitor]],'NHL Model'!$A$6:$B$38,2,FALSE)</f>
        <v>8.443955887089849E-2</v>
      </c>
      <c r="J531">
        <f>($B$1+Table4[[#This Row],[Home Differential]])-Table4[[#This Row],[Away Differential]]</f>
        <v>-9.9515393200789018E-2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0.52983180424665799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-0.88005793547499611</v>
      </c>
      <c r="H532" t="s">
        <v>25</v>
      </c>
      <c r="I532">
        <f>VLOOKUP(Table4[[#This Row],[Visitor]],'NHL Model'!$A$6:$B$38,2,FALSE)</f>
        <v>0.48797916660265073</v>
      </c>
      <c r="J532">
        <f>($B$1+Table4[[#This Row],[Home Differential]])-Table4[[#This Row],[Away Differential]]</f>
        <v>-1.2809689572001037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0.66908041790901107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-0.95834101872668032</v>
      </c>
      <c r="H533" t="s">
        <v>40</v>
      </c>
      <c r="I533">
        <f>VLOOKUP(Table4[[#This Row],[Visitor]],'NHL Model'!$A$6:$B$38,2,FALSE)</f>
        <v>-9.7143783320053662E-2</v>
      </c>
      <c r="J533">
        <f>($B$1+Table4[[#This Row],[Home Differential]])-Table4[[#This Row],[Away Differential]]</f>
        <v>-0.77412909052908363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0.54246532854428664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0.22444955994982585</v>
      </c>
      <c r="H534" t="s">
        <v>24</v>
      </c>
      <c r="I534">
        <f>VLOOKUP(Table4[[#This Row],[Visitor]],'NHL Model'!$A$6:$B$38,2,FALSE)</f>
        <v>-2.9769404338063311E-4</v>
      </c>
      <c r="J534">
        <f>($B$1+Table4[[#This Row],[Home Differential]])-Table4[[#This Row],[Away Differential]]</f>
        <v>0.31181539887074949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0.56964047072464952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0.20241790420125966</v>
      </c>
      <c r="H535" t="s">
        <v>17</v>
      </c>
      <c r="I535">
        <f>VLOOKUP(Table4[[#This Row],[Visitor]],'NHL Model'!$A$6:$B$38,2,FALSE)</f>
        <v>-0.19871596400308536</v>
      </c>
      <c r="J535">
        <f>($B$1+Table4[[#This Row],[Home Differential]])-Table4[[#This Row],[Away Differential]]</f>
        <v>0.48820201308188804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0.65113503366293946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-0.35383832279900912</v>
      </c>
      <c r="H536" t="s">
        <v>27</v>
      </c>
      <c r="I536">
        <f>VLOOKUP(Table4[[#This Row],[Visitor]],'NHL Model'!$A$6:$B$38,2,FALSE)</f>
        <v>7.060370405735697E-2</v>
      </c>
      <c r="J536">
        <f>($B$1+Table4[[#This Row],[Home Differential]])-Table4[[#This Row],[Away Differential]]</f>
        <v>-0.33737388197882312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0.52824697990200054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-0.25582283032518105</v>
      </c>
      <c r="H537" t="s">
        <v>34</v>
      </c>
      <c r="I537">
        <f>VLOOKUP(Table4[[#This Row],[Visitor]],'NHL Model'!$A$6:$B$38,2,FALSE)</f>
        <v>4.4994204383705286E-2</v>
      </c>
      <c r="J537">
        <f>($B$1+Table4[[#This Row],[Home Differential]])-Table4[[#This Row],[Away Differential]]</f>
        <v>-0.21374888983134332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0.50353917010050053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-0.65802650867783552</v>
      </c>
      <c r="H538" t="s">
        <v>32</v>
      </c>
      <c r="I538">
        <f>VLOOKUP(Table4[[#This Row],[Visitor]],'NHL Model'!$A$6:$B$38,2,FALSE)</f>
        <v>-0.52701775861642253</v>
      </c>
      <c r="J538">
        <f>($B$1+Table4[[#This Row],[Home Differential]])-Table4[[#This Row],[Away Differential]]</f>
        <v>-4.3940605183869996E-2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0.46468084262334863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-0.31732900620087529</v>
      </c>
      <c r="H539" t="s">
        <v>10</v>
      </c>
      <c r="I539">
        <f>VLOOKUP(Table4[[#This Row],[Visitor]],'NHL Model'!$A$6:$B$38,2,FALSE)</f>
        <v>-0.25852364135215161</v>
      </c>
      <c r="J539">
        <f>($B$1+Table4[[#This Row],[Home Differential]])-Table4[[#This Row],[Away Differential]]</f>
        <v>2.8262780028819323E-2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0.54301073744568695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-0.17962977873499933</v>
      </c>
      <c r="H540" t="s">
        <v>14</v>
      </c>
      <c r="I540">
        <f>VLOOKUP(Table4[[#This Row],[Visitor]],'NHL Model'!$A$6:$B$38,2,FALSE)</f>
        <v>0.25731150832780025</v>
      </c>
      <c r="J540">
        <f>($B$1+Table4[[#This Row],[Home Differential]])-Table4[[#This Row],[Away Differential]]</f>
        <v>-0.34987314218525656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0.53416520103993781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-0.25672436988374864</v>
      </c>
      <c r="H541" t="s">
        <v>39</v>
      </c>
      <c r="I541">
        <f>VLOOKUP(Table4[[#This Row],[Visitor]],'NHL Model'!$A$6:$B$38,2,FALSE)</f>
        <v>0.86540791565538033</v>
      </c>
      <c r="J541">
        <f>($B$1+Table4[[#This Row],[Home Differential]])-Table4[[#This Row],[Away Differential]]</f>
        <v>-1.0350641406615859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0.66274803624804213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-0.95834101872668032</v>
      </c>
      <c r="H542" t="s">
        <v>15</v>
      </c>
      <c r="I542">
        <f>VLOOKUP(Table4[[#This Row],[Visitor]],'NHL Model'!$A$6:$B$38,2,FALSE)</f>
        <v>0.1651103738530684</v>
      </c>
      <c r="J542">
        <f>($B$1+Table4[[#This Row],[Home Differential]])-Table4[[#This Row],[Away Differential]]</f>
        <v>-1.0363832477022057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0.67697460633167328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0.66951981565543606</v>
      </c>
      <c r="H543" t="s">
        <v>13</v>
      </c>
      <c r="I543">
        <f>VLOOKUP(Table4[[#This Row],[Visitor]],'NHL Model'!$A$6:$B$38,2,FALSE)</f>
        <v>8.443955887089849E-2</v>
      </c>
      <c r="J543">
        <f>($B$1+Table4[[#This Row],[Home Differential]])-Table4[[#This Row],[Away Differential]]</f>
        <v>0.67214840166208056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0.54528588452579996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0.96536026973954592</v>
      </c>
      <c r="H544" t="s">
        <v>19</v>
      </c>
      <c r="I544">
        <f>VLOOKUP(Table4[[#This Row],[Visitor]],'NHL Model'!$A$6:$B$38,2,FALSE)</f>
        <v>-6.3531358246322375E-2</v>
      </c>
      <c r="J544">
        <f>($B$1+Table4[[#This Row],[Home Differential]])-Table4[[#This Row],[Away Differential]]</f>
        <v>1.1159597728634114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0.69491625022098313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0.44031772420389576</v>
      </c>
      <c r="H545" t="s">
        <v>39</v>
      </c>
      <c r="I545">
        <f>VLOOKUP(Table4[[#This Row],[Visitor]],'NHL Model'!$A$6:$B$38,2,FALSE)</f>
        <v>0.86540791565538033</v>
      </c>
      <c r="J545">
        <f>($B$1+Table4[[#This Row],[Home Differential]])-Table4[[#This Row],[Away Differential]]</f>
        <v>-0.33802204657394153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0.51219881054577199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1.7072432657355574</v>
      </c>
      <c r="H546" t="s">
        <v>40</v>
      </c>
      <c r="I546">
        <f>VLOOKUP(Table4[[#This Row],[Visitor]],'NHL Model'!$A$6:$B$38,2,FALSE)</f>
        <v>-9.7143783320053662E-2</v>
      </c>
      <c r="J546">
        <f>($B$1+Table4[[#This Row],[Home Differential]])-Table4[[#This Row],[Away Differential]]</f>
        <v>1.8914551939331541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0.84931122877478715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-0.10214397920743352</v>
      </c>
      <c r="H547" t="s">
        <v>25</v>
      </c>
      <c r="I547">
        <f>VLOOKUP(Table4[[#This Row],[Visitor]],'NHL Model'!$A$6:$B$38,2,FALSE)</f>
        <v>0.48797916660265073</v>
      </c>
      <c r="J547">
        <f>($B$1+Table4[[#This Row],[Home Differential]])-Table4[[#This Row],[Away Differential]]</f>
        <v>-0.5030550009325413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0.57913617668965367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0.30302134926393393</v>
      </c>
      <c r="H548" t="s">
        <v>38</v>
      </c>
      <c r="I548">
        <f>VLOOKUP(Table4[[#This Row],[Visitor]],'NHL Model'!$A$6:$B$38,2,FALSE)</f>
        <v>-0.59313840141656504</v>
      </c>
      <c r="J548">
        <f>($B$1+Table4[[#This Row],[Home Differential]])-Table4[[#This Row],[Away Differential]]</f>
        <v>0.98322789555804202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0.64473991022051036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0.16928148250244404</v>
      </c>
      <c r="H549" t="s">
        <v>24</v>
      </c>
      <c r="I549">
        <f>VLOOKUP(Table4[[#This Row],[Visitor]],'NHL Model'!$A$6:$B$38,2,FALSE)</f>
        <v>-2.9769404338063311E-4</v>
      </c>
      <c r="J549">
        <f>($B$1+Table4[[#This Row],[Home Differential]])-Table4[[#This Row],[Away Differential]]</f>
        <v>0.25664732142336766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0.60426283968373495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0.44031772420389576</v>
      </c>
      <c r="H550" t="s">
        <v>28</v>
      </c>
      <c r="I550">
        <f>VLOOKUP(Table4[[#This Row],[Visitor]],'NHL Model'!$A$6:$B$38,2,FALSE)</f>
        <v>-0.25582283032518105</v>
      </c>
      <c r="J550">
        <f>($B$1+Table4[[#This Row],[Home Differential]])-Table4[[#This Row],[Away Differential]]</f>
        <v>0.78320869940661986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0.69795768793807433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0.20241790420125966</v>
      </c>
      <c r="H551" t="s">
        <v>38</v>
      </c>
      <c r="I551">
        <f>VLOOKUP(Table4[[#This Row],[Visitor]],'NHL Model'!$A$6:$B$38,2,FALSE)</f>
        <v>-0.59313840141656504</v>
      </c>
      <c r="J551">
        <f>($B$1+Table4[[#This Row],[Home Differential]])-Table4[[#This Row],[Away Differential]]</f>
        <v>0.88262445049536775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0.69315150906022849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-0.35383832279900912</v>
      </c>
      <c r="H552" t="s">
        <v>30</v>
      </c>
      <c r="I552">
        <f>VLOOKUP(Table4[[#This Row],[Visitor]],'NHL Model'!$A$6:$B$38,2,FALSE)</f>
        <v>0.30302134926393393</v>
      </c>
      <c r="J552">
        <f>($B$1+Table4[[#This Row],[Home Differential]])-Table4[[#This Row],[Away Differential]]</f>
        <v>-0.56979152718540005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0.57682697794433313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-0.65802650867783552</v>
      </c>
      <c r="H553" t="s">
        <v>20</v>
      </c>
      <c r="I553">
        <f>VLOOKUP(Table4[[#This Row],[Visitor]],'NHL Model'!$A$6:$B$38,2,FALSE)</f>
        <v>0.22444955994982585</v>
      </c>
      <c r="J553">
        <f>($B$1+Table4[[#This Row],[Home Differential]])-Table4[[#This Row],[Away Differential]]</f>
        <v>-0.79540792375011837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0.58401882322331633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-0.10214397920743352</v>
      </c>
      <c r="H554" t="s">
        <v>35</v>
      </c>
      <c r="I554">
        <f>VLOOKUP(Table4[[#This Row],[Visitor]],'NHL Model'!$A$6:$B$38,2,FALSE)</f>
        <v>-0.95834101872668032</v>
      </c>
      <c r="J554">
        <f>($B$1+Table4[[#This Row],[Home Differential]])-Table4[[#This Row],[Away Differential]]</f>
        <v>0.94326518439678975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0.64752877092376981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4.4994204383705286E-2</v>
      </c>
      <c r="H555" t="s">
        <v>17</v>
      </c>
      <c r="I555">
        <f>VLOOKUP(Table4[[#This Row],[Visitor]],'NHL Model'!$A$6:$B$38,2,FALSE)</f>
        <v>-0.19871596400308536</v>
      </c>
      <c r="J555">
        <f>($B$1+Table4[[#This Row],[Home Differential]])-Table4[[#This Row],[Away Differential]]</f>
        <v>0.3307783132643336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0.57523668418147822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-0.31732900620087529</v>
      </c>
      <c r="H556" t="s">
        <v>14</v>
      </c>
      <c r="I556">
        <f>VLOOKUP(Table4[[#This Row],[Visitor]],'NHL Model'!$A$6:$B$38,2,FALSE)</f>
        <v>0.25731150832780025</v>
      </c>
      <c r="J556">
        <f>($B$1+Table4[[#This Row],[Home Differential]])-Table4[[#This Row],[Away Differential]]</f>
        <v>-0.48757236965113254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0.54883382953122339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-0.88005793547499611</v>
      </c>
      <c r="H557" t="s">
        <v>19</v>
      </c>
      <c r="I557">
        <f>VLOOKUP(Table4[[#This Row],[Visitor]],'NHL Model'!$A$6:$B$38,2,FALSE)</f>
        <v>-6.3531358246322375E-2</v>
      </c>
      <c r="J557">
        <f>($B$1+Table4[[#This Row],[Home Differential]])-Table4[[#This Row],[Away Differential]]</f>
        <v>-0.72945843235113073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0.53770671586843866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0.1651103738530684</v>
      </c>
      <c r="H558" t="s">
        <v>27</v>
      </c>
      <c r="I558">
        <f>VLOOKUP(Table4[[#This Row],[Visitor]],'NHL Model'!$A$6:$B$38,2,FALSE)</f>
        <v>7.060370405735697E-2</v>
      </c>
      <c r="J558">
        <f>($B$1+Table4[[#This Row],[Home Differential]])-Table4[[#This Row],[Away Differential]]</f>
        <v>0.1815748146732544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0.51682998215754938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-0.17962977873499933</v>
      </c>
      <c r="H559" t="s">
        <v>10</v>
      </c>
      <c r="I559">
        <f>VLOOKUP(Table4[[#This Row],[Visitor]],'NHL Model'!$A$6:$B$38,2,FALSE)</f>
        <v>-0.25852364135215161</v>
      </c>
      <c r="J559">
        <f>($B$1+Table4[[#This Row],[Home Differential]])-Table4[[#This Row],[Away Differential]]</f>
        <v>0.16596200749469528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0.55767936593697254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-0.25672436988374864</v>
      </c>
      <c r="H560" t="s">
        <v>32</v>
      </c>
      <c r="I560">
        <f>VLOOKUP(Table4[[#This Row],[Visitor]],'NHL Model'!$A$6:$B$38,2,FALSE)</f>
        <v>-0.52701775861642253</v>
      </c>
      <c r="J560">
        <f>($B$1+Table4[[#This Row],[Home Differential]])-Table4[[#This Row],[Away Differential]]</f>
        <v>0.35736153361021689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0.57806850386944542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0.66951981565543606</v>
      </c>
      <c r="H561" t="s">
        <v>25</v>
      </c>
      <c r="I561">
        <f>VLOOKUP(Table4[[#This Row],[Visitor]],'NHL Model'!$A$6:$B$38,2,FALSE)</f>
        <v>0.48797916660265073</v>
      </c>
      <c r="J561">
        <f>($B$1+Table4[[#This Row],[Home Differential]])-Table4[[#This Row],[Away Differential]]</f>
        <v>0.26860879393032833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0.4959908084733376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0.96536026973954592</v>
      </c>
      <c r="H562" t="s">
        <v>26</v>
      </c>
      <c r="I562">
        <f>VLOOKUP(Table4[[#This Row],[Visitor]],'NHL Model'!$A$6:$B$38,2,FALSE)</f>
        <v>-0.47317909800770142</v>
      </c>
      <c r="J562">
        <f>($B$1+Table4[[#This Row],[Home Differential]])-Table4[[#This Row],[Away Differential]]</f>
        <v>1.5256075126247906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0.73773899766515338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0.20241790420125966</v>
      </c>
      <c r="H563" t="s">
        <v>36</v>
      </c>
      <c r="I563">
        <f>VLOOKUP(Table4[[#This Row],[Visitor]],'NHL Model'!$A$6:$B$38,2,FALSE)</f>
        <v>-0.17962977873499933</v>
      </c>
      <c r="J563">
        <f>($B$1+Table4[[#This Row],[Home Differential]])-Table4[[#This Row],[Away Differential]]</f>
        <v>0.46911582781380201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0.64564117725227876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0.86540791565538033</v>
      </c>
      <c r="H564" t="s">
        <v>19</v>
      </c>
      <c r="I564">
        <f>VLOOKUP(Table4[[#This Row],[Visitor]],'NHL Model'!$A$6:$B$38,2,FALSE)</f>
        <v>-6.3531358246322375E-2</v>
      </c>
      <c r="J564">
        <f>($B$1+Table4[[#This Row],[Home Differential]])-Table4[[#This Row],[Away Differential]]</f>
        <v>1.0160074187792456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0.69994777722622126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-0.47317909800770142</v>
      </c>
      <c r="H565" t="s">
        <v>22</v>
      </c>
      <c r="I565">
        <f>VLOOKUP(Table4[[#This Row],[Visitor]],'NHL Model'!$A$6:$B$38,2,FALSE)</f>
        <v>0.96536026973954592</v>
      </c>
      <c r="J565">
        <f>($B$1+Table4[[#This Row],[Home Differential]])-Table4[[#This Row],[Away Differential]]</f>
        <v>-1.3514712228697043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0.64790462228820611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-0.19871596400308536</v>
      </c>
      <c r="H566" t="s">
        <v>20</v>
      </c>
      <c r="I566">
        <f>VLOOKUP(Table4[[#This Row],[Visitor]],'NHL Model'!$A$6:$B$38,2,FALSE)</f>
        <v>0.22444955994982585</v>
      </c>
      <c r="J566">
        <f>($B$1+Table4[[#This Row],[Home Differential]])-Table4[[#This Row],[Away Differential]]</f>
        <v>-0.33609737907536819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0.51580330609896208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4.4994204383705286E-2</v>
      </c>
      <c r="H567" t="s">
        <v>12</v>
      </c>
      <c r="I567">
        <f>VLOOKUP(Table4[[#This Row],[Visitor]],'NHL Model'!$A$6:$B$38,2,FALSE)</f>
        <v>1.7072432657355574</v>
      </c>
      <c r="J567">
        <f>($B$1+Table4[[#This Row],[Home Differential]])-Table4[[#This Row],[Away Differential]]</f>
        <v>-1.5751809164743091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0.70427933085288963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-2.9769404338063311E-4</v>
      </c>
      <c r="H568" t="s">
        <v>23</v>
      </c>
      <c r="I568">
        <f>VLOOKUP(Table4[[#This Row],[Visitor]],'NHL Model'!$A$6:$B$38,2,FALSE)</f>
        <v>-0.35383832279900912</v>
      </c>
      <c r="J568">
        <f>($B$1+Table4[[#This Row],[Home Differential]])-Table4[[#This Row],[Away Differential]]</f>
        <v>0.44060877363317147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0.62983810248338257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-0.88005793547499611</v>
      </c>
      <c r="H569" t="s">
        <v>15</v>
      </c>
      <c r="I569">
        <f>VLOOKUP(Table4[[#This Row],[Visitor]],'NHL Model'!$A$6:$B$38,2,FALSE)</f>
        <v>0.1651103738530684</v>
      </c>
      <c r="J569">
        <f>($B$1+Table4[[#This Row],[Home Differential]])-Table4[[#This Row],[Away Differential]]</f>
        <v>-0.95810016445052149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0.66863537679129037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0.25731150832780025</v>
      </c>
      <c r="H570" t="s">
        <v>18</v>
      </c>
      <c r="I570">
        <f>VLOOKUP(Table4[[#This Row],[Visitor]],'NHL Model'!$A$6:$B$38,2,FALSE)</f>
        <v>-0.31732900620087529</v>
      </c>
      <c r="J570">
        <f>($B$1+Table4[[#This Row],[Home Differential]])-Table4[[#This Row],[Away Differential]]</f>
        <v>0.66170865940621848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0.53786639479838905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0.16928148250244404</v>
      </c>
      <c r="H571" t="s">
        <v>40</v>
      </c>
      <c r="I571">
        <f>VLOOKUP(Table4[[#This Row],[Visitor]],'NHL Model'!$A$6:$B$38,2,FALSE)</f>
        <v>-9.7143783320053662E-2</v>
      </c>
      <c r="J571">
        <f>($B$1+Table4[[#This Row],[Home Differential]])-Table4[[#This Row],[Away Differential]]</f>
        <v>0.3534934107000407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0.61808762339066203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0.44031772420389576</v>
      </c>
      <c r="H572" t="s">
        <v>32</v>
      </c>
      <c r="I572">
        <f>VLOOKUP(Table4[[#This Row],[Visitor]],'NHL Model'!$A$6:$B$38,2,FALSE)</f>
        <v>-0.52701775861642253</v>
      </c>
      <c r="J572">
        <f>($B$1+Table4[[#This Row],[Home Differential]])-Table4[[#This Row],[Away Differential]]</f>
        <v>1.0544036276978614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0.72684715758169227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8.443955887089849E-2</v>
      </c>
      <c r="H573" t="s">
        <v>28</v>
      </c>
      <c r="I573">
        <f>VLOOKUP(Table4[[#This Row],[Visitor]],'NHL Model'!$A$6:$B$38,2,FALSE)</f>
        <v>-0.25582283032518105</v>
      </c>
      <c r="J573">
        <f>($B$1+Table4[[#This Row],[Home Differential]])-Table4[[#This Row],[Away Differential]]</f>
        <v>0.42733053407362254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0.58552206256104111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7.060370405735697E-2</v>
      </c>
      <c r="H574" t="s">
        <v>38</v>
      </c>
      <c r="I574">
        <f>VLOOKUP(Table4[[#This Row],[Visitor]],'NHL Model'!$A$6:$B$38,2,FALSE)</f>
        <v>-0.59313840141656504</v>
      </c>
      <c r="J574">
        <f>($B$1+Table4[[#This Row],[Home Differential]])-Table4[[#This Row],[Away Differential]]</f>
        <v>0.75081025035146498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0.63010350151730299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0.66951981565543606</v>
      </c>
      <c r="H575" t="s">
        <v>35</v>
      </c>
      <c r="I575">
        <f>VLOOKUP(Table4[[#This Row],[Visitor]],'NHL Model'!$A$6:$B$38,2,FALSE)</f>
        <v>-0.95834101872668032</v>
      </c>
      <c r="J575">
        <f>($B$1+Table4[[#This Row],[Home Differential]])-Table4[[#This Row],[Away Differential]]</f>
        <v>1.7149289792596594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0.72268552807918651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0.20241790420125966</v>
      </c>
      <c r="H576" t="s">
        <v>18</v>
      </c>
      <c r="I576">
        <f>VLOOKUP(Table4[[#This Row],[Visitor]],'NHL Model'!$A$6:$B$38,2,FALSE)</f>
        <v>-0.31732900620087529</v>
      </c>
      <c r="J576">
        <f>($B$1+Table4[[#This Row],[Home Differential]])-Table4[[#This Row],[Away Differential]]</f>
        <v>0.60681505527967794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0.59231721246023084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0.48797916660265073</v>
      </c>
      <c r="H577" t="s">
        <v>11</v>
      </c>
      <c r="I577">
        <f>VLOOKUP(Table4[[#This Row],[Visitor]],'NHL Model'!$A$6:$B$38,2,FALSE)</f>
        <v>-0.10214397920743352</v>
      </c>
      <c r="J577">
        <f>($B$1+Table4[[#This Row],[Home Differential]])-Table4[[#This Row],[Away Differential]]</f>
        <v>0.67719129068762729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0.6381766115961458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-0.25852364135215161</v>
      </c>
      <c r="H578" t="s">
        <v>27</v>
      </c>
      <c r="I578">
        <f>VLOOKUP(Table4[[#This Row],[Visitor]],'NHL Model'!$A$6:$B$38,2,FALSE)</f>
        <v>7.060370405735697E-2</v>
      </c>
      <c r="J578">
        <f>($B$1+Table4[[#This Row],[Home Differential]])-Table4[[#This Row],[Away Differential]]</f>
        <v>-0.24205920053196558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0.52829830287118806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1.7072432657355574</v>
      </c>
      <c r="H579" t="s">
        <v>55</v>
      </c>
      <c r="I579">
        <f>VLOOKUP(Table4[[#This Row],[Visitor]],'NHL Model'!$A$6:$B$38,2,FALSE)</f>
        <v>0.16928148250244404</v>
      </c>
      <c r="J579">
        <f>($B$1+Table4[[#This Row],[Home Differential]])-Table4[[#This Row],[Away Differential]]</f>
        <v>1.6250299281106564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0.82092985498668281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-0.47317909800770142</v>
      </c>
      <c r="H580" t="s">
        <v>39</v>
      </c>
      <c r="I580">
        <f>VLOOKUP(Table4[[#This Row],[Visitor]],'NHL Model'!$A$6:$B$38,2,FALSE)</f>
        <v>0.86540791565538033</v>
      </c>
      <c r="J580">
        <f>($B$1+Table4[[#This Row],[Home Differential]])-Table4[[#This Row],[Away Differential]]</f>
        <v>-1.2515188687855388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0.67569291280344701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-0.19871596400308536</v>
      </c>
      <c r="H581" t="s">
        <v>16</v>
      </c>
      <c r="I581">
        <f>VLOOKUP(Table4[[#This Row],[Visitor]],'NHL Model'!$A$6:$B$38,2,FALSE)</f>
        <v>-0.65802650867783552</v>
      </c>
      <c r="J581">
        <f>($B$1+Table4[[#This Row],[Home Differential]])-Table4[[#This Row],[Away Differential]]</f>
        <v>0.54637868955229318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0.61730928735248214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8.443955887089849E-2</v>
      </c>
      <c r="H582" t="s">
        <v>32</v>
      </c>
      <c r="I582">
        <f>VLOOKUP(Table4[[#This Row],[Visitor]],'NHL Model'!$A$6:$B$38,2,FALSE)</f>
        <v>-0.52701775861642253</v>
      </c>
      <c r="J582">
        <f>($B$1+Table4[[#This Row],[Home Differential]])-Table4[[#This Row],[Away Differential]]</f>
        <v>0.69852546236486401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0.61441153220465905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4.4994204383705286E-2</v>
      </c>
      <c r="H583" t="s">
        <v>29</v>
      </c>
      <c r="I583">
        <f>VLOOKUP(Table4[[#This Row],[Visitor]],'NHL Model'!$A$6:$B$38,2,FALSE)</f>
        <v>-0.88005793547499611</v>
      </c>
      <c r="J583">
        <f>($B$1+Table4[[#This Row],[Home Differential]])-Table4[[#This Row],[Away Differential]]</f>
        <v>1.0121202847362443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0.64781771777891306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0.30302134926393393</v>
      </c>
      <c r="H584" t="s">
        <v>24</v>
      </c>
      <c r="I584">
        <f>VLOOKUP(Table4[[#This Row],[Visitor]],'NHL Model'!$A$6:$B$38,2,FALSE)</f>
        <v>-2.9769404338063311E-4</v>
      </c>
      <c r="J584">
        <f>($B$1+Table4[[#This Row],[Home Differential]])-Table4[[#This Row],[Away Differential]]</f>
        <v>0.39038718818485757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0.5780104551359988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-0.17962977873499933</v>
      </c>
      <c r="H585" t="s">
        <v>23</v>
      </c>
      <c r="I585">
        <f>VLOOKUP(Table4[[#This Row],[Visitor]],'NHL Model'!$A$6:$B$38,2,FALSE)</f>
        <v>-0.35383832279900912</v>
      </c>
      <c r="J585">
        <f>($B$1+Table4[[#This Row],[Home Differential]])-Table4[[#This Row],[Away Differential]]</f>
        <v>0.26127668894155276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0.56783291347416309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-6.3531358246322375E-2</v>
      </c>
      <c r="H586" t="s">
        <v>14</v>
      </c>
      <c r="I586">
        <f>VLOOKUP(Table4[[#This Row],[Visitor]],'NHL Model'!$A$6:$B$38,2,FALSE)</f>
        <v>0.25731150832780025</v>
      </c>
      <c r="J586">
        <f>($B$1+Table4[[#This Row],[Home Differential]])-Table4[[#This Row],[Away Differential]]</f>
        <v>-0.23377472169657965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0.52179763275422986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0.22444955994982585</v>
      </c>
      <c r="H587" t="s">
        <v>33</v>
      </c>
      <c r="I587">
        <f>VLOOKUP(Table4[[#This Row],[Visitor]],'NHL Model'!$A$6:$B$38,2,FALSE)</f>
        <v>-0.25672436988374864</v>
      </c>
      <c r="J587">
        <f>($B$1+Table4[[#This Row],[Home Differential]])-Table4[[#This Row],[Away Differential]]</f>
        <v>0.56824207471111743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0.60053288780520109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0.96536026973954592</v>
      </c>
      <c r="H588" t="s">
        <v>15</v>
      </c>
      <c r="I588">
        <f>VLOOKUP(Table4[[#This Row],[Visitor]],'NHL Model'!$A$6:$B$38,2,FALSE)</f>
        <v>0.1651103738530684</v>
      </c>
      <c r="J588">
        <f>($B$1+Table4[[#This Row],[Home Differential]])-Table4[[#This Row],[Away Differential]]</f>
        <v>0.88731804076402065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0.56413622056753243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-0.35383832279900912</v>
      </c>
      <c r="H589" t="s">
        <v>21</v>
      </c>
      <c r="I589">
        <f>VLOOKUP(Table4[[#This Row],[Visitor]],'NHL Model'!$A$6:$B$38,2,FALSE)</f>
        <v>0.20241790420125966</v>
      </c>
      <c r="J589">
        <f>($B$1+Table4[[#This Row],[Home Differential]])-Table4[[#This Row],[Away Differential]]</f>
        <v>-0.46918808212272578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0.49985875483222281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0.48797916660265073</v>
      </c>
      <c r="H590" t="s">
        <v>26</v>
      </c>
      <c r="I590">
        <f>VLOOKUP(Table4[[#This Row],[Visitor]],'NHL Model'!$A$6:$B$38,2,FALSE)</f>
        <v>-0.47317909800770142</v>
      </c>
      <c r="J590">
        <f>($B$1+Table4[[#This Row],[Home Differential]])-Table4[[#This Row],[Away Differential]]</f>
        <v>1.0482264094878952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0.67688137125908332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-0.65802650867783552</v>
      </c>
      <c r="H591" t="s">
        <v>17</v>
      </c>
      <c r="I591">
        <f>VLOOKUP(Table4[[#This Row],[Visitor]],'NHL Model'!$A$6:$B$38,2,FALSE)</f>
        <v>-0.19871596400308536</v>
      </c>
      <c r="J591">
        <f>($B$1+Table4[[#This Row],[Home Differential]])-Table4[[#This Row],[Away Differential]]</f>
        <v>-0.37224239979720719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0.4996537117296681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0.86540791565538033</v>
      </c>
      <c r="H592" t="s">
        <v>10</v>
      </c>
      <c r="I592">
        <f>VLOOKUP(Table4[[#This Row],[Visitor]],'NHL Model'!$A$6:$B$38,2,FALSE)</f>
        <v>-0.25852364135215161</v>
      </c>
      <c r="J592">
        <f>($B$1+Table4[[#This Row],[Home Differential]])-Table4[[#This Row],[Away Differential]]</f>
        <v>1.2109997018850749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0.72071963929244687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-0.10214397920743352</v>
      </c>
      <c r="H593" t="s">
        <v>37</v>
      </c>
      <c r="I593">
        <f>VLOOKUP(Table4[[#This Row],[Visitor]],'NHL Model'!$A$6:$B$38,2,FALSE)</f>
        <v>0.66951981565543606</v>
      </c>
      <c r="J593">
        <f>($B$1+Table4[[#This Row],[Home Differential]])-Table4[[#This Row],[Away Differential]]</f>
        <v>-0.68459564998532663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0.59847508211439249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8.443955887089849E-2</v>
      </c>
      <c r="H594" t="s">
        <v>31</v>
      </c>
      <c r="I594">
        <f>VLOOKUP(Table4[[#This Row],[Visitor]],'NHL Model'!$A$6:$B$38,2,FALSE)</f>
        <v>0.44031772420389576</v>
      </c>
      <c r="J594">
        <f>($B$1+Table4[[#This Row],[Home Differential]])-Table4[[#This Row],[Away Differential]]</f>
        <v>-0.26881002045545427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0.50940464432500465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-2.9769404338063311E-4</v>
      </c>
      <c r="H595" t="s">
        <v>22</v>
      </c>
      <c r="I595">
        <f>VLOOKUP(Table4[[#This Row],[Visitor]],'NHL Model'!$A$6:$B$38,2,FALSE)</f>
        <v>0.96536026973954592</v>
      </c>
      <c r="J595">
        <f>($B$1+Table4[[#This Row],[Home Differential]])-Table4[[#This Row],[Away Differential]]</f>
        <v>-0.87858981890538357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0.56418140852337728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0.30302134926393393</v>
      </c>
      <c r="H596" t="s">
        <v>15</v>
      </c>
      <c r="I596">
        <f>VLOOKUP(Table4[[#This Row],[Visitor]],'NHL Model'!$A$6:$B$38,2,FALSE)</f>
        <v>0.1651103738530684</v>
      </c>
      <c r="J596">
        <f>($B$1+Table4[[#This Row],[Home Differential]])-Table4[[#This Row],[Away Differential]]</f>
        <v>0.22497912028840852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0.45739401947291064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-0.95834101872668032</v>
      </c>
      <c r="H597" t="s">
        <v>29</v>
      </c>
      <c r="I597">
        <f>VLOOKUP(Table4[[#This Row],[Visitor]],'NHL Model'!$A$6:$B$38,2,FALSE)</f>
        <v>-0.88005793547499611</v>
      </c>
      <c r="J597">
        <f>($B$1+Table4[[#This Row],[Home Differential]])-Table4[[#This Row],[Away Differential]]</f>
        <v>8.7850616258587921E-3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0.54093584261607208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-6.3531358246322375E-2</v>
      </c>
      <c r="H598" t="s">
        <v>36</v>
      </c>
      <c r="I598">
        <f>VLOOKUP(Table4[[#This Row],[Visitor]],'NHL Model'!$A$6:$B$38,2,FALSE)</f>
        <v>-0.17962977873499933</v>
      </c>
      <c r="J598">
        <f>($B$1+Table4[[#This Row],[Home Differential]])-Table4[[#This Row],[Away Differential]]</f>
        <v>0.20316656536621996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0.55806648150176563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-0.59313840141656504</v>
      </c>
      <c r="H599" t="s">
        <v>33</v>
      </c>
      <c r="I599">
        <f>VLOOKUP(Table4[[#This Row],[Visitor]],'NHL Model'!$A$6:$B$38,2,FALSE)</f>
        <v>-0.25672436988374864</v>
      </c>
      <c r="J599">
        <f>($B$1+Table4[[#This Row],[Home Differential]])-Table4[[#This Row],[Away Differential]]</f>
        <v>-0.24934588665527341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0.486561965847505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0.22444955994982585</v>
      </c>
      <c r="H600" t="s">
        <v>12</v>
      </c>
      <c r="I600">
        <f>VLOOKUP(Table4[[#This Row],[Visitor]],'NHL Model'!$A$6:$B$38,2,FALSE)</f>
        <v>1.7072432657355574</v>
      </c>
      <c r="J600">
        <f>($B$1+Table4[[#This Row],[Home Differential]])-Table4[[#This Row],[Away Differential]]</f>
        <v>-1.3957255609081884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0.6851625646224957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-9.7143783320053662E-2</v>
      </c>
      <c r="H601" t="s">
        <v>34</v>
      </c>
      <c r="I601">
        <f>VLOOKUP(Table4[[#This Row],[Visitor]],'NHL Model'!$A$6:$B$38,2,FALSE)</f>
        <v>4.4994204383705286E-2</v>
      </c>
      <c r="J601">
        <f>($B$1+Table4[[#This Row],[Home Differential]])-Table4[[#This Row],[Away Differential]]</f>
        <v>-5.5069842826215951E-2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0.46740486384410573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-0.25582283032518105</v>
      </c>
      <c r="H602" t="s">
        <v>30</v>
      </c>
      <c r="I602">
        <f>VLOOKUP(Table4[[#This Row],[Visitor]],'NHL Model'!$A$6:$B$38,2,FALSE)</f>
        <v>0.30302134926393393</v>
      </c>
      <c r="J602">
        <f>($B$1+Table4[[#This Row],[Home Differential]])-Table4[[#This Row],[Away Differential]]</f>
        <v>-0.47177603471157198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0.57657247944669709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-0.25852364135215161</v>
      </c>
      <c r="H603" t="s">
        <v>14</v>
      </c>
      <c r="I603">
        <f>VLOOKUP(Table4[[#This Row],[Visitor]],'NHL Model'!$A$6:$B$38,2,FALSE)</f>
        <v>0.25731150832780025</v>
      </c>
      <c r="J603">
        <f>($B$1+Table4[[#This Row],[Home Differential]])-Table4[[#This Row],[Away Differential]]</f>
        <v>-0.42876700480240887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0.54256949482045536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-0.47317909800770142</v>
      </c>
      <c r="H604" t="s">
        <v>19</v>
      </c>
      <c r="I604">
        <f>VLOOKUP(Table4[[#This Row],[Visitor]],'NHL Model'!$A$6:$B$38,2,FALSE)</f>
        <v>-6.3531358246322375E-2</v>
      </c>
      <c r="J604">
        <f>($B$1+Table4[[#This Row],[Home Differential]])-Table4[[#This Row],[Away Differential]]</f>
        <v>-0.32257959488383603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0.48424105332035633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-0.52701775861642253</v>
      </c>
      <c r="H605" t="s">
        <v>27</v>
      </c>
      <c r="I605">
        <f>VLOOKUP(Table4[[#This Row],[Visitor]],'NHL Model'!$A$6:$B$38,2,FALSE)</f>
        <v>7.060370405735697E-2</v>
      </c>
      <c r="J605">
        <f>($B$1+Table4[[#This Row],[Home Differential]])-Table4[[#This Row],[Away Differential]]</f>
        <v>-0.51055331779623647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0.55690006433874073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0.66951981565543606</v>
      </c>
      <c r="H606" t="s">
        <v>18</v>
      </c>
      <c r="I606">
        <f>VLOOKUP(Table4[[#This Row],[Visitor]],'NHL Model'!$A$6:$B$38,2,FALSE)</f>
        <v>-0.31732900620087529</v>
      </c>
      <c r="J606">
        <f>($B$1+Table4[[#This Row],[Home Differential]])-Table4[[#This Row],[Away Differential]]</f>
        <v>1.0739169667338544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0.58177753818304734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0.44031772420389576</v>
      </c>
      <c r="H607" t="s">
        <v>33</v>
      </c>
      <c r="I607">
        <f>VLOOKUP(Table4[[#This Row],[Visitor]],'NHL Model'!$A$6:$B$38,2,FALSE)</f>
        <v>-0.25672436988374864</v>
      </c>
      <c r="J607">
        <f>($B$1+Table4[[#This Row],[Home Differential]])-Table4[[#This Row],[Away Differential]]</f>
        <v>0.7841102389651875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0.69805372586870185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0.48797916660265073</v>
      </c>
      <c r="H608" t="s">
        <v>15</v>
      </c>
      <c r="I608">
        <f>VLOOKUP(Table4[[#This Row],[Visitor]],'NHL Model'!$A$6:$B$38,2,FALSE)</f>
        <v>0.1651103738530684</v>
      </c>
      <c r="J608">
        <f>($B$1+Table4[[#This Row],[Home Differential]])-Table4[[#This Row],[Away Differential]]</f>
        <v>0.40993693762712535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0.5031286415861187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-0.65802650867783552</v>
      </c>
      <c r="H609" t="s">
        <v>21</v>
      </c>
      <c r="I609">
        <f>VLOOKUP(Table4[[#This Row],[Visitor]],'NHL Model'!$A$6:$B$38,2,FALSE)</f>
        <v>0.20241790420125966</v>
      </c>
      <c r="J609">
        <f>($B$1+Table4[[#This Row],[Home Differential]])-Table4[[#This Row],[Away Differential]]</f>
        <v>-0.77337626800155213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0.54238513293114154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1.7072432657355574</v>
      </c>
      <c r="H610" t="s">
        <v>13</v>
      </c>
      <c r="I610">
        <f>VLOOKUP(Table4[[#This Row],[Visitor]],'NHL Model'!$A$6:$B$38,2,FALSE)</f>
        <v>8.443955887089849E-2</v>
      </c>
      <c r="J610">
        <f>($B$1+Table4[[#This Row],[Home Differential]])-Table4[[#This Row],[Away Differential]]</f>
        <v>1.7098718517422018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0.76725319253238267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-0.10214397920743352</v>
      </c>
      <c r="H611" t="s">
        <v>22</v>
      </c>
      <c r="I611">
        <f>VLOOKUP(Table4[[#This Row],[Visitor]],'NHL Model'!$A$6:$B$38,2,FALSE)</f>
        <v>0.96536026973954592</v>
      </c>
      <c r="J611">
        <f>($B$1+Table4[[#This Row],[Home Differential]])-Table4[[#This Row],[Away Differential]]</f>
        <v>-0.98043610406943649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0.6114847637276708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-0.17962977873499933</v>
      </c>
      <c r="H612" t="s">
        <v>28</v>
      </c>
      <c r="I612">
        <f>VLOOKUP(Table4[[#This Row],[Visitor]],'NHL Model'!$A$6:$B$38,2,FALSE)</f>
        <v>-0.25582283032518105</v>
      </c>
      <c r="J612">
        <f>($B$1+Table4[[#This Row],[Home Differential]])-Table4[[#This Row],[Away Differential]]</f>
        <v>0.16326119646772472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0.55739165776090738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-0.52701775861642253</v>
      </c>
      <c r="H613" t="s">
        <v>38</v>
      </c>
      <c r="I613">
        <f>VLOOKUP(Table4[[#This Row],[Visitor]],'NHL Model'!$A$6:$B$38,2,FALSE)</f>
        <v>-0.59313840141656504</v>
      </c>
      <c r="J613">
        <f>($B$1+Table4[[#This Row],[Home Differential]])-Table4[[#This Row],[Away Differential]]</f>
        <v>0.15318878767768551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0.55631867844742455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-0.95834101872668032</v>
      </c>
      <c r="H614" t="s">
        <v>23</v>
      </c>
      <c r="I614">
        <f>VLOOKUP(Table4[[#This Row],[Visitor]],'NHL Model'!$A$6:$B$38,2,FALSE)</f>
        <v>-0.35383832279900912</v>
      </c>
      <c r="J614">
        <f>($B$1+Table4[[#This Row],[Home Differential]])-Table4[[#This Row],[Away Differential]]</f>
        <v>-0.51743455105012814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0.5151205358054054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0.16928148250244404</v>
      </c>
      <c r="H615" t="s">
        <v>29</v>
      </c>
      <c r="I615">
        <f>VLOOKUP(Table4[[#This Row],[Visitor]],'NHL Model'!$A$6:$B$38,2,FALSE)</f>
        <v>-0.88005793547499611</v>
      </c>
      <c r="J615">
        <f>($B$1+Table4[[#This Row],[Home Differential]])-Table4[[#This Row],[Away Differential]]</f>
        <v>1.1364075628549832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0.70148879455102087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0.22444955994982585</v>
      </c>
      <c r="H616" t="s">
        <v>34</v>
      </c>
      <c r="I616">
        <f>VLOOKUP(Table4[[#This Row],[Visitor]],'NHL Model'!$A$6:$B$38,2,FALSE)</f>
        <v>4.4994204383705286E-2</v>
      </c>
      <c r="J616">
        <f>($B$1+Table4[[#This Row],[Home Differential]])-Table4[[#This Row],[Away Differential]]</f>
        <v>0.26652350044366357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0.54762260761761816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-9.7143783320053662E-2</v>
      </c>
      <c r="H617" t="s">
        <v>17</v>
      </c>
      <c r="I617">
        <f>VLOOKUP(Table4[[#This Row],[Visitor]],'NHL Model'!$A$6:$B$38,2,FALSE)</f>
        <v>-0.19871596400308536</v>
      </c>
      <c r="J617">
        <f>($B$1+Table4[[#This Row],[Home Differential]])-Table4[[#This Row],[Away Differential]]</f>
        <v>0.1886403255605747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0.57920064102928304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-0.25852364135215161</v>
      </c>
      <c r="H618" t="s">
        <v>30</v>
      </c>
      <c r="I618">
        <f>VLOOKUP(Table4[[#This Row],[Visitor]],'NHL Model'!$A$6:$B$38,2,FALSE)</f>
        <v>0.30302134926393393</v>
      </c>
      <c r="J618">
        <f>($B$1+Table4[[#This Row],[Home Differential]])-Table4[[#This Row],[Away Differential]]</f>
        <v>-0.47447684573854254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0.57686018762276225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-0.10214397920743352</v>
      </c>
      <c r="H619" t="s">
        <v>18</v>
      </c>
      <c r="I619">
        <f>VLOOKUP(Table4[[#This Row],[Visitor]],'NHL Model'!$A$6:$B$38,2,FALSE)</f>
        <v>-0.31732900620087529</v>
      </c>
      <c r="J619">
        <f>($B$1+Table4[[#This Row],[Home Differential]])-Table4[[#This Row],[Away Differential]]</f>
        <v>0.30225317187098477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0.50665055302005613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0.25731150832780025</v>
      </c>
      <c r="H620" t="s">
        <v>25</v>
      </c>
      <c r="I620">
        <f>VLOOKUP(Table4[[#This Row],[Visitor]],'NHL Model'!$A$6:$B$38,2,FALSE)</f>
        <v>0.48797916660265073</v>
      </c>
      <c r="J620">
        <f>($B$1+Table4[[#This Row],[Home Differential]])-Table4[[#This Row],[Away Differential]]</f>
        <v>-0.14359951339730748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0.54792033491132086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-6.3531358246322375E-2</v>
      </c>
      <c r="H621" t="s">
        <v>24</v>
      </c>
      <c r="I621">
        <f>VLOOKUP(Table4[[#This Row],[Visitor]],'NHL Model'!$A$6:$B$38,2,FALSE)</f>
        <v>-2.9769404338063311E-4</v>
      </c>
      <c r="J621">
        <f>($B$1+Table4[[#This Row],[Home Differential]])-Table4[[#This Row],[Away Differential]]</f>
        <v>2.3834480674601255E-2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0.53896284689669127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-0.59313840141656504</v>
      </c>
      <c r="H622" t="s">
        <v>27</v>
      </c>
      <c r="I622">
        <f>VLOOKUP(Table4[[#This Row],[Visitor]],'NHL Model'!$A$6:$B$38,2,FALSE)</f>
        <v>7.060370405735697E-2</v>
      </c>
      <c r="J622">
        <f>($B$1+Table4[[#This Row],[Home Differential]])-Table4[[#This Row],[Away Differential]]</f>
        <v>-0.57667396059637899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0.56394367062971018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0.44031772420389576</v>
      </c>
      <c r="H623" t="s">
        <v>37</v>
      </c>
      <c r="I623">
        <f>VLOOKUP(Table4[[#This Row],[Visitor]],'NHL Model'!$A$6:$B$38,2,FALSE)</f>
        <v>0.66951981565543606</v>
      </c>
      <c r="J623">
        <f>($B$1+Table4[[#This Row],[Home Differential]])-Table4[[#This Row],[Away Differential]]</f>
        <v>-0.14213394657399725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0.47141480823290044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-0.25582283032518105</v>
      </c>
      <c r="H624" t="s">
        <v>24</v>
      </c>
      <c r="I624">
        <f>VLOOKUP(Table4[[#This Row],[Visitor]],'NHL Model'!$A$6:$B$38,2,FALSE)</f>
        <v>-2.9769404338063311E-4</v>
      </c>
      <c r="J624">
        <f>($B$1+Table4[[#This Row],[Home Differential]])-Table4[[#This Row],[Away Differential]]</f>
        <v>-0.16845699140425743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0.48152130699346901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-0.65802650867783552</v>
      </c>
      <c r="H625" t="s">
        <v>27</v>
      </c>
      <c r="I625">
        <f>VLOOKUP(Table4[[#This Row],[Visitor]],'NHL Model'!$A$6:$B$38,2,FALSE)</f>
        <v>7.060370405735697E-2</v>
      </c>
      <c r="J625">
        <f>($B$1+Table4[[#This Row],[Home Differential]])-Table4[[#This Row],[Away Differential]]</f>
        <v>-0.64156206785764947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0.57085597911854435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1.7072432657355574</v>
      </c>
      <c r="H626" t="s">
        <v>35</v>
      </c>
      <c r="I626">
        <f>VLOOKUP(Table4[[#This Row],[Visitor]],'NHL Model'!$A$6:$B$38,2,FALSE)</f>
        <v>-0.95834101872668032</v>
      </c>
      <c r="J626">
        <f>($B$1+Table4[[#This Row],[Home Differential]])-Table4[[#This Row],[Away Differential]]</f>
        <v>2.7526524293397809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0.94105162947552878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0.86540791565538033</v>
      </c>
      <c r="H627" t="s">
        <v>23</v>
      </c>
      <c r="I627">
        <f>VLOOKUP(Table4[[#This Row],[Visitor]],'NHL Model'!$A$6:$B$38,2,FALSE)</f>
        <v>-0.35383832279900912</v>
      </c>
      <c r="J627">
        <f>($B$1+Table4[[#This Row],[Home Differential]])-Table4[[#This Row],[Away Differential]]</f>
        <v>1.3063143833319324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0.73087318682963742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-0.47317909800770142</v>
      </c>
      <c r="H628" t="s">
        <v>40</v>
      </c>
      <c r="I628">
        <f>VLOOKUP(Table4[[#This Row],[Visitor]],'NHL Model'!$A$6:$B$38,2,FALSE)</f>
        <v>-9.7143783320053662E-2</v>
      </c>
      <c r="J628">
        <f>($B$1+Table4[[#This Row],[Home Differential]])-Table4[[#This Row],[Away Differential]]</f>
        <v>-0.28896716981010473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0.48066043645582146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-0.19871596400308536</v>
      </c>
      <c r="H629" t="s">
        <v>21</v>
      </c>
      <c r="I629">
        <f>VLOOKUP(Table4[[#This Row],[Visitor]],'NHL Model'!$A$6:$B$38,2,FALSE)</f>
        <v>0.20241790420125966</v>
      </c>
      <c r="J629">
        <f>($B$1+Table4[[#This Row],[Home Differential]])-Table4[[#This Row],[Away Differential]]</f>
        <v>-0.31406572332680205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0.47435091773511434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-0.25672436988374864</v>
      </c>
      <c r="H630" t="s">
        <v>34</v>
      </c>
      <c r="I630">
        <f>VLOOKUP(Table4[[#This Row],[Visitor]],'NHL Model'!$A$6:$B$38,2,FALSE)</f>
        <v>4.4994204383705286E-2</v>
      </c>
      <c r="J630">
        <f>($B$1+Table4[[#This Row],[Home Differential]])-Table4[[#This Row],[Away Differential]]</f>
        <v>-0.21465042938991091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0.50363520803112793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0.22444955994982585</v>
      </c>
      <c r="H631" t="s">
        <v>29</v>
      </c>
      <c r="I631">
        <f>VLOOKUP(Table4[[#This Row],[Visitor]],'NHL Model'!$A$6:$B$38,2,FALSE)</f>
        <v>-0.88005793547499611</v>
      </c>
      <c r="J631">
        <f>($B$1+Table4[[#This Row],[Home Differential]])-Table4[[#This Row],[Away Differential]]</f>
        <v>1.191575640302365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0.66693448400930699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0.96536026973954592</v>
      </c>
      <c r="H632" t="s">
        <v>15</v>
      </c>
      <c r="I632">
        <f>VLOOKUP(Table4[[#This Row],[Visitor]],'NHL Model'!$A$6:$B$38,2,FALSE)</f>
        <v>0.1651103738530684</v>
      </c>
      <c r="J632">
        <f>($B$1+Table4[[#This Row],[Home Differential]])-Table4[[#This Row],[Away Differential]]</f>
        <v>0.88731804076402065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0.56413622056753243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0.48797916660265073</v>
      </c>
      <c r="H633" t="s">
        <v>18</v>
      </c>
      <c r="I633">
        <f>VLOOKUP(Table4[[#This Row],[Visitor]],'NHL Model'!$A$6:$B$38,2,FALSE)</f>
        <v>-0.31732900620087529</v>
      </c>
      <c r="J633">
        <f>($B$1+Table4[[#This Row],[Home Differential]])-Table4[[#This Row],[Away Differential]]</f>
        <v>0.89237631768106906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0.58873268794211409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-0.25852364135215161</v>
      </c>
      <c r="H634" t="s">
        <v>39</v>
      </c>
      <c r="I634">
        <f>VLOOKUP(Table4[[#This Row],[Visitor]],'NHL Model'!$A$6:$B$38,2,FALSE)</f>
        <v>0.86540791565538033</v>
      </c>
      <c r="J634">
        <f>($B$1+Table4[[#This Row],[Home Differential]])-Table4[[#This Row],[Away Differential]]</f>
        <v>-1.0368634121299889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0.66293970649347989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8.443955887089849E-2</v>
      </c>
      <c r="H635" t="s">
        <v>37</v>
      </c>
      <c r="I635">
        <f>VLOOKUP(Table4[[#This Row],[Visitor]],'NHL Model'!$A$6:$B$38,2,FALSE)</f>
        <v>0.66951981565543606</v>
      </c>
      <c r="J635">
        <f>($B$1+Table4[[#This Row],[Home Differential]])-Table4[[#This Row],[Away Differential]]</f>
        <v>-0.49801211190699457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0.58567469879443046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0.30302134926393393</v>
      </c>
      <c r="H636" t="s">
        <v>55</v>
      </c>
      <c r="I636">
        <f>VLOOKUP(Table4[[#This Row],[Visitor]],'NHL Model'!$A$6:$B$38,2,FALSE)</f>
        <v>0.16928148250244404</v>
      </c>
      <c r="J636">
        <f>($B$1+Table4[[#This Row],[Home Differential]])-Table4[[#This Row],[Away Differential]]</f>
        <v>0.22080801163903288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0.5635219234721931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-0.17962977873499933</v>
      </c>
      <c r="H637" t="s">
        <v>22</v>
      </c>
      <c r="I637">
        <f>VLOOKUP(Table4[[#This Row],[Visitor]],'NHL Model'!$A$6:$B$38,2,FALSE)</f>
        <v>0.96536026973954592</v>
      </c>
      <c r="J637">
        <f>($B$1+Table4[[#This Row],[Home Differential]])-Table4[[#This Row],[Away Differential]]</f>
        <v>-1.0579219035970022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0.62683562531505388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0.25731150832780025</v>
      </c>
      <c r="H638" t="s">
        <v>26</v>
      </c>
      <c r="I638">
        <f>VLOOKUP(Table4[[#This Row],[Visitor]],'NHL Model'!$A$6:$B$38,2,FALSE)</f>
        <v>-0.47317909800770142</v>
      </c>
      <c r="J638">
        <f>($B$1+Table4[[#This Row],[Home Differential]])-Table4[[#This Row],[Away Differential]]</f>
        <v>0.81755875121304467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0.62626224890725835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-0.52701775861642253</v>
      </c>
      <c r="H639" t="s">
        <v>29</v>
      </c>
      <c r="I639">
        <f>VLOOKUP(Table4[[#This Row],[Visitor]],'NHL Model'!$A$6:$B$38,2,FALSE)</f>
        <v>-0.88005793547499611</v>
      </c>
      <c r="J639">
        <f>($B$1+Table4[[#This Row],[Home Differential]])-Table4[[#This Row],[Away Differential]]</f>
        <v>0.44010832173611658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0.58688323664757047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-6.3531358246322375E-2</v>
      </c>
      <c r="H640" t="s">
        <v>40</v>
      </c>
      <c r="I640">
        <f>VLOOKUP(Table4[[#This Row],[Visitor]],'NHL Model'!$A$6:$B$38,2,FALSE)</f>
        <v>-9.7143783320053662E-2</v>
      </c>
      <c r="J640">
        <f>($B$1+Table4[[#This Row],[Home Differential]])-Table4[[#This Row],[Away Differential]]</f>
        <v>0.12068056995127428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0.55285568902098992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0.44031772420389576</v>
      </c>
      <c r="H641" t="s">
        <v>34</v>
      </c>
      <c r="I641">
        <f>VLOOKUP(Table4[[#This Row],[Visitor]],'NHL Model'!$A$6:$B$38,2,FALSE)</f>
        <v>4.4994204383705286E-2</v>
      </c>
      <c r="J641">
        <f>($B$1+Table4[[#This Row],[Home Differential]])-Table4[[#This Row],[Away Differential]]</f>
        <v>0.48239166469773354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0.64598213138013971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-0.10214397920743352</v>
      </c>
      <c r="H642" t="s">
        <v>15</v>
      </c>
      <c r="I642">
        <f>VLOOKUP(Table4[[#This Row],[Visitor]],'NHL Model'!$A$6:$B$38,2,FALSE)</f>
        <v>0.1651103738530684</v>
      </c>
      <c r="J642">
        <f>($B$1+Table4[[#This Row],[Home Differential]])-Table4[[#This Row],[Away Differential]]</f>
        <v>-0.18018620818295894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0.57878011369195426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-0.95834101872668032</v>
      </c>
      <c r="H643" t="s">
        <v>20</v>
      </c>
      <c r="I643">
        <f>VLOOKUP(Table4[[#This Row],[Visitor]],'NHL Model'!$A$6:$B$38,2,FALSE)</f>
        <v>0.22444955994982585</v>
      </c>
      <c r="J643">
        <f>($B$1+Table4[[#This Row],[Home Differential]])-Table4[[#This Row],[Away Differential]]</f>
        <v>-1.0957224337989633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0.61601030247501098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-0.59313840141656504</v>
      </c>
      <c r="H644" t="s">
        <v>32</v>
      </c>
      <c r="I644">
        <f>VLOOKUP(Table4[[#This Row],[Visitor]],'NHL Model'!$A$6:$B$38,2,FALSE)</f>
        <v>-0.52701775861642253</v>
      </c>
      <c r="J644">
        <f>($B$1+Table4[[#This Row],[Home Differential]])-Table4[[#This Row],[Away Differential]]</f>
        <v>2.0947502077400482E-2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0.54223146586548554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0.48797916660265073</v>
      </c>
      <c r="H645" t="s">
        <v>12</v>
      </c>
      <c r="I645">
        <f>VLOOKUP(Table4[[#This Row],[Visitor]],'NHL Model'!$A$6:$B$38,2,FALSE)</f>
        <v>1.7072432657355574</v>
      </c>
      <c r="J645">
        <f>($B$1+Table4[[#This Row],[Home Differential]])-Table4[[#This Row],[Away Differential]]</f>
        <v>-1.1321959542553637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0.63081305045511193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-0.25582283032518105</v>
      </c>
      <c r="H646" t="s">
        <v>23</v>
      </c>
      <c r="I646">
        <f>VLOOKUP(Table4[[#This Row],[Visitor]],'NHL Model'!$A$6:$B$38,2,FALSE)</f>
        <v>-0.35383832279900912</v>
      </c>
      <c r="J646">
        <f>($B$1+Table4[[#This Row],[Home Differential]])-Table4[[#This Row],[Away Differential]]</f>
        <v>0.18508363735137107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0.55971632786971082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-0.65802650867783552</v>
      </c>
      <c r="H647" t="s">
        <v>29</v>
      </c>
      <c r="I647">
        <f>VLOOKUP(Table4[[#This Row],[Visitor]],'NHL Model'!$A$6:$B$38,2,FALSE)</f>
        <v>-0.88005793547499611</v>
      </c>
      <c r="J647">
        <f>($B$1+Table4[[#This Row],[Home Differential]])-Table4[[#This Row],[Away Differential]]</f>
        <v>0.30909957167470359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0.57292732186776685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-0.47317909800770142</v>
      </c>
      <c r="H648" t="s">
        <v>14</v>
      </c>
      <c r="I648">
        <f>VLOOKUP(Table4[[#This Row],[Visitor]],'NHL Model'!$A$6:$B$38,2,FALSE)</f>
        <v>0.25731150832780025</v>
      </c>
      <c r="J648">
        <f>($B$1+Table4[[#This Row],[Home Differential]])-Table4[[#This Row],[Away Differential]]</f>
        <v>-0.64342246145795867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0.55523361289103146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-0.19871596400308536</v>
      </c>
      <c r="H649" t="s">
        <v>27</v>
      </c>
      <c r="I649">
        <f>VLOOKUP(Table4[[#This Row],[Visitor]],'NHL Model'!$A$6:$B$38,2,FALSE)</f>
        <v>7.060370405735697E-2</v>
      </c>
      <c r="J649">
        <f>($B$1+Table4[[#This Row],[Home Differential]])-Table4[[#This Row],[Away Differential]]</f>
        <v>-0.18225152318289933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0.50263610892841792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8.443955887089849E-2</v>
      </c>
      <c r="H650" t="s">
        <v>34</v>
      </c>
      <c r="I650">
        <f>VLOOKUP(Table4[[#This Row],[Visitor]],'NHL Model'!$A$6:$B$38,2,FALSE)</f>
        <v>4.4994204383705286E-2</v>
      </c>
      <c r="J650">
        <f>($B$1+Table4[[#This Row],[Home Differential]])-Table4[[#This Row],[Away Differential]]</f>
        <v>0.12651349936473621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0.53270782030408559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-2.9769404338063311E-4</v>
      </c>
      <c r="H651" t="s">
        <v>55</v>
      </c>
      <c r="I651">
        <f>VLOOKUP(Table4[[#This Row],[Visitor]],'NHL Model'!$A$6:$B$38,2,FALSE)</f>
        <v>0.16928148250244404</v>
      </c>
      <c r="J651">
        <f>($B$1+Table4[[#This Row],[Home Differential]])-Table4[[#This Row],[Away Differential]]</f>
        <v>-8.2511031668281679E-2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0.42588806404360302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0.30302134926393393</v>
      </c>
      <c r="H652" t="s">
        <v>19</v>
      </c>
      <c r="I652">
        <f>VLOOKUP(Table4[[#This Row],[Visitor]],'NHL Model'!$A$6:$B$38,2,FALSE)</f>
        <v>-6.3531358246322375E-2</v>
      </c>
      <c r="J652">
        <f>($B$1+Table4[[#This Row],[Home Differential]])-Table4[[#This Row],[Away Differential]]</f>
        <v>0.45362085238779931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0.58832268039576263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-0.17962977873499933</v>
      </c>
      <c r="H653" t="s">
        <v>40</v>
      </c>
      <c r="I653">
        <f>VLOOKUP(Table4[[#This Row],[Visitor]],'NHL Model'!$A$6:$B$38,2,FALSE)</f>
        <v>-9.7143783320053662E-2</v>
      </c>
      <c r="J653">
        <f>($B$1+Table4[[#This Row],[Home Differential]])-Table4[[#This Row],[Away Differential]]</f>
        <v>4.5821494625973291E-3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0.54048812073528185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-0.25672436988374864</v>
      </c>
      <c r="H654" t="s">
        <v>37</v>
      </c>
      <c r="I654">
        <f>VLOOKUP(Table4[[#This Row],[Visitor]],'NHL Model'!$A$6:$B$38,2,FALSE)</f>
        <v>0.66951981565543606</v>
      </c>
      <c r="J654">
        <f>($B$1+Table4[[#This Row],[Home Differential]])-Table4[[#This Row],[Away Differential]]</f>
        <v>-0.83917604066164175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0.62201772712964398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-0.95834101872668032</v>
      </c>
      <c r="H655" t="s">
        <v>18</v>
      </c>
      <c r="I655">
        <f>VLOOKUP(Table4[[#This Row],[Visitor]],'NHL Model'!$A$6:$B$38,2,FALSE)</f>
        <v>-0.31732900620087529</v>
      </c>
      <c r="J655">
        <f>($B$1+Table4[[#This Row],[Home Differential]])-Table4[[#This Row],[Away Differential]]</f>
        <v>-0.55394386764826198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0.59163291773968418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-0.59313840141656504</v>
      </c>
      <c r="H656" t="s">
        <v>21</v>
      </c>
      <c r="I656">
        <f>VLOOKUP(Table4[[#This Row],[Visitor]],'NHL Model'!$A$6:$B$38,2,FALSE)</f>
        <v>0.20241790420125966</v>
      </c>
      <c r="J656">
        <f>($B$1+Table4[[#This Row],[Home Differential]])-Table4[[#This Row],[Away Differential]]</f>
        <v>-0.70848816074028176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0.53547282444230748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0.96536026973954592</v>
      </c>
      <c r="H657" t="s">
        <v>10</v>
      </c>
      <c r="I657">
        <f>VLOOKUP(Table4[[#This Row],[Visitor]],'NHL Model'!$A$6:$B$38,2,FALSE)</f>
        <v>-0.25852364135215161</v>
      </c>
      <c r="J657">
        <f>($B$1+Table4[[#This Row],[Home Differential]])-Table4[[#This Row],[Away Differential]]</f>
        <v>1.3109520559692407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0.71568811228720874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-0.25582283032518105</v>
      </c>
      <c r="H658" t="s">
        <v>14</v>
      </c>
      <c r="I658">
        <f>VLOOKUP(Table4[[#This Row],[Visitor]],'NHL Model'!$A$6:$B$38,2,FALSE)</f>
        <v>0.25731150832780025</v>
      </c>
      <c r="J658">
        <f>($B$1+Table4[[#This Row],[Home Differential]])-Table4[[#This Row],[Away Differential]]</f>
        <v>-0.42606619377543831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0.54228178664439008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-0.25852364135215161</v>
      </c>
      <c r="H659" t="s">
        <v>20</v>
      </c>
      <c r="I659">
        <f>VLOOKUP(Table4[[#This Row],[Visitor]],'NHL Model'!$A$6:$B$38,2,FALSE)</f>
        <v>0.22444955994982585</v>
      </c>
      <c r="J659">
        <f>($B$1+Table4[[#This Row],[Home Differential]])-Table4[[#This Row],[Away Differential]]</f>
        <v>-0.39590505642443446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0.54146114697596004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0.86540791565538033</v>
      </c>
      <c r="H660" t="s">
        <v>18</v>
      </c>
      <c r="I660">
        <f>VLOOKUP(Table4[[#This Row],[Visitor]],'NHL Model'!$A$6:$B$38,2,FALSE)</f>
        <v>-0.31732900620087529</v>
      </c>
      <c r="J660">
        <f>($B$1+Table4[[#This Row],[Home Differential]])-Table4[[#This Row],[Away Differential]]</f>
        <v>1.2698050667337986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0.65526799767185406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-0.10214397920743352</v>
      </c>
      <c r="H661" t="s">
        <v>12</v>
      </c>
      <c r="I661">
        <f>VLOOKUP(Table4[[#This Row],[Visitor]],'NHL Model'!$A$6:$B$38,2,FALSE)</f>
        <v>1.7072432657355574</v>
      </c>
      <c r="J661">
        <f>($B$1+Table4[[#This Row],[Home Differential]])-Table4[[#This Row],[Away Differential]]</f>
        <v>-1.7223191000654479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0.71288453711897548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-2.9769404338063311E-4</v>
      </c>
      <c r="H662" t="s">
        <v>25</v>
      </c>
      <c r="I662">
        <f>VLOOKUP(Table4[[#This Row],[Visitor]],'NHL Model'!$A$6:$B$38,2,FALSE)</f>
        <v>0.48797916660265073</v>
      </c>
      <c r="J662">
        <f>($B$1+Table4[[#This Row],[Home Differential]])-Table4[[#This Row],[Away Differential]]</f>
        <v>-0.40120871576848838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0.53182236388920923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-0.65802650867783552</v>
      </c>
      <c r="H663" t="s">
        <v>32</v>
      </c>
      <c r="I663">
        <f>VLOOKUP(Table4[[#This Row],[Visitor]],'NHL Model'!$A$6:$B$38,2,FALSE)</f>
        <v>-0.52701775861642253</v>
      </c>
      <c r="J663">
        <f>($B$1+Table4[[#This Row],[Home Differential]])-Table4[[#This Row],[Away Differential]]</f>
        <v>-4.3940605183869996E-2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0.46468084262334863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8.443955887089849E-2</v>
      </c>
      <c r="H664" t="s">
        <v>34</v>
      </c>
      <c r="I664">
        <f>VLOOKUP(Table4[[#This Row],[Visitor]],'NHL Model'!$A$6:$B$38,2,FALSE)</f>
        <v>4.4994204383705286E-2</v>
      </c>
      <c r="J664">
        <f>($B$1+Table4[[#This Row],[Home Differential]])-Table4[[#This Row],[Away Differential]]</f>
        <v>0.12651349936473621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0.53270782030408559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0.1651103738530684</v>
      </c>
      <c r="H665" t="s">
        <v>55</v>
      </c>
      <c r="I665">
        <f>VLOOKUP(Table4[[#This Row],[Visitor]],'NHL Model'!$A$6:$B$38,2,FALSE)</f>
        <v>0.16928148250244404</v>
      </c>
      <c r="J665">
        <f>($B$1+Table4[[#This Row],[Home Differential]])-Table4[[#This Row],[Away Differential]]</f>
        <v>8.2897036228167326E-2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0.54883073819539752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-0.17962977873499933</v>
      </c>
      <c r="H666" t="s">
        <v>26</v>
      </c>
      <c r="I666">
        <f>VLOOKUP(Table4[[#This Row],[Visitor]],'NHL Model'!$A$6:$B$38,2,FALSE)</f>
        <v>-0.47317909800770142</v>
      </c>
      <c r="J666">
        <f>($B$1+Table4[[#This Row],[Home Differential]])-Table4[[#This Row],[Away Differential]]</f>
        <v>0.38061746415024511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0.57971638564875372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0.96536026973954592</v>
      </c>
      <c r="H667" t="s">
        <v>31</v>
      </c>
      <c r="I667">
        <f>VLOOKUP(Table4[[#This Row],[Visitor]],'NHL Model'!$A$6:$B$38,2,FALSE)</f>
        <v>0.44031772420389576</v>
      </c>
      <c r="J667">
        <f>($B$1+Table4[[#This Row],[Home Differential]])-Table4[[#This Row],[Away Differential]]</f>
        <v>0.61211069041319321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0.62076161719043699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-0.35383832279900912</v>
      </c>
      <c r="H668" t="s">
        <v>38</v>
      </c>
      <c r="I668">
        <f>VLOOKUP(Table4[[#This Row],[Visitor]],'NHL Model'!$A$6:$B$38,2,FALSE)</f>
        <v>-0.59313840141656504</v>
      </c>
      <c r="J668">
        <f>($B$1+Table4[[#This Row],[Home Differential]])-Table4[[#This Row],[Away Differential]]</f>
        <v>0.32636822349509892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0.58488914176653972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0.48797916660265073</v>
      </c>
      <c r="H669" t="s">
        <v>39</v>
      </c>
      <c r="I669">
        <f>VLOOKUP(Table4[[#This Row],[Visitor]],'NHL Model'!$A$6:$B$38,2,FALSE)</f>
        <v>0.86540791565538033</v>
      </c>
      <c r="J669">
        <f>($B$1+Table4[[#This Row],[Home Differential]])-Table4[[#This Row],[Away Differential]]</f>
        <v>-0.29036060417518661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0.55724691312291841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-0.19871596400308536</v>
      </c>
      <c r="H670" t="s">
        <v>29</v>
      </c>
      <c r="I670">
        <f>VLOOKUP(Table4[[#This Row],[Visitor]],'NHL Model'!$A$6:$B$38,2,FALSE)</f>
        <v>-0.88005793547499611</v>
      </c>
      <c r="J670">
        <f>($B$1+Table4[[#This Row],[Home Differential]])-Table4[[#This Row],[Away Differential]]</f>
        <v>0.76841011634945378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0.640961537063794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0.30302134926393393</v>
      </c>
      <c r="H671" t="s">
        <v>24</v>
      </c>
      <c r="I671">
        <f>VLOOKUP(Table4[[#This Row],[Visitor]],'NHL Model'!$A$6:$B$38,2,FALSE)</f>
        <v>-2.9769404338063311E-4</v>
      </c>
      <c r="J671">
        <f>($B$1+Table4[[#This Row],[Home Differential]])-Table4[[#This Row],[Away Differential]]</f>
        <v>0.39038718818485757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0.5780104551359988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7.060370405735697E-2</v>
      </c>
      <c r="H672" t="s">
        <v>31</v>
      </c>
      <c r="I672">
        <f>VLOOKUP(Table4[[#This Row],[Visitor]],'NHL Model'!$A$6:$B$38,2,FALSE)</f>
        <v>0.44031772420389576</v>
      </c>
      <c r="J672">
        <f>($B$1+Table4[[#This Row],[Home Differential]])-Table4[[#This Row],[Away Differential]]</f>
        <v>-0.28264587526899576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0.50069753521697014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-0.52701775861642253</v>
      </c>
      <c r="H673" t="s">
        <v>21</v>
      </c>
      <c r="I673">
        <f>VLOOKUP(Table4[[#This Row],[Visitor]],'NHL Model'!$A$6:$B$38,2,FALSE)</f>
        <v>0.20241790420125966</v>
      </c>
      <c r="J673">
        <f>($B$1+Table4[[#This Row],[Home Differential]])-Table4[[#This Row],[Away Differential]]</f>
        <v>-0.64236751794013913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0.52842921815133803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-0.25672436988374864</v>
      </c>
      <c r="H674" t="s">
        <v>28</v>
      </c>
      <c r="I674">
        <f>VLOOKUP(Table4[[#This Row],[Visitor]],'NHL Model'!$A$6:$B$38,2,FALSE)</f>
        <v>-0.25582283032518105</v>
      </c>
      <c r="J674">
        <f>($B$1+Table4[[#This Row],[Home Differential]])-Table4[[#This Row],[Away Differential]]</f>
        <v>8.6166605318975409E-2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0.54917903422582759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0.66951981565543606</v>
      </c>
      <c r="H675" t="s">
        <v>12</v>
      </c>
      <c r="I675">
        <f>VLOOKUP(Table4[[#This Row],[Visitor]],'NHL Model'!$A$6:$B$38,2,FALSE)</f>
        <v>1.7072432657355574</v>
      </c>
      <c r="J675">
        <f>($B$1+Table4[[#This Row],[Home Differential]])-Table4[[#This Row],[Away Differential]]</f>
        <v>-0.95065530520257835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0.63775075009299909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-6.3531358246322375E-2</v>
      </c>
      <c r="H676" t="s">
        <v>11</v>
      </c>
      <c r="I676">
        <f>VLOOKUP(Table4[[#This Row],[Visitor]],'NHL Model'!$A$6:$B$38,2,FALSE)</f>
        <v>-0.10214397920743352</v>
      </c>
      <c r="J676">
        <f>($B$1+Table4[[#This Row],[Home Differential]])-Table4[[#This Row],[Away Differential]]</f>
        <v>0.12568076583865415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0.5533883428143731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-9.7143783320053662E-2</v>
      </c>
      <c r="H677" t="s">
        <v>20</v>
      </c>
      <c r="I677">
        <f>VLOOKUP(Table4[[#This Row],[Visitor]],'NHL Model'!$A$6:$B$38,2,FALSE)</f>
        <v>0.22444955994982585</v>
      </c>
      <c r="J677">
        <f>($B$1+Table4[[#This Row],[Home Differential]])-Table4[[#This Row],[Away Differential]]</f>
        <v>-0.23452519839233651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0.5049831685360382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-0.25852364135215161</v>
      </c>
      <c r="H678" t="s">
        <v>35</v>
      </c>
      <c r="I678">
        <f>VLOOKUP(Table4[[#This Row],[Visitor]],'NHL Model'!$A$6:$B$38,2,FALSE)</f>
        <v>-0.95834101872668032</v>
      </c>
      <c r="J678">
        <f>($B$1+Table4[[#This Row],[Home Differential]])-Table4[[#This Row],[Away Differential]]</f>
        <v>0.78688552225207165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0.62382422765550594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8.443955887089849E-2</v>
      </c>
      <c r="H679" t="s">
        <v>33</v>
      </c>
      <c r="I679">
        <f>VLOOKUP(Table4[[#This Row],[Visitor]],'NHL Model'!$A$6:$B$38,2,FALSE)</f>
        <v>-0.25672436988374864</v>
      </c>
      <c r="J679">
        <f>($B$1+Table4[[#This Row],[Home Differential]])-Table4[[#This Row],[Away Differential]]</f>
        <v>0.42823207363219012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0.58561810049166863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-0.31732900620087529</v>
      </c>
      <c r="H680" t="s">
        <v>16</v>
      </c>
      <c r="I680">
        <f>VLOOKUP(Table4[[#This Row],[Visitor]],'NHL Model'!$A$6:$B$38,2,FALSE)</f>
        <v>-0.65802650867783552</v>
      </c>
      <c r="J680">
        <f>($B$1+Table4[[#This Row],[Home Differential]])-Table4[[#This Row],[Away Differential]]</f>
        <v>0.42776564735450323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0.58556841369304324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0.16928148250244404</v>
      </c>
      <c r="H681" t="s">
        <v>36</v>
      </c>
      <c r="I681">
        <f>VLOOKUP(Table4[[#This Row],[Visitor]],'NHL Model'!$A$6:$B$38,2,FALSE)</f>
        <v>-0.17962977873499933</v>
      </c>
      <c r="J681">
        <f>($B$1+Table4[[#This Row],[Home Differential]])-Table4[[#This Row],[Away Differential]]</f>
        <v>0.43597940611498631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0.62336647428880931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0.96536026973954592</v>
      </c>
      <c r="H682" t="s">
        <v>39</v>
      </c>
      <c r="I682">
        <f>VLOOKUP(Table4[[#This Row],[Visitor]],'NHL Model'!$A$6:$B$38,2,FALSE)</f>
        <v>0.86540791565538033</v>
      </c>
      <c r="J682">
        <f>($B$1+Table4[[#This Row],[Home Differential]])-Table4[[#This Row],[Away Differential]]</f>
        <v>0.18702049896170869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0.50379362286506624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0.20241790420125966</v>
      </c>
      <c r="H683" t="s">
        <v>16</v>
      </c>
      <c r="I683">
        <f>VLOOKUP(Table4[[#This Row],[Visitor]],'NHL Model'!$A$6:$B$38,2,FALSE)</f>
        <v>-0.65802650867783552</v>
      </c>
      <c r="J683">
        <f>($B$1+Table4[[#This Row],[Home Differential]])-Table4[[#This Row],[Away Differential]]</f>
        <v>0.94751255775663812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0.70006381754906255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0.48797916660265073</v>
      </c>
      <c r="H684" t="s">
        <v>31</v>
      </c>
      <c r="I684">
        <f>VLOOKUP(Table4[[#This Row],[Visitor]],'NHL Model'!$A$6:$B$38,2,FALSE)</f>
        <v>0.44031772420389576</v>
      </c>
      <c r="J684">
        <f>($B$1+Table4[[#This Row],[Home Differential]])-Table4[[#This Row],[Away Differential]]</f>
        <v>0.13472958727629797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0.55980682831706197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1.7072432657355574</v>
      </c>
      <c r="H685" t="s">
        <v>36</v>
      </c>
      <c r="I685">
        <f>VLOOKUP(Table4[[#This Row],[Visitor]],'NHL Model'!$A$6:$B$38,2,FALSE)</f>
        <v>-0.17962977873499933</v>
      </c>
      <c r="J685">
        <f>($B$1+Table4[[#This Row],[Home Differential]])-Table4[[#This Row],[Away Differential]]</f>
        <v>1.9739411893480998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0.8548084643537931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-0.47317909800770142</v>
      </c>
      <c r="H686" t="s">
        <v>38</v>
      </c>
      <c r="I686">
        <f>VLOOKUP(Table4[[#This Row],[Visitor]],'NHL Model'!$A$6:$B$38,2,FALSE)</f>
        <v>-0.59313840141656504</v>
      </c>
      <c r="J686">
        <f>($B$1+Table4[[#This Row],[Home Differential]])-Table4[[#This Row],[Away Differential]]</f>
        <v>0.20702744828640662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0.57217617650439145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-0.31732900620087529</v>
      </c>
      <c r="H687" t="s">
        <v>11</v>
      </c>
      <c r="I687">
        <f>VLOOKUP(Table4[[#This Row],[Visitor]],'NHL Model'!$A$6:$B$38,2,FALSE)</f>
        <v>-0.10214397920743352</v>
      </c>
      <c r="J687">
        <f>($B$1+Table4[[#This Row],[Home Differential]])-Table4[[#This Row],[Away Differential]]</f>
        <v>-0.12811688211589878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0.4736478539626206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-0.88005793547499611</v>
      </c>
      <c r="H688" t="s">
        <v>30</v>
      </c>
      <c r="I688">
        <f>VLOOKUP(Table4[[#This Row],[Visitor]],'NHL Model'!$A$6:$B$38,2,FALSE)</f>
        <v>0.30302134926393393</v>
      </c>
      <c r="J688">
        <f>($B$1+Table4[[#This Row],[Home Differential]])-Table4[[#This Row],[Away Differential]]</f>
        <v>-1.096011139861387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0.64307011358143029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0.1651103738530684</v>
      </c>
      <c r="H689" t="s">
        <v>23</v>
      </c>
      <c r="I689">
        <f>VLOOKUP(Table4[[#This Row],[Visitor]],'NHL Model'!$A$6:$B$38,2,FALSE)</f>
        <v>-0.35383832279900912</v>
      </c>
      <c r="J689">
        <f>($B$1+Table4[[#This Row],[Home Differential]])-Table4[[#This Row],[Away Differential]]</f>
        <v>0.60601684152962054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0.6045569047223831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7.060370405735697E-2</v>
      </c>
      <c r="H690" t="s">
        <v>19</v>
      </c>
      <c r="I690">
        <f>VLOOKUP(Table4[[#This Row],[Visitor]],'NHL Model'!$A$6:$B$38,2,FALSE)</f>
        <v>-6.3531358246322375E-2</v>
      </c>
      <c r="J690">
        <f>($B$1+Table4[[#This Row],[Home Differential]])-Table4[[#This Row],[Away Differential]]</f>
        <v>0.22120320718122233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0.57368627169255526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0.25731150832780025</v>
      </c>
      <c r="H691" t="s">
        <v>24</v>
      </c>
      <c r="I691">
        <f>VLOOKUP(Table4[[#This Row],[Visitor]],'NHL Model'!$A$6:$B$38,2,FALSE)</f>
        <v>-2.9769404338063311E-4</v>
      </c>
      <c r="J691">
        <f>($B$1+Table4[[#This Row],[Home Differential]])-Table4[[#This Row],[Away Differential]]</f>
        <v>0.3446773472487239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0.57314114186948784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-0.52701775861642253</v>
      </c>
      <c r="H692" t="s">
        <v>34</v>
      </c>
      <c r="I692">
        <f>VLOOKUP(Table4[[#This Row],[Visitor]],'NHL Model'!$A$6:$B$38,2,FALSE)</f>
        <v>4.4994204383705286E-2</v>
      </c>
      <c r="J692">
        <f>($B$1+Table4[[#This Row],[Home Differential]])-Table4[[#This Row],[Away Differential]]</f>
        <v>-0.4849438181225848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0.53242863974411836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0.22444955994982585</v>
      </c>
      <c r="H693" t="s">
        <v>28</v>
      </c>
      <c r="I693">
        <f>VLOOKUP(Table4[[#This Row],[Visitor]],'NHL Model'!$A$6:$B$38,2,FALSE)</f>
        <v>-0.25582283032518105</v>
      </c>
      <c r="J693">
        <f>($B$1+Table4[[#This Row],[Home Differential]])-Table4[[#This Row],[Away Differential]]</f>
        <v>0.5673405351525499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0.60043684987457369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-9.7143783320053662E-2</v>
      </c>
      <c r="H694" t="s">
        <v>17</v>
      </c>
      <c r="I694">
        <f>VLOOKUP(Table4[[#This Row],[Visitor]],'NHL Model'!$A$6:$B$38,2,FALSE)</f>
        <v>-0.19871596400308536</v>
      </c>
      <c r="J694">
        <f>($B$1+Table4[[#This Row],[Home Differential]])-Table4[[#This Row],[Away Differential]]</f>
        <v>0.1886403255605747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0.57920064102928304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-0.25852364135215161</v>
      </c>
      <c r="H695" t="s">
        <v>22</v>
      </c>
      <c r="I695">
        <f>VLOOKUP(Table4[[#This Row],[Visitor]],'NHL Model'!$A$6:$B$38,2,FALSE)</f>
        <v>0.96536026973954592</v>
      </c>
      <c r="J695">
        <f>($B$1+Table4[[#This Row],[Home Differential]])-Table4[[#This Row],[Away Differential]]</f>
        <v>-1.1368157662141545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0.63523991909557143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0.16928148250244404</v>
      </c>
      <c r="H696" t="s">
        <v>35</v>
      </c>
      <c r="I696">
        <f>VLOOKUP(Table4[[#This Row],[Visitor]],'NHL Model'!$A$6:$B$38,2,FALSE)</f>
        <v>-0.95834101872668032</v>
      </c>
      <c r="J696">
        <f>($B$1+Table4[[#This Row],[Home Differential]])-Table4[[#This Row],[Away Differential]]</f>
        <v>1.2146906461066673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0.70982802409140366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-9.7143783320053662E-2</v>
      </c>
      <c r="H697" t="s">
        <v>13</v>
      </c>
      <c r="I697">
        <f>VLOOKUP(Table4[[#This Row],[Visitor]],'NHL Model'!$A$6:$B$38,2,FALSE)</f>
        <v>8.443955887089849E-2</v>
      </c>
      <c r="J697">
        <f>($B$1+Table4[[#This Row],[Home Differential]])-Table4[[#This Row],[Away Differential]]</f>
        <v>-9.4515197313409155E-2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0.51711063474363239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0.20241790420125966</v>
      </c>
      <c r="H698" t="s">
        <v>15</v>
      </c>
      <c r="I698">
        <f>VLOOKUP(Table4[[#This Row],[Visitor]],'NHL Model'!$A$6:$B$38,2,FALSE)</f>
        <v>0.1651103738530684</v>
      </c>
      <c r="J698">
        <f>($B$1+Table4[[#This Row],[Home Differential]])-Table4[[#This Row],[Away Differential]]</f>
        <v>0.12437567522573426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0.50665300989935624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-0.35383832279900912</v>
      </c>
      <c r="H699" t="s">
        <v>31</v>
      </c>
      <c r="I699">
        <f>VLOOKUP(Table4[[#This Row],[Visitor]],'NHL Model'!$A$6:$B$38,2,FALSE)</f>
        <v>0.44031772420389576</v>
      </c>
      <c r="J699">
        <f>($B$1+Table4[[#This Row],[Home Differential]])-Table4[[#This Row],[Away Differential]]</f>
        <v>-0.70708790212536188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0.5459118949677334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0.48797916660265073</v>
      </c>
      <c r="H700" t="s">
        <v>32</v>
      </c>
      <c r="I700">
        <f>VLOOKUP(Table4[[#This Row],[Visitor]],'NHL Model'!$A$6:$B$38,2,FALSE)</f>
        <v>-0.52701775861642253</v>
      </c>
      <c r="J700">
        <f>($B$1+Table4[[#This Row],[Home Differential]])-Table4[[#This Row],[Away Differential]]</f>
        <v>1.1020650700966161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0.68343696447200597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1.7072432657355574</v>
      </c>
      <c r="H701" t="s">
        <v>28</v>
      </c>
      <c r="I701">
        <f>VLOOKUP(Table4[[#This Row],[Visitor]],'NHL Model'!$A$6:$B$38,2,FALSE)</f>
        <v>-0.25582283032518105</v>
      </c>
      <c r="J701">
        <f>($B$1+Table4[[#This Row],[Home Differential]])-Table4[[#This Row],[Away Differential]]</f>
        <v>2.0501342409382817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0.86621476580041268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-0.19871596400308536</v>
      </c>
      <c r="H702" t="s">
        <v>13</v>
      </c>
      <c r="I702">
        <f>VLOOKUP(Table4[[#This Row],[Visitor]],'NHL Model'!$A$6:$B$38,2,FALSE)</f>
        <v>8.443955887089849E-2</v>
      </c>
      <c r="J702">
        <f>($B$1+Table4[[#This Row],[Home Differential]])-Table4[[#This Row],[Away Differential]]</f>
        <v>-0.19608737799644085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0.52793077230655627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4.4994204383705286E-2</v>
      </c>
      <c r="H703" t="s">
        <v>30</v>
      </c>
      <c r="I703">
        <f>VLOOKUP(Table4[[#This Row],[Visitor]],'NHL Model'!$A$6:$B$38,2,FALSE)</f>
        <v>0.30302134926393393</v>
      </c>
      <c r="J703">
        <f>($B$1+Table4[[#This Row],[Home Differential]])-Table4[[#This Row],[Away Differential]]</f>
        <v>-0.17095900000268566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0.54452746795897233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-0.31732900620087529</v>
      </c>
      <c r="H704" t="s">
        <v>26</v>
      </c>
      <c r="I704">
        <f>VLOOKUP(Table4[[#This Row],[Visitor]],'NHL Model'!$A$6:$B$38,2,FALSE)</f>
        <v>-0.47317909800770142</v>
      </c>
      <c r="J704">
        <f>($B$1+Table4[[#This Row],[Home Differential]])-Table4[[#This Row],[Away Differential]]</f>
        <v>0.24291823668436913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0.56504775715746813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-0.88005793547499611</v>
      </c>
      <c r="H705" t="s">
        <v>10</v>
      </c>
      <c r="I705">
        <f>VLOOKUP(Table4[[#This Row],[Visitor]],'NHL Model'!$A$6:$B$38,2,FALSE)</f>
        <v>-0.25852364135215161</v>
      </c>
      <c r="J705">
        <f>($B$1+Table4[[#This Row],[Home Differential]])-Table4[[#This Row],[Away Differential]]</f>
        <v>-0.53446614924530156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0.51693485380221305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-0.17962977873499933</v>
      </c>
      <c r="H706" t="s">
        <v>11</v>
      </c>
      <c r="I706">
        <f>VLOOKUP(Table4[[#This Row],[Visitor]],'NHL Model'!$A$6:$B$38,2,FALSE)</f>
        <v>-0.10214397920743352</v>
      </c>
      <c r="J706">
        <f>($B$1+Table4[[#This Row],[Home Differential]])-Table4[[#This Row],[Away Differential]]</f>
        <v>9.5823453499771921E-3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0.54102077452866504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7.060370405735697E-2</v>
      </c>
      <c r="H707" t="s">
        <v>37</v>
      </c>
      <c r="I707">
        <f>VLOOKUP(Table4[[#This Row],[Visitor]],'NHL Model'!$A$6:$B$38,2,FALSE)</f>
        <v>0.66951981565543606</v>
      </c>
      <c r="J707">
        <f>($B$1+Table4[[#This Row],[Home Differential]])-Table4[[#This Row],[Away Differential]]</f>
        <v>-0.51184796672053612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0.57697439564548958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0.25731150832780025</v>
      </c>
      <c r="H708" t="s">
        <v>16</v>
      </c>
      <c r="I708">
        <f>VLOOKUP(Table4[[#This Row],[Visitor]],'NHL Model'!$A$6:$B$38,2,FALSE)</f>
        <v>-0.65802650867783552</v>
      </c>
      <c r="J708">
        <f>($B$1+Table4[[#This Row],[Home Differential]])-Table4[[#This Row],[Away Differential]]</f>
        <v>1.0024061618831788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0.64678290544283346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-0.25672436988374864</v>
      </c>
      <c r="H709" t="s">
        <v>39</v>
      </c>
      <c r="I709">
        <f>VLOOKUP(Table4[[#This Row],[Visitor]],'NHL Model'!$A$6:$B$38,2,FALSE)</f>
        <v>0.86540791565538033</v>
      </c>
      <c r="J709">
        <f>($B$1+Table4[[#This Row],[Home Differential]])-Table4[[#This Row],[Away Differential]]</f>
        <v>-1.0350641406615859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0.66274803624804213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-6.3531358246322375E-2</v>
      </c>
      <c r="H710" t="s">
        <v>38</v>
      </c>
      <c r="I710">
        <f>VLOOKUP(Table4[[#This Row],[Visitor]],'NHL Model'!$A$6:$B$38,2,FALSE)</f>
        <v>-0.59313840141656504</v>
      </c>
      <c r="J710">
        <f>($B$1+Table4[[#This Row],[Home Differential]])-Table4[[#This Row],[Away Differential]]</f>
        <v>0.61667518804778565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0.60569230198120283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0.22444955994982585</v>
      </c>
      <c r="H711" t="s">
        <v>35</v>
      </c>
      <c r="I711">
        <f>VLOOKUP(Table4[[#This Row],[Visitor]],'NHL Model'!$A$6:$B$38,2,FALSE)</f>
        <v>-0.95834101872668032</v>
      </c>
      <c r="J711">
        <f>($B$1+Table4[[#This Row],[Home Differential]])-Table4[[#This Row],[Away Differential]]</f>
        <v>1.2698587235540493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0.6752737135496899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0.20241790420125966</v>
      </c>
      <c r="H712" t="s">
        <v>14</v>
      </c>
      <c r="I712">
        <f>VLOOKUP(Table4[[#This Row],[Visitor]],'NHL Model'!$A$6:$B$38,2,FALSE)</f>
        <v>0.25731150832780025</v>
      </c>
      <c r="J712">
        <f>($B$1+Table4[[#This Row],[Home Differential]])-Table4[[#This Row],[Away Differential]]</f>
        <v>3.2174540751002401E-2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0.56656737569828763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-0.88005793547499611</v>
      </c>
      <c r="H713" t="s">
        <v>22</v>
      </c>
      <c r="I713">
        <f>VLOOKUP(Table4[[#This Row],[Visitor]],'NHL Model'!$A$6:$B$38,2,FALSE)</f>
        <v>0.96536026973954592</v>
      </c>
      <c r="J713">
        <f>($B$1+Table4[[#This Row],[Home Differential]])-Table4[[#This Row],[Away Differential]]</f>
        <v>-1.758350060336999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0.70144984505423946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-0.25672436988374864</v>
      </c>
      <c r="H714" t="s">
        <v>20</v>
      </c>
      <c r="I714">
        <f>VLOOKUP(Table4[[#This Row],[Visitor]],'NHL Model'!$A$6:$B$38,2,FALSE)</f>
        <v>0.22444955994982585</v>
      </c>
      <c r="J714">
        <f>($B$1+Table4[[#This Row],[Home Differential]])-Table4[[#This Row],[Away Differential]]</f>
        <v>-0.39410578495603149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0.54126947673052228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0.16928148250244404</v>
      </c>
      <c r="H715" t="s">
        <v>28</v>
      </c>
      <c r="I715">
        <f>VLOOKUP(Table4[[#This Row],[Visitor]],'NHL Model'!$A$6:$B$38,2,FALSE)</f>
        <v>-0.25582283032518105</v>
      </c>
      <c r="J715">
        <f>($B$1+Table4[[#This Row],[Home Differential]])-Table4[[#This Row],[Away Differential]]</f>
        <v>0.51217245770516806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0.63499116041628756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-9.7143783320053662E-2</v>
      </c>
      <c r="H716" t="s">
        <v>24</v>
      </c>
      <c r="I716">
        <f>VLOOKUP(Table4[[#This Row],[Visitor]],'NHL Model'!$A$6:$B$38,2,FALSE)</f>
        <v>-2.9769404338063311E-4</v>
      </c>
      <c r="J716">
        <f>($B$1+Table4[[#This Row],[Home Differential]])-Table4[[#This Row],[Away Differential]]</f>
        <v>-9.7779443991300313E-3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0.44548605547189069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-0.35383832279900912</v>
      </c>
      <c r="H717" t="s">
        <v>11</v>
      </c>
      <c r="I717">
        <f>VLOOKUP(Table4[[#This Row],[Visitor]],'NHL Model'!$A$6:$B$38,2,FALSE)</f>
        <v>-0.10214397920743352</v>
      </c>
      <c r="J717">
        <f>($B$1+Table4[[#This Row],[Home Differential]])-Table4[[#This Row],[Away Differential]]</f>
        <v>-0.16462619871403261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0.46741481740029006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-0.25852364135215161</v>
      </c>
      <c r="H718" t="s">
        <v>17</v>
      </c>
      <c r="I718">
        <f>VLOOKUP(Table4[[#This Row],[Visitor]],'NHL Model'!$A$6:$B$38,2,FALSE)</f>
        <v>-0.19871596400308536</v>
      </c>
      <c r="J718">
        <f>($B$1+Table4[[#This Row],[Home Differential]])-Table4[[#This Row],[Away Differential]]</f>
        <v>2.7260467528476745E-2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0.54290396451768819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1.7072432657355574</v>
      </c>
      <c r="H719" t="s">
        <v>19</v>
      </c>
      <c r="I719">
        <f>VLOOKUP(Table4[[#This Row],[Visitor]],'NHL Model'!$A$6:$B$38,2,FALSE)</f>
        <v>-6.3531358246322375E-2</v>
      </c>
      <c r="J719">
        <f>($B$1+Table4[[#This Row],[Home Differential]])-Table4[[#This Row],[Away Differential]]</f>
        <v>1.8578427688594228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0.84573061191025223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-0.47317909800770142</v>
      </c>
      <c r="H720" t="s">
        <v>25</v>
      </c>
      <c r="I720">
        <f>VLOOKUP(Table4[[#This Row],[Visitor]],'NHL Model'!$A$6:$B$38,2,FALSE)</f>
        <v>0.48797916660265073</v>
      </c>
      <c r="J720">
        <f>($B$1+Table4[[#This Row],[Home Differential]])-Table4[[#This Row],[Away Differential]]</f>
        <v>-0.87409011973280915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0.6155628152336623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8.443955887089849E-2</v>
      </c>
      <c r="H721" t="s">
        <v>39</v>
      </c>
      <c r="I721">
        <f>VLOOKUP(Table4[[#This Row],[Visitor]],'NHL Model'!$A$6:$B$38,2,FALSE)</f>
        <v>0.86540791565538033</v>
      </c>
      <c r="J721">
        <f>($B$1+Table4[[#This Row],[Home Differential]])-Table4[[#This Row],[Away Differential]]</f>
        <v>-0.69390021190693885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0.6264050079128286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4.4994204383705286E-2</v>
      </c>
      <c r="H722" t="s">
        <v>24</v>
      </c>
      <c r="I722">
        <f>VLOOKUP(Table4[[#This Row],[Visitor]],'NHL Model'!$A$6:$B$38,2,FALSE)</f>
        <v>-2.9769404338063311E-4</v>
      </c>
      <c r="J722">
        <f>($B$1+Table4[[#This Row],[Home Differential]])-Table4[[#This Row],[Away Differential]]</f>
        <v>0.13236004330462889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0.55052370449425569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-0.31732900620087529</v>
      </c>
      <c r="H723" t="s">
        <v>38</v>
      </c>
      <c r="I723">
        <f>VLOOKUP(Table4[[#This Row],[Visitor]],'NHL Model'!$A$6:$B$38,2,FALSE)</f>
        <v>-0.59313840141656504</v>
      </c>
      <c r="J723">
        <f>($B$1+Table4[[#This Row],[Home Differential]])-Table4[[#This Row],[Away Differential]]</f>
        <v>0.36287754009323275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0.57865610520420918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0.1651103738530684</v>
      </c>
      <c r="H724" t="s">
        <v>32</v>
      </c>
      <c r="I724">
        <f>VLOOKUP(Table4[[#This Row],[Visitor]],'NHL Model'!$A$6:$B$38,2,FALSE)</f>
        <v>-0.52701775861642253</v>
      </c>
      <c r="J724">
        <f>($B$1+Table4[[#This Row],[Home Differential]])-Table4[[#This Row],[Away Differential]]</f>
        <v>0.77919627734703389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0.62300511865274522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7.060370405735697E-2</v>
      </c>
      <c r="H725" t="s">
        <v>37</v>
      </c>
      <c r="I725">
        <f>VLOOKUP(Table4[[#This Row],[Visitor]],'NHL Model'!$A$6:$B$38,2,FALSE)</f>
        <v>0.66951981565543606</v>
      </c>
      <c r="J725">
        <f>($B$1+Table4[[#This Row],[Home Differential]])-Table4[[#This Row],[Away Differential]]</f>
        <v>-0.51184796672053612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0.57697439564548958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0.44031772420389576</v>
      </c>
      <c r="H726" t="s">
        <v>39</v>
      </c>
      <c r="I726">
        <f>VLOOKUP(Table4[[#This Row],[Visitor]],'NHL Model'!$A$6:$B$38,2,FALSE)</f>
        <v>0.86540791565538033</v>
      </c>
      <c r="J726">
        <f>($B$1+Table4[[#This Row],[Home Differential]])-Table4[[#This Row],[Away Differential]]</f>
        <v>-0.33802204657394153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0.51219881054577199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0.20241790420125966</v>
      </c>
      <c r="H727" t="s">
        <v>26</v>
      </c>
      <c r="I727">
        <f>VLOOKUP(Table4[[#This Row],[Visitor]],'NHL Model'!$A$6:$B$38,2,FALSE)</f>
        <v>-0.47317909800770142</v>
      </c>
      <c r="J727">
        <f>($B$1+Table4[[#This Row],[Home Differential]])-Table4[[#This Row],[Away Differential]]</f>
        <v>0.76266514708650401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0.67957047362867007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-0.25582283032518105</v>
      </c>
      <c r="H728" t="s">
        <v>16</v>
      </c>
      <c r="I728">
        <f>VLOOKUP(Table4[[#This Row],[Visitor]],'NHL Model'!$A$6:$B$38,2,FALSE)</f>
        <v>-0.65802650867783552</v>
      </c>
      <c r="J728">
        <f>($B$1+Table4[[#This Row],[Home Differential]])-Table4[[#This Row],[Away Differential]]</f>
        <v>0.48927182323019747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0.59212045657987655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-0.88005793547499611</v>
      </c>
      <c r="H729" t="s">
        <v>17</v>
      </c>
      <c r="I729">
        <f>VLOOKUP(Table4[[#This Row],[Visitor]],'NHL Model'!$A$6:$B$38,2,FALSE)</f>
        <v>-0.19871596400308536</v>
      </c>
      <c r="J729">
        <f>($B$1+Table4[[#This Row],[Home Differential]])-Table4[[#This Row],[Away Differential]]</f>
        <v>-0.59427382659436778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0.52330596144097985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-0.17962977873499933</v>
      </c>
      <c r="H730" t="s">
        <v>38</v>
      </c>
      <c r="I730">
        <f>VLOOKUP(Table4[[#This Row],[Visitor]],'NHL Model'!$A$6:$B$38,2,FALSE)</f>
        <v>-0.59313840141656504</v>
      </c>
      <c r="J730">
        <f>($B$1+Table4[[#This Row],[Home Differential]])-Table4[[#This Row],[Away Differential]]</f>
        <v>0.50057676755910874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0.59332473369549477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0.25731150832780025</v>
      </c>
      <c r="H731" t="s">
        <v>37</v>
      </c>
      <c r="I731">
        <f>VLOOKUP(Table4[[#This Row],[Visitor]],'NHL Model'!$A$6:$B$38,2,FALSE)</f>
        <v>0.66951981565543606</v>
      </c>
      <c r="J731">
        <f>($B$1+Table4[[#This Row],[Home Differential]])-Table4[[#This Row],[Away Differential]]</f>
        <v>-0.32514016245009281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0.56725924033605957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-0.95834101872668032</v>
      </c>
      <c r="H732" t="s">
        <v>25</v>
      </c>
      <c r="I732">
        <f>VLOOKUP(Table4[[#This Row],[Visitor]],'NHL Model'!$A$6:$B$38,2,FALSE)</f>
        <v>0.48797916660265073</v>
      </c>
      <c r="J732">
        <f>($B$1+Table4[[#This Row],[Home Differential]])-Table4[[#This Row],[Away Differential]]</f>
        <v>-1.359252040451788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0.67741964744939387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0.16928148250244404</v>
      </c>
      <c r="H733" t="s">
        <v>19</v>
      </c>
      <c r="I733">
        <f>VLOOKUP(Table4[[#This Row],[Visitor]],'NHL Model'!$A$6:$B$38,2,FALSE)</f>
        <v>-6.3531358246322375E-2</v>
      </c>
      <c r="J733">
        <f>($B$1+Table4[[#This Row],[Home Differential]])-Table4[[#This Row],[Away Differential]]</f>
        <v>0.3198809856263094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0.61450700652612722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-9.7143783320053662E-2</v>
      </c>
      <c r="H734" t="s">
        <v>30</v>
      </c>
      <c r="I734">
        <f>VLOOKUP(Table4[[#This Row],[Visitor]],'NHL Model'!$A$6:$B$38,2,FALSE)</f>
        <v>0.30302134926393393</v>
      </c>
      <c r="J734">
        <f>($B$1+Table4[[#This Row],[Home Differential]])-Table4[[#This Row],[Away Differential]]</f>
        <v>-0.31309698770644456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0.54039540646851414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0.96536026973954592</v>
      </c>
      <c r="H735" t="s">
        <v>18</v>
      </c>
      <c r="I735">
        <f>VLOOKUP(Table4[[#This Row],[Visitor]],'NHL Model'!$A$6:$B$38,2,FALSE)</f>
        <v>-0.31732900620087529</v>
      </c>
      <c r="J735">
        <f>($B$1+Table4[[#This Row],[Home Differential]])-Table4[[#This Row],[Away Differential]]</f>
        <v>1.3697574208179644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0.64979154963077779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-0.35383832279900912</v>
      </c>
      <c r="H736" t="s">
        <v>27</v>
      </c>
      <c r="I736">
        <f>VLOOKUP(Table4[[#This Row],[Visitor]],'NHL Model'!$A$6:$B$38,2,FALSE)</f>
        <v>7.060370405735697E-2</v>
      </c>
      <c r="J736">
        <f>($B$1+Table4[[#This Row],[Home Differential]])-Table4[[#This Row],[Away Differential]]</f>
        <v>-0.33737388197882312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0.52824697990200054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8.443955887089849E-2</v>
      </c>
      <c r="H737" t="s">
        <v>20</v>
      </c>
      <c r="I737">
        <f>VLOOKUP(Table4[[#This Row],[Visitor]],'NHL Model'!$A$6:$B$38,2,FALSE)</f>
        <v>0.22444955994982585</v>
      </c>
      <c r="J737">
        <f>($B$1+Table4[[#This Row],[Home Differential]])-Table4[[#This Row],[Away Differential]]</f>
        <v>-5.2941856201384363E-2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0.50492644839530865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-2.9769404338063311E-4</v>
      </c>
      <c r="H738" t="s">
        <v>32</v>
      </c>
      <c r="I738">
        <f>VLOOKUP(Table4[[#This Row],[Visitor]],'NHL Model'!$A$6:$B$38,2,FALSE)</f>
        <v>-0.52701775861642253</v>
      </c>
      <c r="J738">
        <f>($B$1+Table4[[#This Row],[Home Differential]])-Table4[[#This Row],[Away Differential]]</f>
        <v>0.61378820945058488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0.64828631641374468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0.1651103738530684</v>
      </c>
      <c r="H739" t="s">
        <v>36</v>
      </c>
      <c r="I739">
        <f>VLOOKUP(Table4[[#This Row],[Visitor]],'NHL Model'!$A$6:$B$38,2,FALSE)</f>
        <v>-0.17962977873499933</v>
      </c>
      <c r="J739">
        <f>($B$1+Table4[[#This Row],[Home Differential]])-Table4[[#This Row],[Away Differential]]</f>
        <v>0.43180829746561067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0.58242290446427758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0.20241790420125966</v>
      </c>
      <c r="H740" t="s">
        <v>32</v>
      </c>
      <c r="I740">
        <f>VLOOKUP(Table4[[#This Row],[Visitor]],'NHL Model'!$A$6:$B$38,2,FALSE)</f>
        <v>-0.52701775861642253</v>
      </c>
      <c r="J740">
        <f>($B$1+Table4[[#This Row],[Home Differential]])-Table4[[#This Row],[Away Differential]]</f>
        <v>0.81650380769522513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0.68610790276925893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-0.35383832279900912</v>
      </c>
      <c r="H741" t="s">
        <v>18</v>
      </c>
      <c r="I741">
        <f>VLOOKUP(Table4[[#This Row],[Visitor]],'NHL Model'!$A$6:$B$38,2,FALSE)</f>
        <v>-0.31732900620087529</v>
      </c>
      <c r="J741">
        <f>($B$1+Table4[[#This Row],[Home Differential]])-Table4[[#This Row],[Away Differential]]</f>
        <v>5.0558828279409163E-2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0.48293687973819577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-0.25582283032518105</v>
      </c>
      <c r="H742" t="s">
        <v>38</v>
      </c>
      <c r="I742">
        <f>VLOOKUP(Table4[[#This Row],[Visitor]],'NHL Model'!$A$6:$B$38,2,FALSE)</f>
        <v>-0.59313840141656504</v>
      </c>
      <c r="J742">
        <f>($B$1+Table4[[#This Row],[Home Differential]])-Table4[[#This Row],[Away Differential]]</f>
        <v>0.42438371596892699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0.58520814809104249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-0.25852364135215161</v>
      </c>
      <c r="H743" t="s">
        <v>16</v>
      </c>
      <c r="I743">
        <f>VLOOKUP(Table4[[#This Row],[Visitor]],'NHL Model'!$A$6:$B$38,2,FALSE)</f>
        <v>-0.65802650867783552</v>
      </c>
      <c r="J743">
        <f>($B$1+Table4[[#This Row],[Home Differential]])-Table4[[#This Row],[Away Differential]]</f>
        <v>0.4865710122032269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0.59183274840381128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-0.19871596400308536</v>
      </c>
      <c r="H744" t="s">
        <v>30</v>
      </c>
      <c r="I744">
        <f>VLOOKUP(Table4[[#This Row],[Visitor]],'NHL Model'!$A$6:$B$38,2,FALSE)</f>
        <v>0.30302134926393393</v>
      </c>
      <c r="J744">
        <f>($B$1+Table4[[#This Row],[Home Differential]])-Table4[[#This Row],[Away Differential]]</f>
        <v>-0.41466916838947632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0.55121554403143802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4.4994204383705286E-2</v>
      </c>
      <c r="H745" t="s">
        <v>40</v>
      </c>
      <c r="I745">
        <f>VLOOKUP(Table4[[#This Row],[Visitor]],'NHL Model'!$A$6:$B$38,2,FALSE)</f>
        <v>-9.7143783320053662E-2</v>
      </c>
      <c r="J745">
        <f>($B$1+Table4[[#This Row],[Home Differential]])-Table4[[#This Row],[Away Differential]]</f>
        <v>0.22920613258130193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0.56441654661855434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0.25731150832780025</v>
      </c>
      <c r="H746" t="s">
        <v>27</v>
      </c>
      <c r="I746">
        <f>VLOOKUP(Table4[[#This Row],[Visitor]],'NHL Model'!$A$6:$B$38,2,FALSE)</f>
        <v>7.060370405735697E-2</v>
      </c>
      <c r="J746">
        <f>($B$1+Table4[[#This Row],[Home Differential]])-Table4[[#This Row],[Away Differential]]</f>
        <v>0.27377594914798631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0.52665185416783411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0.16928148250244404</v>
      </c>
      <c r="H747" t="s">
        <v>39</v>
      </c>
      <c r="I747">
        <f>VLOOKUP(Table4[[#This Row],[Visitor]],'NHL Model'!$A$6:$B$38,2,FALSE)</f>
        <v>0.86540791565538033</v>
      </c>
      <c r="J747">
        <f>($B$1+Table4[[#This Row],[Home Differential]])-Table4[[#This Row],[Away Differential]]</f>
        <v>-0.60905828827539332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0.57650880663512516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0.22444955994982585</v>
      </c>
      <c r="H748" t="s">
        <v>19</v>
      </c>
      <c r="I748">
        <f>VLOOKUP(Table4[[#This Row],[Visitor]],'NHL Model'!$A$6:$B$38,2,FALSE)</f>
        <v>-6.3531358246322375E-2</v>
      </c>
      <c r="J748">
        <f>($B$1+Table4[[#This Row],[Home Differential]])-Table4[[#This Row],[Away Differential]]</f>
        <v>0.37504906307369124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0.57995269598441335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0.96536026973954592</v>
      </c>
      <c r="H749" t="s">
        <v>33</v>
      </c>
      <c r="I749">
        <f>VLOOKUP(Table4[[#This Row],[Visitor]],'NHL Model'!$A$6:$B$38,2,FALSE)</f>
        <v>-0.25672436988374864</v>
      </c>
      <c r="J749">
        <f>($B$1+Table4[[#This Row],[Home Differential]])-Table4[[#This Row],[Away Differential]]</f>
        <v>1.3091527845008377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0.71549644204177099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0.48797916660265073</v>
      </c>
      <c r="H750" t="s">
        <v>11</v>
      </c>
      <c r="I750">
        <f>VLOOKUP(Table4[[#This Row],[Visitor]],'NHL Model'!$A$6:$B$38,2,FALSE)</f>
        <v>-0.10214397920743352</v>
      </c>
      <c r="J750">
        <f>($B$1+Table4[[#This Row],[Home Differential]])-Table4[[#This Row],[Away Differential]]</f>
        <v>0.67719129068762729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0.6381766115961458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1.7072432657355574</v>
      </c>
      <c r="H751" t="s">
        <v>29</v>
      </c>
      <c r="I751">
        <f>VLOOKUP(Table4[[#This Row],[Visitor]],'NHL Model'!$A$6:$B$38,2,FALSE)</f>
        <v>-0.88005793547499611</v>
      </c>
      <c r="J751">
        <f>($B$1+Table4[[#This Row],[Home Differential]])-Table4[[#This Row],[Away Differential]]</f>
        <v>2.6743693460880964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0.93271239993514587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-0.47317909800770142</v>
      </c>
      <c r="H752" t="s">
        <v>33</v>
      </c>
      <c r="I752">
        <f>VLOOKUP(Table4[[#This Row],[Visitor]],'NHL Model'!$A$6:$B$38,2,FALSE)</f>
        <v>-0.25672436988374864</v>
      </c>
      <c r="J752">
        <f>($B$1+Table4[[#This Row],[Home Differential]])-Table4[[#This Row],[Away Differential]]</f>
        <v>-0.12938658324640978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0.46366086149956853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8.443955887089849E-2</v>
      </c>
      <c r="H753" t="s">
        <v>31</v>
      </c>
      <c r="I753">
        <f>VLOOKUP(Table4[[#This Row],[Visitor]],'NHL Model'!$A$6:$B$38,2,FALSE)</f>
        <v>0.44031772420389576</v>
      </c>
      <c r="J753">
        <f>($B$1+Table4[[#This Row],[Home Differential]])-Table4[[#This Row],[Away Differential]]</f>
        <v>-0.26881002045545427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0.50940464432500465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-0.95834101872668032</v>
      </c>
      <c r="H754" t="s">
        <v>37</v>
      </c>
      <c r="I754">
        <f>VLOOKUP(Table4[[#This Row],[Visitor]],'NHL Model'!$A$6:$B$38,2,FALSE)</f>
        <v>0.66951981565543606</v>
      </c>
      <c r="J754">
        <f>($B$1+Table4[[#This Row],[Home Differential]])-Table4[[#This Row],[Away Differential]]</f>
        <v>-1.5407926895045734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0.69675855287413269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0.44031772420389576</v>
      </c>
      <c r="H755" t="s">
        <v>13</v>
      </c>
      <c r="I755">
        <f>VLOOKUP(Table4[[#This Row],[Visitor]],'NHL Model'!$A$6:$B$38,2,FALSE)</f>
        <v>8.443955887089849E-2</v>
      </c>
      <c r="J755">
        <f>($B$1+Table4[[#This Row],[Home Differential]])-Table4[[#This Row],[Away Differential]]</f>
        <v>0.44294631021054032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0.59718555786868399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-0.35383832279900912</v>
      </c>
      <c r="H756" t="s">
        <v>34</v>
      </c>
      <c r="I756">
        <f>VLOOKUP(Table4[[#This Row],[Visitor]],'NHL Model'!$A$6:$B$38,2,FALSE)</f>
        <v>4.4994204383705286E-2</v>
      </c>
      <c r="J756">
        <f>($B$1+Table4[[#This Row],[Home Differential]])-Table4[[#This Row],[Away Differential]]</f>
        <v>-0.31176438230517139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0.50379943033864316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-0.65802650867783552</v>
      </c>
      <c r="H757" t="s">
        <v>30</v>
      </c>
      <c r="I757">
        <f>VLOOKUP(Table4[[#This Row],[Visitor]],'NHL Model'!$A$6:$B$38,2,FALSE)</f>
        <v>0.30302134926393393</v>
      </c>
      <c r="J757">
        <f>($B$1+Table4[[#This Row],[Home Differential]])-Table4[[#This Row],[Away Differential]]</f>
        <v>-0.87397971306422639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0.61941786387011855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-0.25852364135215161</v>
      </c>
      <c r="H758" t="s">
        <v>21</v>
      </c>
      <c r="I758">
        <f>VLOOKUP(Table4[[#This Row],[Visitor]],'NHL Model'!$A$6:$B$38,2,FALSE)</f>
        <v>0.20241790420125966</v>
      </c>
      <c r="J758">
        <f>($B$1+Table4[[#This Row],[Home Differential]])-Table4[[#This Row],[Away Differential]]</f>
        <v>-0.37387340067586827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0.49982745668378536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-2.9769404338063311E-4</v>
      </c>
      <c r="H759" t="s">
        <v>25</v>
      </c>
      <c r="I759">
        <f>VLOOKUP(Table4[[#This Row],[Visitor]],'NHL Model'!$A$6:$B$38,2,FALSE)</f>
        <v>0.48797916660265073</v>
      </c>
      <c r="J759">
        <f>($B$1+Table4[[#This Row],[Home Differential]])-Table4[[#This Row],[Away Differential]]</f>
        <v>-0.40120871576848838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0.53182236388920923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-0.17962977873499933</v>
      </c>
      <c r="H760" t="s">
        <v>18</v>
      </c>
      <c r="I760">
        <f>VLOOKUP(Table4[[#This Row],[Visitor]],'NHL Model'!$A$6:$B$38,2,FALSE)</f>
        <v>-0.31732900620087529</v>
      </c>
      <c r="J760">
        <f>($B$1+Table4[[#This Row],[Home Differential]])-Table4[[#This Row],[Away Differential]]</f>
        <v>0.22476737234341895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0.49132053153988442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7.060370405735697E-2</v>
      </c>
      <c r="H761" t="s">
        <v>15</v>
      </c>
      <c r="I761">
        <f>VLOOKUP(Table4[[#This Row],[Visitor]],'NHL Model'!$A$6:$B$38,2,FALSE)</f>
        <v>0.1651103738530684</v>
      </c>
      <c r="J761">
        <f>($B$1+Table4[[#This Row],[Home Differential]])-Table4[[#This Row],[Away Differential]]</f>
        <v>-7.4385249181684321E-3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0.55731413978914457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0.25731150832780025</v>
      </c>
      <c r="H762" t="s">
        <v>28</v>
      </c>
      <c r="I762">
        <f>VLOOKUP(Table4[[#This Row],[Visitor]],'NHL Model'!$A$6:$B$38,2,FALSE)</f>
        <v>-0.25582283032518105</v>
      </c>
      <c r="J762">
        <f>($B$1+Table4[[#This Row],[Home Differential]])-Table4[[#This Row],[Away Differential]]</f>
        <v>0.6002024835305243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0.60393752101941189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0.16928148250244404</v>
      </c>
      <c r="H763" t="s">
        <v>32</v>
      </c>
      <c r="I763">
        <f>VLOOKUP(Table4[[#This Row],[Visitor]],'NHL Model'!$A$6:$B$38,2,FALSE)</f>
        <v>-0.52701775861642253</v>
      </c>
      <c r="J763">
        <f>($B$1+Table4[[#This Row],[Home Differential]])-Table4[[#This Row],[Away Differential]]</f>
        <v>0.78336738599640954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0.66388063005990539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-0.59313840141656504</v>
      </c>
      <c r="H764" t="s">
        <v>17</v>
      </c>
      <c r="I764">
        <f>VLOOKUP(Table4[[#This Row],[Visitor]],'NHL Model'!$A$6:$B$38,2,FALSE)</f>
        <v>-0.19871596400308536</v>
      </c>
      <c r="J764">
        <f>($B$1+Table4[[#This Row],[Home Differential]])-Table4[[#This Row],[Away Differential]]</f>
        <v>-0.30735429253593671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0.49274140324083404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0.22444955994982585</v>
      </c>
      <c r="H765" t="s">
        <v>29</v>
      </c>
      <c r="I765">
        <f>VLOOKUP(Table4[[#This Row],[Visitor]],'NHL Model'!$A$6:$B$38,2,FALSE)</f>
        <v>-0.88005793547499611</v>
      </c>
      <c r="J765">
        <f>($B$1+Table4[[#This Row],[Home Differential]])-Table4[[#This Row],[Away Differential]]</f>
        <v>1.191575640302365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0.66693448400930699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-9.7143783320053662E-2</v>
      </c>
      <c r="H766" t="s">
        <v>19</v>
      </c>
      <c r="I766">
        <f>VLOOKUP(Table4[[#This Row],[Visitor]],'NHL Model'!$A$6:$B$38,2,FALSE)</f>
        <v>-6.3531358246322375E-2</v>
      </c>
      <c r="J766">
        <f>($B$1+Table4[[#This Row],[Home Differential]])-Table4[[#This Row],[Away Differential]]</f>
        <v>5.345571980381171E-2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0.56479988660182423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0.96536026973954592</v>
      </c>
      <c r="H767" t="s">
        <v>11</v>
      </c>
      <c r="I767">
        <f>VLOOKUP(Table4[[#This Row],[Visitor]],'NHL Model'!$A$6:$B$38,2,FALSE)</f>
        <v>-0.10214397920743352</v>
      </c>
      <c r="J767">
        <f>($B$1+Table4[[#This Row],[Home Differential]])-Table4[[#This Row],[Away Differential]]</f>
        <v>1.1545723938245225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0.69902952087890113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0.86540791565538033</v>
      </c>
      <c r="H768" t="s">
        <v>37</v>
      </c>
      <c r="I768">
        <f>VLOOKUP(Table4[[#This Row],[Visitor]],'NHL Model'!$A$6:$B$38,2,FALSE)</f>
        <v>0.66951981565543606</v>
      </c>
      <c r="J768">
        <f>($B$1+Table4[[#This Row],[Home Differential]])-Table4[[#This Row],[Away Differential]]</f>
        <v>0.28295624487748727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0.55014236253740545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-0.47317909800770142</v>
      </c>
      <c r="H769" t="s">
        <v>36</v>
      </c>
      <c r="I769">
        <f>VLOOKUP(Table4[[#This Row],[Visitor]],'NHL Model'!$A$6:$B$38,2,FALSE)</f>
        <v>-0.17962977873499933</v>
      </c>
      <c r="J769">
        <f>($B$1+Table4[[#This Row],[Home Differential]])-Table4[[#This Row],[Away Differential]]</f>
        <v>-0.20648117439515909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0.47543702996996001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-0.19871596400308536</v>
      </c>
      <c r="H770" t="s">
        <v>35</v>
      </c>
      <c r="I770">
        <f>VLOOKUP(Table4[[#This Row],[Visitor]],'NHL Model'!$A$6:$B$38,2,FALSE)</f>
        <v>-0.95834101872668032</v>
      </c>
      <c r="J770">
        <f>($B$1+Table4[[#This Row],[Home Differential]])-Table4[[#This Row],[Away Differential]]</f>
        <v>0.84669319960113798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0.64930076660417679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0.44031772420389576</v>
      </c>
      <c r="H771" t="s">
        <v>15</v>
      </c>
      <c r="I771">
        <f>VLOOKUP(Table4[[#This Row],[Visitor]],'NHL Model'!$A$6:$B$38,2,FALSE)</f>
        <v>0.1651103738530684</v>
      </c>
      <c r="J771">
        <f>($B$1+Table4[[#This Row],[Home Differential]])-Table4[[#This Row],[Away Differential]]</f>
        <v>0.36227549522837044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0.54812875616174217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0.48797916660265073</v>
      </c>
      <c r="H772" t="s">
        <v>23</v>
      </c>
      <c r="I772">
        <f>VLOOKUP(Table4[[#This Row],[Visitor]],'NHL Model'!$A$6:$B$38,2,FALSE)</f>
        <v>-0.35383832279900912</v>
      </c>
      <c r="J772">
        <f>($B$1+Table4[[#This Row],[Home Differential]])-Table4[[#This Row],[Away Differential]]</f>
        <v>0.9288856342792029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0.66498875054164386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-0.65802650867783552</v>
      </c>
      <c r="H773" t="s">
        <v>24</v>
      </c>
      <c r="I773">
        <f>VLOOKUP(Table4[[#This Row],[Visitor]],'NHL Model'!$A$6:$B$38,2,FALSE)</f>
        <v>-2.9769404338063311E-4</v>
      </c>
      <c r="J773">
        <f>($B$1+Table4[[#This Row],[Home Differential]])-Table4[[#This Row],[Away Differential]]</f>
        <v>-0.57066066975691188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0.52436669141689052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-0.25852364135215161</v>
      </c>
      <c r="H774" t="s">
        <v>40</v>
      </c>
      <c r="I774">
        <f>VLOOKUP(Table4[[#This Row],[Visitor]],'NHL Model'!$A$6:$B$38,2,FALSE)</f>
        <v>-9.7143783320053662E-2</v>
      </c>
      <c r="J774">
        <f>($B$1+Table4[[#This Row],[Home Differential]])-Table4[[#This Row],[Away Differential]]</f>
        <v>-7.4311713154554954E-2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0.46791617304523575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1.7072432657355574</v>
      </c>
      <c r="H775" t="s">
        <v>22</v>
      </c>
      <c r="I775">
        <f>VLOOKUP(Table4[[#This Row],[Visitor]],'NHL Model'!$A$6:$B$38,2,FALSE)</f>
        <v>0.96536026973954592</v>
      </c>
      <c r="J775">
        <f>($B$1+Table4[[#This Row],[Home Differential]])-Table4[[#This Row],[Away Differential]]</f>
        <v>0.82895114087355448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0.68520455916920564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-0.10214397920743352</v>
      </c>
      <c r="H776" t="s">
        <v>33</v>
      </c>
      <c r="I776">
        <f>VLOOKUP(Table4[[#This Row],[Visitor]],'NHL Model'!$A$6:$B$38,2,FALSE)</f>
        <v>-0.25672436988374864</v>
      </c>
      <c r="J776">
        <f>($B$1+Table4[[#This Row],[Home Differential]])-Table4[[#This Row],[Away Differential]]</f>
        <v>0.24164853555385812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0.57278794517928111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-0.52701775861642253</v>
      </c>
      <c r="H777" t="s">
        <v>14</v>
      </c>
      <c r="I777">
        <f>VLOOKUP(Table4[[#This Row],[Visitor]],'NHL Model'!$A$6:$B$38,2,FALSE)</f>
        <v>0.25731150832780025</v>
      </c>
      <c r="J777">
        <f>($B$1+Table4[[#This Row],[Home Differential]])-Table4[[#This Row],[Away Differential]]</f>
        <v>-0.69726112206667978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0.57117125628800802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-6.3531358246322375E-2</v>
      </c>
      <c r="H778" t="s">
        <v>34</v>
      </c>
      <c r="I778">
        <f>VLOOKUP(Table4[[#This Row],[Visitor]],'NHL Model'!$A$6:$B$38,2,FALSE)</f>
        <v>4.4994204383705286E-2</v>
      </c>
      <c r="J778">
        <f>($B$1+Table4[[#This Row],[Home Differential]])-Table4[[#This Row],[Away Differential]]</f>
        <v>-2.1457417752484664E-2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0.48305501621034014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-0.59313840141656504</v>
      </c>
      <c r="H779" t="s">
        <v>30</v>
      </c>
      <c r="I779">
        <f>VLOOKUP(Table4[[#This Row],[Visitor]],'NHL Model'!$A$6:$B$38,2,FALSE)</f>
        <v>0.30302134926393393</v>
      </c>
      <c r="J779">
        <f>($B$1+Table4[[#This Row],[Home Differential]])-Table4[[#This Row],[Away Differential]]</f>
        <v>-0.80909160580295603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0.61250555538128448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0.22444955994982585</v>
      </c>
      <c r="H780" t="s">
        <v>27</v>
      </c>
      <c r="I780">
        <f>VLOOKUP(Table4[[#This Row],[Visitor]],'NHL Model'!$A$6:$B$38,2,FALSE)</f>
        <v>7.060370405735697E-2</v>
      </c>
      <c r="J780">
        <f>($B$1+Table4[[#This Row],[Home Differential]])-Table4[[#This Row],[Away Differential]]</f>
        <v>0.24091400077001188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0.52315118302299579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-0.25582283032518105</v>
      </c>
      <c r="H781" t="s">
        <v>36</v>
      </c>
      <c r="I781">
        <f>VLOOKUP(Table4[[#This Row],[Visitor]],'NHL Model'!$A$6:$B$38,2,FALSE)</f>
        <v>-0.17962977873499933</v>
      </c>
      <c r="J781">
        <f>($B$1+Table4[[#This Row],[Home Differential]])-Table4[[#This Row],[Away Differential]]</f>
        <v>1.0875093287361276E-2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0.53758232761160529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0.86540791565538033</v>
      </c>
      <c r="H782" t="s">
        <v>21</v>
      </c>
      <c r="I782">
        <f>VLOOKUP(Table4[[#This Row],[Visitor]],'NHL Model'!$A$6:$B$38,2,FALSE)</f>
        <v>0.20241790420125966</v>
      </c>
      <c r="J782">
        <f>($B$1+Table4[[#This Row],[Home Differential]])-Table4[[#This Row],[Away Differential]]</f>
        <v>0.75005815633166373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0.67161711045220651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-0.19871596400308536</v>
      </c>
      <c r="H783" t="s">
        <v>24</v>
      </c>
      <c r="I783">
        <f>VLOOKUP(Table4[[#This Row],[Visitor]],'NHL Model'!$A$6:$B$38,2,FALSE)</f>
        <v>-2.9769404338063311E-4</v>
      </c>
      <c r="J783">
        <f>($B$1+Table4[[#This Row],[Home Differential]])-Table4[[#This Row],[Away Differential]]</f>
        <v>-0.11135012508216173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0.45630619303481457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8.443955887089849E-2</v>
      </c>
      <c r="H784" t="s">
        <v>15</v>
      </c>
      <c r="I784">
        <f>VLOOKUP(Table4[[#This Row],[Visitor]],'NHL Model'!$A$6:$B$38,2,FALSE)</f>
        <v>0.1651103738530684</v>
      </c>
      <c r="J784">
        <f>($B$1+Table4[[#This Row],[Home Differential]])-Table4[[#This Row],[Away Differential]]</f>
        <v>6.3973298953730884E-3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0.43410924774802884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-0.31732900620087529</v>
      </c>
      <c r="H785" t="s">
        <v>34</v>
      </c>
      <c r="I785">
        <f>VLOOKUP(Table4[[#This Row],[Visitor]],'NHL Model'!$A$6:$B$38,2,FALSE)</f>
        <v>4.4994204383705286E-2</v>
      </c>
      <c r="J785">
        <f>($B$1+Table4[[#This Row],[Home Differential]])-Table4[[#This Row],[Away Differential]]</f>
        <v>-0.27525506570703756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0.51009121298733373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-0.88005793547499611</v>
      </c>
      <c r="H786" t="s">
        <v>23</v>
      </c>
      <c r="I786">
        <f>VLOOKUP(Table4[[#This Row],[Visitor]],'NHL Model'!$A$6:$B$38,2,FALSE)</f>
        <v>-0.35383832279900912</v>
      </c>
      <c r="J786">
        <f>($B$1+Table4[[#This Row],[Home Differential]])-Table4[[#This Row],[Away Differential]]</f>
        <v>-0.439151467798444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0.5067813062650226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0.66951981565543606</v>
      </c>
      <c r="H787" t="s">
        <v>33</v>
      </c>
      <c r="I787">
        <f>VLOOKUP(Table4[[#This Row],[Visitor]],'NHL Model'!$A$6:$B$38,2,FALSE)</f>
        <v>-0.25672436988374864</v>
      </c>
      <c r="J787">
        <f>($B$1+Table4[[#This Row],[Home Differential]])-Table4[[#This Row],[Away Differential]]</f>
        <v>1.0133123304167277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0.64794470233469781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-9.7143783320053662E-2</v>
      </c>
      <c r="H788" t="s">
        <v>35</v>
      </c>
      <c r="I788">
        <f>VLOOKUP(Table4[[#This Row],[Visitor]],'NHL Model'!$A$6:$B$38,2,FALSE)</f>
        <v>-0.95834101872668032</v>
      </c>
      <c r="J788">
        <f>($B$1+Table4[[#This Row],[Home Differential]])-Table4[[#This Row],[Away Differential]]</f>
        <v>0.94826538028416962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0.66012090416710079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-0.65802650867783552</v>
      </c>
      <c r="H789" t="s">
        <v>14</v>
      </c>
      <c r="I789">
        <f>VLOOKUP(Table4[[#This Row],[Visitor]],'NHL Model'!$A$6:$B$38,2,FALSE)</f>
        <v>0.25731150832780025</v>
      </c>
      <c r="J789">
        <f>($B$1+Table4[[#This Row],[Home Differential]])-Table4[[#This Row],[Away Differential]]</f>
        <v>-0.82826987212809278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0.58512717106781165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1.7072432657355574</v>
      </c>
      <c r="H790" t="s">
        <v>31</v>
      </c>
      <c r="I790">
        <f>VLOOKUP(Table4[[#This Row],[Visitor]],'NHL Model'!$A$6:$B$38,2,FALSE)</f>
        <v>0.44031772420389576</v>
      </c>
      <c r="J790">
        <f>($B$1+Table4[[#This Row],[Home Differential]])-Table4[[#This Row],[Away Differential]]</f>
        <v>1.3539936864092046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0.77280775241285893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-0.52701775861642253</v>
      </c>
      <c r="H791" t="s">
        <v>30</v>
      </c>
      <c r="I791">
        <f>VLOOKUP(Table4[[#This Row],[Visitor]],'NHL Model'!$A$6:$B$38,2,FALSE)</f>
        <v>0.30302134926393393</v>
      </c>
      <c r="J791">
        <f>($B$1+Table4[[#This Row],[Home Differential]])-Table4[[#This Row],[Away Differential]]</f>
        <v>-0.7429709630028134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0.60546194909031492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-6.3531358246322375E-2</v>
      </c>
      <c r="H792" t="s">
        <v>26</v>
      </c>
      <c r="I792">
        <f>VLOOKUP(Table4[[#This Row],[Visitor]],'NHL Model'!$A$6:$B$38,2,FALSE)</f>
        <v>-0.47317909800770142</v>
      </c>
      <c r="J792">
        <f>($B$1+Table4[[#This Row],[Home Differential]])-Table4[[#This Row],[Away Differential]]</f>
        <v>0.49671588463892202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0.59208395393446178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0.16928148250244404</v>
      </c>
      <c r="H793" t="s">
        <v>27</v>
      </c>
      <c r="I793">
        <f>VLOOKUP(Table4[[#This Row],[Visitor]],'NHL Model'!$A$6:$B$38,2,FALSE)</f>
        <v>7.060370405735697E-2</v>
      </c>
      <c r="J793">
        <f>($B$1+Table4[[#This Row],[Home Differential]])-Table4[[#This Row],[Away Differential]]</f>
        <v>0.18574592332263004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0.55824841739421582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-0.59313840141656504</v>
      </c>
      <c r="H794" t="s">
        <v>22</v>
      </c>
      <c r="I794">
        <f>VLOOKUP(Table4[[#This Row],[Visitor]],'NHL Model'!$A$6:$B$38,2,FALSE)</f>
        <v>0.96536026973954592</v>
      </c>
      <c r="J794">
        <f>($B$1+Table4[[#This Row],[Home Differential]])-Table4[[#This Row],[Away Differential]]</f>
        <v>-1.4714305262785681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0.67088528685409354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0.20241790420125966</v>
      </c>
      <c r="H795" t="s">
        <v>20</v>
      </c>
      <c r="I795">
        <f>VLOOKUP(Table4[[#This Row],[Visitor]],'NHL Model'!$A$6:$B$38,2,FALSE)</f>
        <v>0.22444955994982585</v>
      </c>
      <c r="J795">
        <f>($B$1+Table4[[#This Row],[Home Differential]])-Table4[[#This Row],[Away Differential]]</f>
        <v>6.5036489128976804E-2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0.56771242882800177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0.48797916660265073</v>
      </c>
      <c r="H796" t="s">
        <v>10</v>
      </c>
      <c r="I796">
        <f>VLOOKUP(Table4[[#This Row],[Visitor]],'NHL Model'!$A$6:$B$38,2,FALSE)</f>
        <v>-0.25852364135215161</v>
      </c>
      <c r="J796">
        <f>($B$1+Table4[[#This Row],[Home Differential]])-Table4[[#This Row],[Away Differential]]</f>
        <v>0.83357095283234539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0.6548352030044533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-0.25582283032518105</v>
      </c>
      <c r="H797" t="s">
        <v>39</v>
      </c>
      <c r="I797">
        <f>VLOOKUP(Table4[[#This Row],[Visitor]],'NHL Model'!$A$6:$B$38,2,FALSE)</f>
        <v>0.86540791565538033</v>
      </c>
      <c r="J797">
        <f>($B$1+Table4[[#This Row],[Home Differential]])-Table4[[#This Row],[Away Differential]]</f>
        <v>-1.0341626011030183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0.66265199831741461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-0.19871596400308536</v>
      </c>
      <c r="H798" t="s">
        <v>14</v>
      </c>
      <c r="I798">
        <f>VLOOKUP(Table4[[#This Row],[Visitor]],'NHL Model'!$A$6:$B$38,2,FALSE)</f>
        <v>0.25731150832780025</v>
      </c>
      <c r="J798">
        <f>($B$1+Table4[[#This Row],[Home Differential]])-Table4[[#This Row],[Away Differential]]</f>
        <v>-0.36895932745334259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0.51691591754230781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4.4994204383705286E-2</v>
      </c>
      <c r="H799" t="s">
        <v>26</v>
      </c>
      <c r="I799">
        <f>VLOOKUP(Table4[[#This Row],[Visitor]],'NHL Model'!$A$6:$B$38,2,FALSE)</f>
        <v>-0.47317909800770142</v>
      </c>
      <c r="J799">
        <f>($B$1+Table4[[#This Row],[Home Differential]])-Table4[[#This Row],[Away Differential]]</f>
        <v>0.60524144726894968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0.6036448115320262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-0.31732900620087529</v>
      </c>
      <c r="H800" t="s">
        <v>23</v>
      </c>
      <c r="I800">
        <f>VLOOKUP(Table4[[#This Row],[Visitor]],'NHL Model'!$A$6:$B$38,2,FALSE)</f>
        <v>-0.35383832279900912</v>
      </c>
      <c r="J800">
        <f>($B$1+Table4[[#This Row],[Home Differential]])-Table4[[#This Row],[Away Differential]]</f>
        <v>0.12357746147567683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0.55316428498287751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-0.88005793547499611</v>
      </c>
      <c r="H801" t="s">
        <v>36</v>
      </c>
      <c r="I801">
        <f>VLOOKUP(Table4[[#This Row],[Visitor]],'NHL Model'!$A$6:$B$38,2,FALSE)</f>
        <v>-0.17962977873499933</v>
      </c>
      <c r="J801">
        <f>($B$1+Table4[[#This Row],[Home Differential]])-Table4[[#This Row],[Away Differential]]</f>
        <v>-0.61336001186245381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0.5289153065231279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-9.7143783320053662E-2</v>
      </c>
      <c r="H802" t="s">
        <v>11</v>
      </c>
      <c r="I802">
        <f>VLOOKUP(Table4[[#This Row],[Visitor]],'NHL Model'!$A$6:$B$38,2,FALSE)</f>
        <v>-0.10214397920743352</v>
      </c>
      <c r="J802">
        <f>($B$1+Table4[[#This Row],[Home Differential]])-Table4[[#This Row],[Away Differential]]</f>
        <v>9.206834076492286E-2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0.56891315725974223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-0.65802650867783552</v>
      </c>
      <c r="H803" t="s">
        <v>22</v>
      </c>
      <c r="I803">
        <f>VLOOKUP(Table4[[#This Row],[Visitor]],'NHL Model'!$A$6:$B$38,2,FALSE)</f>
        <v>0.96536026973954592</v>
      </c>
      <c r="J803">
        <f>($B$1+Table4[[#This Row],[Home Differential]])-Table4[[#This Row],[Away Differential]]</f>
        <v>-1.5363186335398384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0.67779759534292761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-0.25852364135215161</v>
      </c>
      <c r="H804" t="s">
        <v>37</v>
      </c>
      <c r="I804">
        <f>VLOOKUP(Table4[[#This Row],[Visitor]],'NHL Model'!$A$6:$B$38,2,FALSE)</f>
        <v>0.66951981565543606</v>
      </c>
      <c r="J804">
        <f>($B$1+Table4[[#This Row],[Home Differential]])-Table4[[#This Row],[Away Differential]]</f>
        <v>-0.84097531213004473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0.62220939737508174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1.7072432657355574</v>
      </c>
      <c r="H805" t="s">
        <v>27</v>
      </c>
      <c r="I805">
        <f>VLOOKUP(Table4[[#This Row],[Visitor]],'NHL Model'!$A$6:$B$38,2,FALSE)</f>
        <v>7.060370405735697E-2</v>
      </c>
      <c r="J805">
        <f>($B$1+Table4[[#This Row],[Home Differential]])-Table4[[#This Row],[Away Differential]]</f>
        <v>1.7237077065557433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0.79166089692576302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0.86540791565538033</v>
      </c>
      <c r="H806" t="s">
        <v>35</v>
      </c>
      <c r="I806">
        <f>VLOOKUP(Table4[[#This Row],[Visitor]],'NHL Model'!$A$6:$B$38,2,FALSE)</f>
        <v>-0.95834101872668032</v>
      </c>
      <c r="J806">
        <f>($B$1+Table4[[#This Row],[Home Differential]])-Table4[[#This Row],[Away Differential]]</f>
        <v>1.9108170792596035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0.79526879479149781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-0.52701775861642253</v>
      </c>
      <c r="H807" t="s">
        <v>31</v>
      </c>
      <c r="I807">
        <f>VLOOKUP(Table4[[#This Row],[Visitor]],'NHL Model'!$A$6:$B$38,2,FALSE)</f>
        <v>0.44031772420389576</v>
      </c>
      <c r="J807">
        <f>($B$1+Table4[[#This Row],[Home Differential]])-Table4[[#This Row],[Away Differential]]</f>
        <v>-0.88026733794277523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0.5745411043732086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-0.25672436988374864</v>
      </c>
      <c r="H808" t="s">
        <v>15</v>
      </c>
      <c r="I808">
        <f>VLOOKUP(Table4[[#This Row],[Visitor]],'NHL Model'!$A$6:$B$38,2,FALSE)</f>
        <v>0.1651103738530684</v>
      </c>
      <c r="J808">
        <f>($B$1+Table4[[#This Row],[Home Differential]])-Table4[[#This Row],[Away Differential]]</f>
        <v>-0.33476659885927407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0.60223378058718458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-6.3531358246322375E-2</v>
      </c>
      <c r="H809" t="s">
        <v>20</v>
      </c>
      <c r="I809">
        <f>VLOOKUP(Table4[[#This Row],[Visitor]],'NHL Model'!$A$6:$B$38,2,FALSE)</f>
        <v>0.22444955994982585</v>
      </c>
      <c r="J809">
        <f>($B$1+Table4[[#This Row],[Home Differential]])-Table4[[#This Row],[Away Differential]]</f>
        <v>-0.20091277331860524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0.52068928490973443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-0.59313840141656504</v>
      </c>
      <c r="H810" t="s">
        <v>24</v>
      </c>
      <c r="I810">
        <f>VLOOKUP(Table4[[#This Row],[Visitor]],'NHL Model'!$A$6:$B$38,2,FALSE)</f>
        <v>-2.9769404338063311E-4</v>
      </c>
      <c r="J810">
        <f>($B$1+Table4[[#This Row],[Home Differential]])-Table4[[#This Row],[Away Differential]]</f>
        <v>-0.5057725624956414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0.51745438292805646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0.20241790420125966</v>
      </c>
      <c r="H811" t="s">
        <v>18</v>
      </c>
      <c r="I811">
        <f>VLOOKUP(Table4[[#This Row],[Visitor]],'NHL Model'!$A$6:$B$38,2,FALSE)</f>
        <v>-0.31732900620087529</v>
      </c>
      <c r="J811">
        <f>($B$1+Table4[[#This Row],[Home Differential]])-Table4[[#This Row],[Away Differential]]</f>
        <v>0.60681505527967794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0.59231721246023084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-0.25582283032518105</v>
      </c>
      <c r="H812" t="s">
        <v>37</v>
      </c>
      <c r="I812">
        <f>VLOOKUP(Table4[[#This Row],[Visitor]],'NHL Model'!$A$6:$B$38,2,FALSE)</f>
        <v>0.66951981565543606</v>
      </c>
      <c r="J812">
        <f>($B$1+Table4[[#This Row],[Home Differential]])-Table4[[#This Row],[Away Differential]]</f>
        <v>-0.83827450110307411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0.62192168919901647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-0.19871596400308536</v>
      </c>
      <c r="H813" t="s">
        <v>22</v>
      </c>
      <c r="I813">
        <f>VLOOKUP(Table4[[#This Row],[Visitor]],'NHL Model'!$A$6:$B$38,2,FALSE)</f>
        <v>0.96536026973954592</v>
      </c>
      <c r="J813">
        <f>($B$1+Table4[[#This Row],[Home Differential]])-Table4[[#This Row],[Away Differential]]</f>
        <v>-1.0770080888650884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0.60957535480082714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4.4994204383705286E-2</v>
      </c>
      <c r="H814" t="s">
        <v>11</v>
      </c>
      <c r="I814">
        <f>VLOOKUP(Table4[[#This Row],[Visitor]],'NHL Model'!$A$6:$B$38,2,FALSE)</f>
        <v>-0.10214397920743352</v>
      </c>
      <c r="J814">
        <f>($B$1+Table4[[#This Row],[Home Differential]])-Table4[[#This Row],[Away Differential]]</f>
        <v>0.23420632846868178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0.56494920041193741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-0.88005793547499611</v>
      </c>
      <c r="H815" t="s">
        <v>55</v>
      </c>
      <c r="I815">
        <f>VLOOKUP(Table4[[#This Row],[Visitor]],'NHL Model'!$A$6:$B$38,2,FALSE)</f>
        <v>0.16928148250244404</v>
      </c>
      <c r="J815">
        <f>($B$1+Table4[[#This Row],[Home Differential]])-Table4[[#This Row],[Away Differential]]</f>
        <v>-0.96227127309989713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0.56250747279200808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0.30302134926393393</v>
      </c>
      <c r="H816" t="s">
        <v>23</v>
      </c>
      <c r="I816">
        <f>VLOOKUP(Table4[[#This Row],[Visitor]],'NHL Model'!$A$6:$B$38,2,FALSE)</f>
        <v>-0.35383832279900912</v>
      </c>
      <c r="J816">
        <f>($B$1+Table4[[#This Row],[Home Differential]])-Table4[[#This Row],[Away Differential]]</f>
        <v>0.74392781694048604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0.61924808999917869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-0.17962977873499933</v>
      </c>
      <c r="H817" t="s">
        <v>25</v>
      </c>
      <c r="I817">
        <f>VLOOKUP(Table4[[#This Row],[Visitor]],'NHL Model'!$A$6:$B$38,2,FALSE)</f>
        <v>0.48797916660265073</v>
      </c>
      <c r="J817">
        <f>($B$1+Table4[[#This Row],[Home Differential]])-Table4[[#This Row],[Away Differential]]</f>
        <v>-0.58054080046010703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0.59446619816982538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-0.95834101872668032</v>
      </c>
      <c r="H818" t="s">
        <v>13</v>
      </c>
      <c r="I818">
        <f>VLOOKUP(Table4[[#This Row],[Visitor]],'NHL Model'!$A$6:$B$38,2,FALSE)</f>
        <v>8.443955887089849E-2</v>
      </c>
      <c r="J818">
        <f>($B$1+Table4[[#This Row],[Home Differential]])-Table4[[#This Row],[Away Differential]]</f>
        <v>-0.95571243272003581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0.62812457139693145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-9.7143783320053662E-2</v>
      </c>
      <c r="H819" t="s">
        <v>26</v>
      </c>
      <c r="I819">
        <f>VLOOKUP(Table4[[#This Row],[Visitor]],'NHL Model'!$A$6:$B$38,2,FALSE)</f>
        <v>-0.47317909800770142</v>
      </c>
      <c r="J819">
        <f>($B$1+Table4[[#This Row],[Home Differential]])-Table4[[#This Row],[Away Differential]]</f>
        <v>0.46310345956519072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0.60761503874644152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-0.65802650867783552</v>
      </c>
      <c r="H820" t="s">
        <v>31</v>
      </c>
      <c r="I820">
        <f>VLOOKUP(Table4[[#This Row],[Visitor]],'NHL Model'!$A$6:$B$38,2,FALSE)</f>
        <v>0.44031772420389576</v>
      </c>
      <c r="J820">
        <f>($B$1+Table4[[#This Row],[Home Differential]])-Table4[[#This Row],[Away Differential]]</f>
        <v>-1.0112760880041882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0.58849701915301222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-0.25852364135215161</v>
      </c>
      <c r="H821" t="s">
        <v>11</v>
      </c>
      <c r="I821">
        <f>VLOOKUP(Table4[[#This Row],[Visitor]],'NHL Model'!$A$6:$B$38,2,FALSE)</f>
        <v>-0.10214397920743352</v>
      </c>
      <c r="J821">
        <f>($B$1+Table4[[#This Row],[Home Differential]])-Table4[[#This Row],[Away Differential]]</f>
        <v>-6.9311517267175091E-2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0.46738351925185256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-0.17962977873499933</v>
      </c>
      <c r="H822" t="s">
        <v>20</v>
      </c>
      <c r="I822">
        <f>VLOOKUP(Table4[[#This Row],[Visitor]],'NHL Model'!$A$6:$B$38,2,FALSE)</f>
        <v>0.22444955994982585</v>
      </c>
      <c r="J822">
        <f>($B$1+Table4[[#This Row],[Home Differential]])-Table4[[#This Row],[Away Differential]]</f>
        <v>-0.31701119380728215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0.53305685319544249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-0.52701775861642253</v>
      </c>
      <c r="H823" t="s">
        <v>24</v>
      </c>
      <c r="I823">
        <f>VLOOKUP(Table4[[#This Row],[Visitor]],'NHL Model'!$A$6:$B$38,2,FALSE)</f>
        <v>-2.9769404338063311E-4</v>
      </c>
      <c r="J823">
        <f>($B$1+Table4[[#This Row],[Home Differential]])-Table4[[#This Row],[Away Differential]]</f>
        <v>-0.43965191969549888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0.51041077663708689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-6.3531358246322375E-2</v>
      </c>
      <c r="H824" t="s">
        <v>12</v>
      </c>
      <c r="I824">
        <f>VLOOKUP(Table4[[#This Row],[Visitor]],'NHL Model'!$A$6:$B$38,2,FALSE)</f>
        <v>1.7072432657355574</v>
      </c>
      <c r="J824">
        <f>($B$1+Table4[[#This Row],[Home Differential]])-Table4[[#This Row],[Away Differential]]</f>
        <v>-1.6837064791043368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0.71584018845045394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-0.59313840141656504</v>
      </c>
      <c r="H825" t="s">
        <v>14</v>
      </c>
      <c r="I825">
        <f>VLOOKUP(Table4[[#This Row],[Visitor]],'NHL Model'!$A$6:$B$38,2,FALSE)</f>
        <v>0.25731150832780025</v>
      </c>
      <c r="J825">
        <f>($B$1+Table4[[#This Row],[Home Differential]])-Table4[[#This Row],[Away Differential]]</f>
        <v>-0.7633817648668223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0.57821486257897758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-0.25582283032518105</v>
      </c>
      <c r="H826" t="s">
        <v>13</v>
      </c>
      <c r="I826">
        <f>VLOOKUP(Table4[[#This Row],[Visitor]],'NHL Model'!$A$6:$B$38,2,FALSE)</f>
        <v>8.443955887089849E-2</v>
      </c>
      <c r="J826">
        <f>($B$1+Table4[[#This Row],[Home Differential]])-Table4[[#This Row],[Away Differential]]</f>
        <v>-0.25319424431853654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0.55328770772181524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-0.19871596400308536</v>
      </c>
      <c r="H827" t="s">
        <v>31</v>
      </c>
      <c r="I827">
        <f>VLOOKUP(Table4[[#This Row],[Visitor]],'NHL Model'!$A$6:$B$38,2,FALSE)</f>
        <v>0.44031772420389576</v>
      </c>
      <c r="J827">
        <f>($B$1+Table4[[#This Row],[Home Differential]])-Table4[[#This Row],[Away Differential]]</f>
        <v>-0.55196554332943815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0.52033746603611986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0.1651103738530684</v>
      </c>
      <c r="H828" t="s">
        <v>21</v>
      </c>
      <c r="I828">
        <f>VLOOKUP(Table4[[#This Row],[Visitor]],'NHL Model'!$A$6:$B$38,2,FALSE)</f>
        <v>0.20241790420125966</v>
      </c>
      <c r="J828">
        <f>($B$1+Table4[[#This Row],[Home Differential]])-Table4[[#This Row],[Away Differential]]</f>
        <v>4.976061452935171E-2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0.54530082834495219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7.060370405735697E-2</v>
      </c>
      <c r="H829" t="s">
        <v>30</v>
      </c>
      <c r="I829">
        <f>VLOOKUP(Table4[[#This Row],[Visitor]],'NHL Model'!$A$6:$B$38,2,FALSE)</f>
        <v>0.30302134926393393</v>
      </c>
      <c r="J829">
        <f>($B$1+Table4[[#This Row],[Home Differential]])-Table4[[#This Row],[Away Differential]]</f>
        <v>-0.14534950032903396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0.53161261819356986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0.66951981565543606</v>
      </c>
      <c r="H830" t="s">
        <v>55</v>
      </c>
      <c r="I830">
        <f>VLOOKUP(Table4[[#This Row],[Visitor]],'NHL Model'!$A$6:$B$38,2,FALSE)</f>
        <v>0.16928148250244404</v>
      </c>
      <c r="J830">
        <f>($B$1+Table4[[#This Row],[Home Differential]])-Table4[[#This Row],[Away Differential]]</f>
        <v>0.58730647803053504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0.60256375359034053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0.20241790420125966</v>
      </c>
      <c r="H831" t="s">
        <v>29</v>
      </c>
      <c r="I831">
        <f>VLOOKUP(Table4[[#This Row],[Visitor]],'NHL Model'!$A$6:$B$38,2,FALSE)</f>
        <v>-0.88005793547499611</v>
      </c>
      <c r="J831">
        <f>($B$1+Table4[[#This Row],[Home Differential]])-Table4[[#This Row],[Away Differential]]</f>
        <v>1.1695439845537987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0.7237160672603743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-0.47317909800770142</v>
      </c>
      <c r="H832" t="s">
        <v>13</v>
      </c>
      <c r="I832">
        <f>VLOOKUP(Table4[[#This Row],[Visitor]],'NHL Model'!$A$6:$B$38,2,FALSE)</f>
        <v>8.443955887089849E-2</v>
      </c>
      <c r="J832">
        <f>($B$1+Table4[[#This Row],[Home Differential]])-Table4[[#This Row],[Away Differential]]</f>
        <v>-0.47055051200105691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0.56625517148159965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-0.10214397920743352</v>
      </c>
      <c r="H833" t="s">
        <v>55</v>
      </c>
      <c r="I833">
        <f>VLOOKUP(Table4[[#This Row],[Visitor]],'NHL Model'!$A$6:$B$38,2,FALSE)</f>
        <v>0.16928148250244404</v>
      </c>
      <c r="J833">
        <f>($B$1+Table4[[#This Row],[Home Differential]])-Table4[[#This Row],[Away Differential]]</f>
        <v>-0.18435731683233458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0.47259300356507633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4.4994204383705286E-2</v>
      </c>
      <c r="H834" t="s">
        <v>10</v>
      </c>
      <c r="I834">
        <f>VLOOKUP(Table4[[#This Row],[Visitor]],'NHL Model'!$A$6:$B$38,2,FALSE)</f>
        <v>-0.25852364135215161</v>
      </c>
      <c r="J834">
        <f>($B$1+Table4[[#This Row],[Home Differential]])-Table4[[#This Row],[Away Differential]]</f>
        <v>0.39058599061339988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0.58160779182024502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-0.31732900620087529</v>
      </c>
      <c r="H835" t="s">
        <v>20</v>
      </c>
      <c r="I835">
        <f>VLOOKUP(Table4[[#This Row],[Visitor]],'NHL Model'!$A$6:$B$38,2,FALSE)</f>
        <v>0.22444955994982585</v>
      </c>
      <c r="J835">
        <f>($B$1+Table4[[#This Row],[Home Differential]])-Table4[[#This Row],[Away Differential]]</f>
        <v>-0.45471042127315814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0.54772548168672808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-2.9769404338063311E-4</v>
      </c>
      <c r="H836" t="s">
        <v>40</v>
      </c>
      <c r="I836">
        <f>VLOOKUP(Table4[[#This Row],[Visitor]],'NHL Model'!$A$6:$B$38,2,FALSE)</f>
        <v>-9.7143783320053662E-2</v>
      </c>
      <c r="J836">
        <f>($B$1+Table4[[#This Row],[Home Differential]])-Table4[[#This Row],[Away Differential]]</f>
        <v>0.18391423415421604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0.60249330974450133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-0.52701775861642253</v>
      </c>
      <c r="H837" t="s">
        <v>22</v>
      </c>
      <c r="I837">
        <f>VLOOKUP(Table4[[#This Row],[Visitor]],'NHL Model'!$A$6:$B$38,2,FALSE)</f>
        <v>0.96536026973954592</v>
      </c>
      <c r="J837">
        <f>($B$1+Table4[[#This Row],[Home Differential]])-Table4[[#This Row],[Away Differential]]</f>
        <v>-1.4053098834784254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0.66384168056312409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-0.95834101872668032</v>
      </c>
      <c r="H838" t="s">
        <v>39</v>
      </c>
      <c r="I838">
        <f>VLOOKUP(Table4[[#This Row],[Visitor]],'NHL Model'!$A$6:$B$38,2,FALSE)</f>
        <v>0.86540791565538033</v>
      </c>
      <c r="J838">
        <f>($B$1+Table4[[#This Row],[Home Differential]])-Table4[[#This Row],[Away Differential]]</f>
        <v>-1.7366807895045175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0.73748886199253083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-6.3531358246322375E-2</v>
      </c>
      <c r="H839" t="s">
        <v>23</v>
      </c>
      <c r="I839">
        <f>VLOOKUP(Table4[[#This Row],[Visitor]],'NHL Model'!$A$6:$B$38,2,FALSE)</f>
        <v>-0.35383832279900912</v>
      </c>
      <c r="J839">
        <f>($B$1+Table4[[#This Row],[Home Differential]])-Table4[[#This Row],[Away Differential]]</f>
        <v>0.37737510943022973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0.58020048175987116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-0.59313840141656504</v>
      </c>
      <c r="H840" t="s">
        <v>33</v>
      </c>
      <c r="I840">
        <f>VLOOKUP(Table4[[#This Row],[Visitor]],'NHL Model'!$A$6:$B$38,2,FALSE)</f>
        <v>-0.25672436988374864</v>
      </c>
      <c r="J840">
        <f>($B$1+Table4[[#This Row],[Home Differential]])-Table4[[#This Row],[Away Differential]]</f>
        <v>-0.24934588665527341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0.486561965847505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-0.25582283032518105</v>
      </c>
      <c r="H841" t="s">
        <v>27</v>
      </c>
      <c r="I841">
        <f>VLOOKUP(Table4[[#This Row],[Visitor]],'NHL Model'!$A$6:$B$38,2,FALSE)</f>
        <v>7.060370405735697E-2</v>
      </c>
      <c r="J841">
        <f>($B$1+Table4[[#This Row],[Home Differential]])-Table4[[#This Row],[Away Differential]]</f>
        <v>-0.23935838950499502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0.52801059469512279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0.30302134926393393</v>
      </c>
      <c r="H842" t="s">
        <v>15</v>
      </c>
      <c r="I842">
        <f>VLOOKUP(Table4[[#This Row],[Visitor]],'NHL Model'!$A$6:$B$38,2,FALSE)</f>
        <v>0.1651103738530684</v>
      </c>
      <c r="J842">
        <f>($B$1+Table4[[#This Row],[Home Differential]])-Table4[[#This Row],[Away Differential]]</f>
        <v>0.22497912028840852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0.45739401947291064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-0.17962977873499933</v>
      </c>
      <c r="H843" t="s">
        <v>12</v>
      </c>
      <c r="I843">
        <f>VLOOKUP(Table4[[#This Row],[Visitor]],'NHL Model'!$A$6:$B$38,2,FALSE)</f>
        <v>1.7072432657355574</v>
      </c>
      <c r="J843">
        <f>($B$1+Table4[[#This Row],[Home Differential]])-Table4[[#This Row],[Away Differential]]</f>
        <v>-1.7998048995930138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0.728207756736162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0.20241790420125966</v>
      </c>
      <c r="H844" t="s">
        <v>27</v>
      </c>
      <c r="I844">
        <f>VLOOKUP(Table4[[#This Row],[Visitor]],'NHL Model'!$A$6:$B$38,2,FALSE)</f>
        <v>7.060370405735697E-2</v>
      </c>
      <c r="J844">
        <f>($B$1+Table4[[#This Row],[Home Differential]])-Table4[[#This Row],[Away Differential]]</f>
        <v>0.21888234502144568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0.58092047541906733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-0.35383832279900912</v>
      </c>
      <c r="H845" t="s">
        <v>13</v>
      </c>
      <c r="I845">
        <f>VLOOKUP(Table4[[#This Row],[Visitor]],'NHL Model'!$A$6:$B$38,2,FALSE)</f>
        <v>8.443955887089849E-2</v>
      </c>
      <c r="J845">
        <f>($B$1+Table4[[#This Row],[Home Differential]])-Table4[[#This Row],[Away Differential]]</f>
        <v>-0.35120973679236461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0.55354220621945138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0.48797916660265073</v>
      </c>
      <c r="H846" t="s">
        <v>55</v>
      </c>
      <c r="I846">
        <f>VLOOKUP(Table4[[#This Row],[Visitor]],'NHL Model'!$A$6:$B$38,2,FALSE)</f>
        <v>0.16928148250244404</v>
      </c>
      <c r="J846">
        <f>($B$1+Table4[[#This Row],[Home Differential]])-Table4[[#This Row],[Away Differential]]</f>
        <v>0.40576582897774971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0.60926258401465827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-0.47317909800770142</v>
      </c>
      <c r="H847" t="s">
        <v>22</v>
      </c>
      <c r="I847">
        <f>VLOOKUP(Table4[[#This Row],[Visitor]],'NHL Model'!$A$6:$B$38,2,FALSE)</f>
        <v>0.96536026973954592</v>
      </c>
      <c r="J847">
        <f>($B$1+Table4[[#This Row],[Home Differential]])-Table4[[#This Row],[Away Differential]]</f>
        <v>-1.3514712228697043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0.64790462228820611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-0.19871596400308536</v>
      </c>
      <c r="H848" t="s">
        <v>33</v>
      </c>
      <c r="I848">
        <f>VLOOKUP(Table4[[#This Row],[Visitor]],'NHL Model'!$A$6:$B$38,2,FALSE)</f>
        <v>-0.25672436988374864</v>
      </c>
      <c r="J848">
        <f>($B$1+Table4[[#This Row],[Home Differential]])-Table4[[#This Row],[Away Differential]]</f>
        <v>0.14507655075820627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0.57455994085968809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4.4994204383705286E-2</v>
      </c>
      <c r="H849" t="s">
        <v>16</v>
      </c>
      <c r="I849">
        <f>VLOOKUP(Table4[[#This Row],[Visitor]],'NHL Model'!$A$6:$B$38,2,FALSE)</f>
        <v>-0.65802650867783552</v>
      </c>
      <c r="J849">
        <f>($B$1+Table4[[#This Row],[Home Differential]])-Table4[[#This Row],[Away Differential]]</f>
        <v>0.79008885793908379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0.62416546806760131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-0.31732900620087529</v>
      </c>
      <c r="H850" t="s">
        <v>12</v>
      </c>
      <c r="I850">
        <f>VLOOKUP(Table4[[#This Row],[Visitor]],'NHL Model'!$A$6:$B$38,2,FALSE)</f>
        <v>1.7072432657355574</v>
      </c>
      <c r="J850">
        <f>($B$1+Table4[[#This Row],[Home Differential]])-Table4[[#This Row],[Away Differential]]</f>
        <v>-1.9375041270588897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0.74287638522744759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-2.9769404338063311E-4</v>
      </c>
      <c r="H851" t="s">
        <v>29</v>
      </c>
      <c r="I851">
        <f>VLOOKUP(Table4[[#This Row],[Visitor]],'NHL Model'!$A$6:$B$38,2,FALSE)</f>
        <v>-0.88005793547499611</v>
      </c>
      <c r="J851">
        <f>($B$1+Table4[[#This Row],[Home Differential]])-Table4[[#This Row],[Away Differential]]</f>
        <v>0.96682838630915846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0.68589448090486005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0.1651103738530684</v>
      </c>
      <c r="H852" t="s">
        <v>30</v>
      </c>
      <c r="I852">
        <f>VLOOKUP(Table4[[#This Row],[Visitor]],'NHL Model'!$A$6:$B$38,2,FALSE)</f>
        <v>0.30302134926393393</v>
      </c>
      <c r="J852">
        <f>($B$1+Table4[[#This Row],[Home Differential]])-Table4[[#This Row],[Away Differential]]</f>
        <v>-5.0842830533322558E-2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0.53173190259402481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0.25731150832780025</v>
      </c>
      <c r="H853" t="s">
        <v>10</v>
      </c>
      <c r="I853">
        <f>VLOOKUP(Table4[[#This Row],[Visitor]],'NHL Model'!$A$6:$B$38,2,FALSE)</f>
        <v>-0.25852364135215161</v>
      </c>
      <c r="J853">
        <f>($B$1+Table4[[#This Row],[Home Differential]])-Table4[[#This Row],[Away Differential]]</f>
        <v>0.60290329455749481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0.60422522919547716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-0.52701775861642253</v>
      </c>
      <c r="H854" t="s">
        <v>19</v>
      </c>
      <c r="I854">
        <f>VLOOKUP(Table4[[#This Row],[Visitor]],'NHL Model'!$A$6:$B$38,2,FALSE)</f>
        <v>-6.3531358246322375E-2</v>
      </c>
      <c r="J854">
        <f>($B$1+Table4[[#This Row],[Home Differential]])-Table4[[#This Row],[Away Differential]]</f>
        <v>-0.37641825549255714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0.50009855137732329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-0.95834101872668032</v>
      </c>
      <c r="H855" t="s">
        <v>11</v>
      </c>
      <c r="I855">
        <f>VLOOKUP(Table4[[#This Row],[Visitor]],'NHL Model'!$A$6:$B$38,2,FALSE)</f>
        <v>-0.10214397920743352</v>
      </c>
      <c r="J855">
        <f>($B$1+Table4[[#This Row],[Home Differential]])-Table4[[#This Row],[Away Differential]]</f>
        <v>-0.76912889464170375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0.54193267475090356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0.66951981565543606</v>
      </c>
      <c r="H856" t="s">
        <v>40</v>
      </c>
      <c r="I856">
        <f>VLOOKUP(Table4[[#This Row],[Visitor]],'NHL Model'!$A$6:$B$38,2,FALSE)</f>
        <v>-9.7143783320053662E-2</v>
      </c>
      <c r="J856">
        <f>($B$1+Table4[[#This Row],[Home Differential]])-Table4[[#This Row],[Away Differential]]</f>
        <v>0.85373174385303274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0.63094512737844477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-0.59313840141656504</v>
      </c>
      <c r="H857" t="s">
        <v>31</v>
      </c>
      <c r="I857">
        <f>VLOOKUP(Table4[[#This Row],[Visitor]],'NHL Model'!$A$6:$B$38,2,FALSE)</f>
        <v>0.44031772420389576</v>
      </c>
      <c r="J857">
        <f>($B$1+Table4[[#This Row],[Home Differential]])-Table4[[#This Row],[Away Differential]]</f>
        <v>-0.94638798074291786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0.58158471066417816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0.22444955994982585</v>
      </c>
      <c r="H858" t="s">
        <v>39</v>
      </c>
      <c r="I858">
        <f>VLOOKUP(Table4[[#This Row],[Visitor]],'NHL Model'!$A$6:$B$38,2,FALSE)</f>
        <v>0.86540791565538033</v>
      </c>
      <c r="J858">
        <f>($B$1+Table4[[#This Row],[Home Differential]])-Table4[[#This Row],[Away Differential]]</f>
        <v>-0.55389021082801149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0.61149022059929603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-0.25852364135215161</v>
      </c>
      <c r="H859" t="s">
        <v>28</v>
      </c>
      <c r="I859">
        <f>VLOOKUP(Table4[[#This Row],[Visitor]],'NHL Model'!$A$6:$B$38,2,FALSE)</f>
        <v>-0.25582283032518105</v>
      </c>
      <c r="J859">
        <f>($B$1+Table4[[#This Row],[Home Differential]])-Table4[[#This Row],[Away Differential]]</f>
        <v>8.4367333850572435E-2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0.54898736398038983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-0.35383832279900912</v>
      </c>
      <c r="H860" t="s">
        <v>18</v>
      </c>
      <c r="I860">
        <f>VLOOKUP(Table4[[#This Row],[Visitor]],'NHL Model'!$A$6:$B$38,2,FALSE)</f>
        <v>-0.31732900620087529</v>
      </c>
      <c r="J860">
        <f>($B$1+Table4[[#This Row],[Home Differential]])-Table4[[#This Row],[Away Differential]]</f>
        <v>5.0558828279409163E-2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0.48293687973819577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-0.65802650867783552</v>
      </c>
      <c r="H861" t="s">
        <v>33</v>
      </c>
      <c r="I861">
        <f>VLOOKUP(Table4[[#This Row],[Visitor]],'NHL Model'!$A$6:$B$38,2,FALSE)</f>
        <v>-0.25672436988374864</v>
      </c>
      <c r="J861">
        <f>($B$1+Table4[[#This Row],[Home Differential]])-Table4[[#This Row],[Away Differential]]</f>
        <v>-0.31423399391654389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0.49347427433633906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-0.47317909800770142</v>
      </c>
      <c r="H862" t="s">
        <v>12</v>
      </c>
      <c r="I862">
        <f>VLOOKUP(Table4[[#This Row],[Visitor]],'NHL Model'!$A$6:$B$38,2,FALSE)</f>
        <v>1.7072432657355574</v>
      </c>
      <c r="J862">
        <f>($B$1+Table4[[#This Row],[Home Differential]])-Table4[[#This Row],[Away Differential]]</f>
        <v>-2.0933542188657159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0.74931366609442362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-0.19871596400308536</v>
      </c>
      <c r="H863" t="s">
        <v>34</v>
      </c>
      <c r="I863">
        <f>VLOOKUP(Table4[[#This Row],[Visitor]],'NHL Model'!$A$6:$B$38,2,FALSE)</f>
        <v>4.4994204383705286E-2</v>
      </c>
      <c r="J863">
        <f>($B$1+Table4[[#This Row],[Home Differential]])-Table4[[#This Row],[Away Differential]]</f>
        <v>-0.15664202350924766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0.47822500140702962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-0.10214397920743352</v>
      </c>
      <c r="H864" t="s">
        <v>40</v>
      </c>
      <c r="I864">
        <f>VLOOKUP(Table4[[#This Row],[Visitor]],'NHL Model'!$A$6:$B$38,2,FALSE)</f>
        <v>-9.7143783320053662E-2</v>
      </c>
      <c r="J864">
        <f>($B$1+Table4[[#This Row],[Home Differential]])-Table4[[#This Row],[Away Differential]]</f>
        <v>8.2067948990163134E-2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0.55578837022302818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0.30302134926393393</v>
      </c>
      <c r="H865" t="s">
        <v>29</v>
      </c>
      <c r="I865">
        <f>VLOOKUP(Table4[[#This Row],[Visitor]],'NHL Model'!$A$6:$B$38,2,FALSE)</f>
        <v>-0.88005793547499611</v>
      </c>
      <c r="J865">
        <f>($B$1+Table4[[#This Row],[Home Differential]])-Table4[[#This Row],[Away Differential]]</f>
        <v>1.270147429616473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0.67530446842065617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-0.17962977873499933</v>
      </c>
      <c r="H866" t="s">
        <v>24</v>
      </c>
      <c r="I866">
        <f>VLOOKUP(Table4[[#This Row],[Visitor]],'NHL Model'!$A$6:$B$38,2,FALSE)</f>
        <v>-2.9769404338063311E-4</v>
      </c>
      <c r="J866">
        <f>($B$1+Table4[[#This Row],[Home Differential]])-Table4[[#This Row],[Away Differential]]</f>
        <v>-9.2263939814075699E-2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0.47340472138901668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7.060370405735697E-2</v>
      </c>
      <c r="H867" t="s">
        <v>13</v>
      </c>
      <c r="I867">
        <f>VLOOKUP(Table4[[#This Row],[Visitor]],'NHL Model'!$A$6:$B$38,2,FALSE)</f>
        <v>8.443955887089849E-2</v>
      </c>
      <c r="J867">
        <f>($B$1+Table4[[#This Row],[Home Differential]])-Table4[[#This Row],[Away Differential]]</f>
        <v>7.3232290064001476E-2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0.49167215353131188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0.25731150832780025</v>
      </c>
      <c r="H868" t="s">
        <v>15</v>
      </c>
      <c r="I868">
        <f>VLOOKUP(Table4[[#This Row],[Visitor]],'NHL Model'!$A$6:$B$38,2,FALSE)</f>
        <v>0.1651103738530684</v>
      </c>
      <c r="J868">
        <f>($B$1+Table4[[#This Row],[Home Differential]])-Table4[[#This Row],[Away Differential]]</f>
        <v>0.17926927935227485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0.45252470620639962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-0.95834101872668032</v>
      </c>
      <c r="H869" t="s">
        <v>28</v>
      </c>
      <c r="I869">
        <f>VLOOKUP(Table4[[#This Row],[Visitor]],'NHL Model'!$A$6:$B$38,2,FALSE)</f>
        <v>-0.25582283032518105</v>
      </c>
      <c r="J869">
        <f>($B$1+Table4[[#This Row],[Home Differential]])-Table4[[#This Row],[Away Differential]]</f>
        <v>-0.61545004352395627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0.52556179151866123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0.16928148250244404</v>
      </c>
      <c r="H870" t="s">
        <v>39</v>
      </c>
      <c r="I870">
        <f>VLOOKUP(Table4[[#This Row],[Visitor]],'NHL Model'!$A$6:$B$38,2,FALSE)</f>
        <v>0.86540791565538033</v>
      </c>
      <c r="J870">
        <f>($B$1+Table4[[#This Row],[Home Differential]])-Table4[[#This Row],[Away Differential]]</f>
        <v>-0.60905828827539332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0.57650880663512516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-0.59313840141656504</v>
      </c>
      <c r="H871" t="s">
        <v>19</v>
      </c>
      <c r="I871">
        <f>VLOOKUP(Table4[[#This Row],[Visitor]],'NHL Model'!$A$6:$B$38,2,FALSE)</f>
        <v>-6.3531358246322375E-2</v>
      </c>
      <c r="J871">
        <f>($B$1+Table4[[#This Row],[Home Differential]])-Table4[[#This Row],[Away Differential]]</f>
        <v>-0.44253889829269966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0.50714215766829274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0.22444955994982585</v>
      </c>
      <c r="H872" t="s">
        <v>32</v>
      </c>
      <c r="I872">
        <f>VLOOKUP(Table4[[#This Row],[Visitor]],'NHL Model'!$A$6:$B$38,2,FALSE)</f>
        <v>-0.52701775861642253</v>
      </c>
      <c r="J872">
        <f>($B$1+Table4[[#This Row],[Home Differential]])-Table4[[#This Row],[Away Differential]]</f>
        <v>0.83853546344379137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0.62932631951819151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0.96536026973954592</v>
      </c>
      <c r="H873" t="s">
        <v>25</v>
      </c>
      <c r="I873">
        <f>VLOOKUP(Table4[[#This Row],[Visitor]],'NHL Model'!$A$6:$B$38,2,FALSE)</f>
        <v>0.48797916660265073</v>
      </c>
      <c r="J873">
        <f>($B$1+Table4[[#This Row],[Home Differential]])-Table4[[#This Row],[Away Differential]]</f>
        <v>0.5644492480144383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0.56400481992106799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0.44031772420389576</v>
      </c>
      <c r="H874" t="s">
        <v>20</v>
      </c>
      <c r="I874">
        <f>VLOOKUP(Table4[[#This Row],[Visitor]],'NHL Model'!$A$6:$B$38,2,FALSE)</f>
        <v>0.22444955994982585</v>
      </c>
      <c r="J874">
        <f>($B$1+Table4[[#This Row],[Home Differential]])-Table4[[#This Row],[Away Differential]]</f>
        <v>0.30293630913161296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0.60888367378095787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0.48797916660265073</v>
      </c>
      <c r="H875" t="s">
        <v>13</v>
      </c>
      <c r="I875">
        <f>VLOOKUP(Table4[[#This Row],[Visitor]],'NHL Model'!$A$6:$B$38,2,FALSE)</f>
        <v>8.443955887089849E-2</v>
      </c>
      <c r="J875">
        <f>($B$1+Table4[[#This Row],[Home Differential]])-Table4[[#This Row],[Away Differential]]</f>
        <v>0.49060775260929523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0.55226276857474543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0.66951981565543606</v>
      </c>
      <c r="H876" t="s">
        <v>21</v>
      </c>
      <c r="I876">
        <f>VLOOKUP(Table4[[#This Row],[Visitor]],'NHL Model'!$A$6:$B$38,2,FALSE)</f>
        <v>0.20241790420125966</v>
      </c>
      <c r="J876">
        <f>($B$1+Table4[[#This Row],[Home Differential]])-Table4[[#This Row],[Away Differential]]</f>
        <v>0.55417005633171934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0.59903384373989521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-0.65802650867783552</v>
      </c>
      <c r="H877" t="s">
        <v>19</v>
      </c>
      <c r="I877">
        <f>VLOOKUP(Table4[[#This Row],[Visitor]],'NHL Model'!$A$6:$B$38,2,FALSE)</f>
        <v>-6.3531358246322375E-2</v>
      </c>
      <c r="J877">
        <f>($B$1+Table4[[#This Row],[Home Differential]])-Table4[[#This Row],[Away Differential]]</f>
        <v>-0.50742700555397013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0.5140544661571268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-0.25852364135215161</v>
      </c>
      <c r="H878" t="s">
        <v>33</v>
      </c>
      <c r="I878">
        <f>VLOOKUP(Table4[[#This Row],[Visitor]],'NHL Model'!$A$6:$B$38,2,FALSE)</f>
        <v>-0.25672436988374864</v>
      </c>
      <c r="J878">
        <f>($B$1+Table4[[#This Row],[Home Differential]])-Table4[[#This Row],[Away Differential]]</f>
        <v>8.5268873409140022E-2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0.54908340191101723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1.7072432657355574</v>
      </c>
      <c r="H879" t="s">
        <v>26</v>
      </c>
      <c r="I879">
        <f>VLOOKUP(Table4[[#This Row],[Visitor]],'NHL Model'!$A$6:$B$38,2,FALSE)</f>
        <v>-0.47317909800770142</v>
      </c>
      <c r="J879">
        <f>($B$1+Table4[[#This Row],[Home Differential]])-Table4[[#This Row],[Away Differential]]</f>
        <v>2.2674905086208019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0.88860684446306126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0.86540791565538033</v>
      </c>
      <c r="H880" t="s">
        <v>40</v>
      </c>
      <c r="I880">
        <f>VLOOKUP(Table4[[#This Row],[Visitor]],'NHL Model'!$A$6:$B$38,2,FALSE)</f>
        <v>-9.7143783320053662E-2</v>
      </c>
      <c r="J880">
        <f>($B$1+Table4[[#This Row],[Home Differential]])-Table4[[#This Row],[Away Differential]]</f>
        <v>1.0496198438529769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0.70352839409075607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-0.10214397920743352</v>
      </c>
      <c r="H881" t="s">
        <v>23</v>
      </c>
      <c r="I881">
        <f>VLOOKUP(Table4[[#This Row],[Visitor]],'NHL Model'!$A$6:$B$38,2,FALSE)</f>
        <v>-0.35383832279900912</v>
      </c>
      <c r="J881">
        <f>($B$1+Table4[[#This Row],[Home Differential]])-Table4[[#This Row],[Away Differential]]</f>
        <v>0.33876248846911861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0.58313316296190942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4.4994204383705286E-2</v>
      </c>
      <c r="H882" t="s">
        <v>18</v>
      </c>
      <c r="I882">
        <f>VLOOKUP(Table4[[#This Row],[Visitor]],'NHL Model'!$A$6:$B$38,2,FALSE)</f>
        <v>-0.31732900620087529</v>
      </c>
      <c r="J882">
        <f>($B$1+Table4[[#This Row],[Home Differential]])-Table4[[#This Row],[Away Differential]]</f>
        <v>0.44939135546212355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0.51524895742315691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-0.88005793547499611</v>
      </c>
      <c r="H883" t="s">
        <v>35</v>
      </c>
      <c r="I883">
        <f>VLOOKUP(Table4[[#This Row],[Visitor]],'NHL Model'!$A$6:$B$38,2,FALSE)</f>
        <v>-0.95834101872668032</v>
      </c>
      <c r="J883">
        <f>($B$1+Table4[[#This Row],[Home Differential]])-Table4[[#This Row],[Away Differential]]</f>
        <v>0.1653512281292272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0.5576143016968379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0.25731150832780025</v>
      </c>
      <c r="H884" t="s">
        <v>36</v>
      </c>
      <c r="I884">
        <f>VLOOKUP(Table4[[#This Row],[Visitor]],'NHL Model'!$A$6:$B$38,2,FALSE)</f>
        <v>-0.17962977873499933</v>
      </c>
      <c r="J884">
        <f>($B$1+Table4[[#This Row],[Home Differential]])-Table4[[#This Row],[Away Differential]]</f>
        <v>0.52400943194034255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0.5922447764745622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0.16928148250244404</v>
      </c>
      <c r="H885" t="s">
        <v>38</v>
      </c>
      <c r="I885">
        <f>VLOOKUP(Table4[[#This Row],[Visitor]],'NHL Model'!$A$6:$B$38,2,FALSE)</f>
        <v>-0.59313840141656504</v>
      </c>
      <c r="J885">
        <f>($B$1+Table4[[#This Row],[Home Differential]])-Table4[[#This Row],[Away Differential]]</f>
        <v>0.84948802879655205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0.67092423635087495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0.96536026973954592</v>
      </c>
      <c r="H886" t="s">
        <v>30</v>
      </c>
      <c r="I886">
        <f>VLOOKUP(Table4[[#This Row],[Visitor]],'NHL Model'!$A$6:$B$38,2,FALSE)</f>
        <v>0.30302134926393393</v>
      </c>
      <c r="J886">
        <f>($B$1+Table4[[#This Row],[Home Differential]])-Table4[[#This Row],[Away Differential]]</f>
        <v>0.74940706535315504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0.59003585725488161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0.44031772420389576</v>
      </c>
      <c r="H887" t="s">
        <v>32</v>
      </c>
      <c r="I887">
        <f>VLOOKUP(Table4[[#This Row],[Visitor]],'NHL Model'!$A$6:$B$38,2,FALSE)</f>
        <v>-0.52701775861642253</v>
      </c>
      <c r="J887">
        <f>($B$1+Table4[[#This Row],[Home Differential]])-Table4[[#This Row],[Away Differential]]</f>
        <v>1.0544036276978614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0.72684715758169227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0.48797916660265073</v>
      </c>
      <c r="H888" t="s">
        <v>36</v>
      </c>
      <c r="I888">
        <f>VLOOKUP(Table4[[#This Row],[Visitor]],'NHL Model'!$A$6:$B$38,2,FALSE)</f>
        <v>-0.17962977873499933</v>
      </c>
      <c r="J888">
        <f>($B$1+Table4[[#This Row],[Home Differential]])-Table4[[#This Row],[Away Differential]]</f>
        <v>0.75467709021519302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0.64289317337487917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-0.19871596400308536</v>
      </c>
      <c r="H889" t="s">
        <v>19</v>
      </c>
      <c r="I889">
        <f>VLOOKUP(Table4[[#This Row],[Visitor]],'NHL Model'!$A$6:$B$38,2,FALSE)</f>
        <v>-6.3531358246322375E-2</v>
      </c>
      <c r="J889">
        <f>($B$1+Table4[[#This Row],[Home Differential]])-Table4[[#This Row],[Away Differential]]</f>
        <v>-4.8116460879219988E-2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0.44602025096109954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-2.9769404338063311E-4</v>
      </c>
      <c r="H890" t="s">
        <v>28</v>
      </c>
      <c r="I890">
        <f>VLOOKUP(Table4[[#This Row],[Visitor]],'NHL Model'!$A$6:$B$38,2,FALSE)</f>
        <v>-0.25582283032518105</v>
      </c>
      <c r="J890">
        <f>($B$1+Table4[[#This Row],[Home Differential]])-Table4[[#This Row],[Away Differential]]</f>
        <v>0.3425932811593434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0.61939684677012674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0.30302134926393393</v>
      </c>
      <c r="H891" t="s">
        <v>14</v>
      </c>
      <c r="I891">
        <f>VLOOKUP(Table4[[#This Row],[Visitor]],'NHL Model'!$A$6:$B$38,2,FALSE)</f>
        <v>0.25731150832780025</v>
      </c>
      <c r="J891">
        <f>($B$1+Table4[[#This Row],[Home Differential]])-Table4[[#This Row],[Away Differential]]</f>
        <v>0.13277798581367667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0.5172499754850779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7.060370405735697E-2</v>
      </c>
      <c r="H892" t="s">
        <v>22</v>
      </c>
      <c r="I892">
        <f>VLOOKUP(Table4[[#This Row],[Visitor]],'NHL Model'!$A$6:$B$38,2,FALSE)</f>
        <v>0.96536026973954592</v>
      </c>
      <c r="J892">
        <f>($B$1+Table4[[#This Row],[Home Differential]])-Table4[[#This Row],[Away Differential]]</f>
        <v>-0.80768842080464598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0.58997729727529469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0.66951981565543606</v>
      </c>
      <c r="H893" t="s">
        <v>23</v>
      </c>
      <c r="I893">
        <f>VLOOKUP(Table4[[#This Row],[Visitor]],'NHL Model'!$A$6:$B$38,2,FALSE)</f>
        <v>-0.35383832279900912</v>
      </c>
      <c r="J893">
        <f>($B$1+Table4[[#This Row],[Home Differential]])-Table4[[#This Row],[Away Differential]]</f>
        <v>1.1104262833319882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0.65828992011732601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-0.25582283032518105</v>
      </c>
      <c r="H894" t="s">
        <v>10</v>
      </c>
      <c r="I894">
        <f>VLOOKUP(Table4[[#This Row],[Visitor]],'NHL Model'!$A$6:$B$38,2,FALSE)</f>
        <v>-0.25852364135215161</v>
      </c>
      <c r="J894">
        <f>($B$1+Table4[[#This Row],[Home Differential]])-Table4[[#This Row],[Away Differential]]</f>
        <v>8.9768955904513559E-2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0.54956278033252026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-0.65802650867783552</v>
      </c>
      <c r="H895" t="s">
        <v>17</v>
      </c>
      <c r="I895">
        <f>VLOOKUP(Table4[[#This Row],[Visitor]],'NHL Model'!$A$6:$B$38,2,FALSE)</f>
        <v>-0.19871596400308536</v>
      </c>
      <c r="J895">
        <f>($B$1+Table4[[#This Row],[Home Differential]])-Table4[[#This Row],[Away Differential]]</f>
        <v>-0.37224239979720719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0.4996537117296681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1.7072432657355574</v>
      </c>
      <c r="H896" t="s">
        <v>33</v>
      </c>
      <c r="I896">
        <f>VLOOKUP(Table4[[#This Row],[Visitor]],'NHL Model'!$A$6:$B$38,2,FALSE)</f>
        <v>-0.25672436988374864</v>
      </c>
      <c r="J896">
        <f>($B$1+Table4[[#This Row],[Home Differential]])-Table4[[#This Row],[Away Differential]]</f>
        <v>2.0510357804968491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0.86631080373104008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0.86540791565538033</v>
      </c>
      <c r="H897" t="s">
        <v>35</v>
      </c>
      <c r="I897">
        <f>VLOOKUP(Table4[[#This Row],[Visitor]],'NHL Model'!$A$6:$B$38,2,FALSE)</f>
        <v>-0.95834101872668032</v>
      </c>
      <c r="J897">
        <f>($B$1+Table4[[#This Row],[Home Differential]])-Table4[[#This Row],[Away Differential]]</f>
        <v>1.9108170792596035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0.79526879479149781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-0.10214397920743352</v>
      </c>
      <c r="H898" t="s">
        <v>21</v>
      </c>
      <c r="I898">
        <f>VLOOKUP(Table4[[#This Row],[Visitor]],'NHL Model'!$A$6:$B$38,2,FALSE)</f>
        <v>0.20241790420125966</v>
      </c>
      <c r="J898">
        <f>($B$1+Table4[[#This Row],[Home Differential]])-Table4[[#This Row],[Away Differential]]</f>
        <v>-0.21749373853115017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0.4761229134155216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8.443955887089849E-2</v>
      </c>
      <c r="H899" t="s">
        <v>32</v>
      </c>
      <c r="I899">
        <f>VLOOKUP(Table4[[#This Row],[Visitor]],'NHL Model'!$A$6:$B$38,2,FALSE)</f>
        <v>-0.52701775861642253</v>
      </c>
      <c r="J899">
        <f>($B$1+Table4[[#This Row],[Home Differential]])-Table4[[#This Row],[Away Differential]]</f>
        <v>0.69852546236486401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0.61441153220465905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-0.88005793547499611</v>
      </c>
      <c r="H900" t="s">
        <v>34</v>
      </c>
      <c r="I900">
        <f>VLOOKUP(Table4[[#This Row],[Visitor]],'NHL Model'!$A$6:$B$38,2,FALSE)</f>
        <v>4.4994204383705286E-2</v>
      </c>
      <c r="J900">
        <f>($B$1+Table4[[#This Row],[Home Differential]])-Table4[[#This Row],[Away Differential]]</f>
        <v>-0.83798399498115839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0.57003680423523373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0.16928148250244404</v>
      </c>
      <c r="H901" t="s">
        <v>26</v>
      </c>
      <c r="I901">
        <f>VLOOKUP(Table4[[#This Row],[Visitor]],'NHL Model'!$A$6:$B$38,2,FALSE)</f>
        <v>-0.47317909800770142</v>
      </c>
      <c r="J901">
        <f>($B$1+Table4[[#This Row],[Home Differential]])-Table4[[#This Row],[Away Differential]]</f>
        <v>0.72952872538768843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0.65733203834049325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0.22444955994982585</v>
      </c>
      <c r="H902" t="s">
        <v>38</v>
      </c>
      <c r="I902">
        <f>VLOOKUP(Table4[[#This Row],[Visitor]],'NHL Model'!$A$6:$B$38,2,FALSE)</f>
        <v>-0.59313840141656504</v>
      </c>
      <c r="J902">
        <f>($B$1+Table4[[#This Row],[Home Differential]])-Table4[[#This Row],[Away Differential]]</f>
        <v>0.90465610624393389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0.63636992580916107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-9.7143783320053662E-2</v>
      </c>
      <c r="H903" t="s">
        <v>18</v>
      </c>
      <c r="I903">
        <f>VLOOKUP(Table4[[#This Row],[Visitor]],'NHL Model'!$A$6:$B$38,2,FALSE)</f>
        <v>-0.31732900620087529</v>
      </c>
      <c r="J903">
        <f>($B$1+Table4[[#This Row],[Home Differential]])-Table4[[#This Row],[Away Differential]]</f>
        <v>0.30725336775836465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0.51936166811169449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-0.35383832279900912</v>
      </c>
      <c r="H904" t="s">
        <v>14</v>
      </c>
      <c r="I904">
        <f>VLOOKUP(Table4[[#This Row],[Visitor]],'NHL Model'!$A$6:$B$38,2,FALSE)</f>
        <v>0.25731150832780025</v>
      </c>
      <c r="J904">
        <f>($B$1+Table4[[#This Row],[Home Differential]])-Table4[[#This Row],[Away Differential]]</f>
        <v>-0.52408168624926632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0.54252064762888319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-2.9769404338063311E-4</v>
      </c>
      <c r="H905" t="s">
        <v>30</v>
      </c>
      <c r="I905">
        <f>VLOOKUP(Table4[[#This Row],[Visitor]],'NHL Model'!$A$6:$B$38,2,FALSE)</f>
        <v>0.30302134926393393</v>
      </c>
      <c r="J905">
        <f>($B$1+Table4[[#This Row],[Home Differential]])-Table4[[#This Row],[Away Differential]]</f>
        <v>-0.21625089842977158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0.5057950904531413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0.1651103738530684</v>
      </c>
      <c r="H906" t="s">
        <v>25</v>
      </c>
      <c r="I906">
        <f>VLOOKUP(Table4[[#This Row],[Visitor]],'NHL Model'!$A$6:$B$38,2,FALSE)</f>
        <v>0.48797916660265073</v>
      </c>
      <c r="J906">
        <f>($B$1+Table4[[#This Row],[Home Differential]])-Table4[[#This Row],[Away Differential]]</f>
        <v>-0.23580064787203936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0.55774220692160548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7.060370405735697E-2</v>
      </c>
      <c r="H907" t="s">
        <v>36</v>
      </c>
      <c r="I907">
        <f>VLOOKUP(Table4[[#This Row],[Visitor]],'NHL Model'!$A$6:$B$38,2,FALSE)</f>
        <v>-0.17962977873499933</v>
      </c>
      <c r="J907">
        <f>($B$1+Table4[[#This Row],[Home Differential]])-Table4[[#This Row],[Away Differential]]</f>
        <v>0.3373016276698993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0.58249029504295147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0.66951981565543606</v>
      </c>
      <c r="H908" t="s">
        <v>11</v>
      </c>
      <c r="I908">
        <f>VLOOKUP(Table4[[#This Row],[Visitor]],'NHL Model'!$A$6:$B$38,2,FALSE)</f>
        <v>-0.10214397920743352</v>
      </c>
      <c r="J908">
        <f>($B$1+Table4[[#This Row],[Home Differential]])-Table4[[#This Row],[Away Differential]]</f>
        <v>0.85873193974041262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0.63147778117182796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0.22444955994982585</v>
      </c>
      <c r="H909" t="s">
        <v>13</v>
      </c>
      <c r="I909">
        <f>VLOOKUP(Table4[[#This Row],[Visitor]],'NHL Model'!$A$6:$B$38,2,FALSE)</f>
        <v>8.443955887089849E-2</v>
      </c>
      <c r="J909">
        <f>($B$1+Table4[[#This Row],[Home Differential]])-Table4[[#This Row],[Away Differential]]</f>
        <v>0.22707814595647036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0.49787406999630335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0.96536026973954592</v>
      </c>
      <c r="H910" t="s">
        <v>29</v>
      </c>
      <c r="I910">
        <f>VLOOKUP(Table4[[#This Row],[Visitor]],'NHL Model'!$A$6:$B$38,2,FALSE)</f>
        <v>-0.88005793547499611</v>
      </c>
      <c r="J910">
        <f>($B$1+Table4[[#This Row],[Home Differential]])-Table4[[#This Row],[Away Differential]]</f>
        <v>1.932486350092085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0.78189803824587678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0.44031772420389576</v>
      </c>
      <c r="H911" t="s">
        <v>17</v>
      </c>
      <c r="I911">
        <f>VLOOKUP(Table4[[#This Row],[Visitor]],'NHL Model'!$A$6:$B$38,2,FALSE)</f>
        <v>-0.19871596400308536</v>
      </c>
      <c r="J911">
        <f>($B$1+Table4[[#This Row],[Home Differential]])-Table4[[#This Row],[Away Differential]]</f>
        <v>0.72610183308452414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0.6918742884753728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0.86540791565538033</v>
      </c>
      <c r="H912" t="s">
        <v>32</v>
      </c>
      <c r="I912">
        <f>VLOOKUP(Table4[[#This Row],[Visitor]],'NHL Model'!$A$6:$B$38,2,FALSE)</f>
        <v>-0.52701775861642253</v>
      </c>
      <c r="J912">
        <f>($B$1+Table4[[#This Row],[Home Differential]])-Table4[[#This Row],[Away Differential]]</f>
        <v>1.4794938191493459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0.74932140075999953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8.443955887089849E-2</v>
      </c>
      <c r="H913" t="s">
        <v>20</v>
      </c>
      <c r="I913">
        <f>VLOOKUP(Table4[[#This Row],[Visitor]],'NHL Model'!$A$6:$B$38,2,FALSE)</f>
        <v>0.22444955994982585</v>
      </c>
      <c r="J913">
        <f>($B$1+Table4[[#This Row],[Home Differential]])-Table4[[#This Row],[Away Differential]]</f>
        <v>-5.2941856201384363E-2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0.50492644839530865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-2.9769404338063311E-4</v>
      </c>
      <c r="H914" t="s">
        <v>23</v>
      </c>
      <c r="I914">
        <f>VLOOKUP(Table4[[#This Row],[Visitor]],'NHL Model'!$A$6:$B$38,2,FALSE)</f>
        <v>-0.35383832279900912</v>
      </c>
      <c r="J914">
        <f>($B$1+Table4[[#This Row],[Home Differential]])-Table4[[#This Row],[Away Differential]]</f>
        <v>0.44060877363317147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0.62983810248338257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0.66951981565543606</v>
      </c>
      <c r="H915" t="s">
        <v>19</v>
      </c>
      <c r="I915">
        <f>VLOOKUP(Table4[[#This Row],[Visitor]],'NHL Model'!$A$6:$B$38,2,FALSE)</f>
        <v>-6.3531358246322375E-2</v>
      </c>
      <c r="J915">
        <f>($B$1+Table4[[#This Row],[Home Differential]])-Table4[[#This Row],[Away Differential]]</f>
        <v>0.82011931877930144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0.62736451051390996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0.16928148250244404</v>
      </c>
      <c r="H916" t="s">
        <v>12</v>
      </c>
      <c r="I916">
        <f>VLOOKUP(Table4[[#This Row],[Visitor]],'NHL Model'!$A$6:$B$38,2,FALSE)</f>
        <v>1.7072432657355574</v>
      </c>
      <c r="J916">
        <f>($B$1+Table4[[#This Row],[Home Differential]])-Table4[[#This Row],[Away Differential]]</f>
        <v>-1.4508936383555704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0.65005424032710113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-0.59313840141656504</v>
      </c>
      <c r="H917" t="s">
        <v>40</v>
      </c>
      <c r="I917">
        <f>VLOOKUP(Table4[[#This Row],[Visitor]],'NHL Model'!$A$6:$B$38,2,FALSE)</f>
        <v>-9.7143783320053662E-2</v>
      </c>
      <c r="J917">
        <f>($B$1+Table4[[#This Row],[Home Differential]])-Table4[[#This Row],[Away Differential]]</f>
        <v>-0.40892647321896836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0.50356154080375792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0.96536026973954592</v>
      </c>
      <c r="H918" t="s">
        <v>27</v>
      </c>
      <c r="I918">
        <f>VLOOKUP(Table4[[#This Row],[Visitor]],'NHL Model'!$A$6:$B$38,2,FALSE)</f>
        <v>7.060370405735697E-2</v>
      </c>
      <c r="J918">
        <f>($B$1+Table4[[#This Row],[Home Differential]])-Table4[[#This Row],[Away Differential]]</f>
        <v>0.98182471055973208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0.6385710162384608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0.20241790420125966</v>
      </c>
      <c r="H919" t="s">
        <v>28</v>
      </c>
      <c r="I919">
        <f>VLOOKUP(Table4[[#This Row],[Visitor]],'NHL Model'!$A$6:$B$38,2,FALSE)</f>
        <v>-0.25582283032518105</v>
      </c>
      <c r="J919">
        <f>($B$1+Table4[[#This Row],[Home Differential]])-Table4[[#This Row],[Away Differential]]</f>
        <v>0.54530887940398376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0.65721843312564099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0.48797916660265073</v>
      </c>
      <c r="H920" t="s">
        <v>37</v>
      </c>
      <c r="I920">
        <f>VLOOKUP(Table4[[#This Row],[Visitor]],'NHL Model'!$A$6:$B$38,2,FALSE)</f>
        <v>0.66951981565543606</v>
      </c>
      <c r="J920">
        <f>($B$1+Table4[[#This Row],[Home Differential]])-Table4[[#This Row],[Away Differential]]</f>
        <v>-9.4472504175242333E-2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0.51639294719233431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1.7072432657355574</v>
      </c>
      <c r="H921" t="s">
        <v>34</v>
      </c>
      <c r="I921">
        <f>VLOOKUP(Table4[[#This Row],[Visitor]],'NHL Model'!$A$6:$B$38,2,FALSE)</f>
        <v>4.4994204383705286E-2</v>
      </c>
      <c r="J921">
        <f>($B$1+Table4[[#This Row],[Home Differential]])-Table4[[#This Row],[Away Differential]]</f>
        <v>1.7493172062293951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0.81492021704194917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-0.10214397920743352</v>
      </c>
      <c r="H922" t="s">
        <v>19</v>
      </c>
      <c r="I922">
        <f>VLOOKUP(Table4[[#This Row],[Visitor]],'NHL Model'!$A$6:$B$38,2,FALSE)</f>
        <v>-6.3531358246322375E-2</v>
      </c>
      <c r="J922">
        <f>($B$1+Table4[[#This Row],[Home Differential]])-Table4[[#This Row],[Away Differential]]</f>
        <v>4.8455523916431847E-2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0.55220775335849326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8.443955887089849E-2</v>
      </c>
      <c r="H923" t="s">
        <v>17</v>
      </c>
      <c r="I923">
        <f>VLOOKUP(Table4[[#This Row],[Visitor]],'NHL Model'!$A$6:$B$38,2,FALSE)</f>
        <v>-0.19871596400308536</v>
      </c>
      <c r="J923">
        <f>($B$1+Table4[[#This Row],[Home Differential]])-Table4[[#This Row],[Away Differential]]</f>
        <v>0.37022366775152682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0.57943866309833958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-0.31732900620087529</v>
      </c>
      <c r="H924" t="s">
        <v>30</v>
      </c>
      <c r="I924">
        <f>VLOOKUP(Table4[[#This Row],[Visitor]],'NHL Model'!$A$6:$B$38,2,FALSE)</f>
        <v>0.30302134926393393</v>
      </c>
      <c r="J924">
        <f>($B$1+Table4[[#This Row],[Home Differential]])-Table4[[#This Row],[Away Differential]]</f>
        <v>-0.53328221058726621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0.58312452233353029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-0.88005793547499611</v>
      </c>
      <c r="H925" t="s">
        <v>10</v>
      </c>
      <c r="I925">
        <f>VLOOKUP(Table4[[#This Row],[Visitor]],'NHL Model'!$A$6:$B$38,2,FALSE)</f>
        <v>-0.25852364135215161</v>
      </c>
      <c r="J925">
        <f>($B$1+Table4[[#This Row],[Home Differential]])-Table4[[#This Row],[Away Differential]]</f>
        <v>-0.53446614924530156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0.51693485380221305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0.1651103738530684</v>
      </c>
      <c r="H926" t="s">
        <v>27</v>
      </c>
      <c r="I926">
        <f>VLOOKUP(Table4[[#This Row],[Visitor]],'NHL Model'!$A$6:$B$38,2,FALSE)</f>
        <v>7.060370405735697E-2</v>
      </c>
      <c r="J926">
        <f>($B$1+Table4[[#This Row],[Home Differential]])-Table4[[#This Row],[Away Differential]]</f>
        <v>0.1815748146732544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0.51682998215754938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-0.17962977873499933</v>
      </c>
      <c r="H927" t="s">
        <v>26</v>
      </c>
      <c r="I927">
        <f>VLOOKUP(Table4[[#This Row],[Visitor]],'NHL Model'!$A$6:$B$38,2,FALSE)</f>
        <v>-0.47317909800770142</v>
      </c>
      <c r="J927">
        <f>($B$1+Table4[[#This Row],[Home Differential]])-Table4[[#This Row],[Away Differential]]</f>
        <v>0.38061746415024511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0.57971638564875372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0.25731150832780025</v>
      </c>
      <c r="H928" t="s">
        <v>24</v>
      </c>
      <c r="I928">
        <f>VLOOKUP(Table4[[#This Row],[Visitor]],'NHL Model'!$A$6:$B$38,2,FALSE)</f>
        <v>-2.9769404338063311E-4</v>
      </c>
      <c r="J928">
        <f>($B$1+Table4[[#This Row],[Home Differential]])-Table4[[#This Row],[Away Differential]]</f>
        <v>0.3446773472487239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0.57314114186948784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-0.25672436988374864</v>
      </c>
      <c r="H929" t="s">
        <v>16</v>
      </c>
      <c r="I929">
        <f>VLOOKUP(Table4[[#This Row],[Visitor]],'NHL Model'!$A$6:$B$38,2,FALSE)</f>
        <v>-0.65802650867783552</v>
      </c>
      <c r="J929">
        <f>($B$1+Table4[[#This Row],[Home Differential]])-Table4[[#This Row],[Away Differential]]</f>
        <v>0.48837028367162988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0.59202441864924904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-0.95834101872668032</v>
      </c>
      <c r="H930" t="s">
        <v>32</v>
      </c>
      <c r="I930">
        <f>VLOOKUP(Table4[[#This Row],[Visitor]],'NHL Model'!$A$6:$B$38,2,FALSE)</f>
        <v>-0.52701775861642253</v>
      </c>
      <c r="J930">
        <f>($B$1+Table4[[#This Row],[Home Differential]])-Table4[[#This Row],[Away Differential]]</f>
        <v>-0.34425511523271479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0.49667232187504334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0.44031772420389576</v>
      </c>
      <c r="H931" t="s">
        <v>40</v>
      </c>
      <c r="I931">
        <f>VLOOKUP(Table4[[#This Row],[Visitor]],'NHL Model'!$A$6:$B$38,2,FALSE)</f>
        <v>-9.7143783320053662E-2</v>
      </c>
      <c r="J931">
        <f>($B$1+Table4[[#This Row],[Home Differential]])-Table4[[#This Row],[Away Differential]]</f>
        <v>0.6245296524014925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0.68105415091244892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-0.10214397920743352</v>
      </c>
      <c r="H932" t="s">
        <v>23</v>
      </c>
      <c r="I932">
        <f>VLOOKUP(Table4[[#This Row],[Visitor]],'NHL Model'!$A$6:$B$38,2,FALSE)</f>
        <v>-0.35383832279900912</v>
      </c>
      <c r="J932">
        <f>($B$1+Table4[[#This Row],[Home Differential]])-Table4[[#This Row],[Away Differential]]</f>
        <v>0.33876248846911861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0.58313316296190942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0.16928148250244404</v>
      </c>
      <c r="H933" t="s">
        <v>34</v>
      </c>
      <c r="I933">
        <f>VLOOKUP(Table4[[#This Row],[Visitor]],'NHL Model'!$A$6:$B$38,2,FALSE)</f>
        <v>4.4994204383705286E-2</v>
      </c>
      <c r="J933">
        <f>($B$1+Table4[[#This Row],[Home Differential]])-Table4[[#This Row],[Away Differential]]</f>
        <v>0.21135542299628174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0.58251497148246012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0.96536026973954592</v>
      </c>
      <c r="H934" t="s">
        <v>20</v>
      </c>
      <c r="I934">
        <f>VLOOKUP(Table4[[#This Row],[Visitor]],'NHL Model'!$A$6:$B$38,2,FALSE)</f>
        <v>0.22444955994982585</v>
      </c>
      <c r="J934">
        <f>($B$1+Table4[[#This Row],[Home Differential]])-Table4[[#This Row],[Away Differential]]</f>
        <v>0.82797885466726318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0.62539184267820591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0.48797916660265073</v>
      </c>
      <c r="H935" t="s">
        <v>26</v>
      </c>
      <c r="I935">
        <f>VLOOKUP(Table4[[#This Row],[Visitor]],'NHL Model'!$A$6:$B$38,2,FALSE)</f>
        <v>-0.47317909800770142</v>
      </c>
      <c r="J935">
        <f>($B$1+Table4[[#This Row],[Home Differential]])-Table4[[#This Row],[Away Differential]]</f>
        <v>1.0482264094878952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0.67688137125908332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-0.25582283032518105</v>
      </c>
      <c r="H936" t="s">
        <v>30</v>
      </c>
      <c r="I936">
        <f>VLOOKUP(Table4[[#This Row],[Visitor]],'NHL Model'!$A$6:$B$38,2,FALSE)</f>
        <v>0.30302134926393393</v>
      </c>
      <c r="J936">
        <f>($B$1+Table4[[#This Row],[Home Differential]])-Table4[[#This Row],[Away Differential]]</f>
        <v>-0.47177603471157198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0.57657247944669709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1.7072432657355574</v>
      </c>
      <c r="H937" t="s">
        <v>10</v>
      </c>
      <c r="I937">
        <f>VLOOKUP(Table4[[#This Row],[Visitor]],'NHL Model'!$A$6:$B$38,2,FALSE)</f>
        <v>-0.25852364135215161</v>
      </c>
      <c r="J937">
        <f>($B$1+Table4[[#This Row],[Home Differential]])-Table4[[#This Row],[Away Differential]]</f>
        <v>2.0528350519652521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0.86650247397647784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0.86540791565538033</v>
      </c>
      <c r="H938" t="s">
        <v>29</v>
      </c>
      <c r="I938">
        <f>VLOOKUP(Table4[[#This Row],[Visitor]],'NHL Model'!$A$6:$B$38,2,FALSE)</f>
        <v>-0.88005793547499611</v>
      </c>
      <c r="J938">
        <f>($B$1+Table4[[#This Row],[Home Differential]])-Table4[[#This Row],[Away Differential]]</f>
        <v>1.8325339960079194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0.7869295652511149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8.443955887089849E-2</v>
      </c>
      <c r="H939" t="s">
        <v>16</v>
      </c>
      <c r="I939">
        <f>VLOOKUP(Table4[[#This Row],[Visitor]],'NHL Model'!$A$6:$B$38,2,FALSE)</f>
        <v>-0.65802650867783552</v>
      </c>
      <c r="J939">
        <f>($B$1+Table4[[#This Row],[Home Differential]])-Table4[[#This Row],[Away Differential]]</f>
        <v>0.82953421242627701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0.62836744698446256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-0.31732900620087529</v>
      </c>
      <c r="H940" t="s">
        <v>22</v>
      </c>
      <c r="I940">
        <f>VLOOKUP(Table4[[#This Row],[Visitor]],'NHL Model'!$A$6:$B$38,2,FALSE)</f>
        <v>0.96536026973954592</v>
      </c>
      <c r="J940">
        <f>($B$1+Table4[[#This Row],[Home Differential]])-Table4[[#This Row],[Away Differential]]</f>
        <v>-1.1956211310628782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0.64150425380633946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0.1651103738530684</v>
      </c>
      <c r="H941" t="s">
        <v>14</v>
      </c>
      <c r="I941">
        <f>VLOOKUP(Table4[[#This Row],[Visitor]],'NHL Model'!$A$6:$B$38,2,FALSE)</f>
        <v>0.25731150832780025</v>
      </c>
      <c r="J941">
        <f>($B$1+Table4[[#This Row],[Home Differential]])-Table4[[#This Row],[Away Differential]]</f>
        <v>-5.1329895971888861E-3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0.49744120979171791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7.060370405735697E-2</v>
      </c>
      <c r="H942" t="s">
        <v>21</v>
      </c>
      <c r="I942">
        <f>VLOOKUP(Table4[[#This Row],[Visitor]],'NHL Model'!$A$6:$B$38,2,FALSE)</f>
        <v>0.20241790420125966</v>
      </c>
      <c r="J942">
        <f>($B$1+Table4[[#This Row],[Home Differential]])-Table4[[#This Row],[Away Differential]]</f>
        <v>-4.4746055266359691E-2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0.45464439508145954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-0.52701775861642253</v>
      </c>
      <c r="H943" t="s">
        <v>38</v>
      </c>
      <c r="I943">
        <f>VLOOKUP(Table4[[#This Row],[Visitor]],'NHL Model'!$A$6:$B$38,2,FALSE)</f>
        <v>-0.59313840141656504</v>
      </c>
      <c r="J943">
        <f>($B$1+Table4[[#This Row],[Home Differential]])-Table4[[#This Row],[Away Differential]]</f>
        <v>0.15318878767768551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0.55631867844742455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-0.25672436988374864</v>
      </c>
      <c r="H944" t="s">
        <v>17</v>
      </c>
      <c r="I944">
        <f>VLOOKUP(Table4[[#This Row],[Visitor]],'NHL Model'!$A$6:$B$38,2,FALSE)</f>
        <v>-0.19871596400308536</v>
      </c>
      <c r="J944">
        <f>($B$1+Table4[[#This Row],[Home Differential]])-Table4[[#This Row],[Away Differential]]</f>
        <v>2.9059738996879719E-2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0.54309563476312595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-0.95834101872668032</v>
      </c>
      <c r="H945" t="s">
        <v>24</v>
      </c>
      <c r="I945">
        <f>VLOOKUP(Table4[[#This Row],[Visitor]],'NHL Model'!$A$6:$B$38,2,FALSE)</f>
        <v>-2.9769404338063311E-4</v>
      </c>
      <c r="J945">
        <f>($B$1+Table4[[#This Row],[Home Differential]])-Table4[[#This Row],[Away Differential]]</f>
        <v>-0.87097517980575667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0.55635817066858517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0.66951981565543606</v>
      </c>
      <c r="H946" t="s">
        <v>23</v>
      </c>
      <c r="I946">
        <f>VLOOKUP(Table4[[#This Row],[Visitor]],'NHL Model'!$A$6:$B$38,2,FALSE)</f>
        <v>-0.35383832279900912</v>
      </c>
      <c r="J946">
        <f>($B$1+Table4[[#This Row],[Home Differential]])-Table4[[#This Row],[Away Differential]]</f>
        <v>1.1104262833319882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0.65828992011732601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-6.3531358246322375E-2</v>
      </c>
      <c r="H947" t="s">
        <v>36</v>
      </c>
      <c r="I947">
        <f>VLOOKUP(Table4[[#This Row],[Visitor]],'NHL Model'!$A$6:$B$38,2,FALSE)</f>
        <v>-0.17962977873499933</v>
      </c>
      <c r="J947">
        <f>($B$1+Table4[[#This Row],[Home Differential]])-Table4[[#This Row],[Away Differential]]</f>
        <v>0.20316656536621996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0.55806648150176563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0.44031772420389576</v>
      </c>
      <c r="H948" t="s">
        <v>16</v>
      </c>
      <c r="I948">
        <f>VLOOKUP(Table4[[#This Row],[Visitor]],'NHL Model'!$A$6:$B$38,2,FALSE)</f>
        <v>-0.65802650867783552</v>
      </c>
      <c r="J948">
        <f>($B$1+Table4[[#This Row],[Home Differential]])-Table4[[#This Row],[Away Differential]]</f>
        <v>1.1854123777592744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0.7408030723614959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4.4994204383705286E-2</v>
      </c>
      <c r="H949" t="s">
        <v>35</v>
      </c>
      <c r="I949">
        <f>VLOOKUP(Table4[[#This Row],[Visitor]],'NHL Model'!$A$6:$B$38,2,FALSE)</f>
        <v>-0.95834101872668032</v>
      </c>
      <c r="J949">
        <f>($B$1+Table4[[#This Row],[Home Differential]])-Table4[[#This Row],[Away Differential]]</f>
        <v>1.0904033679879286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0.65615694731929597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0.30302134926393393</v>
      </c>
      <c r="H950" t="s">
        <v>11</v>
      </c>
      <c r="I950">
        <f>VLOOKUP(Table4[[#This Row],[Visitor]],'NHL Model'!$A$6:$B$38,2,FALSE)</f>
        <v>-0.10214397920743352</v>
      </c>
      <c r="J950">
        <f>($B$1+Table4[[#This Row],[Home Differential]])-Table4[[#This Row],[Away Differential]]</f>
        <v>0.49223347334891043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0.59243595105368063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0.25731150832780025</v>
      </c>
      <c r="H951" t="s">
        <v>20</v>
      </c>
      <c r="I951">
        <f>VLOOKUP(Table4[[#This Row],[Visitor]],'NHL Model'!$A$6:$B$38,2,FALSE)</f>
        <v>0.22444955994982585</v>
      </c>
      <c r="J951">
        <f>($B$1+Table4[[#This Row],[Home Differential]])-Table4[[#This Row],[Away Differential]]</f>
        <v>0.1199300932555174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0.51348901006306225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-0.25672436988374864</v>
      </c>
      <c r="H952" t="s">
        <v>40</v>
      </c>
      <c r="I952">
        <f>VLOOKUP(Table4[[#This Row],[Visitor]],'NHL Model'!$A$6:$B$38,2,FALSE)</f>
        <v>-9.7143783320053662E-2</v>
      </c>
      <c r="J952">
        <f>($B$1+Table4[[#This Row],[Home Differential]])-Table4[[#This Row],[Away Differential]]</f>
        <v>-7.2512441686151979E-2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0.46772450279979799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0.16928148250244404</v>
      </c>
      <c r="H953" t="s">
        <v>10</v>
      </c>
      <c r="I953">
        <f>VLOOKUP(Table4[[#This Row],[Visitor]],'NHL Model'!$A$6:$B$38,2,FALSE)</f>
        <v>-0.25852364135215161</v>
      </c>
      <c r="J953">
        <f>($B$1+Table4[[#This Row],[Home Differential]])-Table4[[#This Row],[Away Differential]]</f>
        <v>0.51487326873213868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0.63527886859235272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8.443955887089849E-2</v>
      </c>
      <c r="H954" t="s">
        <v>12</v>
      </c>
      <c r="I954">
        <f>VLOOKUP(Table4[[#This Row],[Visitor]],'NHL Model'!$A$6:$B$38,2,FALSE)</f>
        <v>1.7072432657355574</v>
      </c>
      <c r="J954">
        <f>($B$1+Table4[[#This Row],[Home Differential]])-Table4[[#This Row],[Away Differential]]</f>
        <v>-1.5357355619871158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0.70007735193602827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-0.88005793547499611</v>
      </c>
      <c r="H955" t="s">
        <v>26</v>
      </c>
      <c r="I955">
        <f>VLOOKUP(Table4[[#This Row],[Visitor]],'NHL Model'!$A$6:$B$38,2,FALSE)</f>
        <v>-0.47317909800770142</v>
      </c>
      <c r="J955">
        <f>($B$1+Table4[[#This Row],[Home Differential]])-Table4[[#This Row],[Away Differential]]</f>
        <v>-0.3198106925897517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0.49489783409043181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0.1651103738530684</v>
      </c>
      <c r="H956" t="s">
        <v>28</v>
      </c>
      <c r="I956">
        <f>VLOOKUP(Table4[[#This Row],[Visitor]],'NHL Model'!$A$6:$B$38,2,FALSE)</f>
        <v>-0.25582283032518105</v>
      </c>
      <c r="J956">
        <f>($B$1+Table4[[#This Row],[Home Differential]])-Table4[[#This Row],[Away Differential]]</f>
        <v>0.50800134905579242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0.59411564900912728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-0.52701775861642253</v>
      </c>
      <c r="H957" t="s">
        <v>25</v>
      </c>
      <c r="I957">
        <f>VLOOKUP(Table4[[#This Row],[Visitor]],'NHL Model'!$A$6:$B$38,2,FALSE)</f>
        <v>0.48797916660265073</v>
      </c>
      <c r="J957">
        <f>($B$1+Table4[[#This Row],[Home Differential]])-Table4[[#This Row],[Away Differential]]</f>
        <v>-0.92792878034153026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0.63147225341789559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-6.3531358246322375E-2</v>
      </c>
      <c r="H958" t="s">
        <v>27</v>
      </c>
      <c r="I958">
        <f>VLOOKUP(Table4[[#This Row],[Visitor]],'NHL Model'!$A$6:$B$38,2,FALSE)</f>
        <v>7.060370405735697E-2</v>
      </c>
      <c r="J958">
        <f>($B$1+Table4[[#This Row],[Home Differential]])-Table4[[#This Row],[Away Differential]]</f>
        <v>-4.7066917426136348E-2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0.50752644080496245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-0.59313840141656504</v>
      </c>
      <c r="H959" t="s">
        <v>39</v>
      </c>
      <c r="I959">
        <f>VLOOKUP(Table4[[#This Row],[Visitor]],'NHL Model'!$A$6:$B$38,2,FALSE)</f>
        <v>0.86540791565538033</v>
      </c>
      <c r="J959">
        <f>($B$1+Table4[[#This Row],[Home Differential]])-Table4[[#This Row],[Away Differential]]</f>
        <v>-1.3714781721944025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0.69858507425200211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0.44031772420389576</v>
      </c>
      <c r="H960" t="s">
        <v>12</v>
      </c>
      <c r="I960">
        <f>VLOOKUP(Table4[[#This Row],[Visitor]],'NHL Model'!$A$6:$B$38,2,FALSE)</f>
        <v>1.7072432657355574</v>
      </c>
      <c r="J960">
        <f>($B$1+Table4[[#This Row],[Home Differential]])-Table4[[#This Row],[Away Differential]]</f>
        <v>-1.1798573966541186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0.58580887891502342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0.20241790420125966</v>
      </c>
      <c r="H961" t="s">
        <v>14</v>
      </c>
      <c r="I961">
        <f>VLOOKUP(Table4[[#This Row],[Visitor]],'NHL Model'!$A$6:$B$38,2,FALSE)</f>
        <v>0.25731150832780025</v>
      </c>
      <c r="J961">
        <f>($B$1+Table4[[#This Row],[Home Differential]])-Table4[[#This Row],[Away Differential]]</f>
        <v>3.2174540751002401E-2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0.56656737569828763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-0.35383832279900912</v>
      </c>
      <c r="H962" t="s">
        <v>20</v>
      </c>
      <c r="I962">
        <f>VLOOKUP(Table4[[#This Row],[Visitor]],'NHL Model'!$A$6:$B$38,2,FALSE)</f>
        <v>0.22444955994982585</v>
      </c>
      <c r="J962">
        <f>($B$1+Table4[[#This Row],[Home Differential]])-Table4[[#This Row],[Away Differential]]</f>
        <v>-0.49121973787129197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0.5414109307072339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-0.25582283032518105</v>
      </c>
      <c r="H963" t="s">
        <v>29</v>
      </c>
      <c r="I963">
        <f>VLOOKUP(Table4[[#This Row],[Visitor]],'NHL Model'!$A$6:$B$38,2,FALSE)</f>
        <v>-0.88005793547499611</v>
      </c>
      <c r="J963">
        <f>($B$1+Table4[[#This Row],[Home Differential]])-Table4[[#This Row],[Away Differential]]</f>
        <v>0.71130325002735806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0.6157727062911883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-0.65802650867783552</v>
      </c>
      <c r="H964" t="s">
        <v>39</v>
      </c>
      <c r="I964">
        <f>VLOOKUP(Table4[[#This Row],[Visitor]],'NHL Model'!$A$6:$B$38,2,FALSE)</f>
        <v>0.86540791565538033</v>
      </c>
      <c r="J964">
        <f>($B$1+Table4[[#This Row],[Home Differential]])-Table4[[#This Row],[Away Differential]]</f>
        <v>-1.4363662794556729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0.70549738274083618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-0.19871596400308536</v>
      </c>
      <c r="H965" t="s">
        <v>36</v>
      </c>
      <c r="I965">
        <f>VLOOKUP(Table4[[#This Row],[Visitor]],'NHL Model'!$A$6:$B$38,2,FALSE)</f>
        <v>-0.17962977873499933</v>
      </c>
      <c r="J965">
        <f>($B$1+Table4[[#This Row],[Home Differential]])-Table4[[#This Row],[Away Differential]]</f>
        <v>6.7981959609456966E-2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0.56279744157025979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4.4994204383705286E-2</v>
      </c>
      <c r="H966" t="s">
        <v>37</v>
      </c>
      <c r="I966">
        <f>VLOOKUP(Table4[[#This Row],[Visitor]],'NHL Model'!$A$6:$B$38,2,FALSE)</f>
        <v>0.66951981565543606</v>
      </c>
      <c r="J966">
        <f>($B$1+Table4[[#This Row],[Home Differential]])-Table4[[#This Row],[Away Differential]]</f>
        <v>-0.53745746639418779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0.58987667771129171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-2.9769404338063311E-4</v>
      </c>
      <c r="H967" t="s">
        <v>11</v>
      </c>
      <c r="I967">
        <f>VLOOKUP(Table4[[#This Row],[Visitor]],'NHL Model'!$A$6:$B$38,2,FALSE)</f>
        <v>-0.10214397920743352</v>
      </c>
      <c r="J967">
        <f>($B$1+Table4[[#This Row],[Home Differential]])-Table4[[#This Row],[Away Differential]]</f>
        <v>0.18891443004159589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0.6030259635378844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-0.25672436988374864</v>
      </c>
      <c r="H968" t="s">
        <v>18</v>
      </c>
      <c r="I968">
        <f>VLOOKUP(Table4[[#This Row],[Visitor]],'NHL Model'!$A$6:$B$38,2,FALSE)</f>
        <v>-0.31732900620087529</v>
      </c>
      <c r="J968">
        <f>($B$1+Table4[[#This Row],[Home Differential]])-Table4[[#This Row],[Away Differential]]</f>
        <v>0.14767278119466964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0.48310790800480463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-9.7143783320053662E-2</v>
      </c>
      <c r="H969" t="s">
        <v>10</v>
      </c>
      <c r="I969">
        <f>VLOOKUP(Table4[[#This Row],[Visitor]],'NHL Model'!$A$6:$B$38,2,FALSE)</f>
        <v>-0.25852364135215161</v>
      </c>
      <c r="J969">
        <f>($B$1+Table4[[#This Row],[Home Differential]])-Table4[[#This Row],[Away Differential]]</f>
        <v>0.24844800290964095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0.58557174866804984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0.96536026973954592</v>
      </c>
      <c r="H970" t="s">
        <v>55</v>
      </c>
      <c r="I970">
        <f>VLOOKUP(Table4[[#This Row],[Visitor]],'NHL Model'!$A$6:$B$38,2,FALSE)</f>
        <v>0.16928148250244404</v>
      </c>
      <c r="J970">
        <f>($B$1+Table4[[#This Row],[Home Differential]])-Table4[[#This Row],[Away Differential]]</f>
        <v>0.88314693211464501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0.6701154932974136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0.44031772420389576</v>
      </c>
      <c r="H971" t="s">
        <v>30</v>
      </c>
      <c r="I971">
        <f>VLOOKUP(Table4[[#This Row],[Visitor]],'NHL Model'!$A$6:$B$38,2,FALSE)</f>
        <v>0.30302134926393393</v>
      </c>
      <c r="J971">
        <f>($B$1+Table4[[#This Row],[Home Differential]])-Table4[[#This Row],[Away Differential]]</f>
        <v>0.22436451981750488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0.57390078614380213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-0.47317909800770142</v>
      </c>
      <c r="H972" t="s">
        <v>20</v>
      </c>
      <c r="I972">
        <f>VLOOKUP(Table4[[#This Row],[Visitor]],'NHL Model'!$A$6:$B$38,2,FALSE)</f>
        <v>0.22444955994982585</v>
      </c>
      <c r="J972">
        <f>($B$1+Table4[[#This Row],[Home Differential]])-Table4[[#This Row],[Away Differential]]</f>
        <v>-0.61056051307998427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0.55412389596938216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-2.9769404338063311E-4</v>
      </c>
      <c r="H973" t="s">
        <v>19</v>
      </c>
      <c r="I973">
        <f>VLOOKUP(Table4[[#This Row],[Visitor]],'NHL Model'!$A$6:$B$38,2,FALSE)</f>
        <v>-6.3531358246322375E-2</v>
      </c>
      <c r="J973">
        <f>($B$1+Table4[[#This Row],[Home Differential]])-Table4[[#This Row],[Away Differential]]</f>
        <v>0.15030180908048474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0.5989126928799664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-0.52701775861642253</v>
      </c>
      <c r="H974" t="s">
        <v>35</v>
      </c>
      <c r="I974">
        <f>VLOOKUP(Table4[[#This Row],[Visitor]],'NHL Model'!$A$6:$B$38,2,FALSE)</f>
        <v>-0.95834101872668032</v>
      </c>
      <c r="J974">
        <f>($B$1+Table4[[#This Row],[Home Differential]])-Table4[[#This Row],[Away Differential]]</f>
        <v>0.51839140498780079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0.59522246618795338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-0.59313840141656504</v>
      </c>
      <c r="H975" t="s">
        <v>25</v>
      </c>
      <c r="I975">
        <f>VLOOKUP(Table4[[#This Row],[Visitor]],'NHL Model'!$A$6:$B$38,2,FALSE)</f>
        <v>0.48797916660265073</v>
      </c>
      <c r="J975">
        <f>($B$1+Table4[[#This Row],[Home Differential]])-Table4[[#This Row],[Away Differential]]</f>
        <v>-0.99404942314167277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0.63851585970886515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-0.25582283032518105</v>
      </c>
      <c r="H976" t="s">
        <v>11</v>
      </c>
      <c r="I976">
        <f>VLOOKUP(Table4[[#This Row],[Visitor]],'NHL Model'!$A$6:$B$38,2,FALSE)</f>
        <v>-0.10214397920743352</v>
      </c>
      <c r="J976">
        <f>($B$1+Table4[[#This Row],[Home Differential]])-Table4[[#This Row],[Away Differential]]</f>
        <v>-6.6610706240204529E-2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0.46709581107578735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-0.65802650867783552</v>
      </c>
      <c r="H977" t="s">
        <v>36</v>
      </c>
      <c r="I977">
        <f>VLOOKUP(Table4[[#This Row],[Visitor]],'NHL Model'!$A$6:$B$38,2,FALSE)</f>
        <v>-0.17962977873499933</v>
      </c>
      <c r="J977">
        <f>($B$1+Table4[[#This Row],[Home Differential]])-Table4[[#This Row],[Away Differential]]</f>
        <v>-0.39132858506529322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0.50526305681181605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8.443955887089849E-2</v>
      </c>
      <c r="H978" t="s">
        <v>30</v>
      </c>
      <c r="I978">
        <f>VLOOKUP(Table4[[#This Row],[Visitor]],'NHL Model'!$A$6:$B$38,2,FALSE)</f>
        <v>0.30302134926393393</v>
      </c>
      <c r="J978">
        <f>($B$1+Table4[[#This Row],[Home Differential]])-Table4[[#This Row],[Away Differential]]</f>
        <v>-0.13151364551549244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0.54032548904211097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-0.88005793547499611</v>
      </c>
      <c r="H979" t="s">
        <v>21</v>
      </c>
      <c r="I979">
        <f>VLOOKUP(Table4[[#This Row],[Visitor]],'NHL Model'!$A$6:$B$38,2,FALSE)</f>
        <v>0.20241790420125966</v>
      </c>
      <c r="J979">
        <f>($B$1+Table4[[#This Row],[Home Differential]])-Table4[[#This Row],[Away Differential]]</f>
        <v>-0.99540769479871272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0.5660373826424534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0.1651103738530684</v>
      </c>
      <c r="H980" t="s">
        <v>19</v>
      </c>
      <c r="I980">
        <f>VLOOKUP(Table4[[#This Row],[Visitor]],'NHL Model'!$A$6:$B$38,2,FALSE)</f>
        <v>-6.3531358246322375E-2</v>
      </c>
      <c r="J980">
        <f>($B$1+Table4[[#This Row],[Home Differential]])-Table4[[#This Row],[Away Differential]]</f>
        <v>0.31570987697693376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0.57363149511896694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7.060370405735697E-2</v>
      </c>
      <c r="H981" t="s">
        <v>55</v>
      </c>
      <c r="I981">
        <f>VLOOKUP(Table4[[#This Row],[Visitor]],'NHL Model'!$A$6:$B$38,2,FALSE)</f>
        <v>0.16928148250244404</v>
      </c>
      <c r="J981">
        <f>($B$1+Table4[[#This Row],[Home Differential]])-Table4[[#This Row],[Away Differential]]</f>
        <v>-1.1609633567544075E-2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0.45111448523101427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0.25731150832780025</v>
      </c>
      <c r="H982" t="s">
        <v>23</v>
      </c>
      <c r="I982">
        <f>VLOOKUP(Table4[[#This Row],[Visitor]],'NHL Model'!$A$6:$B$38,2,FALSE)</f>
        <v>-0.35383832279900912</v>
      </c>
      <c r="J982">
        <f>($B$1+Table4[[#This Row],[Home Differential]])-Table4[[#This Row],[Away Differential]]</f>
        <v>0.69821797600435231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0.61437877673266772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-9.7143783320053662E-2</v>
      </c>
      <c r="H983" t="s">
        <v>37</v>
      </c>
      <c r="I983">
        <f>VLOOKUP(Table4[[#This Row],[Visitor]],'NHL Model'!$A$6:$B$38,2,FALSE)</f>
        <v>0.66951981565543606</v>
      </c>
      <c r="J983">
        <f>($B$1+Table4[[#This Row],[Home Differential]])-Table4[[#This Row],[Away Differential]]</f>
        <v>-0.67959545409794675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0.58576396702275402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0.44031772420389576</v>
      </c>
      <c r="H984" t="s">
        <v>18</v>
      </c>
      <c r="I984">
        <f>VLOOKUP(Table4[[#This Row],[Visitor]],'NHL Model'!$A$6:$B$38,2,FALSE)</f>
        <v>-0.31732900620087529</v>
      </c>
      <c r="J984">
        <f>($B$1+Table4[[#This Row],[Home Differential]])-Table4[[#This Row],[Away Differential]]</f>
        <v>0.84471487528231415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0.63371082690154801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-0.25852364135215161</v>
      </c>
      <c r="H985" t="s">
        <v>38</v>
      </c>
      <c r="I985">
        <f>VLOOKUP(Table4[[#This Row],[Visitor]],'NHL Model'!$A$6:$B$38,2,FALSE)</f>
        <v>-0.59313840141656504</v>
      </c>
      <c r="J985">
        <f>($B$1+Table4[[#This Row],[Home Differential]])-Table4[[#This Row],[Away Differential]]</f>
        <v>0.42168290494195643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0.58492043991497722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0.86540791565538033</v>
      </c>
      <c r="H986" t="s">
        <v>12</v>
      </c>
      <c r="I986">
        <f>VLOOKUP(Table4[[#This Row],[Visitor]],'NHL Model'!$A$6:$B$38,2,FALSE)</f>
        <v>1.7072432657355574</v>
      </c>
      <c r="J986">
        <f>($B$1+Table4[[#This Row],[Home Differential]])-Table4[[#This Row],[Away Differential]]</f>
        <v>-0.75476720520263407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0.56427374075870518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-0.47317909800770142</v>
      </c>
      <c r="H987" t="s">
        <v>11</v>
      </c>
      <c r="I987">
        <f>VLOOKUP(Table4[[#This Row],[Visitor]],'NHL Model'!$A$6:$B$38,2,FALSE)</f>
        <v>-0.10214397920743352</v>
      </c>
      <c r="J987">
        <f>($B$1+Table4[[#This Row],[Home Differential]])-Table4[[#This Row],[Away Differential]]</f>
        <v>-0.28396697392272491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0.48012778266243833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-0.19871596400308536</v>
      </c>
      <c r="H988" t="s">
        <v>25</v>
      </c>
      <c r="I988">
        <f>VLOOKUP(Table4[[#This Row],[Visitor]],'NHL Model'!$A$6:$B$38,2,FALSE)</f>
        <v>0.48797916660265073</v>
      </c>
      <c r="J988">
        <f>($B$1+Table4[[#This Row],[Home Differential]])-Table4[[#This Row],[Away Differential]]</f>
        <v>-0.59962698572819306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0.57724519916093908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-0.25672436988374864</v>
      </c>
      <c r="H989" t="s">
        <v>35</v>
      </c>
      <c r="I989">
        <f>VLOOKUP(Table4[[#This Row],[Visitor]],'NHL Model'!$A$6:$B$38,2,FALSE)</f>
        <v>-0.95834101872668032</v>
      </c>
      <c r="J989">
        <f>($B$1+Table4[[#This Row],[Home Differential]])-Table4[[#This Row],[Away Differential]]</f>
        <v>0.78868479372047462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0.62401589790094369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0.22444955994982585</v>
      </c>
      <c r="H990" t="s">
        <v>34</v>
      </c>
      <c r="I990">
        <f>VLOOKUP(Table4[[#This Row],[Visitor]],'NHL Model'!$A$6:$B$38,2,FALSE)</f>
        <v>4.4994204383705286E-2</v>
      </c>
      <c r="J990">
        <f>($B$1+Table4[[#This Row],[Home Differential]])-Table4[[#This Row],[Away Differential]]</f>
        <v>0.26652350044366357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0.54762260761761816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0.20241790420125966</v>
      </c>
      <c r="H991" t="s">
        <v>22</v>
      </c>
      <c r="I991">
        <f>VLOOKUP(Table4[[#This Row],[Visitor]],'NHL Model'!$A$6:$B$38,2,FALSE)</f>
        <v>0.96536026973954592</v>
      </c>
      <c r="J991">
        <f>($B$1+Table4[[#This Row],[Home Differential]])-Table4[[#This Row],[Away Differential]]</f>
        <v>-0.67587422066074332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0.52589928199446945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-0.35383832279900912</v>
      </c>
      <c r="H992" t="s">
        <v>29</v>
      </c>
      <c r="I992">
        <f>VLOOKUP(Table4[[#This Row],[Visitor]],'NHL Model'!$A$6:$B$38,2,FALSE)</f>
        <v>-0.88005793547499611</v>
      </c>
      <c r="J992">
        <f>($B$1+Table4[[#This Row],[Home Differential]])-Table4[[#This Row],[Away Differential]]</f>
        <v>0.61328775755353004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0.61545369996668564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-0.25582283032518105</v>
      </c>
      <c r="H993" t="s">
        <v>55</v>
      </c>
      <c r="I993">
        <f>VLOOKUP(Table4[[#This Row],[Visitor]],'NHL Model'!$A$6:$B$38,2,FALSE)</f>
        <v>0.16928148250244404</v>
      </c>
      <c r="J993">
        <f>($B$1+Table4[[#This Row],[Home Differential]])-Table4[[#This Row],[Away Differential]]</f>
        <v>-0.33803616795008207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0.49600983865727483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-0.65802650867783552</v>
      </c>
      <c r="H994" t="s">
        <v>25</v>
      </c>
      <c r="I994">
        <f>VLOOKUP(Table4[[#This Row],[Visitor]],'NHL Model'!$A$6:$B$38,2,FALSE)</f>
        <v>0.48797916660265073</v>
      </c>
      <c r="J994">
        <f>($B$1+Table4[[#This Row],[Home Differential]])-Table4[[#This Row],[Away Differential]]</f>
        <v>-1.0589375304029431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0.64542816819769921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8.443955887089849E-2</v>
      </c>
      <c r="H995" t="s">
        <v>18</v>
      </c>
      <c r="I995">
        <f>VLOOKUP(Table4[[#This Row],[Visitor]],'NHL Model'!$A$6:$B$38,2,FALSE)</f>
        <v>-0.31732900620087529</v>
      </c>
      <c r="J995">
        <f>($B$1+Table4[[#This Row],[Home Differential]])-Table4[[#This Row],[Away Differential]]</f>
        <v>0.48883670994931677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0.51945093634001815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-2.9769404338063311E-4</v>
      </c>
      <c r="H996" t="s">
        <v>15</v>
      </c>
      <c r="I996">
        <f>VLOOKUP(Table4[[#This Row],[Visitor]],'NHL Model'!$A$6:$B$38,2,FALSE)</f>
        <v>0.1651103738530684</v>
      </c>
      <c r="J996">
        <f>($B$1+Table4[[#This Row],[Home Differential]])-Table4[[#This Row],[Away Differential]]</f>
        <v>-7.8339923018906035E-2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0.53170977046799894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0.25731150832780025</v>
      </c>
      <c r="H997" t="s">
        <v>27</v>
      </c>
      <c r="I997">
        <f>VLOOKUP(Table4[[#This Row],[Visitor]],'NHL Model'!$A$6:$B$38,2,FALSE)</f>
        <v>7.060370405735697E-2</v>
      </c>
      <c r="J997">
        <f>($B$1+Table4[[#This Row],[Home Differential]])-Table4[[#This Row],[Away Differential]]</f>
        <v>0.27377594914798631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0.52665185416783411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-0.52701775861642253</v>
      </c>
      <c r="H998" t="s">
        <v>36</v>
      </c>
      <c r="I998">
        <f>VLOOKUP(Table4[[#This Row],[Visitor]],'NHL Model'!$A$6:$B$38,2,FALSE)</f>
        <v>-0.17962977873499933</v>
      </c>
      <c r="J998">
        <f>($B$1+Table4[[#This Row],[Home Differential]])-Table4[[#This Row],[Away Differential]]</f>
        <v>-0.26031983500388023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0.49130714203201248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-0.25672436988374864</v>
      </c>
      <c r="H999" t="s">
        <v>30</v>
      </c>
      <c r="I999">
        <f>VLOOKUP(Table4[[#This Row],[Visitor]],'NHL Model'!$A$6:$B$38,2,FALSE)</f>
        <v>0.30302134926393393</v>
      </c>
      <c r="J999">
        <f>($B$1+Table4[[#This Row],[Home Differential]])-Table4[[#This Row],[Away Differential]]</f>
        <v>-0.47267757427013957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0.5766685173773245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-6.3531358246322375E-2</v>
      </c>
      <c r="H1000" t="s">
        <v>37</v>
      </c>
      <c r="I1000">
        <f>VLOOKUP(Table4[[#This Row],[Visitor]],'NHL Model'!$A$6:$B$38,2,FALSE)</f>
        <v>0.66951981565543606</v>
      </c>
      <c r="J1000">
        <f>($B$1+Table4[[#This Row],[Home Differential]])-Table4[[#This Row],[Away Differential]]</f>
        <v>-0.64598302902421545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0.60143753530885613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-9.7143783320053662E-2</v>
      </c>
      <c r="H1001" t="s">
        <v>38</v>
      </c>
      <c r="I1001">
        <f>VLOOKUP(Table4[[#This Row],[Visitor]],'NHL Model'!$A$6:$B$38,2,FALSE)</f>
        <v>-0.59313840141656504</v>
      </c>
      <c r="J1001">
        <f>($B$1+Table4[[#This Row],[Home Differential]])-Table4[[#This Row],[Away Differential]]</f>
        <v>0.58306276297405435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0.62121711642657196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0.44031772420389576</v>
      </c>
      <c r="H1002" t="s">
        <v>35</v>
      </c>
      <c r="I1002">
        <f>VLOOKUP(Table4[[#This Row],[Visitor]],'NHL Model'!$A$6:$B$38,2,FALSE)</f>
        <v>-0.95834101872668032</v>
      </c>
      <c r="J1002">
        <f>($B$1+Table4[[#This Row],[Home Differential]])-Table4[[#This Row],[Away Differential]]</f>
        <v>1.4857268878081191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0.77279455161319055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-0.35383832279900912</v>
      </c>
      <c r="H1003" t="s">
        <v>37</v>
      </c>
      <c r="I1003">
        <f>VLOOKUP(Table4[[#This Row],[Visitor]],'NHL Model'!$A$6:$B$38,2,FALSE)</f>
        <v>0.66951981565543606</v>
      </c>
      <c r="J1003">
        <f>($B$1+Table4[[#This Row],[Home Differential]])-Table4[[#This Row],[Away Differential]]</f>
        <v>-0.93628999357690224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0.62218875539625285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1.7072432657355574</v>
      </c>
      <c r="H1004" t="s">
        <v>34</v>
      </c>
      <c r="I1004">
        <f>VLOOKUP(Table4[[#This Row],[Visitor]],'NHL Model'!$A$6:$B$38,2,FALSE)</f>
        <v>4.4994204383705286E-2</v>
      </c>
      <c r="J1004">
        <f>($B$1+Table4[[#This Row],[Home Differential]])-Table4[[#This Row],[Away Differential]]</f>
        <v>1.7493172062293951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0.81492021704194917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0.86540791565538033</v>
      </c>
      <c r="H1005" t="s">
        <v>10</v>
      </c>
      <c r="I1005">
        <f>VLOOKUP(Table4[[#This Row],[Visitor]],'NHL Model'!$A$6:$B$38,2,FALSE)</f>
        <v>-0.25852364135215161</v>
      </c>
      <c r="J1005">
        <f>($B$1+Table4[[#This Row],[Home Differential]])-Table4[[#This Row],[Away Differential]]</f>
        <v>1.2109997018850749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0.72071963929244687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-2.9769404338063311E-4</v>
      </c>
      <c r="H1006" t="s">
        <v>26</v>
      </c>
      <c r="I1006">
        <f>VLOOKUP(Table4[[#This Row],[Visitor]],'NHL Model'!$A$6:$B$38,2,FALSE)</f>
        <v>-0.47317909800770142</v>
      </c>
      <c r="J1006">
        <f>($B$1+Table4[[#This Row],[Home Differential]])-Table4[[#This Row],[Away Differential]]</f>
        <v>0.55994954884186376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0.64173906558019178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0.25731150832780025</v>
      </c>
      <c r="H1007" t="s">
        <v>21</v>
      </c>
      <c r="I1007">
        <f>VLOOKUP(Table4[[#This Row],[Visitor]],'NHL Model'!$A$6:$B$38,2,FALSE)</f>
        <v>0.20241790420125966</v>
      </c>
      <c r="J1007">
        <f>($B$1+Table4[[#This Row],[Home Differential]])-Table4[[#This Row],[Away Differential]]</f>
        <v>0.14196174900408359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0.55512270035523681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0.22444955994982585</v>
      </c>
      <c r="H1008" t="s">
        <v>17</v>
      </c>
      <c r="I1008">
        <f>VLOOKUP(Table4[[#This Row],[Visitor]],'NHL Model'!$A$6:$B$38,2,FALSE)</f>
        <v>-0.19871596400308536</v>
      </c>
      <c r="J1008">
        <f>($B$1+Table4[[#This Row],[Home Differential]])-Table4[[#This Row],[Away Differential]]</f>
        <v>0.51023366883045418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0.59435345041187204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-0.25852364135215161</v>
      </c>
      <c r="H1009" t="s">
        <v>55</v>
      </c>
      <c r="I1009">
        <f>VLOOKUP(Table4[[#This Row],[Visitor]],'NHL Model'!$A$6:$B$38,2,FALSE)</f>
        <v>0.16928148250244404</v>
      </c>
      <c r="J1009">
        <f>($B$1+Table4[[#This Row],[Home Differential]])-Table4[[#This Row],[Away Differential]]</f>
        <v>-0.34073697897705268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0.49629754683334004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7.060370405735697E-2</v>
      </c>
      <c r="H1010" t="s">
        <v>15</v>
      </c>
      <c r="I1010">
        <f>VLOOKUP(Table4[[#This Row],[Visitor]],'NHL Model'!$A$6:$B$38,2,FALSE)</f>
        <v>0.1651103738530684</v>
      </c>
      <c r="J1010">
        <f>($B$1+Table4[[#This Row],[Home Differential]])-Table4[[#This Row],[Away Differential]]</f>
        <v>-7.4385249181684321E-3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0.55731413978914457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-0.59313840141656504</v>
      </c>
      <c r="H1011" t="s">
        <v>36</v>
      </c>
      <c r="I1011">
        <f>VLOOKUP(Table4[[#This Row],[Visitor]],'NHL Model'!$A$6:$B$38,2,FALSE)</f>
        <v>-0.17962977873499933</v>
      </c>
      <c r="J1011">
        <f>($B$1+Table4[[#This Row],[Home Differential]])-Table4[[#This Row],[Away Differential]]</f>
        <v>-0.32644047780402274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0.49835074832298204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0.96536026973954592</v>
      </c>
      <c r="H1012" t="s">
        <v>16</v>
      </c>
      <c r="I1012">
        <f>VLOOKUP(Table4[[#This Row],[Visitor]],'NHL Model'!$A$6:$B$38,2,FALSE)</f>
        <v>-0.65802650867783552</v>
      </c>
      <c r="J1012">
        <f>($B$1+Table4[[#This Row],[Home Differential]])-Table4[[#This Row],[Away Differential]]</f>
        <v>1.7104549232949244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0.75824578853456492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0.20241790420125966</v>
      </c>
      <c r="H1013" t="s">
        <v>13</v>
      </c>
      <c r="I1013">
        <f>VLOOKUP(Table4[[#This Row],[Visitor]],'NHL Model'!$A$6:$B$38,2,FALSE)</f>
        <v>8.443955887089849E-2</v>
      </c>
      <c r="J1013">
        <f>($B$1+Table4[[#This Row],[Home Differential]])-Table4[[#This Row],[Away Differential]]</f>
        <v>0.20504649020790416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0.55582348494031586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-0.35383832279900912</v>
      </c>
      <c r="H1014" t="s">
        <v>33</v>
      </c>
      <c r="I1014">
        <f>VLOOKUP(Table4[[#This Row],[Visitor]],'NHL Model'!$A$6:$B$38,2,FALSE)</f>
        <v>-0.25672436988374864</v>
      </c>
      <c r="J1014">
        <f>($B$1+Table4[[#This Row],[Home Differential]])-Table4[[#This Row],[Away Differential]]</f>
        <v>-1.0045808037717485E-2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0.45094789623742026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0.48797916660265073</v>
      </c>
      <c r="H1015" t="s">
        <v>14</v>
      </c>
      <c r="I1015">
        <f>VLOOKUP(Table4[[#This Row],[Visitor]],'NHL Model'!$A$6:$B$38,2,FALSE)</f>
        <v>0.25731150832780025</v>
      </c>
      <c r="J1015">
        <f>($B$1+Table4[[#This Row],[Home Differential]])-Table4[[#This Row],[Away Differential]]</f>
        <v>0.31773580315239347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0.56325907482225701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1.7072432657355574</v>
      </c>
      <c r="H1016" t="s">
        <v>17</v>
      </c>
      <c r="I1016">
        <f>VLOOKUP(Table4[[#This Row],[Visitor]],'NHL Model'!$A$6:$B$38,2,FALSE)</f>
        <v>-0.19871596400308536</v>
      </c>
      <c r="J1016">
        <f>($B$1+Table4[[#This Row],[Home Differential]])-Table4[[#This Row],[Away Differential]]</f>
        <v>1.9930273746161857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0.86013136633771103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0.86540791565538033</v>
      </c>
      <c r="H1017" t="s">
        <v>20</v>
      </c>
      <c r="I1017">
        <f>VLOOKUP(Table4[[#This Row],[Visitor]],'NHL Model'!$A$6:$B$38,2,FALSE)</f>
        <v>0.22444955994982585</v>
      </c>
      <c r="J1017">
        <f>($B$1+Table4[[#This Row],[Home Differential]])-Table4[[#This Row],[Away Differential]]</f>
        <v>0.72802650058309748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0.63074566642860419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-0.10214397920743352</v>
      </c>
      <c r="H1018" t="s">
        <v>26</v>
      </c>
      <c r="I1018">
        <f>VLOOKUP(Table4[[#This Row],[Visitor]],'NHL Model'!$A$6:$B$38,2,FALSE)</f>
        <v>-0.47317909800770142</v>
      </c>
      <c r="J1018">
        <f>($B$1+Table4[[#This Row],[Home Differential]])-Table4[[#This Row],[Away Differential]]</f>
        <v>0.4581032636778109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0.59501866375905943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4.4994204383705286E-2</v>
      </c>
      <c r="H1019" t="s">
        <v>55</v>
      </c>
      <c r="I1019">
        <f>VLOOKUP(Table4[[#This Row],[Visitor]],'NHL Model'!$A$6:$B$38,2,FALSE)</f>
        <v>0.16928148250244404</v>
      </c>
      <c r="J1019">
        <f>($B$1+Table4[[#This Row],[Home Differential]])-Table4[[#This Row],[Away Differential]]</f>
        <v>-3.7219133241195773E-2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0.46396482716955006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-0.31732900620087529</v>
      </c>
      <c r="H1020" t="s">
        <v>19</v>
      </c>
      <c r="I1020">
        <f>VLOOKUP(Table4[[#This Row],[Visitor]],'NHL Model'!$A$6:$B$38,2,FALSE)</f>
        <v>-6.3531358246322375E-2</v>
      </c>
      <c r="J1020">
        <f>($B$1+Table4[[#This Row],[Home Differential]])-Table4[[#This Row],[Away Differential]]</f>
        <v>-0.1667295030770099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0.47776112462053866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0.1651103738530684</v>
      </c>
      <c r="H1021" t="s">
        <v>16</v>
      </c>
      <c r="I1021">
        <f>VLOOKUP(Table4[[#This Row],[Visitor]],'NHL Model'!$A$6:$B$38,2,FALSE)</f>
        <v>-0.65802650867783552</v>
      </c>
      <c r="J1021">
        <f>($B$1+Table4[[#This Row],[Home Differential]])-Table4[[#This Row],[Away Differential]]</f>
        <v>0.91020502740844689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0.63696103343254873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-0.52701775861642253</v>
      </c>
      <c r="H1022" t="s">
        <v>29</v>
      </c>
      <c r="I1022">
        <f>VLOOKUP(Table4[[#This Row],[Visitor]],'NHL Model'!$A$6:$B$38,2,FALSE)</f>
        <v>-0.88005793547499611</v>
      </c>
      <c r="J1022">
        <f>($B$1+Table4[[#This Row],[Home Differential]])-Table4[[#This Row],[Away Differential]]</f>
        <v>0.44010832173611658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0.58688323664757047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-0.95834101872668032</v>
      </c>
      <c r="H1023" t="s">
        <v>30</v>
      </c>
      <c r="I1023">
        <f>VLOOKUP(Table4[[#This Row],[Visitor]],'NHL Model'!$A$6:$B$38,2,FALSE)</f>
        <v>0.30302134926393393</v>
      </c>
      <c r="J1023">
        <f>($B$1+Table4[[#This Row],[Home Differential]])-Table4[[#This Row],[Away Differential]]</f>
        <v>-1.1742942231130713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0.65140934312181331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0.66951981565543606</v>
      </c>
      <c r="H1024" t="s">
        <v>28</v>
      </c>
      <c r="I1024">
        <f>VLOOKUP(Table4[[#This Row],[Visitor]],'NHL Model'!$A$6:$B$38,2,FALSE)</f>
        <v>-0.25582283032518105</v>
      </c>
      <c r="J1024">
        <f>($B$1+Table4[[#This Row],[Home Differential]])-Table4[[#This Row],[Away Differential]]</f>
        <v>1.0124107908581601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0.6478486644040703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-9.7143783320053662E-2</v>
      </c>
      <c r="H1025" t="s">
        <v>31</v>
      </c>
      <c r="I1025">
        <f>VLOOKUP(Table4[[#This Row],[Visitor]],'NHL Model'!$A$6:$B$38,2,FALSE)</f>
        <v>0.44031772420389576</v>
      </c>
      <c r="J1025">
        <f>($B$1+Table4[[#This Row],[Home Differential]])-Table4[[#This Row],[Away Differential]]</f>
        <v>-0.45039336264640639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0.50951732847319597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-0.17962977873499933</v>
      </c>
      <c r="H1026" t="s">
        <v>18</v>
      </c>
      <c r="I1026">
        <f>VLOOKUP(Table4[[#This Row],[Visitor]],'NHL Model'!$A$6:$B$38,2,FALSE)</f>
        <v>-0.31732900620087529</v>
      </c>
      <c r="J1026">
        <f>($B$1+Table4[[#This Row],[Home Differential]])-Table4[[#This Row],[Away Differential]]</f>
        <v>0.22476737234341895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0.49132053153988442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7.060370405735697E-2</v>
      </c>
      <c r="H1027" t="s">
        <v>22</v>
      </c>
      <c r="I1027">
        <f>VLOOKUP(Table4[[#This Row],[Visitor]],'NHL Model'!$A$6:$B$38,2,FALSE)</f>
        <v>0.96536026973954592</v>
      </c>
      <c r="J1027">
        <f>($B$1+Table4[[#This Row],[Home Differential]])-Table4[[#This Row],[Away Differential]]</f>
        <v>-0.80768842080464598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0.58997729727529469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0.20241790420125966</v>
      </c>
      <c r="H1028" t="s">
        <v>33</v>
      </c>
      <c r="I1028">
        <f>VLOOKUP(Table4[[#This Row],[Visitor]],'NHL Model'!$A$6:$B$38,2,FALSE)</f>
        <v>-0.25672436988374864</v>
      </c>
      <c r="J1028">
        <f>($B$1+Table4[[#This Row],[Home Differential]])-Table4[[#This Row],[Away Differential]]</f>
        <v>0.54621041896255129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0.6573144710562685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-0.35383832279900912</v>
      </c>
      <c r="H1029" t="s">
        <v>22</v>
      </c>
      <c r="I1029">
        <f>VLOOKUP(Table4[[#This Row],[Visitor]],'NHL Model'!$A$6:$B$38,2,FALSE)</f>
        <v>0.96536026973954592</v>
      </c>
      <c r="J1029">
        <f>($B$1+Table4[[#This Row],[Home Differential]])-Table4[[#This Row],[Away Differential]]</f>
        <v>-1.232130447661012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0.63519165702605784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0.48797916660265073</v>
      </c>
      <c r="H1030" t="s">
        <v>35</v>
      </c>
      <c r="I1030">
        <f>VLOOKUP(Table4[[#This Row],[Visitor]],'NHL Model'!$A$6:$B$38,2,FALSE)</f>
        <v>-0.95834101872668032</v>
      </c>
      <c r="J1030">
        <f>($B$1+Table4[[#This Row],[Home Differential]])-Table4[[#This Row],[Away Differential]]</f>
        <v>1.533388330206874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0.72938435850350425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0.86540791565538033</v>
      </c>
      <c r="H1031" t="s">
        <v>17</v>
      </c>
      <c r="I1031">
        <f>VLOOKUP(Table4[[#This Row],[Visitor]],'NHL Model'!$A$6:$B$38,2,FALSE)</f>
        <v>-0.19871596400308536</v>
      </c>
      <c r="J1031">
        <f>($B$1+Table4[[#This Row],[Home Differential]])-Table4[[#This Row],[Away Differential]]</f>
        <v>1.1511920245360088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0.71434853165368006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-0.10214397920743352</v>
      </c>
      <c r="H1032" t="s">
        <v>28</v>
      </c>
      <c r="I1032">
        <f>VLOOKUP(Table4[[#This Row],[Visitor]],'NHL Model'!$A$6:$B$38,2,FALSE)</f>
        <v>-0.25582283032518105</v>
      </c>
      <c r="J1032">
        <f>($B$1+Table4[[#This Row],[Home Differential]])-Table4[[#This Row],[Away Differential]]</f>
        <v>0.24074699599529054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0.5726919072486536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4.4994204383705286E-2</v>
      </c>
      <c r="H1033" t="s">
        <v>27</v>
      </c>
      <c r="I1033">
        <f>VLOOKUP(Table4[[#This Row],[Visitor]],'NHL Model'!$A$6:$B$38,2,FALSE)</f>
        <v>7.060370405735697E-2</v>
      </c>
      <c r="J1033">
        <f>($B$1+Table4[[#This Row],[Home Differential]])-Table4[[#This Row],[Away Differential]]</f>
        <v>6.1458645203891299E-2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0.50403441679260197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-2.9769404338063311E-4</v>
      </c>
      <c r="H1034" t="s">
        <v>16</v>
      </c>
      <c r="I1034">
        <f>VLOOKUP(Table4[[#This Row],[Visitor]],'NHL Model'!$A$6:$B$38,2,FALSE)</f>
        <v>-0.65802650867783552</v>
      </c>
      <c r="J1034">
        <f>($B$1+Table4[[#This Row],[Home Differential]])-Table4[[#This Row],[Away Differential]]</f>
        <v>0.74479695951199787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0.6622422311935483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-0.52701775861642253</v>
      </c>
      <c r="H1035" t="s">
        <v>12</v>
      </c>
      <c r="I1035">
        <f>VLOOKUP(Table4[[#This Row],[Visitor]],'NHL Model'!$A$6:$B$38,2,FALSE)</f>
        <v>1.7072432657355574</v>
      </c>
      <c r="J1035">
        <f>($B$1+Table4[[#This Row],[Home Differential]])-Table4[[#This Row],[Away Differential]]</f>
        <v>-2.1471928794744368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0.76521381198423222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0.66951981565543606</v>
      </c>
      <c r="H1036" t="s">
        <v>26</v>
      </c>
      <c r="I1036">
        <f>VLOOKUP(Table4[[#This Row],[Visitor]],'NHL Model'!$A$6:$B$38,2,FALSE)</f>
        <v>-0.47317909800770142</v>
      </c>
      <c r="J1036">
        <f>($B$1+Table4[[#This Row],[Home Differential]])-Table4[[#This Row],[Away Differential]]</f>
        <v>1.2297670585406806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0.67017339229191664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-6.3531358246322375E-2</v>
      </c>
      <c r="H1037" t="s">
        <v>31</v>
      </c>
      <c r="I1037">
        <f>VLOOKUP(Table4[[#This Row],[Visitor]],'NHL Model'!$A$6:$B$38,2,FALSE)</f>
        <v>0.44031772420389576</v>
      </c>
      <c r="J1037">
        <f>($B$1+Table4[[#This Row],[Home Differential]])-Table4[[#This Row],[Away Differential]]</f>
        <v>-0.41678093757267515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0.52516748083943043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0.16928148250244404</v>
      </c>
      <c r="H1038" t="s">
        <v>10</v>
      </c>
      <c r="I1038">
        <f>VLOOKUP(Table4[[#This Row],[Visitor]],'NHL Model'!$A$6:$B$38,2,FALSE)</f>
        <v>-0.25852364135215161</v>
      </c>
      <c r="J1038">
        <f>($B$1+Table4[[#This Row],[Home Differential]])-Table4[[#This Row],[Away Differential]]</f>
        <v>0.51487326873213868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0.63527886859235272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-0.59313840141656504</v>
      </c>
      <c r="H1039" t="s">
        <v>29</v>
      </c>
      <c r="I1039">
        <f>VLOOKUP(Table4[[#This Row],[Visitor]],'NHL Model'!$A$6:$B$38,2,FALSE)</f>
        <v>-0.88005793547499611</v>
      </c>
      <c r="J1039">
        <f>($B$1+Table4[[#This Row],[Home Differential]])-Table4[[#This Row],[Away Differential]]</f>
        <v>0.37398767893597407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0.57983963035660091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0.22444955994982585</v>
      </c>
      <c r="H1040" t="s">
        <v>14</v>
      </c>
      <c r="I1040">
        <f>VLOOKUP(Table4[[#This Row],[Visitor]],'NHL Model'!$A$6:$B$38,2,FALSE)</f>
        <v>0.25731150832780025</v>
      </c>
      <c r="J1040">
        <f>($B$1+Table4[[#This Row],[Home Differential]])-Table4[[#This Row],[Away Differential]]</f>
        <v>5.4206196499568593E-2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0.50887999107372861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-9.7143783320053662E-2</v>
      </c>
      <c r="H1041" t="s">
        <v>15</v>
      </c>
      <c r="I1041">
        <f>VLOOKUP(Table4[[#This Row],[Visitor]],'NHL Model'!$A$6:$B$38,2,FALSE)</f>
        <v>0.1651103738530684</v>
      </c>
      <c r="J1041">
        <f>($B$1+Table4[[#This Row],[Home Differential]])-Table4[[#This Row],[Away Differential]]</f>
        <v>-0.17518601229557906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0.56619048478085798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0.30302134926393393</v>
      </c>
      <c r="H1042" t="s">
        <v>13</v>
      </c>
      <c r="I1042">
        <f>VLOOKUP(Table4[[#This Row],[Visitor]],'NHL Model'!$A$6:$B$38,2,FALSE)</f>
        <v>8.443955887089849E-2</v>
      </c>
      <c r="J1042">
        <f>($B$1+Table4[[#This Row],[Home Differential]])-Table4[[#This Row],[Away Differential]]</f>
        <v>0.30564993527057843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0.50624405440765252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-0.95834101872668032</v>
      </c>
      <c r="H1043" t="s">
        <v>17</v>
      </c>
      <c r="I1043">
        <f>VLOOKUP(Table4[[#This Row],[Visitor]],'NHL Model'!$A$6:$B$38,2,FALSE)</f>
        <v>-0.19871596400308536</v>
      </c>
      <c r="J1043">
        <f>($B$1+Table4[[#This Row],[Home Differential]])-Table4[[#This Row],[Away Differential]]</f>
        <v>-0.67255690984605199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0.53164519098136276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-0.35383832279900912</v>
      </c>
      <c r="H1044" t="s">
        <v>19</v>
      </c>
      <c r="I1044">
        <f>VLOOKUP(Table4[[#This Row],[Visitor]],'NHL Model'!$A$6:$B$38,2,FALSE)</f>
        <v>-6.3531358246322375E-2</v>
      </c>
      <c r="J1044">
        <f>($B$1+Table4[[#This Row],[Home Differential]])-Table4[[#This Row],[Away Differential]]</f>
        <v>-0.20323881967514373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0.47152808805820806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0.86540791565538033</v>
      </c>
      <c r="H1045" t="s">
        <v>26</v>
      </c>
      <c r="I1045">
        <f>VLOOKUP(Table4[[#This Row],[Visitor]],'NHL Model'!$A$6:$B$38,2,FALSE)</f>
        <v>-0.47317909800770142</v>
      </c>
      <c r="J1045">
        <f>($B$1+Table4[[#This Row],[Home Differential]])-Table4[[#This Row],[Away Differential]]</f>
        <v>1.4256551585406247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0.74277926666951566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4.4994204383705286E-2</v>
      </c>
      <c r="H1046" t="s">
        <v>15</v>
      </c>
      <c r="I1046">
        <f>VLOOKUP(Table4[[#This Row],[Visitor]],'NHL Model'!$A$6:$B$38,2,FALSE)</f>
        <v>0.1651103738530684</v>
      </c>
      <c r="J1046">
        <f>($B$1+Table4[[#This Row],[Home Differential]])-Table4[[#This Row],[Away Differential]]</f>
        <v>-3.304802459182013E-2</v>
      </c>
      <c r="K1046" t="str">
        <f>IF(Table4[[#This Row],[HomeIce Differential]]&gt;0,Table4[[#This Row],[Home]],Table4[[#This Row],[Visitor]])</f>
        <v>New York Rangers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0.5700927311688323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-0.31732900620087529</v>
      </c>
      <c r="H1047" t="s">
        <v>33</v>
      </c>
      <c r="I1047">
        <f>VLOOKUP(Table4[[#This Row],[Visitor]],'NHL Model'!$A$6:$B$38,2,FALSE)</f>
        <v>-0.25672436988374864</v>
      </c>
      <c r="J1047">
        <f>($B$1+Table4[[#This Row],[Home Differential]])-Table4[[#This Row],[Away Differential]]</f>
        <v>2.6463508560416349E-2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0.54281906720024919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-2.9769404338063311E-4</v>
      </c>
      <c r="H1048" t="s">
        <v>13</v>
      </c>
      <c r="I1048">
        <f>VLOOKUP(Table4[[#This Row],[Visitor]],'NHL Model'!$A$6:$B$38,2,FALSE)</f>
        <v>8.443955887089849E-2</v>
      </c>
      <c r="J1048">
        <f>($B$1+Table4[[#This Row],[Home Differential]])-Table4[[#This Row],[Away Differential]]</f>
        <v>2.330891963263873E-3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0.51748968127174055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0.30302134926393393</v>
      </c>
      <c r="H1049" t="s">
        <v>16</v>
      </c>
      <c r="I1049">
        <f>VLOOKUP(Table4[[#This Row],[Visitor]],'NHL Model'!$A$6:$B$38,2,FALSE)</f>
        <v>-0.65802650867783552</v>
      </c>
      <c r="J1049">
        <f>($B$1+Table4[[#This Row],[Home Differential]])-Table4[[#This Row],[Away Differential]]</f>
        <v>1.0481160028193124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0.65165221870934442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-0.17962977873499933</v>
      </c>
      <c r="H1050" t="s">
        <v>31</v>
      </c>
      <c r="I1050">
        <f>VLOOKUP(Table4[[#This Row],[Visitor]],'NHL Model'!$A$6:$B$38,2,FALSE)</f>
        <v>0.44031772420389576</v>
      </c>
      <c r="J1050">
        <f>($B$1+Table4[[#This Row],[Home Differential]])-Table4[[#This Row],[Away Differential]]</f>
        <v>-0.53287935806135212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0.53753504912513839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7.060370405735697E-2</v>
      </c>
      <c r="H1051" t="s">
        <v>28</v>
      </c>
      <c r="I1051">
        <f>VLOOKUP(Table4[[#This Row],[Visitor]],'NHL Model'!$A$6:$B$38,2,FALSE)</f>
        <v>-0.25582283032518105</v>
      </c>
      <c r="J1051">
        <f>($B$1+Table4[[#This Row],[Home Differential]])-Table4[[#This Row],[Away Differential]]</f>
        <v>0.41349467926008099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0.5941704255827156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0.66951981565543606</v>
      </c>
      <c r="H1052" t="s">
        <v>25</v>
      </c>
      <c r="I1052">
        <f>VLOOKUP(Table4[[#This Row],[Visitor]],'NHL Model'!$A$6:$B$38,2,FALSE)</f>
        <v>0.48797916660265073</v>
      </c>
      <c r="J1052">
        <f>($B$1+Table4[[#This Row],[Home Differential]])-Table4[[#This Row],[Away Differential]]</f>
        <v>0.26860879393032833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0.4959908084733376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0.16928148250244404</v>
      </c>
      <c r="H1053" t="s">
        <v>14</v>
      </c>
      <c r="I1053">
        <f>VLOOKUP(Table4[[#This Row],[Visitor]],'NHL Model'!$A$6:$B$38,2,FALSE)</f>
        <v>0.25731150832780025</v>
      </c>
      <c r="J1053">
        <f>($B$1+Table4[[#This Row],[Home Differential]])-Table4[[#This Row],[Away Differential]]</f>
        <v>-9.6188094781324285E-4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0.45606101511557001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-0.59313840141656504</v>
      </c>
      <c r="H1054" t="s">
        <v>32</v>
      </c>
      <c r="I1054">
        <f>VLOOKUP(Table4[[#This Row],[Visitor]],'NHL Model'!$A$6:$B$38,2,FALSE)</f>
        <v>-0.52701775861642253</v>
      </c>
      <c r="J1054">
        <f>($B$1+Table4[[#This Row],[Home Differential]])-Table4[[#This Row],[Away Differential]]</f>
        <v>2.0947502077400482E-2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0.54223146586548554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0.22444955994982585</v>
      </c>
      <c r="H1055" t="s">
        <v>10</v>
      </c>
      <c r="I1055">
        <f>VLOOKUP(Table4[[#This Row],[Visitor]],'NHL Model'!$A$6:$B$38,2,FALSE)</f>
        <v>-0.25852364135215161</v>
      </c>
      <c r="J1055">
        <f>($B$1+Table4[[#This Row],[Home Differential]])-Table4[[#This Row],[Away Differential]]</f>
        <v>0.5700413461795204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0.60072455805063885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-9.7143783320053662E-2</v>
      </c>
      <c r="H1056" t="s">
        <v>12</v>
      </c>
      <c r="I1056">
        <f>VLOOKUP(Table4[[#This Row],[Visitor]],'NHL Model'!$A$6:$B$38,2,FALSE)</f>
        <v>1.7072432657355574</v>
      </c>
      <c r="J1056">
        <f>($B$1+Table4[[#This Row],[Home Differential]])-Table4[[#This Row],[Away Differential]]</f>
        <v>-1.7173189041780681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0.70018149793005469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0.96536026973954592</v>
      </c>
      <c r="H1057" t="s">
        <v>21</v>
      </c>
      <c r="I1057">
        <f>VLOOKUP(Table4[[#This Row],[Visitor]],'NHL Model'!$A$6:$B$38,2,FALSE)</f>
        <v>0.20241790420125966</v>
      </c>
      <c r="J1057">
        <f>($B$1+Table4[[#This Row],[Home Differential]])-Table4[[#This Row],[Away Differential]]</f>
        <v>0.85001051041582931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0.66658558344696839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-0.19871596400308536</v>
      </c>
      <c r="H1058" t="s">
        <v>29</v>
      </c>
      <c r="I1058">
        <f>VLOOKUP(Table4[[#This Row],[Visitor]],'NHL Model'!$A$6:$B$38,2,FALSE)</f>
        <v>-0.88005793547499611</v>
      </c>
      <c r="J1058">
        <f>($B$1+Table4[[#This Row],[Home Differential]])-Table4[[#This Row],[Away Differential]]</f>
        <v>0.76841011634945378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0.640961537063794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4.4994204383705286E-2</v>
      </c>
      <c r="H1059" t="s">
        <v>19</v>
      </c>
      <c r="I1059">
        <f>VLOOKUP(Table4[[#This Row],[Visitor]],'NHL Model'!$A$6:$B$38,2,FALSE)</f>
        <v>-6.3531358246322375E-2</v>
      </c>
      <c r="J1059">
        <f>($B$1+Table4[[#This Row],[Home Differential]])-Table4[[#This Row],[Away Differential]]</f>
        <v>0.19559370750757066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0.56083592975401941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-0.31732900620087529</v>
      </c>
      <c r="H1060" t="s">
        <v>31</v>
      </c>
      <c r="I1060">
        <f>VLOOKUP(Table4[[#This Row],[Visitor]],'NHL Model'!$A$6:$B$38,2,FALSE)</f>
        <v>0.44031772420389576</v>
      </c>
      <c r="J1060">
        <f>($B$1+Table4[[#This Row],[Home Differential]])-Table4[[#This Row],[Away Differential]]</f>
        <v>-0.67057858552722804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0.55220367761642397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-0.17962977873499933</v>
      </c>
      <c r="H1061" t="s">
        <v>33</v>
      </c>
      <c r="I1061">
        <f>VLOOKUP(Table4[[#This Row],[Visitor]],'NHL Model'!$A$6:$B$38,2,FALSE)</f>
        <v>-0.25672436988374864</v>
      </c>
      <c r="J1061">
        <f>($B$1+Table4[[#This Row],[Home Differential]])-Table4[[#This Row],[Away Differential]]</f>
        <v>0.16416273602629231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0.55748769569153478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-0.52701775861642253</v>
      </c>
      <c r="H1062" t="s">
        <v>11</v>
      </c>
      <c r="I1062">
        <f>VLOOKUP(Table4[[#This Row],[Visitor]],'NHL Model'!$A$6:$B$38,2,FALSE)</f>
        <v>-0.10214397920743352</v>
      </c>
      <c r="J1062">
        <f>($B$1+Table4[[#This Row],[Home Differential]])-Table4[[#This Row],[Away Differential]]</f>
        <v>-0.33780563453144602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0.49598528071940523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-9.7143783320053662E-2</v>
      </c>
      <c r="H1063" t="s">
        <v>35</v>
      </c>
      <c r="I1063">
        <f>VLOOKUP(Table4[[#This Row],[Visitor]],'NHL Model'!$A$6:$B$38,2,FALSE)</f>
        <v>-0.95834101872668032</v>
      </c>
      <c r="J1063">
        <f>($B$1+Table4[[#This Row],[Home Differential]])-Table4[[#This Row],[Away Differential]]</f>
        <v>0.94826538028416962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0.66012090416710079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1.7072432657355574</v>
      </c>
      <c r="H1064" t="s">
        <v>14</v>
      </c>
      <c r="I1064">
        <f>VLOOKUP(Table4[[#This Row],[Visitor]],'NHL Model'!$A$6:$B$38,2,FALSE)</f>
        <v>0.25731150832780025</v>
      </c>
      <c r="J1064">
        <f>($B$1+Table4[[#This Row],[Home Differential]])-Table4[[#This Row],[Away Differential]]</f>
        <v>1.5369999022853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0.77711425072354123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0.86540791565538033</v>
      </c>
      <c r="H1065" t="s">
        <v>55</v>
      </c>
      <c r="I1065">
        <f>VLOOKUP(Table4[[#This Row],[Visitor]],'NHL Model'!$A$6:$B$38,2,FALSE)</f>
        <v>0.16928148250244404</v>
      </c>
      <c r="J1065">
        <f>($B$1+Table4[[#This Row],[Home Differential]])-Table4[[#This Row],[Away Differential]]</f>
        <v>0.78319457803047932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0.67514702030265183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-0.47317909800770142</v>
      </c>
      <c r="H1066" t="s">
        <v>16</v>
      </c>
      <c r="I1066">
        <f>VLOOKUP(Table4[[#This Row],[Visitor]],'NHL Model'!$A$6:$B$38,2,FALSE)</f>
        <v>-0.65802650867783552</v>
      </c>
      <c r="J1066">
        <f>($B$1+Table4[[#This Row],[Home Differential]])-Table4[[#This Row],[Away Differential]]</f>
        <v>0.2719155555476771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0.57908848499322552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-2.9769404338063311E-4</v>
      </c>
      <c r="H1067" t="s">
        <v>21</v>
      </c>
      <c r="I1067">
        <f>VLOOKUP(Table4[[#This Row],[Visitor]],'NHL Model'!$A$6:$B$38,2,FALSE)</f>
        <v>0.20241790420125966</v>
      </c>
      <c r="J1067">
        <f>($B$1+Table4[[#This Row],[Home Differential]])-Table4[[#This Row],[Away Differential]]</f>
        <v>-0.11564745336709729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0.42941797389404829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0.1651103738530684</v>
      </c>
      <c r="H1068" t="s">
        <v>13</v>
      </c>
      <c r="I1068">
        <f>VLOOKUP(Table4[[#This Row],[Visitor]],'NHL Model'!$A$6:$B$38,2,FALSE)</f>
        <v>8.443955887089849E-2</v>
      </c>
      <c r="J1068">
        <f>($B$1+Table4[[#This Row],[Home Differential]])-Table4[[#This Row],[Away Differential]]</f>
        <v>0.16773895985971288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0.49155286913085694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-0.25582283032518105</v>
      </c>
      <c r="H1069" t="s">
        <v>25</v>
      </c>
      <c r="I1069">
        <f>VLOOKUP(Table4[[#This Row],[Visitor]],'NHL Model'!$A$6:$B$38,2,FALSE)</f>
        <v>0.48797916660265073</v>
      </c>
      <c r="J1069">
        <f>($B$1+Table4[[#This Row],[Home Differential]])-Table4[[#This Row],[Away Differential]]</f>
        <v>-0.65673385205028878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0.60258278377427776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-0.25852364135215161</v>
      </c>
      <c r="H1070" t="s">
        <v>34</v>
      </c>
      <c r="I1070">
        <f>VLOOKUP(Table4[[#This Row],[Visitor]],'NHL Model'!$A$6:$B$38,2,FALSE)</f>
        <v>4.4994204383705286E-2</v>
      </c>
      <c r="J1070">
        <f>($B$1+Table4[[#This Row],[Home Differential]])-Table4[[#This Row],[Away Differential]]</f>
        <v>-0.21644970085831389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0.50382687827656569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-0.19871596400308536</v>
      </c>
      <c r="H1071" t="s">
        <v>33</v>
      </c>
      <c r="I1071">
        <f>VLOOKUP(Table4[[#This Row],[Visitor]],'NHL Model'!$A$6:$B$38,2,FALSE)</f>
        <v>-0.25672436988374864</v>
      </c>
      <c r="J1071">
        <f>($B$1+Table4[[#This Row],[Home Differential]])-Table4[[#This Row],[Away Differential]]</f>
        <v>0.14507655075820627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0.57455994085968809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-0.31732900620087529</v>
      </c>
      <c r="H1072" t="s">
        <v>21</v>
      </c>
      <c r="I1072">
        <f>VLOOKUP(Table4[[#This Row],[Visitor]],'NHL Model'!$A$6:$B$38,2,FALSE)</f>
        <v>0.20241790420125966</v>
      </c>
      <c r="J1072">
        <f>($B$1+Table4[[#This Row],[Home Differential]])-Table4[[#This Row],[Away Differential]]</f>
        <v>-0.43267876552459195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0.5060917913945534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-0.52701775861642253</v>
      </c>
      <c r="H1073" t="s">
        <v>37</v>
      </c>
      <c r="I1073">
        <f>VLOOKUP(Table4[[#This Row],[Visitor]],'NHL Model'!$A$6:$B$38,2,FALSE)</f>
        <v>0.66951981565543606</v>
      </c>
      <c r="J1073">
        <f>($B$1+Table4[[#This Row],[Home Differential]])-Table4[[#This Row],[Away Differential]]</f>
        <v>-1.1094694293943155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0.65081115884263441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-6.3531358246322375E-2</v>
      </c>
      <c r="H1074" t="s">
        <v>30</v>
      </c>
      <c r="I1074">
        <f>VLOOKUP(Table4[[#This Row],[Visitor]],'NHL Model'!$A$6:$B$38,2,FALSE)</f>
        <v>0.30302134926393393</v>
      </c>
      <c r="J1074">
        <f>($B$1+Table4[[#This Row],[Home Differential]])-Table4[[#This Row],[Away Differential]]</f>
        <v>-0.27948456263271332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0.55608832555653676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-0.59313840141656504</v>
      </c>
      <c r="H1075" t="s">
        <v>11</v>
      </c>
      <c r="I1075">
        <f>VLOOKUP(Table4[[#This Row],[Visitor]],'NHL Model'!$A$6:$B$38,2,FALSE)</f>
        <v>-0.10214397920743352</v>
      </c>
      <c r="J1075">
        <f>($B$1+Table4[[#This Row],[Home Differential]])-Table4[[#This Row],[Away Differential]]</f>
        <v>-0.40392627733158853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0.50302888701037474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0.22444955994982585</v>
      </c>
      <c r="H1076" t="s">
        <v>23</v>
      </c>
      <c r="I1076">
        <f>VLOOKUP(Table4[[#This Row],[Visitor]],'NHL Model'!$A$6:$B$38,2,FALSE)</f>
        <v>-0.35383832279900912</v>
      </c>
      <c r="J1076">
        <f>($B$1+Table4[[#This Row],[Home Differential]])-Table4[[#This Row],[Away Differential]]</f>
        <v>0.66535602762637791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0.6108781055878294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-9.7143783320053662E-2</v>
      </c>
      <c r="H1077" t="s">
        <v>29</v>
      </c>
      <c r="I1077">
        <f>VLOOKUP(Table4[[#This Row],[Visitor]],'NHL Model'!$A$6:$B$38,2,FALSE)</f>
        <v>-0.88005793547499611</v>
      </c>
      <c r="J1077">
        <f>($B$1+Table4[[#This Row],[Home Differential]])-Table4[[#This Row],[Away Differential]]</f>
        <v>0.86998229703248542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0.65178167462671788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0.44031772420389576</v>
      </c>
      <c r="H1078" t="s">
        <v>27</v>
      </c>
      <c r="I1078">
        <f>VLOOKUP(Table4[[#This Row],[Visitor]],'NHL Model'!$A$6:$B$38,2,FALSE)</f>
        <v>7.060370405735697E-2</v>
      </c>
      <c r="J1078">
        <f>($B$1+Table4[[#This Row],[Home Differential]])-Table4[[#This Row],[Away Differential]]</f>
        <v>0.45678216502408187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0.62211915987557287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0.48797916660265073</v>
      </c>
      <c r="H1079" t="s">
        <v>14</v>
      </c>
      <c r="I1079">
        <f>VLOOKUP(Table4[[#This Row],[Visitor]],'NHL Model'!$A$6:$B$38,2,FALSE)</f>
        <v>0.25731150832780025</v>
      </c>
      <c r="J1079">
        <f>($B$1+Table4[[#This Row],[Home Differential]])-Table4[[#This Row],[Away Differential]]</f>
        <v>0.31773580315239347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0.56325907482225701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-0.65802650867783552</v>
      </c>
      <c r="H1080" t="s">
        <v>35</v>
      </c>
      <c r="I1080">
        <f>VLOOKUP(Table4[[#This Row],[Visitor]],'NHL Model'!$A$6:$B$38,2,FALSE)</f>
        <v>-0.95834101872668032</v>
      </c>
      <c r="J1080">
        <f>($B$1+Table4[[#This Row],[Home Differential]])-Table4[[#This Row],[Away Differential]]</f>
        <v>0.38738265492638779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0.58126655140814976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1.7072432657355574</v>
      </c>
      <c r="H1081" t="s">
        <v>39</v>
      </c>
      <c r="I1081">
        <f>VLOOKUP(Table4[[#This Row],[Visitor]],'NHL Model'!$A$6:$B$38,2,FALSE)</f>
        <v>0.86540791565538033</v>
      </c>
      <c r="J1081">
        <f>($B$1+Table4[[#This Row],[Home Differential]])-Table4[[#This Row],[Away Differential]]</f>
        <v>0.92890349495772007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0.65827495122798485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0.1651103738530684</v>
      </c>
      <c r="H1082" t="s">
        <v>24</v>
      </c>
      <c r="I1082">
        <f>VLOOKUP(Table4[[#This Row],[Visitor]],'NHL Model'!$A$6:$B$38,2,FALSE)</f>
        <v>-2.9769404338063311E-4</v>
      </c>
      <c r="J1082">
        <f>($B$1+Table4[[#This Row],[Home Differential]])-Table4[[#This Row],[Away Differential]]</f>
        <v>0.25247621277399201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0.56331926985920311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0.96536026973954592</v>
      </c>
      <c r="H1083" t="s">
        <v>36</v>
      </c>
      <c r="I1083">
        <f>VLOOKUP(Table4[[#This Row],[Visitor]],'NHL Model'!$A$6:$B$38,2,FALSE)</f>
        <v>-0.17962977873499933</v>
      </c>
      <c r="J1083">
        <f>($B$1+Table4[[#This Row],[Home Differential]])-Table4[[#This Row],[Away Differential]]</f>
        <v>1.2320581933520884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0.70376603611670974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0.20241790420125966</v>
      </c>
      <c r="H1084" t="s">
        <v>40</v>
      </c>
      <c r="I1084">
        <f>VLOOKUP(Table4[[#This Row],[Visitor]],'NHL Model'!$A$6:$B$38,2,FALSE)</f>
        <v>-9.7143783320053662E-2</v>
      </c>
      <c r="J1084">
        <f>($B$1+Table4[[#This Row],[Home Differential]])-Table4[[#This Row],[Away Differential]]</f>
        <v>0.38662983239885629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0.64031489610001557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-0.25582283032518105</v>
      </c>
      <c r="H1085" t="s">
        <v>15</v>
      </c>
      <c r="I1085">
        <f>VLOOKUP(Table4[[#This Row],[Visitor]],'NHL Model'!$A$6:$B$38,2,FALSE)</f>
        <v>0.1651103738530684</v>
      </c>
      <c r="J1085">
        <f>($B$1+Table4[[#This Row],[Home Differential]])-Table4[[#This Row],[Away Differential]]</f>
        <v>-0.33386505930070642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0.60213774265655706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-0.47317909800770142</v>
      </c>
      <c r="H1086" t="s">
        <v>18</v>
      </c>
      <c r="I1086">
        <f>VLOOKUP(Table4[[#This Row],[Visitor]],'NHL Model'!$A$6:$B$38,2,FALSE)</f>
        <v>-0.31732900620087529</v>
      </c>
      <c r="J1086">
        <f>($B$1+Table4[[#This Row],[Home Differential]])-Table4[[#This Row],[Away Differential]]</f>
        <v>-6.8781946929283133E-2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0.5297760855239525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-0.19871596400308536</v>
      </c>
      <c r="H1087" t="s">
        <v>11</v>
      </c>
      <c r="I1087">
        <f>VLOOKUP(Table4[[#This Row],[Visitor]],'NHL Model'!$A$6:$B$38,2,FALSE)</f>
        <v>-0.10214397920743352</v>
      </c>
      <c r="J1087">
        <f>($B$1+Table4[[#This Row],[Home Differential]])-Table4[[#This Row],[Away Differential]]</f>
        <v>-9.503839918108839E-3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0.44190698030318154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8.443955887089849E-2</v>
      </c>
      <c r="H1088" t="s">
        <v>27</v>
      </c>
      <c r="I1088">
        <f>VLOOKUP(Table4[[#This Row],[Visitor]],'NHL Model'!$A$6:$B$38,2,FALSE)</f>
        <v>7.060370405735697E-2</v>
      </c>
      <c r="J1088">
        <f>($B$1+Table4[[#This Row],[Home Differential]])-Table4[[#This Row],[Away Differential]]</f>
        <v>0.10090399969108452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0.50823639570946322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4.4994204383705286E-2</v>
      </c>
      <c r="H1089" t="s">
        <v>10</v>
      </c>
      <c r="I1089">
        <f>VLOOKUP(Table4[[#This Row],[Visitor]],'NHL Model'!$A$6:$B$38,2,FALSE)</f>
        <v>-0.25852364135215161</v>
      </c>
      <c r="J1089">
        <f>($B$1+Table4[[#This Row],[Home Differential]])-Table4[[#This Row],[Away Differential]]</f>
        <v>0.39058599061339988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0.58160779182024502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-0.88005793547499611</v>
      </c>
      <c r="H1090" t="s">
        <v>32</v>
      </c>
      <c r="I1090">
        <f>VLOOKUP(Table4[[#This Row],[Visitor]],'NHL Model'!$A$6:$B$38,2,FALSE)</f>
        <v>-0.52701775861642253</v>
      </c>
      <c r="J1090">
        <f>($B$1+Table4[[#This Row],[Home Differential]])-Table4[[#This Row],[Away Differential]]</f>
        <v>-0.26597203198103059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0.48833309233466043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-0.17962977873499933</v>
      </c>
      <c r="H1091" t="s">
        <v>30</v>
      </c>
      <c r="I1091">
        <f>VLOOKUP(Table4[[#This Row],[Visitor]],'NHL Model'!$A$6:$B$38,2,FALSE)</f>
        <v>0.30302134926393393</v>
      </c>
      <c r="J1091">
        <f>($B$1+Table4[[#This Row],[Home Differential]])-Table4[[#This Row],[Away Differential]]</f>
        <v>-0.39558298312139029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0.56845589384224471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-0.25672436988374864</v>
      </c>
      <c r="H1092" t="s">
        <v>23</v>
      </c>
      <c r="I1092">
        <f>VLOOKUP(Table4[[#This Row],[Visitor]],'NHL Model'!$A$6:$B$38,2,FALSE)</f>
        <v>-0.35383832279900912</v>
      </c>
      <c r="J1092">
        <f>($B$1+Table4[[#This Row],[Home Differential]])-Table4[[#This Row],[Away Differential]]</f>
        <v>0.18418209779280348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0.5596202899390833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-0.59313840141656504</v>
      </c>
      <c r="H1093" t="s">
        <v>37</v>
      </c>
      <c r="I1093">
        <f>VLOOKUP(Table4[[#This Row],[Visitor]],'NHL Model'!$A$6:$B$38,2,FALSE)</f>
        <v>0.66951981565543606</v>
      </c>
      <c r="J1093">
        <f>($B$1+Table4[[#This Row],[Home Differential]])-Table4[[#This Row],[Away Differential]]</f>
        <v>-1.1755900721944581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0.65785476513360397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0.22444955994982585</v>
      </c>
      <c r="H1094" t="s">
        <v>55</v>
      </c>
      <c r="I1094">
        <f>VLOOKUP(Table4[[#This Row],[Visitor]],'NHL Model'!$A$6:$B$38,2,FALSE)</f>
        <v>0.16928148250244404</v>
      </c>
      <c r="J1094">
        <f>($B$1+Table4[[#This Row],[Home Differential]])-Table4[[#This Row],[Away Differential]]</f>
        <v>0.1422362223249248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0.55515193906084381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-0.65802650867783552</v>
      </c>
      <c r="H1095" t="s">
        <v>11</v>
      </c>
      <c r="I1095">
        <f>VLOOKUP(Table4[[#This Row],[Visitor]],'NHL Model'!$A$6:$B$38,2,FALSE)</f>
        <v>-0.10214397920743352</v>
      </c>
      <c r="J1095">
        <f>($B$1+Table4[[#This Row],[Home Differential]])-Table4[[#This Row],[Away Differential]]</f>
        <v>-0.46881438459285901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0.5099411954992088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-0.25852364135215161</v>
      </c>
      <c r="H1096" t="s">
        <v>12</v>
      </c>
      <c r="I1096">
        <f>VLOOKUP(Table4[[#This Row],[Visitor]],'NHL Model'!$A$6:$B$38,2,FALSE)</f>
        <v>1.7072432657355574</v>
      </c>
      <c r="J1096">
        <f>($B$1+Table4[[#This Row],[Home Differential]])-Table4[[#This Row],[Away Differential]]</f>
        <v>-1.8786987622101661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0.73661205051667955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-6.3531358246322375E-2</v>
      </c>
      <c r="H1097" t="s">
        <v>25</v>
      </c>
      <c r="I1097">
        <f>VLOOKUP(Table4[[#This Row],[Visitor]],'NHL Model'!$A$6:$B$38,2,FALSE)</f>
        <v>0.48797916660265073</v>
      </c>
      <c r="J1097">
        <f>($B$1+Table4[[#This Row],[Home Differential]])-Table4[[#This Row],[Away Differential]]</f>
        <v>-0.46444237997143012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0.58209862988411742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0.16928148250244404</v>
      </c>
      <c r="H1098" t="s">
        <v>31</v>
      </c>
      <c r="I1098">
        <f>VLOOKUP(Table4[[#This Row],[Visitor]],'NHL Model'!$A$6:$B$38,2,FALSE)</f>
        <v>0.44031772420389576</v>
      </c>
      <c r="J1098">
        <f>($B$1+Table4[[#This Row],[Home Differential]])-Table4[[#This Row],[Away Differential]]</f>
        <v>-0.18396809682390874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0.45959749314663023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0.96536026973954592</v>
      </c>
      <c r="H1099" t="s">
        <v>24</v>
      </c>
      <c r="I1099">
        <f>VLOOKUP(Table4[[#This Row],[Visitor]],'NHL Model'!$A$6:$B$38,2,FALSE)</f>
        <v>-2.9769404338063311E-4</v>
      </c>
      <c r="J1099">
        <f>($B$1+Table4[[#This Row],[Home Differential]])-Table4[[#This Row],[Away Differential]]</f>
        <v>1.0527261086604696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0.68466240151163527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-0.25582283032518105</v>
      </c>
      <c r="H1100" t="s">
        <v>32</v>
      </c>
      <c r="I1100">
        <f>VLOOKUP(Table4[[#This Row],[Visitor]],'NHL Model'!$A$6:$B$38,2,FALSE)</f>
        <v>-0.52701775861642253</v>
      </c>
      <c r="J1100">
        <f>($B$1+Table4[[#This Row],[Home Differential]])-Table4[[#This Row],[Away Differential]]</f>
        <v>0.35826307316878447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0.57816454180007293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-0.47317909800770142</v>
      </c>
      <c r="H1101" t="s">
        <v>21</v>
      </c>
      <c r="I1101">
        <f>VLOOKUP(Table4[[#This Row],[Visitor]],'NHL Model'!$A$6:$B$38,2,FALSE)</f>
        <v>0.20241790420125966</v>
      </c>
      <c r="J1101">
        <f>($B$1+Table4[[#This Row],[Home Differential]])-Table4[[#This Row],[Away Differential]]</f>
        <v>-0.58852885733141802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0.51257172009437113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-0.19871596400308536</v>
      </c>
      <c r="H1102" t="s">
        <v>37</v>
      </c>
      <c r="I1102">
        <f>VLOOKUP(Table4[[#This Row],[Visitor]],'NHL Model'!$A$6:$B$38,2,FALSE)</f>
        <v>0.66951981565543606</v>
      </c>
      <c r="J1102">
        <f>($B$1+Table4[[#This Row],[Home Differential]])-Table4[[#This Row],[Away Differential]]</f>
        <v>-0.78116763478097839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0.5965841045856779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8.443955887089849E-2</v>
      </c>
      <c r="H1103" t="s">
        <v>23</v>
      </c>
      <c r="I1103">
        <f>VLOOKUP(Table4[[#This Row],[Visitor]],'NHL Model'!$A$6:$B$38,2,FALSE)</f>
        <v>-0.35383832279900912</v>
      </c>
      <c r="J1103">
        <f>($B$1+Table4[[#This Row],[Home Differential]])-Table4[[#This Row],[Away Differential]]</f>
        <v>0.52534602654745055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0.59596331827429683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4.4994204383705286E-2</v>
      </c>
      <c r="H1104" t="s">
        <v>39</v>
      </c>
      <c r="I1104">
        <f>VLOOKUP(Table4[[#This Row],[Visitor]],'NHL Model'!$A$6:$B$38,2,FALSE)</f>
        <v>0.86540791565538033</v>
      </c>
      <c r="J1104">
        <f>($B$1+Table4[[#This Row],[Home Differential]])-Table4[[#This Row],[Away Differential]]</f>
        <v>-0.73334556639413206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0.63060698682968985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-0.31732900620087529</v>
      </c>
      <c r="H1105" t="s">
        <v>30</v>
      </c>
      <c r="I1105">
        <f>VLOOKUP(Table4[[#This Row],[Visitor]],'NHL Model'!$A$6:$B$38,2,FALSE)</f>
        <v>0.30302134926393393</v>
      </c>
      <c r="J1105">
        <f>($B$1+Table4[[#This Row],[Home Differential]])-Table4[[#This Row],[Away Differential]]</f>
        <v>-0.53328221058726621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0.58312452233353029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-0.88005793547499611</v>
      </c>
      <c r="H1106" t="s">
        <v>20</v>
      </c>
      <c r="I1106">
        <f>VLOOKUP(Table4[[#This Row],[Visitor]],'NHL Model'!$A$6:$B$38,2,FALSE)</f>
        <v>0.22444955994982585</v>
      </c>
      <c r="J1106">
        <f>($B$1+Table4[[#This Row],[Home Differential]])-Table4[[#This Row],[Away Differential]]</f>
        <v>-1.017439350547279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0.60767107293462808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-0.17962977873499933</v>
      </c>
      <c r="H1107" t="s">
        <v>19</v>
      </c>
      <c r="I1107">
        <f>VLOOKUP(Table4[[#This Row],[Visitor]],'NHL Model'!$A$6:$B$38,2,FALSE)</f>
        <v>-6.3531358246322375E-2</v>
      </c>
      <c r="J1107">
        <f>($B$1+Table4[[#This Row],[Home Differential]])-Table4[[#This Row],[Away Differential]]</f>
        <v>-2.9030275611133957E-2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0.46309249612925302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0.25731150832780025</v>
      </c>
      <c r="H1108" t="s">
        <v>40</v>
      </c>
      <c r="I1108">
        <f>VLOOKUP(Table4[[#This Row],[Visitor]],'NHL Model'!$A$6:$B$38,2,FALSE)</f>
        <v>-9.7143783320053662E-2</v>
      </c>
      <c r="J1108">
        <f>($B$1+Table4[[#This Row],[Home Differential]])-Table4[[#This Row],[Away Differential]]</f>
        <v>0.44152343652539694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0.58703398399378648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-0.25672436988374864</v>
      </c>
      <c r="H1109" t="s">
        <v>27</v>
      </c>
      <c r="I1109">
        <f>VLOOKUP(Table4[[#This Row],[Visitor]],'NHL Model'!$A$6:$B$38,2,FALSE)</f>
        <v>7.060370405735697E-2</v>
      </c>
      <c r="J1109">
        <f>($B$1+Table4[[#This Row],[Home Differential]])-Table4[[#This Row],[Away Differential]]</f>
        <v>-0.24025992906356261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0.52810663262575031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-0.59313840141656504</v>
      </c>
      <c r="H1110" t="s">
        <v>35</v>
      </c>
      <c r="I1110">
        <f>VLOOKUP(Table4[[#This Row],[Visitor]],'NHL Model'!$A$6:$B$38,2,FALSE)</f>
        <v>-0.95834101872668032</v>
      </c>
      <c r="J1110">
        <f>($B$1+Table4[[#This Row],[Home Differential]])-Table4[[#This Row],[Away Differential]]</f>
        <v>0.45227076218765827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0.58817885989698382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0.44031772420389576</v>
      </c>
      <c r="H1111" t="s">
        <v>23</v>
      </c>
      <c r="I1111">
        <f>VLOOKUP(Table4[[#This Row],[Visitor]],'NHL Model'!$A$6:$B$38,2,FALSE)</f>
        <v>-0.35383832279900912</v>
      </c>
      <c r="J1111">
        <f>($B$1+Table4[[#This Row],[Home Differential]])-Table4[[#This Row],[Away Differential]]</f>
        <v>0.88122419188044798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0.70839894365133016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-0.65802650867783552</v>
      </c>
      <c r="H1112" t="s">
        <v>37</v>
      </c>
      <c r="I1112">
        <f>VLOOKUP(Table4[[#This Row],[Visitor]],'NHL Model'!$A$6:$B$38,2,FALSE)</f>
        <v>0.66951981565543606</v>
      </c>
      <c r="J1112">
        <f>($B$1+Table4[[#This Row],[Home Differential]])-Table4[[#This Row],[Away Differential]]</f>
        <v>-1.2404781794557285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0.66476707362243803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-0.25852364135215161</v>
      </c>
      <c r="H1113" t="s">
        <v>29</v>
      </c>
      <c r="I1113">
        <f>VLOOKUP(Table4[[#This Row],[Visitor]],'NHL Model'!$A$6:$B$38,2,FALSE)</f>
        <v>-0.88005793547499611</v>
      </c>
      <c r="J1113">
        <f>($B$1+Table4[[#This Row],[Home Differential]])-Table4[[#This Row],[Away Differential]]</f>
        <v>0.70860243900038755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0.61548499811512314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0.86540791565538033</v>
      </c>
      <c r="H1114" t="s">
        <v>20</v>
      </c>
      <c r="I1114">
        <f>VLOOKUP(Table4[[#This Row],[Visitor]],'NHL Model'!$A$6:$B$38,2,FALSE)</f>
        <v>0.22444955994982585</v>
      </c>
      <c r="J1114">
        <f>($B$1+Table4[[#This Row],[Home Differential]])-Table4[[#This Row],[Away Differential]]</f>
        <v>0.72802650058309748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0.63074566642860419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0.30302134926393393</v>
      </c>
      <c r="H1115" t="s">
        <v>28</v>
      </c>
      <c r="I1115">
        <f>VLOOKUP(Table4[[#This Row],[Visitor]],'NHL Model'!$A$6:$B$38,2,FALSE)</f>
        <v>-0.25582283032518105</v>
      </c>
      <c r="J1115">
        <f>($B$1+Table4[[#This Row],[Home Differential]])-Table4[[#This Row],[Away Differential]]</f>
        <v>0.64591232446665803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0.60880683428592286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0.1651103738530684</v>
      </c>
      <c r="H1116" t="s">
        <v>40</v>
      </c>
      <c r="I1116">
        <f>VLOOKUP(Table4[[#This Row],[Visitor]],'NHL Model'!$A$6:$B$38,2,FALSE)</f>
        <v>-9.7143783320053662E-2</v>
      </c>
      <c r="J1116">
        <f>($B$1+Table4[[#This Row],[Home Differential]])-Table4[[#This Row],[Away Differential]]</f>
        <v>0.34932230205066506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0.57721211198350175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0.25731150832780025</v>
      </c>
      <c r="H1117" t="s">
        <v>25</v>
      </c>
      <c r="I1117">
        <f>VLOOKUP(Table4[[#This Row],[Visitor]],'NHL Model'!$A$6:$B$38,2,FALSE)</f>
        <v>0.48797916660265073</v>
      </c>
      <c r="J1117">
        <f>($B$1+Table4[[#This Row],[Home Differential]])-Table4[[#This Row],[Away Differential]]</f>
        <v>-0.14359951339730748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0.54792033491132086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0.16928148250244404</v>
      </c>
      <c r="H1118" t="s">
        <v>13</v>
      </c>
      <c r="I1118">
        <f>VLOOKUP(Table4[[#This Row],[Visitor]],'NHL Model'!$A$6:$B$38,2,FALSE)</f>
        <v>8.443955887089849E-2</v>
      </c>
      <c r="J1118">
        <f>($B$1+Table4[[#This Row],[Home Differential]])-Table4[[#This Row],[Away Differential]]</f>
        <v>0.17191006850908852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0.53301887491853994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0.96536026973954592</v>
      </c>
      <c r="H1119" t="s">
        <v>12</v>
      </c>
      <c r="I1119">
        <f>VLOOKUP(Table4[[#This Row],[Visitor]],'NHL Model'!$A$6:$B$38,2,FALSE)</f>
        <v>1.7072432657355574</v>
      </c>
      <c r="J1119">
        <f>($B$1+Table4[[#This Row],[Home Differential]])-Table4[[#This Row],[Away Differential]]</f>
        <v>-0.65481485111846838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0.56975519005009401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0.1651103738530684</v>
      </c>
      <c r="H1120" t="s">
        <v>36</v>
      </c>
      <c r="I1120">
        <f>VLOOKUP(Table4[[#This Row],[Visitor]],'NHL Model'!$A$6:$B$38,2,FALSE)</f>
        <v>-0.17962977873499933</v>
      </c>
      <c r="J1120">
        <f>($B$1+Table4[[#This Row],[Home Differential]])-Table4[[#This Row],[Away Differential]]</f>
        <v>0.43180829746561067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0.58242290446427758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0.20241790420125966</v>
      </c>
      <c r="H1121" t="s">
        <v>19</v>
      </c>
      <c r="I1121">
        <f>VLOOKUP(Table4[[#This Row],[Visitor]],'NHL Model'!$A$6:$B$38,2,FALSE)</f>
        <v>-6.3531358246322375E-2</v>
      </c>
      <c r="J1121">
        <f>($B$1+Table4[[#This Row],[Home Differential]])-Table4[[#This Row],[Away Differential]]</f>
        <v>0.35301740732512504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0.63673427923548065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-0.65802650867783552</v>
      </c>
      <c r="H1122" t="s">
        <v>13</v>
      </c>
      <c r="I1122">
        <f>VLOOKUP(Table4[[#This Row],[Visitor]],'NHL Model'!$A$6:$B$38,2,FALSE)</f>
        <v>8.443955887089849E-2</v>
      </c>
      <c r="J1122">
        <f>($B$1+Table4[[#This Row],[Home Differential]])-Table4[[#This Row],[Away Differential]]</f>
        <v>-0.65539792267119101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0.5961330921452368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0.86540791565538033</v>
      </c>
      <c r="H1123" t="s">
        <v>24</v>
      </c>
      <c r="I1123">
        <f>VLOOKUP(Table4[[#This Row],[Visitor]],'NHL Model'!$A$6:$B$38,2,FALSE)</f>
        <v>-2.9769404338063311E-4</v>
      </c>
      <c r="J1123">
        <f>($B$1+Table4[[#This Row],[Home Differential]])-Table4[[#This Row],[Away Differential]]</f>
        <v>0.95277375457630398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0.68973102869314107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-0.47317909800770142</v>
      </c>
      <c r="H1124" t="s">
        <v>36</v>
      </c>
      <c r="I1124">
        <f>VLOOKUP(Table4[[#This Row],[Visitor]],'NHL Model'!$A$6:$B$38,2,FALSE)</f>
        <v>-0.17962977873499933</v>
      </c>
      <c r="J1124">
        <f>($B$1+Table4[[#This Row],[Home Differential]])-Table4[[#This Row],[Away Differential]]</f>
        <v>-0.20648117439515909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0.47543702996996001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-0.10214397920743352</v>
      </c>
      <c r="H1125" t="s">
        <v>32</v>
      </c>
      <c r="I1125">
        <f>VLOOKUP(Table4[[#This Row],[Visitor]],'NHL Model'!$A$6:$B$38,2,FALSE)</f>
        <v>-0.52701775861642253</v>
      </c>
      <c r="J1125">
        <f>($B$1+Table4[[#This Row],[Home Differential]])-Table4[[#This Row],[Away Differential]]</f>
        <v>0.51194192428653196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0.60158137689227154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-0.31732900620087529</v>
      </c>
      <c r="H1126" t="s">
        <v>25</v>
      </c>
      <c r="I1126">
        <f>VLOOKUP(Table4[[#This Row],[Visitor]],'NHL Model'!$A$6:$B$38,2,FALSE)</f>
        <v>0.48797916660265073</v>
      </c>
      <c r="J1126">
        <f>($B$1+Table4[[#This Row],[Home Differential]])-Table4[[#This Row],[Away Differential]]</f>
        <v>-0.71824002792598307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0.60913482666111096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-0.88005793547499611</v>
      </c>
      <c r="H1127" t="s">
        <v>33</v>
      </c>
      <c r="I1127">
        <f>VLOOKUP(Table4[[#This Row],[Visitor]],'NHL Model'!$A$6:$B$38,2,FALSE)</f>
        <v>-0.25672436988374864</v>
      </c>
      <c r="J1127">
        <f>($B$1+Table4[[#This Row],[Home Differential]])-Table4[[#This Row],[Away Differential]]</f>
        <v>-0.53626542071370453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0.5171265240476508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0.30302134926393393</v>
      </c>
      <c r="H1128" t="s">
        <v>10</v>
      </c>
      <c r="I1128">
        <f>VLOOKUP(Table4[[#This Row],[Visitor]],'NHL Model'!$A$6:$B$38,2,FALSE)</f>
        <v>-0.25852364135215161</v>
      </c>
      <c r="J1128">
        <f>($B$1+Table4[[#This Row],[Home Differential]])-Table4[[#This Row],[Away Differential]]</f>
        <v>0.64861313549362853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0.60909454246198813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7.060370405735697E-2</v>
      </c>
      <c r="H1129" t="s">
        <v>28</v>
      </c>
      <c r="I1129">
        <f>VLOOKUP(Table4[[#This Row],[Visitor]],'NHL Model'!$A$6:$B$38,2,FALSE)</f>
        <v>-0.25582283032518105</v>
      </c>
      <c r="J1129">
        <f>($B$1+Table4[[#This Row],[Home Differential]])-Table4[[#This Row],[Away Differential]]</f>
        <v>0.41349467926008099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0.5941704255827156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0.25731150832780025</v>
      </c>
      <c r="H1130" t="s">
        <v>12</v>
      </c>
      <c r="I1130">
        <f>VLOOKUP(Table4[[#This Row],[Visitor]],'NHL Model'!$A$6:$B$38,2,FALSE)</f>
        <v>1.7072432657355574</v>
      </c>
      <c r="J1130">
        <f>($B$1+Table4[[#This Row],[Home Differential]])-Table4[[#This Row],[Away Differential]]</f>
        <v>-1.362863612530214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0.68166189347765749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-0.95834101872668032</v>
      </c>
      <c r="H1131" t="s">
        <v>22</v>
      </c>
      <c r="I1131">
        <f>VLOOKUP(Table4[[#This Row],[Visitor]],'NHL Model'!$A$6:$B$38,2,FALSE)</f>
        <v>0.96536026973954592</v>
      </c>
      <c r="J1131">
        <f>($B$1+Table4[[#This Row],[Home Differential]])-Table4[[#This Row],[Away Differential]]</f>
        <v>-1.8366331435886831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0.70978907459462237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0.66951981565543606</v>
      </c>
      <c r="H1132" t="s">
        <v>34</v>
      </c>
      <c r="I1132">
        <f>VLOOKUP(Table4[[#This Row],[Visitor]],'NHL Model'!$A$6:$B$38,2,FALSE)</f>
        <v>4.4994204383705286E-2</v>
      </c>
      <c r="J1132">
        <f>($B$1+Table4[[#This Row],[Home Differential]])-Table4[[#This Row],[Away Differential]]</f>
        <v>0.71159375614927378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0.59503442214711477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0.16928148250244404</v>
      </c>
      <c r="H1133" t="s">
        <v>17</v>
      </c>
      <c r="I1133">
        <f>VLOOKUP(Table4[[#This Row],[Visitor]],'NHL Model'!$A$6:$B$38,2,FALSE)</f>
        <v>-0.19871596400308536</v>
      </c>
      <c r="J1133">
        <f>($B$1+Table4[[#This Row],[Home Differential]])-Table4[[#This Row],[Away Differential]]</f>
        <v>0.45506559138307234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0.62890776095358591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-0.59313840141656504</v>
      </c>
      <c r="H1134" t="s">
        <v>31</v>
      </c>
      <c r="I1134">
        <f>VLOOKUP(Table4[[#This Row],[Visitor]],'NHL Model'!$A$6:$B$38,2,FALSE)</f>
        <v>0.44031772420389576</v>
      </c>
      <c r="J1134">
        <f>($B$1+Table4[[#This Row],[Home Differential]])-Table4[[#This Row],[Away Differential]]</f>
        <v>-0.94638798074291786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0.58158471066417816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-9.7143783320053662E-2</v>
      </c>
      <c r="H1135" t="s">
        <v>20</v>
      </c>
      <c r="I1135">
        <f>VLOOKUP(Table4[[#This Row],[Visitor]],'NHL Model'!$A$6:$B$38,2,FALSE)</f>
        <v>0.22444955994982585</v>
      </c>
      <c r="J1135">
        <f>($B$1+Table4[[#This Row],[Home Differential]])-Table4[[#This Row],[Away Differential]]</f>
        <v>-0.23452519839233651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0.5049831685360382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-0.35383832279900912</v>
      </c>
      <c r="H1136" t="s">
        <v>21</v>
      </c>
      <c r="I1136">
        <f>VLOOKUP(Table4[[#This Row],[Visitor]],'NHL Model'!$A$6:$B$38,2,FALSE)</f>
        <v>0.20241790420125966</v>
      </c>
      <c r="J1136">
        <f>($B$1+Table4[[#This Row],[Home Differential]])-Table4[[#This Row],[Away Differential]]</f>
        <v>-0.46918808212272578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0.49985875483222281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-6.3531358246322375E-2</v>
      </c>
      <c r="H1137" t="s">
        <v>15</v>
      </c>
      <c r="I1137">
        <f>VLOOKUP(Table4[[#This Row],[Visitor]],'NHL Model'!$A$6:$B$38,2,FALSE)</f>
        <v>0.1651103738530684</v>
      </c>
      <c r="J1137">
        <f>($B$1+Table4[[#This Row],[Home Differential]])-Table4[[#This Row],[Away Differential]]</f>
        <v>-0.14157358722184776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0.58165358876639672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-0.65802650867783552</v>
      </c>
      <c r="H1138" t="s">
        <v>31</v>
      </c>
      <c r="I1138">
        <f>VLOOKUP(Table4[[#This Row],[Visitor]],'NHL Model'!$A$6:$B$38,2,FALSE)</f>
        <v>0.44031772420389576</v>
      </c>
      <c r="J1138">
        <f>($B$1+Table4[[#This Row],[Home Differential]])-Table4[[#This Row],[Away Differential]]</f>
        <v>-1.0112760880041882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0.58849701915301222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-0.10214397920743352</v>
      </c>
      <c r="H1139" t="s">
        <v>34</v>
      </c>
      <c r="I1139">
        <f>VLOOKUP(Table4[[#This Row],[Visitor]],'NHL Model'!$A$6:$B$38,2,FALSE)</f>
        <v>4.4994204383705286E-2</v>
      </c>
      <c r="J1139">
        <f>($B$1+Table4[[#This Row],[Home Differential]])-Table4[[#This Row],[Away Differential]]</f>
        <v>-6.0070038713595814E-2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0.48008326662534323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-0.31732900620087529</v>
      </c>
      <c r="H1140" t="s">
        <v>28</v>
      </c>
      <c r="I1140">
        <f>VLOOKUP(Table4[[#This Row],[Visitor]],'NHL Model'!$A$6:$B$38,2,FALSE)</f>
        <v>-0.25582283032518105</v>
      </c>
      <c r="J1140">
        <f>($B$1+Table4[[#This Row],[Home Differential]])-Table4[[#This Row],[Away Differential]]</f>
        <v>2.5561969001848761E-2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0.54272302926962179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-0.88005793547499611</v>
      </c>
      <c r="H1141" t="s">
        <v>24</v>
      </c>
      <c r="I1141">
        <f>VLOOKUP(Table4[[#This Row],[Visitor]],'NHL Model'!$A$6:$B$38,2,FALSE)</f>
        <v>-2.9769404338063311E-4</v>
      </c>
      <c r="J1141">
        <f>($B$1+Table4[[#This Row],[Home Differential]])-Table4[[#This Row],[Away Differential]]</f>
        <v>-0.79269209655407247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0.54801894112820226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0.30302134926393393</v>
      </c>
      <c r="H1142" t="s">
        <v>39</v>
      </c>
      <c r="I1142">
        <f>VLOOKUP(Table4[[#This Row],[Visitor]],'NHL Model'!$A$6:$B$38,2,FALSE)</f>
        <v>0.86540791565538033</v>
      </c>
      <c r="J1142">
        <f>($B$1+Table4[[#This Row],[Home Differential]])-Table4[[#This Row],[Away Differential]]</f>
        <v>-0.47531842151390341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0.60312023618794675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-0.17962977873499933</v>
      </c>
      <c r="H1143" t="s">
        <v>14</v>
      </c>
      <c r="I1143">
        <f>VLOOKUP(Table4[[#This Row],[Visitor]],'NHL Model'!$A$6:$B$38,2,FALSE)</f>
        <v>0.25731150832780025</v>
      </c>
      <c r="J1143">
        <f>($B$1+Table4[[#This Row],[Home Differential]])-Table4[[#This Row],[Away Differential]]</f>
        <v>-0.34987314218525656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0.53416520103993781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7.060370405735697E-2</v>
      </c>
      <c r="H1144" t="s">
        <v>10</v>
      </c>
      <c r="I1144">
        <f>VLOOKUP(Table4[[#This Row],[Visitor]],'NHL Model'!$A$6:$B$38,2,FALSE)</f>
        <v>-0.25852364135215161</v>
      </c>
      <c r="J1144">
        <f>($B$1+Table4[[#This Row],[Home Differential]])-Table4[[#This Row],[Away Differential]]</f>
        <v>0.41619549028705161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0.59445813375878087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-0.95834101872668032</v>
      </c>
      <c r="H1145" t="s">
        <v>33</v>
      </c>
      <c r="I1145">
        <f>VLOOKUP(Table4[[#This Row],[Visitor]],'NHL Model'!$A$6:$B$38,2,FALSE)</f>
        <v>-0.25672436988374864</v>
      </c>
      <c r="J1145">
        <f>($B$1+Table4[[#This Row],[Home Differential]])-Table4[[#This Row],[Away Differential]]</f>
        <v>-0.61454850396538863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0.52546575358803371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0.66951981565543606</v>
      </c>
      <c r="H1146" t="s">
        <v>32</v>
      </c>
      <c r="I1146">
        <f>VLOOKUP(Table4[[#This Row],[Visitor]],'NHL Model'!$A$6:$B$38,2,FALSE)</f>
        <v>-0.52701775861642253</v>
      </c>
      <c r="J1146">
        <f>($B$1+Table4[[#This Row],[Home Differential]])-Table4[[#This Row],[Away Differential]]</f>
        <v>1.2836057191494015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0.67673813404768812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0.16928148250244404</v>
      </c>
      <c r="H1147" t="s">
        <v>22</v>
      </c>
      <c r="I1147">
        <f>VLOOKUP(Table4[[#This Row],[Visitor]],'NHL Model'!$A$6:$B$38,2,FALSE)</f>
        <v>0.96536026973954592</v>
      </c>
      <c r="J1147">
        <f>($B$1+Table4[[#This Row],[Home Differential]])-Table4[[#This Row],[Away Differential]]</f>
        <v>-0.70901064235955891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0.54864676219494901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-0.59313840141656504</v>
      </c>
      <c r="H1148" t="s">
        <v>13</v>
      </c>
      <c r="I1148">
        <f>VLOOKUP(Table4[[#This Row],[Visitor]],'NHL Model'!$A$6:$B$38,2,FALSE)</f>
        <v>8.443955887089849E-2</v>
      </c>
      <c r="J1148">
        <f>($B$1+Table4[[#This Row],[Home Differential]])-Table4[[#This Row],[Away Differential]]</f>
        <v>-0.59050981540992054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0.58922078365640274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0.22444955994982585</v>
      </c>
      <c r="H1149" t="s">
        <v>17</v>
      </c>
      <c r="I1149">
        <f>VLOOKUP(Table4[[#This Row],[Visitor]],'NHL Model'!$A$6:$B$38,2,FALSE)</f>
        <v>-0.19871596400308536</v>
      </c>
      <c r="J1149">
        <f>($B$1+Table4[[#This Row],[Home Differential]])-Table4[[#This Row],[Away Differential]]</f>
        <v>0.51023366883045418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0.59435345041187204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-9.7143783320053662E-2</v>
      </c>
      <c r="H1150" t="s">
        <v>12</v>
      </c>
      <c r="I1150">
        <f>VLOOKUP(Table4[[#This Row],[Visitor]],'NHL Model'!$A$6:$B$38,2,FALSE)</f>
        <v>1.7072432657355574</v>
      </c>
      <c r="J1150">
        <f>($B$1+Table4[[#This Row],[Home Differential]])-Table4[[#This Row],[Away Differential]]</f>
        <v>-1.7173189041780681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0.70018149793005469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-0.35383832279900912</v>
      </c>
      <c r="H1151" t="s">
        <v>26</v>
      </c>
      <c r="I1151">
        <f>VLOOKUP(Table4[[#This Row],[Visitor]],'NHL Model'!$A$6:$B$38,2,FALSE)</f>
        <v>-0.47317909800770142</v>
      </c>
      <c r="J1151">
        <f>($B$1+Table4[[#This Row],[Home Differential]])-Table4[[#This Row],[Away Differential]]</f>
        <v>0.20640892008623529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0.57128381206649048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0.1651103738530684</v>
      </c>
      <c r="H1152" t="s">
        <v>10</v>
      </c>
      <c r="I1152">
        <f>VLOOKUP(Table4[[#This Row],[Visitor]],'NHL Model'!$A$6:$B$38,2,FALSE)</f>
        <v>-0.25852364135215161</v>
      </c>
      <c r="J1152">
        <f>($B$1+Table4[[#This Row],[Home Differential]])-Table4[[#This Row],[Away Differential]]</f>
        <v>0.51070216008276303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0.59440335718519255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0.20241790420125966</v>
      </c>
      <c r="H1153" t="s">
        <v>34</v>
      </c>
      <c r="I1153">
        <f>VLOOKUP(Table4[[#This Row],[Visitor]],'NHL Model'!$A$6:$B$38,2,FALSE)</f>
        <v>4.4994204383705286E-2</v>
      </c>
      <c r="J1153">
        <f>($B$1+Table4[[#This Row],[Home Differential]])-Table4[[#This Row],[Away Differential]]</f>
        <v>0.24449184469509738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0.60499224975395804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-0.35383832279900912</v>
      </c>
      <c r="H1154" t="s">
        <v>32</v>
      </c>
      <c r="I1154">
        <f>VLOOKUP(Table4[[#This Row],[Visitor]],'NHL Model'!$A$6:$B$38,2,FALSE)</f>
        <v>-0.52701775861642253</v>
      </c>
      <c r="J1154">
        <f>($B$1+Table4[[#This Row],[Home Differential]])-Table4[[#This Row],[Away Differential]]</f>
        <v>0.2602475806949564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0.57784553547557016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0.48797916660265073</v>
      </c>
      <c r="H1155" t="s">
        <v>24</v>
      </c>
      <c r="I1155">
        <f>VLOOKUP(Table4[[#This Row],[Visitor]],'NHL Model'!$A$6:$B$38,2,FALSE)</f>
        <v>-2.9769404338063311E-4</v>
      </c>
      <c r="J1155">
        <f>($B$1+Table4[[#This Row],[Home Differential]])-Table4[[#This Row],[Away Differential]]</f>
        <v>0.57534500552357437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0.62378953876980481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-0.25582283032518105</v>
      </c>
      <c r="H1156" t="s">
        <v>33</v>
      </c>
      <c r="I1156">
        <f>VLOOKUP(Table4[[#This Row],[Visitor]],'NHL Model'!$A$6:$B$38,2,FALSE)</f>
        <v>-0.25672436988374864</v>
      </c>
      <c r="J1156">
        <f>($B$1+Table4[[#This Row],[Home Differential]])-Table4[[#This Row],[Away Differential]]</f>
        <v>8.7969684436110585E-2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0.5493711100870825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-0.65802650867783552</v>
      </c>
      <c r="H1157" t="s">
        <v>38</v>
      </c>
      <c r="I1157">
        <f>VLOOKUP(Table4[[#This Row],[Visitor]],'NHL Model'!$A$6:$B$38,2,FALSE)</f>
        <v>-0.59313840141656504</v>
      </c>
      <c r="J1157">
        <f>($B$1+Table4[[#This Row],[Home Differential]])-Table4[[#This Row],[Away Differential]]</f>
        <v>2.2180037616272519E-2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0.54236276366762093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1.7072432657355574</v>
      </c>
      <c r="H1158" t="s">
        <v>40</v>
      </c>
      <c r="I1158">
        <f>VLOOKUP(Table4[[#This Row],[Visitor]],'NHL Model'!$A$6:$B$38,2,FALSE)</f>
        <v>-9.7143783320053662E-2</v>
      </c>
      <c r="J1158">
        <f>($B$1+Table4[[#This Row],[Home Differential]])-Table4[[#This Row],[Away Differential]]</f>
        <v>1.8914551939331541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0.84931122877478715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-0.47317909800770142</v>
      </c>
      <c r="H1159" t="s">
        <v>27</v>
      </c>
      <c r="I1159">
        <f>VLOOKUP(Table4[[#This Row],[Visitor]],'NHL Model'!$A$6:$B$38,2,FALSE)</f>
        <v>7.060370405735697E-2</v>
      </c>
      <c r="J1159">
        <f>($B$1+Table4[[#This Row],[Home Differential]])-Table4[[#This Row],[Away Differential]]</f>
        <v>-0.45671465718751536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0.5409599451641488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-0.19871596400308536</v>
      </c>
      <c r="H1160" t="s">
        <v>31</v>
      </c>
      <c r="I1160">
        <f>VLOOKUP(Table4[[#This Row],[Visitor]],'NHL Model'!$A$6:$B$38,2,FALSE)</f>
        <v>0.44031772420389576</v>
      </c>
      <c r="J1160">
        <f>($B$1+Table4[[#This Row],[Home Differential]])-Table4[[#This Row],[Away Differential]]</f>
        <v>-0.55196554332943815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0.52033746603611986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8.443955887089849E-2</v>
      </c>
      <c r="H1161" t="s">
        <v>55</v>
      </c>
      <c r="I1161">
        <f>VLOOKUP(Table4[[#This Row],[Visitor]],'NHL Model'!$A$6:$B$38,2,FALSE)</f>
        <v>0.16928148250244404</v>
      </c>
      <c r="J1161">
        <f>($B$1+Table4[[#This Row],[Home Differential]])-Table4[[#This Row],[Away Differential]]</f>
        <v>2.2262212459974451E-3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0.54023715174731135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-0.88005793547499611</v>
      </c>
      <c r="H1162" t="s">
        <v>18</v>
      </c>
      <c r="I1162">
        <f>VLOOKUP(Table4[[#This Row],[Visitor]],'NHL Model'!$A$6:$B$38,2,FALSE)</f>
        <v>-0.31732900620087529</v>
      </c>
      <c r="J1162">
        <f>($B$1+Table4[[#This Row],[Home Differential]])-Table4[[#This Row],[Away Differential]]</f>
        <v>-0.47566078439657783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0.58329368819930127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0.30302134926393393</v>
      </c>
      <c r="H1163" t="s">
        <v>11</v>
      </c>
      <c r="I1163">
        <f>VLOOKUP(Table4[[#This Row],[Visitor]],'NHL Model'!$A$6:$B$38,2,FALSE)</f>
        <v>-0.10214397920743352</v>
      </c>
      <c r="J1163">
        <f>($B$1+Table4[[#This Row],[Home Differential]])-Table4[[#This Row],[Away Differential]]</f>
        <v>0.49223347334891043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0.59243595105368063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0.25731150832780025</v>
      </c>
      <c r="H1164" t="s">
        <v>39</v>
      </c>
      <c r="I1164">
        <f>VLOOKUP(Table4[[#This Row],[Visitor]],'NHL Model'!$A$6:$B$38,2,FALSE)</f>
        <v>0.86540791565538033</v>
      </c>
      <c r="J1164">
        <f>($B$1+Table4[[#This Row],[Home Differential]])-Table4[[#This Row],[Away Differential]]</f>
        <v>-0.52102826245003708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0.60798954945445771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-0.95834101872668032</v>
      </c>
      <c r="H1165" t="s">
        <v>19</v>
      </c>
      <c r="I1165">
        <f>VLOOKUP(Table4[[#This Row],[Visitor]],'NHL Model'!$A$6:$B$38,2,FALSE)</f>
        <v>-6.3531358246322375E-2</v>
      </c>
      <c r="J1165">
        <f>($B$1+Table4[[#This Row],[Home Differential]])-Table4[[#This Row],[Away Differential]]</f>
        <v>-0.80774151560281493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0.54604594540882156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0.66951981565543606</v>
      </c>
      <c r="H1166" t="s">
        <v>36</v>
      </c>
      <c r="I1166">
        <f>VLOOKUP(Table4[[#This Row],[Visitor]],'NHL Model'!$A$6:$B$38,2,FALSE)</f>
        <v>-0.17962977873499933</v>
      </c>
      <c r="J1166">
        <f>($B$1+Table4[[#This Row],[Home Differential]])-Table4[[#This Row],[Away Differential]]</f>
        <v>0.93621773926797835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0.6361559198592206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0.22444955994982585</v>
      </c>
      <c r="H1167" t="s">
        <v>22</v>
      </c>
      <c r="I1167">
        <f>VLOOKUP(Table4[[#This Row],[Visitor]],'NHL Model'!$A$6:$B$38,2,FALSE)</f>
        <v>0.96536026973954592</v>
      </c>
      <c r="J1167">
        <f>($B$1+Table4[[#This Row],[Home Differential]])-Table4[[#This Row],[Away Differential]]</f>
        <v>-0.65384256491217707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0.58379043320138757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0.48797916660265073</v>
      </c>
      <c r="H1168" t="s">
        <v>18</v>
      </c>
      <c r="I1168">
        <f>VLOOKUP(Table4[[#This Row],[Visitor]],'NHL Model'!$A$6:$B$38,2,FALSE)</f>
        <v>-0.31732900620087529</v>
      </c>
      <c r="J1168">
        <f>($B$1+Table4[[#This Row],[Home Differential]])-Table4[[#This Row],[Away Differential]]</f>
        <v>0.89237631768106906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0.58873268794211409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-0.25582283032518105</v>
      </c>
      <c r="H1169" t="s">
        <v>21</v>
      </c>
      <c r="I1169">
        <f>VLOOKUP(Table4[[#This Row],[Visitor]],'NHL Model'!$A$6:$B$38,2,FALSE)</f>
        <v>0.20241790420125966</v>
      </c>
      <c r="J1169">
        <f>($B$1+Table4[[#This Row],[Home Differential]])-Table4[[#This Row],[Away Differential]]</f>
        <v>-0.37117258964889771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0.49953974850772009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-2.9769404338063311E-4</v>
      </c>
      <c r="H1170" t="s">
        <v>10</v>
      </c>
      <c r="I1170">
        <f>VLOOKUP(Table4[[#This Row],[Visitor]],'NHL Model'!$A$6:$B$38,2,FALSE)</f>
        <v>-0.25852364135215161</v>
      </c>
      <c r="J1170">
        <f>($B$1+Table4[[#This Row],[Home Differential]])-Table4[[#This Row],[Away Differential]]</f>
        <v>0.34529409218631396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0.61968455494619201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0.1651103738530684</v>
      </c>
      <c r="H1171" t="s">
        <v>11</v>
      </c>
      <c r="I1171">
        <f>VLOOKUP(Table4[[#This Row],[Visitor]],'NHL Model'!$A$6:$B$38,2,FALSE)</f>
        <v>-0.10214397920743352</v>
      </c>
      <c r="J1171">
        <f>($B$1+Table4[[#This Row],[Home Differential]])-Table4[[#This Row],[Away Differential]]</f>
        <v>0.35432249793804488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0.57774476577688494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7.060370405735697E-2</v>
      </c>
      <c r="H1172" t="s">
        <v>39</v>
      </c>
      <c r="I1172">
        <f>VLOOKUP(Table4[[#This Row],[Visitor]],'NHL Model'!$A$6:$B$38,2,FALSE)</f>
        <v>0.86540791565538033</v>
      </c>
      <c r="J1172">
        <f>($B$1+Table4[[#This Row],[Home Differential]])-Table4[[#This Row],[Away Differential]]</f>
        <v>-0.70773606672048039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0.61776558779053548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0.66951981565543606</v>
      </c>
      <c r="H1173" t="s">
        <v>29</v>
      </c>
      <c r="I1173">
        <f>VLOOKUP(Table4[[#This Row],[Visitor]],'NHL Model'!$A$6:$B$38,2,FALSE)</f>
        <v>-0.88005793547499611</v>
      </c>
      <c r="J1173">
        <f>($B$1+Table4[[#This Row],[Home Differential]])-Table4[[#This Row],[Away Differential]]</f>
        <v>1.6366458960079751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0.7143462985388036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0.44031772420389576</v>
      </c>
      <c r="H1174" t="s">
        <v>19</v>
      </c>
      <c r="I1174">
        <f>VLOOKUP(Table4[[#This Row],[Visitor]],'NHL Model'!$A$6:$B$38,2,FALSE)</f>
        <v>-6.3531358246322375E-2</v>
      </c>
      <c r="J1174">
        <f>($B$1+Table4[[#This Row],[Home Differential]])-Table4[[#This Row],[Away Differential]]</f>
        <v>0.5909172273277612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0.67747353404791399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1.7072432657355574</v>
      </c>
      <c r="H1175" t="s">
        <v>16</v>
      </c>
      <c r="I1175">
        <f>VLOOKUP(Table4[[#This Row],[Visitor]],'NHL Model'!$A$6:$B$38,2,FALSE)</f>
        <v>-0.65802650867783552</v>
      </c>
      <c r="J1175">
        <f>($B$1+Table4[[#This Row],[Home Differential]])-Table4[[#This Row],[Away Differential]]</f>
        <v>2.4523379192909358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0.90906015022383402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0.30302134926393393</v>
      </c>
      <c r="H1176" t="s">
        <v>14</v>
      </c>
      <c r="I1176">
        <f>VLOOKUP(Table4[[#This Row],[Visitor]],'NHL Model'!$A$6:$B$38,2,FALSE)</f>
        <v>0.25731150832780025</v>
      </c>
      <c r="J1176">
        <f>($B$1+Table4[[#This Row],[Home Differential]])-Table4[[#This Row],[Away Differential]]</f>
        <v>0.13277798581367667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0.5172499754850779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-0.25672436988374864</v>
      </c>
      <c r="H1177" t="s">
        <v>35</v>
      </c>
      <c r="I1177">
        <f>VLOOKUP(Table4[[#This Row],[Visitor]],'NHL Model'!$A$6:$B$38,2,FALSE)</f>
        <v>-0.95834101872668032</v>
      </c>
      <c r="J1177">
        <f>($B$1+Table4[[#This Row],[Home Differential]])-Table4[[#This Row],[Away Differential]]</f>
        <v>0.78868479372047462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0.62401589790094369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0.22444955994982585</v>
      </c>
      <c r="H1178" t="s">
        <v>38</v>
      </c>
      <c r="I1178">
        <f>VLOOKUP(Table4[[#This Row],[Visitor]],'NHL Model'!$A$6:$B$38,2,FALSE)</f>
        <v>-0.59313840141656504</v>
      </c>
      <c r="J1178">
        <f>($B$1+Table4[[#This Row],[Home Differential]])-Table4[[#This Row],[Away Differential]]</f>
        <v>0.90465610624393389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0.63636992580916107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0.20241790420125966</v>
      </c>
      <c r="H1179" t="s">
        <v>39</v>
      </c>
      <c r="I1179">
        <f>VLOOKUP(Table4[[#This Row],[Visitor]],'NHL Model'!$A$6:$B$38,2,FALSE)</f>
        <v>0.86540791565538033</v>
      </c>
      <c r="J1179">
        <f>($B$1+Table4[[#This Row],[Home Differential]])-Table4[[#This Row],[Away Differential]]</f>
        <v>-0.57592186657657773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0.55365868211562796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-0.35383832279900912</v>
      </c>
      <c r="H1180" t="s">
        <v>30</v>
      </c>
      <c r="I1180">
        <f>VLOOKUP(Table4[[#This Row],[Visitor]],'NHL Model'!$A$6:$B$38,2,FALSE)</f>
        <v>0.30302134926393393</v>
      </c>
      <c r="J1180">
        <f>($B$1+Table4[[#This Row],[Home Differential]])-Table4[[#This Row],[Away Differential]]</f>
        <v>-0.56979152718540005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0.57682697794433313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-0.25582283032518105</v>
      </c>
      <c r="H1181" t="s">
        <v>25</v>
      </c>
      <c r="I1181">
        <f>VLOOKUP(Table4[[#This Row],[Visitor]],'NHL Model'!$A$6:$B$38,2,FALSE)</f>
        <v>0.48797916660265073</v>
      </c>
      <c r="J1181">
        <f>($B$1+Table4[[#This Row],[Home Differential]])-Table4[[#This Row],[Away Differential]]</f>
        <v>-0.65673385205028878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0.60258278377427776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-0.25852364135215161</v>
      </c>
      <c r="H1182" t="s">
        <v>40</v>
      </c>
      <c r="I1182">
        <f>VLOOKUP(Table4[[#This Row],[Visitor]],'NHL Model'!$A$6:$B$38,2,FALSE)</f>
        <v>-9.7143783320053662E-2</v>
      </c>
      <c r="J1182">
        <f>($B$1+Table4[[#This Row],[Home Differential]])-Table4[[#This Row],[Away Differential]]</f>
        <v>-7.4311713154554954E-2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0.46791617304523575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-0.19871596400308536</v>
      </c>
      <c r="H1183" t="s">
        <v>32</v>
      </c>
      <c r="I1183">
        <f>VLOOKUP(Table4[[#This Row],[Visitor]],'NHL Model'!$A$6:$B$38,2,FALSE)</f>
        <v>-0.52701775861642253</v>
      </c>
      <c r="J1183">
        <f>($B$1+Table4[[#This Row],[Home Differential]])-Table4[[#This Row],[Away Differential]]</f>
        <v>0.41536993949088019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0.60335337257267851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-0.10214397920743352</v>
      </c>
      <c r="H1184" t="s">
        <v>36</v>
      </c>
      <c r="I1184">
        <f>VLOOKUP(Table4[[#This Row],[Visitor]],'NHL Model'!$A$6:$B$38,2,FALSE)</f>
        <v>-0.17962977873499933</v>
      </c>
      <c r="J1184">
        <f>($B$1+Table4[[#This Row],[Home Differential]])-Table4[[#This Row],[Away Differential]]</f>
        <v>0.16455394440510879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0.56100763065381032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0.1651103738530684</v>
      </c>
      <c r="H1185" t="s">
        <v>24</v>
      </c>
      <c r="I1185">
        <f>VLOOKUP(Table4[[#This Row],[Visitor]],'NHL Model'!$A$6:$B$38,2,FALSE)</f>
        <v>-2.9769404338063311E-4</v>
      </c>
      <c r="J1185">
        <f>($B$1+Table4[[#This Row],[Home Differential]])-Table4[[#This Row],[Away Differential]]</f>
        <v>0.25247621277399201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0.56331926985920311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0.25731150832780025</v>
      </c>
      <c r="H1186" t="s">
        <v>26</v>
      </c>
      <c r="I1186">
        <f>VLOOKUP(Table4[[#This Row],[Visitor]],'NHL Model'!$A$6:$B$38,2,FALSE)</f>
        <v>-0.47317909800770142</v>
      </c>
      <c r="J1186">
        <f>($B$1+Table4[[#This Row],[Home Differential]])-Table4[[#This Row],[Away Differential]]</f>
        <v>0.81755875121304467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0.62626224890725835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0.66951981565543606</v>
      </c>
      <c r="H1187" t="s">
        <v>18</v>
      </c>
      <c r="I1187">
        <f>VLOOKUP(Table4[[#This Row],[Visitor]],'NHL Model'!$A$6:$B$38,2,FALSE)</f>
        <v>-0.31732900620087529</v>
      </c>
      <c r="J1187">
        <f>($B$1+Table4[[#This Row],[Home Differential]])-Table4[[#This Row],[Away Differential]]</f>
        <v>1.0739169667338544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0.58177753818304734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0.96536026973954592</v>
      </c>
      <c r="H1188" t="s">
        <v>27</v>
      </c>
      <c r="I1188">
        <f>VLOOKUP(Table4[[#This Row],[Visitor]],'NHL Model'!$A$6:$B$38,2,FALSE)</f>
        <v>7.060370405735697E-2</v>
      </c>
      <c r="J1188">
        <f>($B$1+Table4[[#This Row],[Home Differential]])-Table4[[#This Row],[Away Differential]]</f>
        <v>0.98182471055973208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0.6385710162384608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1.7072432657355574</v>
      </c>
      <c r="H1189" t="s">
        <v>38</v>
      </c>
      <c r="I1189">
        <f>VLOOKUP(Table4[[#This Row],[Visitor]],'NHL Model'!$A$6:$B$38,2,FALSE)</f>
        <v>-0.59313840141656504</v>
      </c>
      <c r="J1189">
        <f>($B$1+Table4[[#This Row],[Home Differential]])-Table4[[#This Row],[Away Differential]]</f>
        <v>2.3874498120296654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0.90214784173499996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8.443955887089849E-2</v>
      </c>
      <c r="H1190" t="s">
        <v>35</v>
      </c>
      <c r="I1190">
        <f>VLOOKUP(Table4[[#This Row],[Visitor]],'NHL Model'!$A$6:$B$38,2,FALSE)</f>
        <v>-0.95834101872668032</v>
      </c>
      <c r="J1190">
        <f>($B$1+Table4[[#This Row],[Home Differential]])-Table4[[#This Row],[Away Differential]]</f>
        <v>1.1298487224751219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0.66035892623615733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-0.25672436988374864</v>
      </c>
      <c r="H1191" t="s">
        <v>31</v>
      </c>
      <c r="I1191">
        <f>VLOOKUP(Table4[[#This Row],[Visitor]],'NHL Model'!$A$6:$B$38,2,FALSE)</f>
        <v>0.44031772420389576</v>
      </c>
      <c r="J1191">
        <f>($B$1+Table4[[#This Row],[Home Differential]])-Table4[[#This Row],[Away Differential]]</f>
        <v>-0.6099739492101014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0.54574767266021817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0.48797916660265073</v>
      </c>
      <c r="H1192" t="s">
        <v>28</v>
      </c>
      <c r="I1192">
        <f>VLOOKUP(Table4[[#This Row],[Visitor]],'NHL Model'!$A$6:$B$38,2,FALSE)</f>
        <v>-0.25582283032518105</v>
      </c>
      <c r="J1192">
        <f>($B$1+Table4[[#This Row],[Home Differential]])-Table4[[#This Row],[Away Differential]]</f>
        <v>0.83087014180537477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0.65454749482838803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0.86540791565538033</v>
      </c>
      <c r="H1193" t="s">
        <v>40</v>
      </c>
      <c r="I1193">
        <f>VLOOKUP(Table4[[#This Row],[Visitor]],'NHL Model'!$A$6:$B$38,2,FALSE)</f>
        <v>-9.7143783320053662E-2</v>
      </c>
      <c r="J1193">
        <f>($B$1+Table4[[#This Row],[Home Differential]])-Table4[[#This Row],[Away Differential]]</f>
        <v>1.0496198438529769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0.70352839409075607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-0.19871596400308536</v>
      </c>
      <c r="H1194" t="s">
        <v>10</v>
      </c>
      <c r="I1194">
        <f>VLOOKUP(Table4[[#This Row],[Visitor]],'NHL Model'!$A$6:$B$38,2,FALSE)</f>
        <v>-0.25852364135215161</v>
      </c>
      <c r="J1194">
        <f>($B$1+Table4[[#This Row],[Home Differential]])-Table4[[#This Row],[Away Differential]]</f>
        <v>0.14687582222660925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0.57475161110512585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-0.10214397920743352</v>
      </c>
      <c r="H1195" t="s">
        <v>21</v>
      </c>
      <c r="I1195">
        <f>VLOOKUP(Table4[[#This Row],[Visitor]],'NHL Model'!$A$6:$B$38,2,FALSE)</f>
        <v>0.20241790420125966</v>
      </c>
      <c r="J1195">
        <f>($B$1+Table4[[#This Row],[Home Differential]])-Table4[[#This Row],[Away Differential]]</f>
        <v>-0.21749373853115017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0.4761229134155216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8.443955887089849E-2</v>
      </c>
      <c r="H1196" t="s">
        <v>29</v>
      </c>
      <c r="I1196">
        <f>VLOOKUP(Table4[[#This Row],[Visitor]],'NHL Model'!$A$6:$B$38,2,FALSE)</f>
        <v>-0.88005793547499611</v>
      </c>
      <c r="J1196">
        <f>($B$1+Table4[[#This Row],[Home Differential]])-Table4[[#This Row],[Away Differential]]</f>
        <v>1.0515656392234376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0.65201969669577442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4.4994204383705286E-2</v>
      </c>
      <c r="H1197" t="s">
        <v>38</v>
      </c>
      <c r="I1197">
        <f>VLOOKUP(Table4[[#This Row],[Visitor]],'NHL Model'!$A$6:$B$38,2,FALSE)</f>
        <v>-0.59313840141656504</v>
      </c>
      <c r="J1197">
        <f>($B$1+Table4[[#This Row],[Home Differential]])-Table4[[#This Row],[Away Differential]]</f>
        <v>0.72520075067781331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0.61725315957876714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-2.9769404338063311E-4</v>
      </c>
      <c r="H1198" t="s">
        <v>22</v>
      </c>
      <c r="I1198">
        <f>VLOOKUP(Table4[[#This Row],[Visitor]],'NHL Model'!$A$6:$B$38,2,FALSE)</f>
        <v>0.96536026973954592</v>
      </c>
      <c r="J1198">
        <f>($B$1+Table4[[#This Row],[Home Differential]])-Table4[[#This Row],[Away Differential]]</f>
        <v>-0.87858981890538357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0.56418140852337728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0.1651103738530684</v>
      </c>
      <c r="H1199" t="s">
        <v>18</v>
      </c>
      <c r="I1199">
        <f>VLOOKUP(Table4[[#This Row],[Visitor]],'NHL Model'!$A$6:$B$38,2,FALSE)</f>
        <v>-0.31732900620087529</v>
      </c>
      <c r="J1199">
        <f>($B$1+Table4[[#This Row],[Home Differential]])-Table4[[#This Row],[Away Differential]]</f>
        <v>0.56950752493148671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0.52804452278810432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-0.17962977873499933</v>
      </c>
      <c r="H1200" t="s">
        <v>23</v>
      </c>
      <c r="I1200">
        <f>VLOOKUP(Table4[[#This Row],[Visitor]],'NHL Model'!$A$6:$B$38,2,FALSE)</f>
        <v>-0.35383832279900912</v>
      </c>
      <c r="J1200">
        <f>($B$1+Table4[[#This Row],[Home Differential]])-Table4[[#This Row],[Away Differential]]</f>
        <v>0.26127668894155276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0.56783291347416309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7.060370405735697E-2</v>
      </c>
      <c r="H1201" t="s">
        <v>26</v>
      </c>
      <c r="I1201">
        <f>VLOOKUP(Table4[[#This Row],[Visitor]],'NHL Model'!$A$6:$B$38,2,FALSE)</f>
        <v>-0.47317909800770142</v>
      </c>
      <c r="J1201">
        <f>($B$1+Table4[[#This Row],[Home Differential]])-Table4[[#This Row],[Away Differential]]</f>
        <v>0.63085094694260135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0.61649817181725375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-0.52701775861642253</v>
      </c>
      <c r="H1202" t="s">
        <v>55</v>
      </c>
      <c r="I1202">
        <f>VLOOKUP(Table4[[#This Row],[Visitor]],'NHL Model'!$A$6:$B$38,2,FALSE)</f>
        <v>0.16928148250244404</v>
      </c>
      <c r="J1202">
        <f>($B$1+Table4[[#This Row],[Home Differential]])-Table4[[#This Row],[Away Differential]]</f>
        <v>-0.60923109624132354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0.52489930830089271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-0.25672436988374864</v>
      </c>
      <c r="H1203" t="s">
        <v>19</v>
      </c>
      <c r="I1203">
        <f>VLOOKUP(Table4[[#This Row],[Visitor]],'NHL Model'!$A$6:$B$38,2,FALSE)</f>
        <v>-6.3531358246322375E-2</v>
      </c>
      <c r="J1203">
        <f>($B$1+Table4[[#This Row],[Home Differential]])-Table4[[#This Row],[Away Differential]]</f>
        <v>-0.10612486675988327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0.47130511966433286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0.66951981565543606</v>
      </c>
      <c r="H1204" t="s">
        <v>14</v>
      </c>
      <c r="I1204">
        <f>VLOOKUP(Table4[[#This Row],[Visitor]],'NHL Model'!$A$6:$B$38,2,FALSE)</f>
        <v>0.25731150832780025</v>
      </c>
      <c r="J1204">
        <f>($B$1+Table4[[#This Row],[Home Differential]])-Table4[[#This Row],[Away Differential]]</f>
        <v>0.4992764522051788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0.55629180560322522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0.22444955994982585</v>
      </c>
      <c r="H1205" t="s">
        <v>16</v>
      </c>
      <c r="I1205">
        <f>VLOOKUP(Table4[[#This Row],[Visitor]],'NHL Model'!$A$6:$B$38,2,FALSE)</f>
        <v>-0.65802650867783552</v>
      </c>
      <c r="J1205">
        <f>($B$1+Table4[[#This Row],[Home Differential]])-Table4[[#This Row],[Away Differential]]</f>
        <v>0.96954421350520437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0.64328223429799514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0.44031772420389576</v>
      </c>
      <c r="H1206" t="s">
        <v>35</v>
      </c>
      <c r="I1206">
        <f>VLOOKUP(Table4[[#This Row],[Visitor]],'NHL Model'!$A$6:$B$38,2,FALSE)</f>
        <v>-0.95834101872668032</v>
      </c>
      <c r="J1206">
        <f>($B$1+Table4[[#This Row],[Home Differential]])-Table4[[#This Row],[Away Differential]]</f>
        <v>1.4857268878081191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0.77279455161319055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0.30302134926393393</v>
      </c>
      <c r="H1207" t="s">
        <v>27</v>
      </c>
      <c r="I1207">
        <f>VLOOKUP(Table4[[#This Row],[Visitor]],'NHL Model'!$A$6:$B$38,2,FALSE)</f>
        <v>7.060370405735697E-2</v>
      </c>
      <c r="J1207">
        <f>($B$1+Table4[[#This Row],[Home Differential]])-Table4[[#This Row],[Away Differential]]</f>
        <v>0.31948579008411992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0.53152116743434508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0.44031772420389576</v>
      </c>
      <c r="H1208" t="s">
        <v>16</v>
      </c>
      <c r="I1208">
        <f>VLOOKUP(Table4[[#This Row],[Visitor]],'NHL Model'!$A$6:$B$38,2,FALSE)</f>
        <v>-0.65802650867783552</v>
      </c>
      <c r="J1208">
        <f>($B$1+Table4[[#This Row],[Home Differential]])-Table4[[#This Row],[Away Differential]]</f>
        <v>1.1854123777592744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0.7408030723614959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0.48797916660265073</v>
      </c>
      <c r="H1209" t="s">
        <v>30</v>
      </c>
      <c r="I1209">
        <f>VLOOKUP(Table4[[#This Row],[Visitor]],'NHL Model'!$A$6:$B$38,2,FALSE)</f>
        <v>0.30302134926393393</v>
      </c>
      <c r="J1209">
        <f>($B$1+Table4[[#This Row],[Home Differential]])-Table4[[#This Row],[Away Differential]]</f>
        <v>0.2720259622162598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0.52897799684986357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-0.25582283032518105</v>
      </c>
      <c r="H1210" t="s">
        <v>40</v>
      </c>
      <c r="I1210">
        <f>VLOOKUP(Table4[[#This Row],[Visitor]],'NHL Model'!$A$6:$B$38,2,FALSE)</f>
        <v>-9.7143783320053662E-2</v>
      </c>
      <c r="J1210">
        <f>($B$1+Table4[[#This Row],[Home Differential]])-Table4[[#This Row],[Away Differential]]</f>
        <v>-7.1610902127584392E-2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0.46762846486917048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0.86540791565538033</v>
      </c>
      <c r="H1211" t="s">
        <v>12</v>
      </c>
      <c r="I1211">
        <f>VLOOKUP(Table4[[#This Row],[Visitor]],'NHL Model'!$A$6:$B$38,2,FALSE)</f>
        <v>1.7072432657355574</v>
      </c>
      <c r="J1211">
        <f>($B$1+Table4[[#This Row],[Home Differential]])-Table4[[#This Row],[Away Differential]]</f>
        <v>-0.75476720520263407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0.56427374075870518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-0.19871596400308536</v>
      </c>
      <c r="H1212" t="s">
        <v>20</v>
      </c>
      <c r="I1212">
        <f>VLOOKUP(Table4[[#This Row],[Visitor]],'NHL Model'!$A$6:$B$38,2,FALSE)</f>
        <v>0.22444955994982585</v>
      </c>
      <c r="J1212">
        <f>($B$1+Table4[[#This Row],[Home Differential]])-Table4[[#This Row],[Away Differential]]</f>
        <v>-0.33609737907536819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0.51580330609896208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8.443955887089849E-2</v>
      </c>
      <c r="H1213" t="s">
        <v>19</v>
      </c>
      <c r="I1213">
        <f>VLOOKUP(Table4[[#This Row],[Visitor]],'NHL Model'!$A$6:$B$38,2,FALSE)</f>
        <v>-6.3531358246322375E-2</v>
      </c>
      <c r="J1213">
        <f>($B$1+Table4[[#This Row],[Home Differential]])-Table4[[#This Row],[Away Differential]]</f>
        <v>0.23503906199476388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0.56503790867088077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-2.9769404338063311E-4</v>
      </c>
      <c r="H1214" t="s">
        <v>18</v>
      </c>
      <c r="I1214">
        <f>VLOOKUP(Table4[[#This Row],[Visitor]],'NHL Model'!$A$6:$B$38,2,FALSE)</f>
        <v>-0.31732900620087529</v>
      </c>
      <c r="J1214">
        <f>($B$1+Table4[[#This Row],[Home Differential]])-Table4[[#This Row],[Away Differential]]</f>
        <v>0.40409945703503763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0.55396436582050068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0.1651103738530684</v>
      </c>
      <c r="H1215" t="s">
        <v>26</v>
      </c>
      <c r="I1215">
        <f>VLOOKUP(Table4[[#This Row],[Visitor]],'NHL Model'!$A$6:$B$38,2,FALSE)</f>
        <v>-0.47317909800770142</v>
      </c>
      <c r="J1215">
        <f>($B$1+Table4[[#This Row],[Home Differential]])-Table4[[#This Row],[Away Differential]]</f>
        <v>0.72535761673831278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0.61644037689697362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-0.17962977873499933</v>
      </c>
      <c r="H1216" t="s">
        <v>34</v>
      </c>
      <c r="I1216">
        <f>VLOOKUP(Table4[[#This Row],[Visitor]],'NHL Model'!$A$6:$B$38,2,FALSE)</f>
        <v>4.4994204383705286E-2</v>
      </c>
      <c r="J1216">
        <f>($B$1+Table4[[#This Row],[Home Differential]])-Table4[[#This Row],[Away Differential]]</f>
        <v>-0.13755583824116163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0.49542258449604815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0.25731150832780025</v>
      </c>
      <c r="H1217" t="s">
        <v>11</v>
      </c>
      <c r="I1217">
        <f>VLOOKUP(Table4[[#This Row],[Visitor]],'NHL Model'!$A$6:$B$38,2,FALSE)</f>
        <v>-0.10214397920743352</v>
      </c>
      <c r="J1217">
        <f>($B$1+Table4[[#This Row],[Home Differential]])-Table4[[#This Row],[Away Differential]]</f>
        <v>0.44652363241277676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0.58756663778716955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-0.52701775861642253</v>
      </c>
      <c r="H1218" t="s">
        <v>10</v>
      </c>
      <c r="I1218">
        <f>VLOOKUP(Table4[[#This Row],[Visitor]],'NHL Model'!$A$6:$B$38,2,FALSE)</f>
        <v>-0.25852364135215161</v>
      </c>
      <c r="J1218">
        <f>($B$1+Table4[[#This Row],[Home Differential]])-Table4[[#This Row],[Away Differential]]</f>
        <v>-0.18142597238672792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0.47932668931109768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-0.25672436988374864</v>
      </c>
      <c r="H1219" t="s">
        <v>29</v>
      </c>
      <c r="I1219">
        <f>VLOOKUP(Table4[[#This Row],[Visitor]],'NHL Model'!$A$6:$B$38,2,FALSE)</f>
        <v>-0.88005793547499611</v>
      </c>
      <c r="J1219">
        <f>($B$1+Table4[[#This Row],[Home Differential]])-Table4[[#This Row],[Away Differential]]</f>
        <v>0.71040171046879053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0.6156766683605609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0.66951981565543606</v>
      </c>
      <c r="H1220" t="s">
        <v>21</v>
      </c>
      <c r="I1220">
        <f>VLOOKUP(Table4[[#This Row],[Visitor]],'NHL Model'!$A$6:$B$38,2,FALSE)</f>
        <v>0.20241790420125966</v>
      </c>
      <c r="J1220">
        <f>($B$1+Table4[[#This Row],[Home Differential]])-Table4[[#This Row],[Away Differential]]</f>
        <v>0.55417005633171934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0.59903384373989521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-0.59313840141656504</v>
      </c>
      <c r="H1221" t="s">
        <v>55</v>
      </c>
      <c r="I1221">
        <f>VLOOKUP(Table4[[#This Row],[Visitor]],'NHL Model'!$A$6:$B$38,2,FALSE)</f>
        <v>0.16928148250244404</v>
      </c>
      <c r="J1221">
        <f>($B$1+Table4[[#This Row],[Home Differential]])-Table4[[#This Row],[Away Differential]]</f>
        <v>-0.67535173904146606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0.53194291459186227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0.96536026973954592</v>
      </c>
      <c r="H1222" t="s">
        <v>23</v>
      </c>
      <c r="I1222">
        <f>VLOOKUP(Table4[[#This Row],[Visitor]],'NHL Model'!$A$6:$B$38,2,FALSE)</f>
        <v>-0.35383832279900912</v>
      </c>
      <c r="J1222">
        <f>($B$1+Table4[[#This Row],[Home Differential]])-Table4[[#This Row],[Away Differential]]</f>
        <v>1.4062667374160982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0.7258416598243993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1.7072432657355574</v>
      </c>
      <c r="H1223" t="s">
        <v>35</v>
      </c>
      <c r="I1223">
        <f>VLOOKUP(Table4[[#This Row],[Visitor]],'NHL Model'!$A$6:$B$38,2,FALSE)</f>
        <v>-0.95834101872668032</v>
      </c>
      <c r="J1223">
        <f>($B$1+Table4[[#This Row],[Home Differential]])-Table4[[#This Row],[Away Differential]]</f>
        <v>2.7526524293397809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0.94105162947552878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-0.47317909800770142</v>
      </c>
      <c r="H1224" t="s">
        <v>34</v>
      </c>
      <c r="I1224">
        <f>VLOOKUP(Table4[[#This Row],[Visitor]],'NHL Model'!$A$6:$B$38,2,FALSE)</f>
        <v>4.4994204383705286E-2</v>
      </c>
      <c r="J1224">
        <f>($B$1+Table4[[#This Row],[Home Differential]])-Table4[[#This Row],[Away Differential]]</f>
        <v>-0.43110515751386369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0.51651239560079143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-0.31732900620087529</v>
      </c>
      <c r="H1225" t="s">
        <v>24</v>
      </c>
      <c r="I1225">
        <f>VLOOKUP(Table4[[#This Row],[Visitor]],'NHL Model'!$A$6:$B$38,2,FALSE)</f>
        <v>-2.9769404338063311E-4</v>
      </c>
      <c r="J1225">
        <f>($B$1+Table4[[#This Row],[Home Differential]])-Table4[[#This Row],[Away Differential]]</f>
        <v>-0.22996316727995167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0.48807334988030227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0.1651103738530684</v>
      </c>
      <c r="H1226" t="s">
        <v>22</v>
      </c>
      <c r="I1226">
        <f>VLOOKUP(Table4[[#This Row],[Visitor]],'NHL Model'!$A$6:$B$38,2,FALSE)</f>
        <v>0.96536026973954592</v>
      </c>
      <c r="J1226">
        <f>($B$1+Table4[[#This Row],[Home Differential]])-Table4[[#This Row],[Away Differential]]</f>
        <v>-0.71318175100893455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0.59011163406683398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-0.17962977873499933</v>
      </c>
      <c r="H1227" t="s">
        <v>25</v>
      </c>
      <c r="I1227">
        <f>VLOOKUP(Table4[[#This Row],[Visitor]],'NHL Model'!$A$6:$B$38,2,FALSE)</f>
        <v>0.48797916660265073</v>
      </c>
      <c r="J1227">
        <f>($B$1+Table4[[#This Row],[Home Differential]])-Table4[[#This Row],[Away Differential]]</f>
        <v>-0.58054080046010703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0.59446619816982538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7.060370405735697E-2</v>
      </c>
      <c r="H1228" t="s">
        <v>21</v>
      </c>
      <c r="I1228">
        <f>VLOOKUP(Table4[[#This Row],[Visitor]],'NHL Model'!$A$6:$B$38,2,FALSE)</f>
        <v>0.20241790420125966</v>
      </c>
      <c r="J1228">
        <f>($B$1+Table4[[#This Row],[Home Differential]])-Table4[[#This Row],[Away Differential]]</f>
        <v>-4.4746055266359691E-2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0.45464439508145954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0.25731150832780025</v>
      </c>
      <c r="H1229" t="s">
        <v>11</v>
      </c>
      <c r="I1229">
        <f>VLOOKUP(Table4[[#This Row],[Visitor]],'NHL Model'!$A$6:$B$38,2,FALSE)</f>
        <v>-0.10214397920743352</v>
      </c>
      <c r="J1229">
        <f>($B$1+Table4[[#This Row],[Home Differential]])-Table4[[#This Row],[Away Differential]]</f>
        <v>0.44652363241277676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0.58756663778716955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-0.35383832279900912</v>
      </c>
      <c r="H1230" t="s">
        <v>37</v>
      </c>
      <c r="I1230">
        <f>VLOOKUP(Table4[[#This Row],[Visitor]],'NHL Model'!$A$6:$B$38,2,FALSE)</f>
        <v>0.66951981565543606</v>
      </c>
      <c r="J1230">
        <f>($B$1+Table4[[#This Row],[Home Differential]])-Table4[[#This Row],[Away Differential]]</f>
        <v>-0.93628999357690224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0.62218875539625285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8.443955887089849E-2</v>
      </c>
      <c r="H1231" t="s">
        <v>29</v>
      </c>
      <c r="I1231">
        <f>VLOOKUP(Table4[[#This Row],[Visitor]],'NHL Model'!$A$6:$B$38,2,FALSE)</f>
        <v>-0.88005793547499611</v>
      </c>
      <c r="J1231">
        <f>($B$1+Table4[[#This Row],[Home Differential]])-Table4[[#This Row],[Away Differential]]</f>
        <v>1.0515656392234376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0.65201969669577442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-0.25672436988374864</v>
      </c>
      <c r="H1232" t="s">
        <v>10</v>
      </c>
      <c r="I1232">
        <f>VLOOKUP(Table4[[#This Row],[Visitor]],'NHL Model'!$A$6:$B$38,2,FALSE)</f>
        <v>-0.25852364135215161</v>
      </c>
      <c r="J1232">
        <f>($B$1+Table4[[#This Row],[Home Differential]])-Table4[[#This Row],[Away Differential]]</f>
        <v>8.8867416345945971E-2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0.54946674240189275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-9.7143783320053662E-2</v>
      </c>
      <c r="H1233" t="s">
        <v>32</v>
      </c>
      <c r="I1233">
        <f>VLOOKUP(Table4[[#This Row],[Visitor]],'NHL Model'!$A$6:$B$38,2,FALSE)</f>
        <v>-0.52701775861642253</v>
      </c>
      <c r="J1233">
        <f>($B$1+Table4[[#This Row],[Home Differential]])-Table4[[#This Row],[Away Differential]]</f>
        <v>0.51694212017391183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0.6141735101356024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0.44031772420389576</v>
      </c>
      <c r="H1234" t="s">
        <v>29</v>
      </c>
      <c r="I1234">
        <f>VLOOKUP(Table4[[#This Row],[Visitor]],'NHL Model'!$A$6:$B$38,2,FALSE)</f>
        <v>-0.88005793547499611</v>
      </c>
      <c r="J1234">
        <f>($B$1+Table4[[#This Row],[Home Differential]])-Table4[[#This Row],[Away Differential]]</f>
        <v>1.407443804556435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0.76445532207280764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0.48797916660265073</v>
      </c>
      <c r="H1235" t="s">
        <v>21</v>
      </c>
      <c r="I1235">
        <f>VLOOKUP(Table4[[#This Row],[Visitor]],'NHL Model'!$A$6:$B$38,2,FALSE)</f>
        <v>0.20241790420125966</v>
      </c>
      <c r="J1235">
        <f>($B$1+Table4[[#This Row],[Home Differential]])-Table4[[#This Row],[Away Differential]]</f>
        <v>0.37262940727893407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0.60573267416421295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0.86540791565538033</v>
      </c>
      <c r="H1236" t="s">
        <v>16</v>
      </c>
      <c r="I1236">
        <f>VLOOKUP(Table4[[#This Row],[Visitor]],'NHL Model'!$A$6:$B$38,2,FALSE)</f>
        <v>-0.65802650867783552</v>
      </c>
      <c r="J1236">
        <f>($B$1+Table4[[#This Row],[Home Differential]])-Table4[[#This Row],[Away Differential]]</f>
        <v>1.6105025692107588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0.76327731553980305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-0.47317909800770142</v>
      </c>
      <c r="H1237" t="s">
        <v>28</v>
      </c>
      <c r="I1237">
        <f>VLOOKUP(Table4[[#This Row],[Visitor]],'NHL Model'!$A$6:$B$38,2,FALSE)</f>
        <v>-0.25582283032518105</v>
      </c>
      <c r="J1237">
        <f>($B$1+Table4[[#This Row],[Home Differential]])-Table4[[#This Row],[Away Differential]]</f>
        <v>-0.13028812280497737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0.46375689943019599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4.4994204383705286E-2</v>
      </c>
      <c r="H1238" t="s">
        <v>32</v>
      </c>
      <c r="I1238">
        <f>VLOOKUP(Table4[[#This Row],[Visitor]],'NHL Model'!$A$6:$B$38,2,FALSE)</f>
        <v>-0.52701775861642253</v>
      </c>
      <c r="J1238">
        <f>($B$1+Table4[[#This Row],[Home Differential]])-Table4[[#This Row],[Away Differential]]</f>
        <v>0.6590801078776708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0.61020955328779769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-0.31732900620087529</v>
      </c>
      <c r="H1239" t="s">
        <v>11</v>
      </c>
      <c r="I1239">
        <f>VLOOKUP(Table4[[#This Row],[Visitor]],'NHL Model'!$A$6:$B$38,2,FALSE)</f>
        <v>-0.10214397920743352</v>
      </c>
      <c r="J1239">
        <f>($B$1+Table4[[#This Row],[Home Differential]])-Table4[[#This Row],[Away Differential]]</f>
        <v>-0.12811688211589878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0.4736478539626206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-2.9769404338063311E-4</v>
      </c>
      <c r="H1240" t="s">
        <v>27</v>
      </c>
      <c r="I1240">
        <f>VLOOKUP(Table4[[#This Row],[Visitor]],'NHL Model'!$A$6:$B$38,2,FALSE)</f>
        <v>7.060370405735697E-2</v>
      </c>
      <c r="J1240">
        <f>($B$1+Table4[[#This Row],[Home Differential]])-Table4[[#This Row],[Away Differential]]</f>
        <v>1.6166746776805394E-2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0.54270579488585136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-0.17962977873499933</v>
      </c>
      <c r="H1241" t="s">
        <v>37</v>
      </c>
      <c r="I1241">
        <f>VLOOKUP(Table4[[#This Row],[Visitor]],'NHL Model'!$A$6:$B$38,2,FALSE)</f>
        <v>0.66951981565543606</v>
      </c>
      <c r="J1241">
        <f>($B$1+Table4[[#This Row],[Home Differential]])-Table4[[#This Row],[Away Differential]]</f>
        <v>-0.76208144951289236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0.61380510359456419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-0.95834101872668032</v>
      </c>
      <c r="H1242" t="s">
        <v>12</v>
      </c>
      <c r="I1242">
        <f>VLOOKUP(Table4[[#This Row],[Visitor]],'NHL Model'!$A$6:$B$38,2,FALSE)</f>
        <v>1.7072432657355574</v>
      </c>
      <c r="J1242">
        <f>($B$1+Table4[[#This Row],[Home Differential]])-Table4[[#This Row],[Away Differential]]</f>
        <v>-2.5785161395846945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0.8111612060157305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0.16928148250244404</v>
      </c>
      <c r="H1243" t="s">
        <v>17</v>
      </c>
      <c r="I1243">
        <f>VLOOKUP(Table4[[#This Row],[Visitor]],'NHL Model'!$A$6:$B$38,2,FALSE)</f>
        <v>-0.19871596400308536</v>
      </c>
      <c r="J1243">
        <f>($B$1+Table4[[#This Row],[Home Differential]])-Table4[[#This Row],[Away Differential]]</f>
        <v>0.45506559138307234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0.62890776095358591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-0.59313840141656504</v>
      </c>
      <c r="H1244" t="s">
        <v>20</v>
      </c>
      <c r="I1244">
        <f>VLOOKUP(Table4[[#This Row],[Visitor]],'NHL Model'!$A$6:$B$38,2,FALSE)</f>
        <v>0.22444955994982585</v>
      </c>
      <c r="J1244">
        <f>($B$1+Table4[[#This Row],[Home Differential]])-Table4[[#This Row],[Away Differential]]</f>
        <v>-0.7305198164888479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0.57710651473448216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0.1651103738530684</v>
      </c>
      <c r="H1245" t="s">
        <v>23</v>
      </c>
      <c r="I1245">
        <f>VLOOKUP(Table4[[#This Row],[Visitor]],'NHL Model'!$A$6:$B$38,2,FALSE)</f>
        <v>-0.35383832279900912</v>
      </c>
      <c r="J1245">
        <f>($B$1+Table4[[#This Row],[Home Differential]])-Table4[[#This Row],[Away Differential]]</f>
        <v>0.60601684152962054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0.6045569047223831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-0.25672436988374864</v>
      </c>
      <c r="H1246" t="s">
        <v>17</v>
      </c>
      <c r="I1246">
        <f>VLOOKUP(Table4[[#This Row],[Visitor]],'NHL Model'!$A$6:$B$38,2,FALSE)</f>
        <v>-0.19871596400308536</v>
      </c>
      <c r="J1246">
        <f>($B$1+Table4[[#This Row],[Home Differential]])-Table4[[#This Row],[Away Differential]]</f>
        <v>2.9059738996879719E-2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0.54309563476312595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-6.3531358246322375E-2</v>
      </c>
      <c r="H1247" t="s">
        <v>22</v>
      </c>
      <c r="I1247">
        <f>VLOOKUP(Table4[[#This Row],[Visitor]],'NHL Model'!$A$6:$B$38,2,FALSE)</f>
        <v>0.96536026973954592</v>
      </c>
      <c r="J1247">
        <f>($B$1+Table4[[#This Row],[Home Differential]])-Table4[[#This Row],[Away Differential]]</f>
        <v>-0.94182348310832531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0.61446805702934582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0.44031772420389576</v>
      </c>
      <c r="H1248" t="s">
        <v>33</v>
      </c>
      <c r="I1248">
        <f>VLOOKUP(Table4[[#This Row],[Visitor]],'NHL Model'!$A$6:$B$38,2,FALSE)</f>
        <v>-0.25672436988374864</v>
      </c>
      <c r="J1248">
        <f>($B$1+Table4[[#This Row],[Home Differential]])-Table4[[#This Row],[Away Differential]]</f>
        <v>0.7841102389651875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0.69805372586870185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-0.35383832279900912</v>
      </c>
      <c r="H1249" t="s">
        <v>28</v>
      </c>
      <c r="I1249">
        <f>VLOOKUP(Table4[[#This Row],[Visitor]],'NHL Model'!$A$6:$B$38,2,FALSE)</f>
        <v>-0.25582283032518105</v>
      </c>
      <c r="J1249">
        <f>($B$1+Table4[[#This Row],[Home Differential]])-Table4[[#This Row],[Away Differential]]</f>
        <v>-1.0947347596285073E-2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0.45104393416804772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-0.25852364135215161</v>
      </c>
      <c r="H1250" t="s">
        <v>25</v>
      </c>
      <c r="I1250">
        <f>VLOOKUP(Table4[[#This Row],[Visitor]],'NHL Model'!$A$6:$B$38,2,FALSE)</f>
        <v>0.48797916660265073</v>
      </c>
      <c r="J1250">
        <f>($B$1+Table4[[#This Row],[Home Differential]])-Table4[[#This Row],[Away Differential]]</f>
        <v>-0.6594346630772594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0.60287049195034292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1.7072432657355574</v>
      </c>
      <c r="H1251" t="s">
        <v>16</v>
      </c>
      <c r="I1251">
        <f>VLOOKUP(Table4[[#This Row],[Visitor]],'NHL Model'!$A$6:$B$38,2,FALSE)</f>
        <v>-0.65802650867783552</v>
      </c>
      <c r="J1251">
        <f>($B$1+Table4[[#This Row],[Home Differential]])-Table4[[#This Row],[Away Differential]]</f>
        <v>2.4523379192909358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0.90906015022383402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0.86540791565538033</v>
      </c>
      <c r="H1252" t="s">
        <v>34</v>
      </c>
      <c r="I1252">
        <f>VLOOKUP(Table4[[#This Row],[Visitor]],'NHL Model'!$A$6:$B$38,2,FALSE)</f>
        <v>4.4994204383705286E-2</v>
      </c>
      <c r="J1252">
        <f>($B$1+Table4[[#This Row],[Home Differential]])-Table4[[#This Row],[Away Differential]]</f>
        <v>0.90748185614921806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0.66809951472586748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-0.47317909800770142</v>
      </c>
      <c r="H1253" t="s">
        <v>27</v>
      </c>
      <c r="I1253">
        <f>VLOOKUP(Table4[[#This Row],[Visitor]],'NHL Model'!$A$6:$B$38,2,FALSE)</f>
        <v>7.060370405735697E-2</v>
      </c>
      <c r="J1253">
        <f>($B$1+Table4[[#This Row],[Home Differential]])-Table4[[#This Row],[Away Differential]]</f>
        <v>-0.45671465718751536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0.5409599451641488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8.443955887089849E-2</v>
      </c>
      <c r="H1254" t="s">
        <v>38</v>
      </c>
      <c r="I1254">
        <f>VLOOKUP(Table4[[#This Row],[Visitor]],'NHL Model'!$A$6:$B$38,2,FALSE)</f>
        <v>-0.59313840141656504</v>
      </c>
      <c r="J1254">
        <f>($B$1+Table4[[#This Row],[Home Differential]])-Table4[[#This Row],[Away Differential]]</f>
        <v>0.76464610516500653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0.6214551384956285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-0.31732900620087529</v>
      </c>
      <c r="H1255" t="s">
        <v>37</v>
      </c>
      <c r="I1255">
        <f>VLOOKUP(Table4[[#This Row],[Visitor]],'NHL Model'!$A$6:$B$38,2,FALSE)</f>
        <v>0.66951981565543606</v>
      </c>
      <c r="J1255">
        <f>($B$1+Table4[[#This Row],[Home Differential]])-Table4[[#This Row],[Away Differential]]</f>
        <v>-0.8997806769787684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0.62847373208584978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-2.9769404338063311E-4</v>
      </c>
      <c r="H1256" t="s">
        <v>14</v>
      </c>
      <c r="I1256">
        <f>VLOOKUP(Table4[[#This Row],[Visitor]],'NHL Model'!$A$6:$B$38,2,FALSE)</f>
        <v>0.25731150832780025</v>
      </c>
      <c r="J1256">
        <f>($B$1+Table4[[#This Row],[Home Differential]])-Table4[[#This Row],[Away Differential]]</f>
        <v>-0.1705410574936379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0.47160845204353391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0.30302134926393393</v>
      </c>
      <c r="H1257" t="s">
        <v>19</v>
      </c>
      <c r="I1257">
        <f>VLOOKUP(Table4[[#This Row],[Visitor]],'NHL Model'!$A$6:$B$38,2,FALSE)</f>
        <v>-6.3531358246322375E-2</v>
      </c>
      <c r="J1257">
        <f>($B$1+Table4[[#This Row],[Home Differential]])-Table4[[#This Row],[Away Differential]]</f>
        <v>0.45362085238779931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0.58832268039576263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-0.17962977873499933</v>
      </c>
      <c r="H1258" t="s">
        <v>11</v>
      </c>
      <c r="I1258">
        <f>VLOOKUP(Table4[[#This Row],[Visitor]],'NHL Model'!$A$6:$B$38,2,FALSE)</f>
        <v>-0.10214397920743352</v>
      </c>
      <c r="J1258">
        <f>($B$1+Table4[[#This Row],[Home Differential]])-Table4[[#This Row],[Away Differential]]</f>
        <v>9.5823453499771921E-3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0.54102077452866504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-0.52701775861642253</v>
      </c>
      <c r="H1259" t="s">
        <v>20</v>
      </c>
      <c r="I1259">
        <f>VLOOKUP(Table4[[#This Row],[Visitor]],'NHL Model'!$A$6:$B$38,2,FALSE)</f>
        <v>0.22444955994982585</v>
      </c>
      <c r="J1259">
        <f>($B$1+Table4[[#This Row],[Home Differential]])-Table4[[#This Row],[Away Differential]]</f>
        <v>-0.66439917368870538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0.57006290844351271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-0.95834101872668032</v>
      </c>
      <c r="H1260" t="s">
        <v>40</v>
      </c>
      <c r="I1260">
        <f>VLOOKUP(Table4[[#This Row],[Visitor]],'NHL Model'!$A$6:$B$38,2,FALSE)</f>
        <v>-9.7143783320053662E-2</v>
      </c>
      <c r="J1260">
        <f>($B$1+Table4[[#This Row],[Home Differential]])-Table4[[#This Row],[Away Differential]]</f>
        <v>-0.77412909052908363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0.54246532854428664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0.16928148250244404</v>
      </c>
      <c r="H1261" t="s">
        <v>29</v>
      </c>
      <c r="I1261">
        <f>VLOOKUP(Table4[[#This Row],[Visitor]],'NHL Model'!$A$6:$B$38,2,FALSE)</f>
        <v>-0.88005793547499611</v>
      </c>
      <c r="J1261">
        <f>($B$1+Table4[[#This Row],[Home Differential]])-Table4[[#This Row],[Away Differential]]</f>
        <v>1.1364075628549832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0.70148879455102087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0.20241790420125966</v>
      </c>
      <c r="H1262" t="s">
        <v>37</v>
      </c>
      <c r="I1262">
        <f>VLOOKUP(Table4[[#This Row],[Visitor]],'NHL Model'!$A$6:$B$38,2,FALSE)</f>
        <v>0.66951981565543606</v>
      </c>
      <c r="J1262">
        <f>($B$1+Table4[[#This Row],[Home Differential]])-Table4[[#This Row],[Away Differential]]</f>
        <v>-0.3800337665766334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0.51280842267421767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-0.25852364135215161</v>
      </c>
      <c r="H1263" t="s">
        <v>35</v>
      </c>
      <c r="I1263">
        <f>VLOOKUP(Table4[[#This Row],[Visitor]],'NHL Model'!$A$6:$B$38,2,FALSE)</f>
        <v>-0.95834101872668032</v>
      </c>
      <c r="J1263">
        <f>($B$1+Table4[[#This Row],[Home Differential]])-Table4[[#This Row],[Away Differential]]</f>
        <v>0.78688552225207165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0.62382422765550594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1.7072432657355574</v>
      </c>
      <c r="H1264" t="s">
        <v>20</v>
      </c>
      <c r="I1264">
        <f>VLOOKUP(Table4[[#This Row],[Visitor]],'NHL Model'!$A$6:$B$38,2,FALSE)</f>
        <v>0.22444955994982585</v>
      </c>
      <c r="J1264">
        <f>($B$1+Table4[[#This Row],[Home Differential]])-Table4[[#This Row],[Away Differential]]</f>
        <v>1.5698618506632744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0.77834313335123795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0.86540791565538033</v>
      </c>
      <c r="H1265" t="s">
        <v>15</v>
      </c>
      <c r="I1265">
        <f>VLOOKUP(Table4[[#This Row],[Visitor]],'NHL Model'!$A$6:$B$38,2,FALSE)</f>
        <v>0.1651103738530684</v>
      </c>
      <c r="J1265">
        <f>($B$1+Table4[[#This Row],[Home Differential]])-Table4[[#This Row],[Away Differential]]</f>
        <v>0.78736568667985496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0.56958966364663421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-0.47317909800770142</v>
      </c>
      <c r="H1266" t="s">
        <v>24</v>
      </c>
      <c r="I1266">
        <f>VLOOKUP(Table4[[#This Row],[Visitor]],'NHL Model'!$A$6:$B$38,2,FALSE)</f>
        <v>-2.9769404338063311E-4</v>
      </c>
      <c r="J1266">
        <f>($B$1+Table4[[#This Row],[Home Differential]])-Table4[[#This Row],[Away Differential]]</f>
        <v>-0.38581325908677777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0.49454066457503443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8.443955887089849E-2</v>
      </c>
      <c r="H1267" t="s">
        <v>17</v>
      </c>
      <c r="I1267">
        <f>VLOOKUP(Table4[[#This Row],[Visitor]],'NHL Model'!$A$6:$B$38,2,FALSE)</f>
        <v>-0.19871596400308536</v>
      </c>
      <c r="J1267">
        <f>($B$1+Table4[[#This Row],[Home Differential]])-Table4[[#This Row],[Away Differential]]</f>
        <v>0.37022366775152682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0.57943866309833958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-0.31732900620087529</v>
      </c>
      <c r="H1268" t="s">
        <v>28</v>
      </c>
      <c r="I1268">
        <f>VLOOKUP(Table4[[#This Row],[Visitor]],'NHL Model'!$A$6:$B$38,2,FALSE)</f>
        <v>-0.25582283032518105</v>
      </c>
      <c r="J1268">
        <f>($B$1+Table4[[#This Row],[Home Differential]])-Table4[[#This Row],[Away Differential]]</f>
        <v>2.5561969001848761E-2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0.54272302926962179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-0.88005793547499611</v>
      </c>
      <c r="H1269" t="s">
        <v>34</v>
      </c>
      <c r="I1269">
        <f>VLOOKUP(Table4[[#This Row],[Visitor]],'NHL Model'!$A$6:$B$38,2,FALSE)</f>
        <v>4.4994204383705286E-2</v>
      </c>
      <c r="J1269">
        <f>($B$1+Table4[[#This Row],[Home Differential]])-Table4[[#This Row],[Away Differential]]</f>
        <v>-0.83798399498115839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0.57003680423523373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0.30302134926393393</v>
      </c>
      <c r="H1270" t="s">
        <v>36</v>
      </c>
      <c r="I1270">
        <f>VLOOKUP(Table4[[#This Row],[Visitor]],'NHL Model'!$A$6:$B$38,2,FALSE)</f>
        <v>-0.17962977873499933</v>
      </c>
      <c r="J1270">
        <f>($B$1+Table4[[#This Row],[Home Differential]])-Table4[[#This Row],[Away Differential]]</f>
        <v>0.56971927287647628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0.59711408974107316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0.25731150832780025</v>
      </c>
      <c r="H1271" t="s">
        <v>22</v>
      </c>
      <c r="I1271">
        <f>VLOOKUP(Table4[[#This Row],[Visitor]],'NHL Model'!$A$6:$B$38,2,FALSE)</f>
        <v>0.96536026973954592</v>
      </c>
      <c r="J1271">
        <f>($B$1+Table4[[#This Row],[Home Differential]])-Table4[[#This Row],[Away Differential]]</f>
        <v>-0.62098061653420267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0.58028976205654925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-0.52701775861642253</v>
      </c>
      <c r="H1272" t="s">
        <v>16</v>
      </c>
      <c r="I1272">
        <f>VLOOKUP(Table4[[#This Row],[Visitor]],'NHL Model'!$A$6:$B$38,2,FALSE)</f>
        <v>-0.65802650867783552</v>
      </c>
      <c r="J1272">
        <f>($B$1+Table4[[#This Row],[Home Differential]])-Table4[[#This Row],[Away Differential]]</f>
        <v>0.21807689493895599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0.56323098693625862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-0.25672436988374864</v>
      </c>
      <c r="H1273" t="s">
        <v>38</v>
      </c>
      <c r="I1273">
        <f>VLOOKUP(Table4[[#This Row],[Visitor]],'NHL Model'!$A$6:$B$38,2,FALSE)</f>
        <v>-0.59313840141656504</v>
      </c>
      <c r="J1273">
        <f>($B$1+Table4[[#This Row],[Home Differential]])-Table4[[#This Row],[Away Differential]]</f>
        <v>0.4234821764103594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0.58511211016041498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-6.3531358246322375E-2</v>
      </c>
      <c r="H1274" t="s">
        <v>11</v>
      </c>
      <c r="I1274">
        <f>VLOOKUP(Table4[[#This Row],[Visitor]],'NHL Model'!$A$6:$B$38,2,FALSE)</f>
        <v>-0.10214397920743352</v>
      </c>
      <c r="J1274">
        <f>($B$1+Table4[[#This Row],[Home Differential]])-Table4[[#This Row],[Away Differential]]</f>
        <v>0.12568076583865415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0.5533883428143731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0.16928148250244404</v>
      </c>
      <c r="H1275" t="s">
        <v>25</v>
      </c>
      <c r="I1275">
        <f>VLOOKUP(Table4[[#This Row],[Visitor]],'NHL Model'!$A$6:$B$38,2,FALSE)</f>
        <v>0.48797916660265073</v>
      </c>
      <c r="J1275">
        <f>($B$1+Table4[[#This Row],[Home Differential]])-Table4[[#This Row],[Away Differential]]</f>
        <v>-0.23162953922266372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0.51629481558453527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-9.7143783320053662E-2</v>
      </c>
      <c r="H1276" t="s">
        <v>27</v>
      </c>
      <c r="I1276">
        <f>VLOOKUP(Table4[[#This Row],[Visitor]],'NHL Model'!$A$6:$B$38,2,FALSE)</f>
        <v>7.060370405735697E-2</v>
      </c>
      <c r="J1276">
        <f>($B$1+Table4[[#This Row],[Home Differential]])-Table4[[#This Row],[Away Differential]]</f>
        <v>-8.0679342499867635E-2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0.49181597136549404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0.44031772420389576</v>
      </c>
      <c r="H1277" t="s">
        <v>38</v>
      </c>
      <c r="I1277">
        <f>VLOOKUP(Table4[[#This Row],[Visitor]],'NHL Model'!$A$6:$B$38,2,FALSE)</f>
        <v>-0.59313840141656504</v>
      </c>
      <c r="J1277">
        <f>($B$1+Table4[[#This Row],[Home Differential]])-Table4[[#This Row],[Away Differential]]</f>
        <v>1.1205242704980038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0.73389076387266183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-0.25582283032518105</v>
      </c>
      <c r="H1278" t="s">
        <v>21</v>
      </c>
      <c r="I1278">
        <f>VLOOKUP(Table4[[#This Row],[Visitor]],'NHL Model'!$A$6:$B$38,2,FALSE)</f>
        <v>0.20241790420125966</v>
      </c>
      <c r="J1278">
        <f>($B$1+Table4[[#This Row],[Home Differential]])-Table4[[#This Row],[Away Differential]]</f>
        <v>-0.37117258964889771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0.49953974850772009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-0.65802650867783552</v>
      </c>
      <c r="H1279" t="s">
        <v>55</v>
      </c>
      <c r="I1279">
        <f>VLOOKUP(Table4[[#This Row],[Visitor]],'NHL Model'!$A$6:$B$38,2,FALSE)</f>
        <v>0.16928148250244404</v>
      </c>
      <c r="J1279">
        <f>($B$1+Table4[[#This Row],[Home Differential]])-Table4[[#This Row],[Away Differential]]</f>
        <v>-0.74023984630273654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0.53885522308069633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-2.9769404338063311E-4</v>
      </c>
      <c r="H1280" t="s">
        <v>36</v>
      </c>
      <c r="I1280">
        <f>VLOOKUP(Table4[[#This Row],[Visitor]],'NHL Model'!$A$6:$B$38,2,FALSE)</f>
        <v>-0.17962977873499933</v>
      </c>
      <c r="J1280">
        <f>($B$1+Table4[[#This Row],[Home Differential]])-Table4[[#This Row],[Away Differential]]</f>
        <v>0.26640022956916171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0.60777784839243076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0.30302134926393393</v>
      </c>
      <c r="H1281" t="s">
        <v>18</v>
      </c>
      <c r="I1281">
        <f>VLOOKUP(Table4[[#This Row],[Visitor]],'NHL Model'!$A$6:$B$38,2,FALSE)</f>
        <v>-0.31732900620087529</v>
      </c>
      <c r="J1281">
        <f>($B$1+Table4[[#This Row],[Home Differential]])-Table4[[#This Row],[Away Differential]]</f>
        <v>0.70741850034235221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0.54273570806490001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0.96536026973954592</v>
      </c>
      <c r="H1282" t="s">
        <v>14</v>
      </c>
      <c r="I1282">
        <f>VLOOKUP(Table4[[#This Row],[Visitor]],'NHL Model'!$A$6:$B$38,2,FALSE)</f>
        <v>0.25731150832780025</v>
      </c>
      <c r="J1282">
        <f>($B$1+Table4[[#This Row],[Home Differential]])-Table4[[#This Row],[Away Differential]]</f>
        <v>0.79511690628928877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0.6242694342124806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-0.25852364135215161</v>
      </c>
      <c r="H1283" t="s">
        <v>23</v>
      </c>
      <c r="I1283">
        <f>VLOOKUP(Table4[[#This Row],[Visitor]],'NHL Model'!$A$6:$B$38,2,FALSE)</f>
        <v>-0.35383832279900912</v>
      </c>
      <c r="J1283">
        <f>($B$1+Table4[[#This Row],[Home Differential]])-Table4[[#This Row],[Away Differential]]</f>
        <v>0.1823828263244005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0.55942861969364555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-0.19871596400308536</v>
      </c>
      <c r="H1284" t="s">
        <v>12</v>
      </c>
      <c r="I1284">
        <f>VLOOKUP(Table4[[#This Row],[Visitor]],'NHL Model'!$A$6:$B$38,2,FALSE)</f>
        <v>1.7072432657355574</v>
      </c>
      <c r="J1284">
        <f>($B$1+Table4[[#This Row],[Home Differential]])-Table4[[#This Row],[Away Differential]]</f>
        <v>-1.8188910848610997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0.71100163549297857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-0.10214397920743352</v>
      </c>
      <c r="H1285" t="s">
        <v>15</v>
      </c>
      <c r="I1285">
        <f>VLOOKUP(Table4[[#This Row],[Visitor]],'NHL Model'!$A$6:$B$38,2,FALSE)</f>
        <v>0.1651103738530684</v>
      </c>
      <c r="J1285">
        <f>($B$1+Table4[[#This Row],[Home Differential]])-Table4[[#This Row],[Away Differential]]</f>
        <v>-0.18018620818295894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0.57878011369195426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-0.88005793547499611</v>
      </c>
      <c r="H1286" t="s">
        <v>33</v>
      </c>
      <c r="I1286">
        <f>VLOOKUP(Table4[[#This Row],[Visitor]],'NHL Model'!$A$6:$B$38,2,FALSE)</f>
        <v>-0.25672436988374864</v>
      </c>
      <c r="J1286">
        <f>($B$1+Table4[[#This Row],[Home Differential]])-Table4[[#This Row],[Away Differential]]</f>
        <v>-0.53626542071370453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0.5171265240476508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7.060370405735697E-2</v>
      </c>
      <c r="H1287" t="s">
        <v>25</v>
      </c>
      <c r="I1287">
        <f>VLOOKUP(Table4[[#This Row],[Visitor]],'NHL Model'!$A$6:$B$38,2,FALSE)</f>
        <v>0.48797916660265073</v>
      </c>
      <c r="J1287">
        <f>($B$1+Table4[[#This Row],[Home Differential]])-Table4[[#This Row],[Away Differential]]</f>
        <v>-0.33030731766775079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0.55763549022075076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-0.52701775861642253</v>
      </c>
      <c r="H1288" t="s">
        <v>13</v>
      </c>
      <c r="I1288">
        <f>VLOOKUP(Table4[[#This Row],[Visitor]],'NHL Model'!$A$6:$B$38,2,FALSE)</f>
        <v>8.443955887089849E-2</v>
      </c>
      <c r="J1288">
        <f>($B$1+Table4[[#This Row],[Home Differential]])-Table4[[#This Row],[Away Differential]]</f>
        <v>-0.52438917260977802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0.58217717736543317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-0.95834101872668032</v>
      </c>
      <c r="H1289" t="s">
        <v>34</v>
      </c>
      <c r="I1289">
        <f>VLOOKUP(Table4[[#This Row],[Visitor]],'NHL Model'!$A$6:$B$38,2,FALSE)</f>
        <v>4.4994204383705286E-2</v>
      </c>
      <c r="J1289">
        <f>($B$1+Table4[[#This Row],[Home Differential]])-Table4[[#This Row],[Away Differential]]</f>
        <v>-0.91626707823284259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0.57837603377561664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0.66951981565543606</v>
      </c>
      <c r="H1290" t="s">
        <v>26</v>
      </c>
      <c r="I1290">
        <f>VLOOKUP(Table4[[#This Row],[Visitor]],'NHL Model'!$A$6:$B$38,2,FALSE)</f>
        <v>-0.47317909800770142</v>
      </c>
      <c r="J1290">
        <f>($B$1+Table4[[#This Row],[Home Differential]])-Table4[[#This Row],[Away Differential]]</f>
        <v>1.2297670585406806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0.67017339229191664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-6.3531358246322375E-2</v>
      </c>
      <c r="H1291" t="s">
        <v>39</v>
      </c>
      <c r="I1291">
        <f>VLOOKUP(Table4[[#This Row],[Visitor]],'NHL Model'!$A$6:$B$38,2,FALSE)</f>
        <v>0.86540791565538033</v>
      </c>
      <c r="J1291">
        <f>($B$1+Table4[[#This Row],[Home Differential]])-Table4[[#This Row],[Away Differential]]</f>
        <v>-0.84187112902415973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0.64216784442725428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0.22444955994982585</v>
      </c>
      <c r="H1292" t="s">
        <v>40</v>
      </c>
      <c r="I1292">
        <f>VLOOKUP(Table4[[#This Row],[Visitor]],'NHL Model'!$A$6:$B$38,2,FALSE)</f>
        <v>-9.7143783320053662E-2</v>
      </c>
      <c r="J1292">
        <f>($B$1+Table4[[#This Row],[Home Differential]])-Table4[[#This Row],[Away Differential]]</f>
        <v>0.40866148814742254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0.58353331284894816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0.20241790420125966</v>
      </c>
      <c r="H1293" t="s">
        <v>24</v>
      </c>
      <c r="I1293">
        <f>VLOOKUP(Table4[[#This Row],[Visitor]],'NHL Model'!$A$6:$B$38,2,FALSE)</f>
        <v>-2.9769404338063311E-4</v>
      </c>
      <c r="J1293">
        <f>($B$1+Table4[[#This Row],[Home Differential]])-Table4[[#This Row],[Away Differential]]</f>
        <v>0.2897837431221833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0.6265375426472044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-0.25582283032518105</v>
      </c>
      <c r="H1294" t="s">
        <v>22</v>
      </c>
      <c r="I1294">
        <f>VLOOKUP(Table4[[#This Row],[Visitor]],'NHL Model'!$A$6:$B$38,2,FALSE)</f>
        <v>0.96536026973954592</v>
      </c>
      <c r="J1294">
        <f>($B$1+Table4[[#This Row],[Home Differential]])-Table4[[#This Row],[Away Differential]]</f>
        <v>-1.1341149551871839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0.63495221091950615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-0.65802650867783552</v>
      </c>
      <c r="H1295" t="s">
        <v>12</v>
      </c>
      <c r="I1295">
        <f>VLOOKUP(Table4[[#This Row],[Visitor]],'NHL Model'!$A$6:$B$38,2,FALSE)</f>
        <v>1.7072432657355574</v>
      </c>
      <c r="J1295">
        <f>($B$1+Table4[[#This Row],[Home Differential]])-Table4[[#This Row],[Away Differential]]</f>
        <v>-2.2782016295358498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0.77916972676403584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4.4994204383705286E-2</v>
      </c>
      <c r="H1296" t="s">
        <v>31</v>
      </c>
      <c r="I1296">
        <f>VLOOKUP(Table4[[#This Row],[Visitor]],'NHL Model'!$A$6:$B$38,2,FALSE)</f>
        <v>0.44031772420389576</v>
      </c>
      <c r="J1296">
        <f>($B$1+Table4[[#This Row],[Home Differential]])-Table4[[#This Row],[Away Differential]]</f>
        <v>-0.30825537494264749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0.51360662324186601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0.30302134926393393</v>
      </c>
      <c r="H1297" t="s">
        <v>25</v>
      </c>
      <c r="I1297">
        <f>VLOOKUP(Table4[[#This Row],[Visitor]],'NHL Model'!$A$6:$B$38,2,FALSE)</f>
        <v>0.48797916660265073</v>
      </c>
      <c r="J1297">
        <f>($B$1+Table4[[#This Row],[Home Differential]])-Table4[[#This Row],[Away Differential]]</f>
        <v>-9.7889672461173804E-2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0.54305102164480989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7.060370405735697E-2</v>
      </c>
      <c r="H1298" t="s">
        <v>18</v>
      </c>
      <c r="I1298">
        <f>VLOOKUP(Table4[[#This Row],[Visitor]],'NHL Model'!$A$6:$B$38,2,FALSE)</f>
        <v>-0.31732900620087529</v>
      </c>
      <c r="J1298">
        <f>($B$1+Table4[[#This Row],[Home Differential]])-Table4[[#This Row],[Away Differential]]</f>
        <v>0.47500085513577528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0.52815123948895903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-0.95834101872668032</v>
      </c>
      <c r="H1299" t="s">
        <v>14</v>
      </c>
      <c r="I1299">
        <f>VLOOKUP(Table4[[#This Row],[Visitor]],'NHL Model'!$A$6:$B$38,2,FALSE)</f>
        <v>0.25731150832780025</v>
      </c>
      <c r="J1299">
        <f>($B$1+Table4[[#This Row],[Home Differential]])-Table4[[#This Row],[Away Differential]]</f>
        <v>-1.1285843821769377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0.6171186503195063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0.16928148250244404</v>
      </c>
      <c r="H1300" t="s">
        <v>40</v>
      </c>
      <c r="I1300">
        <f>VLOOKUP(Table4[[#This Row],[Visitor]],'NHL Model'!$A$6:$B$38,2,FALSE)</f>
        <v>-9.7143783320053662E-2</v>
      </c>
      <c r="J1300">
        <f>($B$1+Table4[[#This Row],[Home Differential]])-Table4[[#This Row],[Away Differential]]</f>
        <v>0.3534934107000407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0.61808762339066203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-0.59313840141656504</v>
      </c>
      <c r="H1301" t="s">
        <v>13</v>
      </c>
      <c r="I1301">
        <f>VLOOKUP(Table4[[#This Row],[Visitor]],'NHL Model'!$A$6:$B$38,2,FALSE)</f>
        <v>8.443955887089849E-2</v>
      </c>
      <c r="J1301">
        <f>($B$1+Table4[[#This Row],[Home Differential]])-Table4[[#This Row],[Away Differential]]</f>
        <v>-0.59050981540992054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0.58922078365640274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-0.35383832279900912</v>
      </c>
      <c r="H1302" t="s">
        <v>39</v>
      </c>
      <c r="I1302">
        <f>VLOOKUP(Table4[[#This Row],[Visitor]],'NHL Model'!$A$6:$B$38,2,FALSE)</f>
        <v>0.86540791565538033</v>
      </c>
      <c r="J1302">
        <f>($B$1+Table4[[#This Row],[Home Differential]])-Table4[[#This Row],[Away Differential]]</f>
        <v>-1.1321780935768464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0.66297994754129874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-0.25852364135215161</v>
      </c>
      <c r="H1303" t="s">
        <v>33</v>
      </c>
      <c r="I1303">
        <f>VLOOKUP(Table4[[#This Row],[Visitor]],'NHL Model'!$A$6:$B$38,2,FALSE)</f>
        <v>-0.25672436988374864</v>
      </c>
      <c r="J1303">
        <f>($B$1+Table4[[#This Row],[Home Differential]])-Table4[[#This Row],[Away Differential]]</f>
        <v>8.5268873409140022E-2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0.54908340191101723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-0.10214397920743352</v>
      </c>
      <c r="H1304" t="s">
        <v>26</v>
      </c>
      <c r="I1304">
        <f>VLOOKUP(Table4[[#This Row],[Visitor]],'NHL Model'!$A$6:$B$38,2,FALSE)</f>
        <v>-0.47317909800770142</v>
      </c>
      <c r="J1304">
        <f>($B$1+Table4[[#This Row],[Home Differential]])-Table4[[#This Row],[Away Differential]]</f>
        <v>0.4581032636778109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0.59501866375905943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-0.17962977873499933</v>
      </c>
      <c r="H1305" t="s">
        <v>19</v>
      </c>
      <c r="I1305">
        <f>VLOOKUP(Table4[[#This Row],[Visitor]],'NHL Model'!$A$6:$B$38,2,FALSE)</f>
        <v>-6.3531358246322375E-2</v>
      </c>
      <c r="J1305">
        <f>($B$1+Table4[[#This Row],[Home Differential]])-Table4[[#This Row],[Away Differential]]</f>
        <v>-2.9030275611133957E-2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0.46309249612925302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0.66951981565543606</v>
      </c>
      <c r="H1306" t="s">
        <v>15</v>
      </c>
      <c r="I1306">
        <f>VLOOKUP(Table4[[#This Row],[Visitor]],'NHL Model'!$A$6:$B$38,2,FALSE)</f>
        <v>0.1651103738530684</v>
      </c>
      <c r="J1306">
        <f>($B$1+Table4[[#This Row],[Home Differential]])-Table4[[#This Row],[Away Differential]]</f>
        <v>0.59147758667991068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0.49643584959105802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0.22444955994982585</v>
      </c>
      <c r="H1307" t="s">
        <v>32</v>
      </c>
      <c r="I1307">
        <f>VLOOKUP(Table4[[#This Row],[Visitor]],'NHL Model'!$A$6:$B$38,2,FALSE)</f>
        <v>-0.52701775861642253</v>
      </c>
      <c r="J1307">
        <f>($B$1+Table4[[#This Row],[Home Differential]])-Table4[[#This Row],[Away Differential]]</f>
        <v>0.83853546344379137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0.62932631951819151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-0.65802650867783552</v>
      </c>
      <c r="H1308" t="s">
        <v>13</v>
      </c>
      <c r="I1308">
        <f>VLOOKUP(Table4[[#This Row],[Visitor]],'NHL Model'!$A$6:$B$38,2,FALSE)</f>
        <v>8.443955887089849E-2</v>
      </c>
      <c r="J1308">
        <f>($B$1+Table4[[#This Row],[Home Differential]])-Table4[[#This Row],[Away Differential]]</f>
        <v>-0.65539792267119101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0.5961330921452368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1.7072432657355574</v>
      </c>
      <c r="H1309" t="s">
        <v>32</v>
      </c>
      <c r="I1309">
        <f>VLOOKUP(Table4[[#This Row],[Visitor]],'NHL Model'!$A$6:$B$38,2,FALSE)</f>
        <v>-0.52701775861642253</v>
      </c>
      <c r="J1309">
        <f>($B$1+Table4[[#This Row],[Home Differential]])-Table4[[#This Row],[Away Differential]]</f>
        <v>2.3213291692295228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0.8951042354440305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-0.19871596400308536</v>
      </c>
      <c r="H1310" t="s">
        <v>38</v>
      </c>
      <c r="I1310">
        <f>VLOOKUP(Table4[[#This Row],[Visitor]],'NHL Model'!$A$6:$B$38,2,FALSE)</f>
        <v>-0.59313840141656504</v>
      </c>
      <c r="J1310">
        <f>($B$1+Table4[[#This Row],[Home Differential]])-Table4[[#This Row],[Away Differential]]</f>
        <v>0.48149058229102271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0.61039697886364808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-0.88005793547499611</v>
      </c>
      <c r="H1311" t="s">
        <v>31</v>
      </c>
      <c r="I1311">
        <f>VLOOKUP(Table4[[#This Row],[Visitor]],'NHL Model'!$A$6:$B$38,2,FALSE)</f>
        <v>0.44031772420389576</v>
      </c>
      <c r="J1311">
        <f>($B$1+Table4[[#This Row],[Home Differential]])-Table4[[#This Row],[Away Differential]]</f>
        <v>-1.2333075148013488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0.61214926886432397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0.16928148250244404</v>
      </c>
      <c r="H1312" t="s">
        <v>35</v>
      </c>
      <c r="I1312">
        <f>VLOOKUP(Table4[[#This Row],[Visitor]],'NHL Model'!$A$6:$B$38,2,FALSE)</f>
        <v>-0.95834101872668032</v>
      </c>
      <c r="J1312">
        <f>($B$1+Table4[[#This Row],[Home Differential]])-Table4[[#This Row],[Away Differential]]</f>
        <v>1.2146906461066673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0.70982802409140366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-9.7143783320053662E-2</v>
      </c>
      <c r="H1313" t="s">
        <v>33</v>
      </c>
      <c r="I1313">
        <f>VLOOKUP(Table4[[#This Row],[Visitor]],'NHL Model'!$A$6:$B$38,2,FALSE)</f>
        <v>-0.25672436988374864</v>
      </c>
      <c r="J1313">
        <f>($B$1+Table4[[#This Row],[Home Differential]])-Table4[[#This Row],[Away Differential]]</f>
        <v>0.24664873144123797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0.58538007842261208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K37" sqref="K37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29</v>
      </c>
      <c r="C2">
        <f>COUNTIF(NHL2025_26Results[Winning Team],Standings!A2)</f>
        <v>18</v>
      </c>
      <c r="D2">
        <f>COUNTIFS('NHL2025-26Results'!$H:$H,A2,'NHL2025-26Results'!$F:$F,"")</f>
        <v>10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37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30</v>
      </c>
      <c r="C3">
        <f>COUNTIF(NHL2025_26Results[Winning Team],Standings!A3)</f>
        <v>17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34</v>
      </c>
      <c r="G3">
        <f>COUNTIFS('NHL2025-26Results'!$D:$D,A3,'NHL2025-26Results'!$G:$G,A3)</f>
        <v>11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0.6875</v>
      </c>
      <c r="N3" s="11">
        <f>Table1[[#This Row],[AwayWins]]/SUM(Table1[[#This Row],[AwayWins]:[AwayOTL]])</f>
        <v>0.42857142857142855</v>
      </c>
      <c r="O3" s="14">
        <f>SUMIFS('NHL2025-26Results'!$E:$E,'NHL2025-26Results'!$D:$D,A3,'NHL2025-26Results'!$E:$E,"&gt;0")/COUNTIFS('NHL2025-26Results'!$D:$D,A3,'NHL2025-26Results'!$E:$E,"&gt;0")</f>
        <v>3.4375</v>
      </c>
      <c r="P3" s="14">
        <f>SUMIFS('NHL2025-26Results'!$C:$C,'NHL2025-26Results'!$B:$B,A3,'NHL2025-26Results'!$C:$C,"&gt;0")/COUNTIFS('NHL2025-26Results'!$B:$B,A3,'NHL2025-26Results'!$C:$C,"&gt;0")</f>
        <v>2.9285714285714284</v>
      </c>
      <c r="Q3" s="14">
        <f>SUMIFS('NHL2025-26Results'!$C:$C,'NHL2025-26Results'!$D:$D,A3,'NHL2025-26Results'!$C:$C,"&gt;0")/COUNTIFS('NHL2025-26Results'!$D:$D,A3,'NHL2025-26Results'!$C:$C,"&gt;0")</f>
        <v>2.875</v>
      </c>
      <c r="R3" s="14">
        <f>SUMIFS('NHL2025-26Results'!$E:$E,'NHL2025-26Results'!$B:$B,A3,'NHL2025-26Results'!$E:$E,"&gt;0")/COUNTIFS('NHL2025-26Results'!$B:$B,A3,'NHL2025-26Results'!$E:$E,"&gt;0")</f>
        <v>3.4285714285714284</v>
      </c>
    </row>
    <row r="4" spans="1:18" x14ac:dyDescent="0.2">
      <c r="A4" s="4" t="s">
        <v>23</v>
      </c>
      <c r="B4">
        <f>SUM(Table1[[#This Row],[W]:[OTL]])</f>
        <v>28</v>
      </c>
      <c r="C4">
        <f>COUNTIF(NHL2025_26Results[Winning Team],Standings!A4)</f>
        <v>11</v>
      </c>
      <c r="D4">
        <f>COUNTIFS('NHL2025-26Results'!$H:$H,A4,'NHL2025-26Results'!$F:$F,"")</f>
        <v>13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8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0.16666666666666666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4.25</v>
      </c>
    </row>
    <row r="5" spans="1:18" x14ac:dyDescent="0.2">
      <c r="A5" s="4" t="s">
        <v>16</v>
      </c>
      <c r="B5">
        <f>SUM(Table1[[#This Row],[W]:[OTL]])</f>
        <v>30</v>
      </c>
      <c r="C5">
        <f>COUNTIF(NHL2025_26Results[Winning Team],Standings!A5)</f>
        <v>11</v>
      </c>
      <c r="D5">
        <f>COUNTIFS('NHL2025-26Results'!$H:$H,A5,'NHL2025-26Results'!$F:$F,"")</f>
        <v>15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26</v>
      </c>
      <c r="G5">
        <f>COUNTIFS('NHL2025-26Results'!$D:$D,A5,'NHL2025-26Results'!$G:$G,A5)</f>
        <v>6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2.7272727272727271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28</v>
      </c>
      <c r="C6">
        <f>COUNTIF(NHL2025_26Results[Winning Team],Standings!A6)</f>
        <v>17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36</v>
      </c>
      <c r="G6">
        <f>COUNTIFS('NHL2025-26Results'!$D:$D,A6,'NHL2025-26Results'!$G:$G,A6)</f>
        <v>9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3.5333333333333332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3.4285714285714284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29</v>
      </c>
      <c r="C7">
        <f>COUNTIF(NHL2025_26Results[Winning Team],Standings!A7)</f>
        <v>12</v>
      </c>
      <c r="D7">
        <f>COUNTIFS('NHL2025-26Results'!$H:$H,A7,'NHL2025-26Results'!$F:$F,"")</f>
        <v>11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30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6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3.2142857142857144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3.8571428571428572</v>
      </c>
    </row>
    <row r="8" spans="1:18" x14ac:dyDescent="0.2">
      <c r="A8" s="4" t="s">
        <v>12</v>
      </c>
      <c r="B8">
        <f>SUM(Table1[[#This Row],[W]:[OTL]])</f>
        <v>29</v>
      </c>
      <c r="C8">
        <f>COUNTIF(NHL2025_26Results[Winning Team],Standings!A8)</f>
        <v>21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48</v>
      </c>
      <c r="G8">
        <f>COUNTIFS('NHL2025-26Results'!$D:$D,A8,'NHL2025-26Results'!$G:$G,A8)</f>
        <v>11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10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0.84615384615384615</v>
      </c>
      <c r="N8" s="11">
        <f>Table1[[#This Row],[AwayWins]]/SUM(Table1[[#This Row],[AwayWins]:[AwayOTL]])</f>
        <v>0.625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3.375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2.6428571428571428</v>
      </c>
    </row>
    <row r="9" spans="1:18" x14ac:dyDescent="0.2">
      <c r="A9" s="4" t="s">
        <v>28</v>
      </c>
      <c r="B9">
        <f>SUM(Table1[[#This Row],[W]:[OTL]])</f>
        <v>29</v>
      </c>
      <c r="C9">
        <f>COUNTIF(NHL2025_26Results[Winning Team],Standings!A9)</f>
        <v>13</v>
      </c>
      <c r="D9">
        <f>COUNTIFS('NHL2025-26Results'!$H:$H,A9,'NHL2025-26Results'!$F:$F,"")</f>
        <v>10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32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7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0.41176470588235292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3.375</v>
      </c>
      <c r="Q9" s="14">
        <f>SUMIFS('NHL2025-26Results'!$C:$C,'NHL2025-26Results'!$D:$D,A9,'NHL2025-26Results'!$C:$C,"&gt;0")/COUNTIFS('NHL2025-26Results'!$D:$D,A9,'NHL2025-26Results'!$C:$C,"&gt;0")</f>
        <v>3.25</v>
      </c>
      <c r="R9" s="14">
        <f>SUMIFS('NHL2025-26Results'!$E:$E,'NHL2025-26Results'!$B:$B,A9,'NHL2025-26Results'!$E:$E,"&gt;0")/COUNTIFS('NHL2025-26Results'!$B:$B,A9,'NHL2025-26Results'!$E:$E,"&gt;0")</f>
        <v>3.5294117647058822</v>
      </c>
    </row>
    <row r="10" spans="1:18" x14ac:dyDescent="0.2">
      <c r="A10" s="4" t="s">
        <v>39</v>
      </c>
      <c r="B10">
        <f>SUM(Table1[[#This Row],[W]:[OTL]])</f>
        <v>30</v>
      </c>
      <c r="C10">
        <f>COUNTIF(NHL2025_26Results[Winning Team],Standings!A10)</f>
        <v>20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45</v>
      </c>
      <c r="G10">
        <f>COUNTIFS('NHL2025-26Results'!$D:$D,A10,'NHL2025-26Results'!$G:$G,A10)</f>
        <v>10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10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0.66666666666666663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3.3333333333333335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2.7857142857142856</v>
      </c>
      <c r="R10" s="14">
        <f>SUMIFS('NHL2025-26Results'!$E:$E,'NHL2025-26Results'!$B:$B,A10,'NHL2025-26Results'!$E:$E,"&gt;0")/COUNTIFS('NHL2025-26Results'!$B:$B,A10,'NHL2025-26Results'!$E:$E,"&gt;0")</f>
        <v>2.9230769230769229</v>
      </c>
    </row>
    <row r="11" spans="1:18" x14ac:dyDescent="0.2">
      <c r="A11" s="4" t="s">
        <v>26</v>
      </c>
      <c r="B11">
        <f>SUM(Table1[[#This Row],[W]:[OTL]])</f>
        <v>29</v>
      </c>
      <c r="C11">
        <f>COUNTIF(NHL2025_26Results[Winning Team],Standings!A11)</f>
        <v>15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33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6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0.46153846153846156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3.0833333333333335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3.3076923076923075</v>
      </c>
    </row>
    <row r="12" spans="1:18" x14ac:dyDescent="0.2">
      <c r="A12" s="4" t="s">
        <v>17</v>
      </c>
      <c r="B12">
        <f>SUM(Table1[[#This Row],[W]:[OTL]])</f>
        <v>29</v>
      </c>
      <c r="C12">
        <f>COUNTIF(NHL2025_26Results[Winning Team],Standings!A12)</f>
        <v>13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31</v>
      </c>
      <c r="G12">
        <f>COUNTIFS('NHL2025-26Results'!$D:$D,A12,'NHL2025-26Results'!$G:$G,A12)</f>
        <v>7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0.58333333333333337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4.3636363636363633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3.9166666666666665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28</v>
      </c>
      <c r="C13">
        <f>COUNTIF(NHL2025_26Results[Winning Team],Standings!A13)</f>
        <v>14</v>
      </c>
      <c r="D13">
        <f>COUNTIFS('NHL2025-26Results'!$H:$H,A13,'NHL2025-26Results'!$F:$F,"")</f>
        <v>12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30</v>
      </c>
      <c r="G13">
        <f>COUNTIFS('NHL2025-26Results'!$D:$D,A13,'NHL2025-26Results'!$G:$G,A13)</f>
        <v>10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0.55555555555555558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3.4375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28</v>
      </c>
      <c r="C14">
        <f>COUNTIF(NHL2025_26Results[Winning Team],Standings!A14)</f>
        <v>13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33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0.30769230769230771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2.1538461538461537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3.0909090909090908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29</v>
      </c>
      <c r="C15">
        <f>COUNTIF(NHL2025_26Results[Winning Team],Standings!A15)</f>
        <v>15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35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7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2.6428571428571428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3.4</v>
      </c>
    </row>
    <row r="16" spans="1:18" x14ac:dyDescent="0.2">
      <c r="A16" s="4" t="s">
        <v>18</v>
      </c>
      <c r="B16">
        <f>SUM(Table1[[#This Row],[W]:[OTL]])</f>
        <v>28</v>
      </c>
      <c r="C16">
        <f>COUNTIF(NHL2025_26Results[Winning Team],Standings!A16)</f>
        <v>15</v>
      </c>
      <c r="D16">
        <f>COUNTIFS('NHL2025-26Results'!$H:$H,A16,'NHL2025-26Results'!$F:$F,"")</f>
        <v>10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33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7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8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0.46666666666666667</v>
      </c>
      <c r="N16" s="11">
        <f>Table1[[#This Row],[AwayWins]]/SUM(Table1[[#This Row],[AwayWins]:[AwayOTL]])</f>
        <v>0.61538461538461542</v>
      </c>
      <c r="O16" s="14">
        <f>SUMIFS('NHL2025-26Results'!$E:$E,'NHL2025-26Results'!$D:$D,A16,'NHL2025-26Results'!$E:$E,"&gt;0")/COUNTIFS('NHL2025-26Results'!$D:$D,A16,'NHL2025-26Results'!$E:$E,"&gt;0")</f>
        <v>3.5</v>
      </c>
      <c r="P16" s="14">
        <f>SUMIFS('NHL2025-26Results'!$C:$C,'NHL2025-26Results'!$B:$B,A16,'NHL2025-26Results'!$C:$C,"&gt;0")/COUNTIFS('NHL2025-26Results'!$B:$B,A16,'NHL2025-26Results'!$C:$C,"&gt;0")</f>
        <v>3.3076923076923075</v>
      </c>
      <c r="Q16" s="14">
        <f>SUMIFS('NHL2025-26Results'!$C:$C,'NHL2025-26Results'!$D:$D,A16,'NHL2025-26Results'!$C:$C,"&gt;0")/COUNTIFS('NHL2025-26Results'!$D:$D,A16,'NHL2025-26Results'!$C:$C,"&gt;0")</f>
        <v>3.8666666666666667</v>
      </c>
      <c r="R16" s="14">
        <f>SUMIFS('NHL2025-26Results'!$E:$E,'NHL2025-26Results'!$B:$B,A16,'NHL2025-26Results'!$E:$E,"&gt;0")/COUNTIFS('NHL2025-26Results'!$B:$B,A16,'NHL2025-26Results'!$E:$E,"&gt;0")</f>
        <v>3.1538461538461537</v>
      </c>
    </row>
    <row r="17" spans="1:18" x14ac:dyDescent="0.2">
      <c r="A17" s="4" t="s">
        <v>29</v>
      </c>
      <c r="B17">
        <f>SUM(Table1[[#This Row],[W]:[OTL]])</f>
        <v>28</v>
      </c>
      <c r="C17">
        <f>COUNTIF(NHL2025_26Results[Winning Team],Standings!A17)</f>
        <v>10</v>
      </c>
      <c r="D17">
        <f>COUNTIFS('NHL2025-26Results'!$H:$H,A17,'NHL2025-26Results'!$F:$F,"")</f>
        <v>14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24</v>
      </c>
      <c r="G17">
        <f>COUNTIFS('NHL2025-26Results'!$D:$D,A17,'NHL2025-26Results'!$G:$G,A17)</f>
        <v>6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6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0.375</v>
      </c>
      <c r="N17" s="11">
        <f>Table1[[#This Row],[AwayWins]]/SUM(Table1[[#This Row],[AwayWins]:[AwayOTL]])</f>
        <v>0.33333333333333331</v>
      </c>
      <c r="O17" s="14">
        <f>SUMIFS('NHL2025-26Results'!$E:$E,'NHL2025-26Results'!$D:$D,A17,'NHL2025-26Results'!$E:$E,"&gt;0")/COUNTIFS('NHL2025-26Results'!$D:$D,A17,'NHL2025-26Results'!$E:$E,"&gt;0")</f>
        <v>2.8</v>
      </c>
      <c r="P17" s="14">
        <f>SUMIFS('NHL2025-26Results'!$C:$C,'NHL2025-26Results'!$B:$B,A17,'NHL2025-26Results'!$C:$C,"&gt;0")/COUNTIFS('NHL2025-26Results'!$B:$B,A17,'NHL2025-26Results'!$C:$C,"&gt;0")</f>
        <v>2.9090909090909092</v>
      </c>
      <c r="Q17" s="14">
        <f>SUMIFS('NHL2025-26Results'!$C:$C,'NHL2025-26Results'!$D:$D,A17,'NHL2025-26Results'!$C:$C,"&gt;0")/COUNTIFS('NHL2025-26Results'!$D:$D,A17,'NHL2025-26Results'!$C:$C,"&gt;0")</f>
        <v>3.4375</v>
      </c>
      <c r="R17" s="14">
        <f>SUMIFS('NHL2025-26Results'!$E:$E,'NHL2025-26Results'!$B:$B,A17,'NHL2025-26Results'!$E:$E,"&gt;0")/COUNTIFS('NHL2025-26Results'!$B:$B,A17,'NHL2025-26Results'!$E:$E,"&gt;0")</f>
        <v>3.75</v>
      </c>
    </row>
    <row r="18" spans="1:18" x14ac:dyDescent="0.2">
      <c r="A18" s="4" t="s">
        <v>24</v>
      </c>
      <c r="B18">
        <f>SUM(Table1[[#This Row],[W]:[OTL]])</f>
        <v>29</v>
      </c>
      <c r="C18">
        <f>COUNTIF(NHL2025_26Results[Winning Team],Standings!A18)</f>
        <v>16</v>
      </c>
      <c r="D18">
        <f>COUNTIFS('NHL2025-26Results'!$H:$H,A18,'NHL2025-26Results'!$F:$F,"")</f>
        <v>12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4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0.6428571428571429</v>
      </c>
      <c r="N18" s="11">
        <f>Table1[[#This Row],[AwayWins]]/SUM(Table1[[#This Row],[AwayWins]:[AwayOTL]])</f>
        <v>0.46666666666666667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3.1428571428571428</v>
      </c>
      <c r="Q18" s="14">
        <f>SUMIFS('NHL2025-26Results'!$C:$C,'NHL2025-26Results'!$D:$D,A18,'NHL2025-26Results'!$C:$C,"&gt;0")/COUNTIFS('NHL2025-26Results'!$D:$D,A18,'NHL2025-26Results'!$C:$C,"&gt;0")</f>
        <v>2.6428571428571428</v>
      </c>
      <c r="R18" s="14">
        <f>SUMIFS('NHL2025-26Results'!$E:$E,'NHL2025-26Results'!$B:$B,A18,'NHL2025-26Results'!$E:$E,"&gt;0")/COUNTIFS('NHL2025-26Results'!$B:$B,A18,'NHL2025-26Results'!$E:$E,"&gt;0")</f>
        <v>3.7142857142857144</v>
      </c>
    </row>
    <row r="19" spans="1:18" x14ac:dyDescent="0.2">
      <c r="A19" s="4" t="s">
        <v>30</v>
      </c>
      <c r="B19">
        <f>SUM(Table1[[#This Row],[W]:[OTL]])</f>
        <v>30</v>
      </c>
      <c r="C19">
        <f>COUNTIF(NHL2025_26Results[Winning Team],Standings!A19)</f>
        <v>16</v>
      </c>
      <c r="D19">
        <f>COUNTIFS('NHL2025-26Results'!$H:$H,A19,'NHL2025-26Results'!$F:$F,"")</f>
        <v>11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35</v>
      </c>
      <c r="G19">
        <f>COUNTIFS('NHL2025-26Results'!$D:$D,A19,'NHL2025-26Results'!$G:$G,A19)</f>
        <v>7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5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0.46666666666666667</v>
      </c>
      <c r="N19" s="11">
        <f>Table1[[#This Row],[AwayWins]]/SUM(Table1[[#This Row],[AwayWins]:[AwayOTL]])</f>
        <v>0.6</v>
      </c>
      <c r="O19" s="14">
        <f>SUMIFS('NHL2025-26Results'!$E:$E,'NHL2025-26Results'!$D:$D,A19,'NHL2025-26Results'!$E:$E,"&gt;0")/COUNTIFS('NHL2025-26Results'!$D:$D,A19,'NHL2025-26Results'!$E:$E,"&gt;0")</f>
        <v>2.8</v>
      </c>
      <c r="P19" s="14">
        <f>SUMIFS('NHL2025-26Results'!$C:$C,'NHL2025-26Results'!$B:$B,A19,'NHL2025-26Results'!$C:$C,"&gt;0")/COUNTIFS('NHL2025-26Results'!$B:$B,A19,'NHL2025-26Results'!$C:$C,"&gt;0")</f>
        <v>3</v>
      </c>
      <c r="Q19" s="14">
        <f>SUMIFS('NHL2025-26Results'!$C:$C,'NHL2025-26Results'!$D:$D,A19,'NHL2025-26Results'!$C:$C,"&gt;0")/COUNTIFS('NHL2025-26Results'!$D:$D,A19,'NHL2025-26Results'!$C:$C,"&gt;0")</f>
        <v>3.1428571428571428</v>
      </c>
      <c r="R19" s="14">
        <f>SUMIFS('NHL2025-26Results'!$E:$E,'NHL2025-26Results'!$B:$B,A19,'NHL2025-26Results'!$E:$E,"&gt;0")/COUNTIFS('NHL2025-26Results'!$B:$B,A19,'NHL2025-26Results'!$E:$E,"&gt;0")</f>
        <v>3.4166666666666665</v>
      </c>
    </row>
    <row r="20" spans="1:18" x14ac:dyDescent="0.2">
      <c r="A20" s="4" t="s">
        <v>15</v>
      </c>
      <c r="B20">
        <f>SUM(Table1[[#This Row],[W]:[OTL]])</f>
        <v>31</v>
      </c>
      <c r="C20">
        <f>COUNTIF(NHL2025_26Results[Winning Team],Standings!A20)</f>
        <v>15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34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0.21428571428571427</v>
      </c>
      <c r="N20" s="11">
        <f>Table1[[#This Row],[AwayWins]]/SUM(Table1[[#This Row],[AwayWins]:[AwayOTL]])</f>
        <v>0.70588235294117652</v>
      </c>
      <c r="O20" s="14">
        <f>SUMIFS('NHL2025-26Results'!$E:$E,'NHL2025-26Results'!$D:$D,A20,'NHL2025-26Results'!$E:$E,"&gt;0")/COUNTIFS('NHL2025-26Results'!$D:$D,A20,'NHL2025-26Results'!$E:$E,"&gt;0")</f>
        <v>2.6666666666666665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</v>
      </c>
    </row>
    <row r="21" spans="1:18" x14ac:dyDescent="0.2">
      <c r="A21" s="4" t="s">
        <v>36</v>
      </c>
      <c r="B21">
        <f>SUM(Table1[[#This Row],[W]:[OTL]])</f>
        <v>28</v>
      </c>
      <c r="C21">
        <f>COUNTIF(NHL2025_26Results[Winning Team],Standings!A21)</f>
        <v>13</v>
      </c>
      <c r="D21">
        <f>COUNTIFS('NHL2025-26Results'!$H:$H,A21,'NHL2025-26Results'!$F:$F,"")</f>
        <v>11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30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5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0.46153846153846156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3.1666666666666665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2.7692307692307692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27</v>
      </c>
      <c r="C22">
        <f>COUNTIF(NHL2025_26Results[Winning Team],Standings!A22)</f>
        <v>15</v>
      </c>
      <c r="D22">
        <f>COUNTIFS('NHL2025-26Results'!$H:$H,A22,'NHL2025-26Results'!$F:$F,"")</f>
        <v>9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33</v>
      </c>
      <c r="G22">
        <f>COUNTIFS('NHL2025-26Results'!$D:$D,A22,'NHL2025-26Results'!$G:$G,A22)</f>
        <v>9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0.5625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2.6875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27</v>
      </c>
      <c r="C23">
        <f>COUNTIF(NHL2025_26Results[Winning Team],Standings!A23)</f>
        <v>14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6</v>
      </c>
      <c r="F23" s="3">
        <f>(Table1[[#This Row],[W]]*2)+Table1[[#This Row],[OTL]]</f>
        <v>34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30</v>
      </c>
      <c r="C24">
        <f>COUNTIF(NHL2025_26Results[Winning Team],Standings!A24)</f>
        <v>14</v>
      </c>
      <c r="D24">
        <f>COUNTIFS('NHL2025-26Results'!$H:$H,A24,'NHL2025-26Results'!$F:$F,"")</f>
        <v>13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31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5</v>
      </c>
      <c r="K24">
        <f>COUNTIFS('NHL2025-26Results'!$B:$B,A24,'NHL2025-26Results'!$H:$H,A24,'NHL2025-26Results'!$F:$F,"")</f>
        <v>8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0.38461538461538464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3.2727272727272729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3.5384615384615383</v>
      </c>
    </row>
    <row r="25" spans="1:18" x14ac:dyDescent="0.2">
      <c r="A25" s="4" t="s">
        <v>32</v>
      </c>
      <c r="B25">
        <f>SUM(Table1[[#This Row],[W]:[OTL]])</f>
        <v>26</v>
      </c>
      <c r="C25">
        <f>COUNTIF(NHL2025_26Results[Winning Team],Standings!A25)</f>
        <v>11</v>
      </c>
      <c r="D25">
        <f>COUNTIFS('NHL2025-26Results'!$H:$H,A25,'NHL2025-26Results'!$F:$F,"")</f>
        <v>9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4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5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0.46153846153846156</v>
      </c>
      <c r="N25" s="11">
        <f>Table1[[#This Row],[AwayWins]]/SUM(Table1[[#This Row],[AwayWins]:[AwayOTL]])</f>
        <v>0.38461538461538464</v>
      </c>
      <c r="O25" s="14">
        <f>SUMIFS('NHL2025-26Results'!$E:$E,'NHL2025-26Results'!$D:$D,A25,'NHL2025-26Results'!$E:$E,"&gt;0")/COUNTIFS('NHL2025-26Results'!$D:$D,A25,'NHL2025-26Results'!$E:$E,"&gt;0")</f>
        <v>2.6666666666666665</v>
      </c>
      <c r="P25" s="14">
        <f>SUMIFS('NHL2025-26Results'!$C:$C,'NHL2025-26Results'!$B:$B,A25,'NHL2025-26Results'!$C:$C,"&gt;0")/COUNTIFS('NHL2025-26Results'!$B:$B,A25,'NHL2025-26Results'!$C:$C,"&gt;0")</f>
        <v>2.8333333333333335</v>
      </c>
      <c r="Q25" s="14">
        <f>SUMIFS('NHL2025-26Results'!$C:$C,'NHL2025-26Results'!$D:$D,A25,'NHL2025-26Results'!$C:$C,"&gt;0")/COUNTIFS('NHL2025-26Results'!$D:$D,A25,'NHL2025-26Results'!$C:$C,"&gt;0")</f>
        <v>2.6923076923076925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30</v>
      </c>
      <c r="C26">
        <f>COUNTIF(NHL2025_26Results[Winning Team],Standings!A26)</f>
        <v>11</v>
      </c>
      <c r="D26">
        <f>COUNTIFS('NHL2025-26Results'!$H:$H,A26,'NHL2025-26Results'!$F:$F,"")</f>
        <v>12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29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0.4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3.3571428571428572</v>
      </c>
    </row>
    <row r="27" spans="1:18" x14ac:dyDescent="0.2">
      <c r="A27" s="4" t="s">
        <v>37</v>
      </c>
      <c r="B27">
        <f>SUM(Table1[[#This Row],[W]:[OTL]])</f>
        <v>28</v>
      </c>
      <c r="C27">
        <f>COUNTIF(NHL2025_26Results[Winning Team],Standings!A27)</f>
        <v>16</v>
      </c>
      <c r="D27">
        <f>COUNTIFS('NHL2025-26Results'!$H:$H,A27,'NHL2025-26Results'!$F:$F,"")</f>
        <v>10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7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3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0.53333333333333333</v>
      </c>
      <c r="N27" s="11">
        <f>Table1[[#This Row],[AwayWins]]/SUM(Table1[[#This Row],[AwayWins]:[AwayOTL]])</f>
        <v>0.61538461538461542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3.4615384615384617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2.3846153846153846</v>
      </c>
    </row>
    <row r="28" spans="1:18" x14ac:dyDescent="0.2">
      <c r="A28" s="4" t="s">
        <v>19</v>
      </c>
      <c r="B28">
        <f>SUM(Table1[[#This Row],[W]:[OTL]])</f>
        <v>28</v>
      </c>
      <c r="C28">
        <f>COUNTIF(NHL2025_26Results[Winning Team],Standings!A28)</f>
        <v>13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4</v>
      </c>
      <c r="F28" s="3">
        <f>(Table1[[#This Row],[W]]*2)+Table1[[#This Row],[OTL]]</f>
        <v>30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4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3.375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3.25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30</v>
      </c>
      <c r="C29">
        <f>COUNTIF(NHL2025_26Results[Winning Team],Standings!A29)</f>
        <v>14</v>
      </c>
      <c r="D29">
        <f>COUNTIFS('NHL2025-26Results'!$H:$H,A29,'NHL2025-26Results'!$F:$F,"")</f>
        <v>13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31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7</v>
      </c>
      <c r="K29">
        <f>COUNTIFS('NHL2025-26Results'!$B:$B,A29,'NHL2025-26Results'!$H:$H,A29,'NHL2025-26Results'!$F:$F,"")</f>
        <v>10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0.36842105263157893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3.1764705882352939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3.1666666666666665</v>
      </c>
    </row>
    <row r="30" spans="1:18" x14ac:dyDescent="0.2">
      <c r="A30" s="4" t="s">
        <v>38</v>
      </c>
      <c r="B30">
        <f>SUM(Table1[[#This Row],[W]:[OTL]])</f>
        <v>29</v>
      </c>
      <c r="C30">
        <f>COUNTIF(NHL2025_26Results[Winning Team],Standings!A30)</f>
        <v>11</v>
      </c>
      <c r="D30">
        <f>COUNTIFS('NHL2025-26Results'!$H:$H,A30,'NHL2025-26Results'!$F:$F,"")</f>
        <v>15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8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0.30769230769230771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3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3.6923076923076925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28</v>
      </c>
      <c r="C31">
        <f>COUNTIF(NHL2025_26Results[Winning Team],Standings!A31)</f>
        <v>14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36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7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0.53846153846153844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2.5833333333333335</v>
      </c>
    </row>
    <row r="32" spans="1:18" x14ac:dyDescent="0.2">
      <c r="A32" s="4" t="s">
        <v>22</v>
      </c>
      <c r="B32">
        <f>SUM(Table1[[#This Row],[W]:[OTL]])</f>
        <v>30</v>
      </c>
      <c r="C32">
        <f>COUNTIF(NHL2025_26Results[Winning Team],Standings!A32)</f>
        <v>18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3</v>
      </c>
      <c r="F32" s="3">
        <f>(Table1[[#This Row],[W]]*2)+Table1[[#This Row],[OTL]]</f>
        <v>39</v>
      </c>
      <c r="G32">
        <f>COUNTIFS('NHL2025-26Results'!$D:$D,A32,'NHL2025-26Results'!$G:$G,A32)</f>
        <v>10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0.625</v>
      </c>
      <c r="N32" s="11">
        <f>Table1[[#This Row],[AwayWins]]/SUM(Table1[[#This Row],[AwayWins]:[AwayOTL]])</f>
        <v>0.5714285714285714</v>
      </c>
      <c r="O32" s="14">
        <f>SUMIFS('NHL2025-26Results'!$E:$E,'NHL2025-26Results'!$D:$D,A32,'NHL2025-26Results'!$E:$E,"&gt;0")/COUNTIFS('NHL2025-26Results'!$D:$D,A32,'NHL2025-26Results'!$E:$E,"&gt;0")</f>
        <v>3.3125</v>
      </c>
      <c r="P32" s="14">
        <f>SUMIFS('NHL2025-26Results'!$C:$C,'NHL2025-26Results'!$B:$B,A32,'NHL2025-26Results'!$C:$C,"&gt;0")/COUNTIFS('NHL2025-26Results'!$B:$B,A32,'NHL2025-26Results'!$C:$C,"&gt;0")</f>
        <v>3.8461538461538463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2.6153846153846154</v>
      </c>
    </row>
    <row r="33" spans="1:18" x14ac:dyDescent="0.2">
      <c r="A33" s="4" t="s">
        <v>40</v>
      </c>
      <c r="B33">
        <f>SUM(Table1[[#This Row],[W]:[OTL]])</f>
        <v>28</v>
      </c>
      <c r="C33">
        <f>COUNTIF(NHL2025_26Results[Winning Team],Standings!A33)</f>
        <v>14</v>
      </c>
      <c r="D33">
        <f>COUNTIFS('NHL2025-26Results'!$H:$H,A33,'NHL2025-26Results'!$F:$F,"")</f>
        <v>13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29</v>
      </c>
      <c r="G33">
        <f>COUNTIFS('NHL2025-26Results'!$D:$D,A33,'NHL2025-26Results'!$G:$G,A33)</f>
        <v>7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0.58333333333333337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4.0999999999999996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2.6666666666666665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1"/>
  <sheetViews>
    <sheetView tabSelected="1" topLeftCell="B1" zoomScale="83" workbookViewId="0">
      <selection activeCell="G12" sqref="G12"/>
    </sheetView>
  </sheetViews>
  <sheetFormatPr baseColWidth="10" defaultRowHeight="16" x14ac:dyDescent="0.2"/>
  <cols>
    <col min="1" max="1" width="13.5" bestFit="1" customWidth="1"/>
    <col min="2" max="2" width="13.6640625" bestFit="1" customWidth="1"/>
    <col min="3" max="4" width="19.83203125" bestFit="1" customWidth="1"/>
    <col min="5" max="5" width="18.33203125" bestFit="1" customWidth="1"/>
    <col min="6" max="6" width="17.5" bestFit="1" customWidth="1"/>
    <col min="7" max="7" width="17" bestFit="1" customWidth="1"/>
    <col min="8" max="8" width="16.6640625" bestFit="1" customWidth="1"/>
    <col min="9" max="9" width="9" bestFit="1" customWidth="1"/>
    <col min="10" max="11" width="19.83203125" bestFit="1" customWidth="1"/>
    <col min="12" max="12" width="19.1640625" bestFit="1" customWidth="1"/>
    <col min="13" max="13" width="16.83203125" bestFit="1" customWidth="1"/>
    <col min="14" max="14" width="19.83203125" bestFit="1" customWidth="1"/>
    <col min="15" max="15" width="20.6640625" bestFit="1" customWidth="1"/>
    <col min="16" max="16" width="20.1640625" bestFit="1" customWidth="1"/>
    <col min="17" max="17" width="12" bestFit="1" customWidth="1"/>
    <col min="18" max="18" width="13.1640625" bestFit="1" customWidth="1"/>
    <col min="19" max="19" width="15.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0.83333333333333337</v>
      </c>
      <c r="C14" s="19" t="s">
        <v>39</v>
      </c>
      <c r="D14" s="19" t="s">
        <v>33</v>
      </c>
      <c r="E14" s="19" t="s">
        <v>39</v>
      </c>
      <c r="F14">
        <v>4</v>
      </c>
      <c r="G14">
        <v>3</v>
      </c>
      <c r="H14">
        <v>0.68820000000000003</v>
      </c>
      <c r="I14" s="19" t="s">
        <v>249</v>
      </c>
      <c r="J14" s="19" t="s">
        <v>39</v>
      </c>
      <c r="K14">
        <v>3</v>
      </c>
      <c r="L14">
        <v>2</v>
      </c>
      <c r="M14">
        <v>1.1599999999999999</v>
      </c>
      <c r="N14" s="19" t="s">
        <v>39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0.91666666666666663</v>
      </c>
      <c r="C15" s="19" t="s">
        <v>31</v>
      </c>
      <c r="D15" s="19" t="s">
        <v>22</v>
      </c>
      <c r="E15" s="19" t="s">
        <v>22</v>
      </c>
      <c r="F15">
        <v>4</v>
      </c>
      <c r="G15">
        <v>5</v>
      </c>
      <c r="H15">
        <v>0.6381</v>
      </c>
      <c r="I15" s="19" t="s">
        <v>249</v>
      </c>
      <c r="J15" s="19" t="s">
        <v>22</v>
      </c>
      <c r="K15">
        <v>3</v>
      </c>
      <c r="L15">
        <v>2</v>
      </c>
      <c r="M15">
        <v>-0.77</v>
      </c>
      <c r="N15" s="19" t="s">
        <v>31</v>
      </c>
      <c r="O15" s="19" t="s">
        <v>289</v>
      </c>
      <c r="P15" s="19" t="s">
        <v>291</v>
      </c>
      <c r="Q15" s="19" t="s">
        <v>287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17</v>
      </c>
      <c r="D17" s="19" t="s">
        <v>40</v>
      </c>
      <c r="E17" s="19" t="s">
        <v>17</v>
      </c>
      <c r="F17">
        <v>4</v>
      </c>
      <c r="G17">
        <v>3</v>
      </c>
      <c r="H17">
        <v>0.78990000000000005</v>
      </c>
      <c r="I17" s="19" t="s">
        <v>249</v>
      </c>
      <c r="J17" s="19" t="s">
        <v>40</v>
      </c>
      <c r="K17">
        <v>3</v>
      </c>
      <c r="L17">
        <v>2</v>
      </c>
      <c r="M17">
        <v>-0.33</v>
      </c>
      <c r="N17" s="19" t="s">
        <v>17</v>
      </c>
      <c r="O17" s="19" t="s">
        <v>288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0.64583333333333337</v>
      </c>
      <c r="C18" s="19" t="s">
        <v>11</v>
      </c>
      <c r="D18" s="19" t="s">
        <v>28</v>
      </c>
      <c r="E18" s="19" t="s">
        <v>11</v>
      </c>
      <c r="F18">
        <v>4</v>
      </c>
      <c r="G18">
        <v>3</v>
      </c>
      <c r="H18">
        <v>0.52759999999999996</v>
      </c>
      <c r="I18" s="19" t="s">
        <v>249</v>
      </c>
      <c r="J18" s="19" t="s">
        <v>28</v>
      </c>
      <c r="K18">
        <v>3</v>
      </c>
      <c r="L18">
        <v>2</v>
      </c>
      <c r="M18">
        <v>-0.02</v>
      </c>
      <c r="N18" s="19" t="s">
        <v>11</v>
      </c>
      <c r="O18" s="19" t="s">
        <v>292</v>
      </c>
      <c r="P18" s="19" t="s">
        <v>288</v>
      </c>
      <c r="Q18" s="19" t="s">
        <v>287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19</v>
      </c>
      <c r="D19" s="19" t="s">
        <v>18</v>
      </c>
      <c r="E19" s="19" t="s">
        <v>19</v>
      </c>
      <c r="F19">
        <v>4</v>
      </c>
      <c r="G19">
        <v>3</v>
      </c>
      <c r="H19">
        <v>0.60129999999999995</v>
      </c>
      <c r="I19" s="19" t="s">
        <v>249</v>
      </c>
      <c r="J19" s="19" t="s">
        <v>19</v>
      </c>
      <c r="K19">
        <v>3</v>
      </c>
      <c r="L19">
        <v>2</v>
      </c>
      <c r="M19">
        <v>0.33</v>
      </c>
      <c r="N19" s="19" t="s">
        <v>18</v>
      </c>
      <c r="O19" s="19" t="s">
        <v>287</v>
      </c>
      <c r="P19" s="19" t="s">
        <v>284</v>
      </c>
      <c r="Q19" s="19" t="s">
        <v>287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21</v>
      </c>
      <c r="D20" s="19" t="s">
        <v>24</v>
      </c>
      <c r="E20" s="19" t="s">
        <v>21</v>
      </c>
      <c r="F20">
        <v>5</v>
      </c>
      <c r="G20">
        <v>4</v>
      </c>
      <c r="H20">
        <v>0.52739999999999998</v>
      </c>
      <c r="I20" s="19" t="s">
        <v>249</v>
      </c>
      <c r="J20" s="19" t="s">
        <v>21</v>
      </c>
      <c r="K20">
        <v>3</v>
      </c>
      <c r="L20">
        <v>2</v>
      </c>
      <c r="M20">
        <v>7.0000000000000007E-2</v>
      </c>
      <c r="N20" s="19" t="s">
        <v>21</v>
      </c>
      <c r="O20" s="19" t="s">
        <v>289</v>
      </c>
      <c r="P20" s="19" t="s">
        <v>287</v>
      </c>
      <c r="Q20" s="19" t="s">
        <v>285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16</v>
      </c>
      <c r="D21" s="19" t="s">
        <v>55</v>
      </c>
      <c r="E21" s="19" t="s">
        <v>16</v>
      </c>
      <c r="F21">
        <v>2</v>
      </c>
      <c r="G21">
        <v>0</v>
      </c>
      <c r="H21">
        <v>0.56730000000000003</v>
      </c>
      <c r="I21" s="19" t="s">
        <v>249</v>
      </c>
      <c r="J21" s="19" t="s">
        <v>55</v>
      </c>
      <c r="K21">
        <v>3</v>
      </c>
      <c r="L21">
        <v>2</v>
      </c>
      <c r="M21">
        <v>-0.92</v>
      </c>
      <c r="N21" s="19" t="s">
        <v>16</v>
      </c>
      <c r="O21" s="19" t="s">
        <v>284</v>
      </c>
      <c r="P21" s="19" t="s">
        <v>285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25</v>
      </c>
      <c r="D22" s="19" t="s">
        <v>29</v>
      </c>
      <c r="E22" s="19" t="s">
        <v>25</v>
      </c>
      <c r="F22">
        <v>4</v>
      </c>
      <c r="G22">
        <v>2</v>
      </c>
      <c r="H22">
        <v>0.76490000000000002</v>
      </c>
      <c r="I22" s="19" t="s">
        <v>248</v>
      </c>
      <c r="J22" s="19" t="s">
        <v>25</v>
      </c>
      <c r="K22">
        <v>3</v>
      </c>
      <c r="L22">
        <v>2</v>
      </c>
      <c r="M22">
        <v>1.43</v>
      </c>
      <c r="N22" s="19" t="s">
        <v>25</v>
      </c>
      <c r="O22" s="19" t="s">
        <v>288</v>
      </c>
      <c r="P22" s="19" t="s">
        <v>291</v>
      </c>
      <c r="Q22" s="19" t="s">
        <v>285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36</v>
      </c>
      <c r="D23" s="19" t="s">
        <v>35</v>
      </c>
      <c r="E23" s="19" t="s">
        <v>36</v>
      </c>
      <c r="F23">
        <v>4</v>
      </c>
      <c r="G23">
        <v>3</v>
      </c>
      <c r="H23">
        <v>0.84889999999999999</v>
      </c>
      <c r="I23" s="19" t="s">
        <v>249</v>
      </c>
      <c r="J23" s="19" t="s">
        <v>36</v>
      </c>
      <c r="K23">
        <v>3</v>
      </c>
      <c r="L23">
        <v>2</v>
      </c>
      <c r="M23">
        <v>0.99</v>
      </c>
      <c r="N23" s="19" t="s">
        <v>35</v>
      </c>
      <c r="O23" s="19" t="s">
        <v>287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0.91666666666666663</v>
      </c>
      <c r="C24" s="19" t="s">
        <v>32</v>
      </c>
      <c r="D24" s="19" t="s">
        <v>26</v>
      </c>
      <c r="E24" s="19" t="s">
        <v>26</v>
      </c>
      <c r="F24">
        <v>3</v>
      </c>
      <c r="G24">
        <v>4</v>
      </c>
      <c r="H24">
        <v>0.50860000000000005</v>
      </c>
      <c r="I24" s="19" t="s">
        <v>249</v>
      </c>
      <c r="J24" s="19" t="s">
        <v>32</v>
      </c>
      <c r="K24">
        <v>3</v>
      </c>
      <c r="L24">
        <v>2</v>
      </c>
      <c r="M24">
        <v>0.08</v>
      </c>
      <c r="N24" s="19" t="s">
        <v>26</v>
      </c>
      <c r="O24" s="19" t="s">
        <v>291</v>
      </c>
      <c r="P24" s="19" t="s">
        <v>289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37</v>
      </c>
      <c r="D25" s="19" t="s">
        <v>30</v>
      </c>
      <c r="E25" s="19" t="s">
        <v>30</v>
      </c>
      <c r="F25">
        <v>3</v>
      </c>
      <c r="G25">
        <v>4</v>
      </c>
      <c r="H25">
        <v>0.56379999999999997</v>
      </c>
      <c r="I25" s="19" t="s">
        <v>249</v>
      </c>
      <c r="J25" s="19" t="s">
        <v>37</v>
      </c>
      <c r="K25">
        <v>3</v>
      </c>
      <c r="L25">
        <v>2</v>
      </c>
      <c r="M25">
        <v>0.47</v>
      </c>
      <c r="N25" s="19" t="s">
        <v>30</v>
      </c>
      <c r="O25" s="19" t="s">
        <v>285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38</v>
      </c>
      <c r="D26" s="19" t="s">
        <v>34</v>
      </c>
      <c r="E26" s="19" t="s">
        <v>34</v>
      </c>
      <c r="F26">
        <v>3</v>
      </c>
      <c r="G26">
        <v>4</v>
      </c>
      <c r="H26">
        <v>0.78480000000000005</v>
      </c>
      <c r="I26" s="19" t="s">
        <v>249</v>
      </c>
      <c r="J26" s="19" t="s">
        <v>34</v>
      </c>
      <c r="K26">
        <v>3</v>
      </c>
      <c r="L26">
        <v>2</v>
      </c>
      <c r="M26">
        <v>-0.77</v>
      </c>
      <c r="N26" s="19" t="s">
        <v>38</v>
      </c>
      <c r="O26" s="19" t="s">
        <v>289</v>
      </c>
      <c r="P26" s="19" t="s">
        <v>284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0.52083333333333337</v>
      </c>
      <c r="C27" s="19" t="s">
        <v>15</v>
      </c>
      <c r="D27" s="19" t="s">
        <v>12</v>
      </c>
      <c r="E27" s="19" t="s">
        <v>12</v>
      </c>
      <c r="F27">
        <v>2</v>
      </c>
      <c r="G27">
        <v>3</v>
      </c>
      <c r="H27">
        <v>0.58209999999999995</v>
      </c>
      <c r="I27" s="19" t="s">
        <v>249</v>
      </c>
      <c r="J27" s="19" t="s">
        <v>12</v>
      </c>
      <c r="K27">
        <v>3</v>
      </c>
      <c r="L27">
        <v>2</v>
      </c>
      <c r="M27">
        <v>-1.52</v>
      </c>
      <c r="N27" s="19" t="s">
        <v>12</v>
      </c>
      <c r="O27" s="19" t="s">
        <v>284</v>
      </c>
      <c r="P27" s="19" t="s">
        <v>291</v>
      </c>
      <c r="Q27" s="19" t="s">
        <v>287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0.875</v>
      </c>
      <c r="C28" s="19" t="s">
        <v>13</v>
      </c>
      <c r="D28" s="19" t="s">
        <v>10</v>
      </c>
      <c r="E28" s="19" t="s">
        <v>10</v>
      </c>
      <c r="F28">
        <v>2</v>
      </c>
      <c r="G28">
        <v>3</v>
      </c>
      <c r="H28">
        <v>0.7802</v>
      </c>
      <c r="I28" s="19" t="s">
        <v>249</v>
      </c>
      <c r="J28" s="19" t="s">
        <v>10</v>
      </c>
      <c r="K28">
        <v>3</v>
      </c>
      <c r="L28">
        <v>2</v>
      </c>
      <c r="M28">
        <v>-0.17</v>
      </c>
      <c r="N28" s="19" t="s">
        <v>13</v>
      </c>
      <c r="O28" s="19" t="s">
        <v>288</v>
      </c>
      <c r="P28" s="19" t="s">
        <v>285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0.75</v>
      </c>
      <c r="C29" s="19" t="s">
        <v>39</v>
      </c>
      <c r="D29" s="19" t="s">
        <v>14</v>
      </c>
      <c r="E29" s="19" t="s">
        <v>39</v>
      </c>
      <c r="F29">
        <v>3</v>
      </c>
      <c r="G29">
        <v>2</v>
      </c>
      <c r="H29">
        <v>0.67190000000000005</v>
      </c>
      <c r="I29" s="19" t="s">
        <v>249</v>
      </c>
      <c r="J29" s="19" t="s">
        <v>39</v>
      </c>
      <c r="K29">
        <v>3</v>
      </c>
      <c r="L29">
        <v>2</v>
      </c>
      <c r="M29">
        <v>0.67</v>
      </c>
      <c r="N29" s="19" t="s">
        <v>39</v>
      </c>
      <c r="O29" s="19" t="s">
        <v>291</v>
      </c>
      <c r="P29" s="19" t="s">
        <v>284</v>
      </c>
      <c r="Q29" s="19" t="s">
        <v>287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25</v>
      </c>
      <c r="D32" s="19" t="s">
        <v>33</v>
      </c>
      <c r="E32" s="19" t="s">
        <v>25</v>
      </c>
      <c r="F32">
        <v>4</v>
      </c>
      <c r="G32">
        <v>3</v>
      </c>
      <c r="H32">
        <v>0.6341</v>
      </c>
      <c r="I32" s="19" t="s">
        <v>249</v>
      </c>
      <c r="J32" s="19" t="s">
        <v>25</v>
      </c>
      <c r="K32">
        <v>3</v>
      </c>
      <c r="L32">
        <v>2</v>
      </c>
      <c r="M32">
        <v>1.1000000000000001</v>
      </c>
      <c r="N32" s="19" t="s">
        <v>33</v>
      </c>
      <c r="O32" s="19" t="s">
        <v>287</v>
      </c>
      <c r="P32" s="19" t="s">
        <v>289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35</v>
      </c>
      <c r="O34" s="19" t="s">
        <v>291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15</v>
      </c>
      <c r="D35" s="19" t="s">
        <v>20</v>
      </c>
      <c r="E35" s="19" t="s">
        <v>20</v>
      </c>
      <c r="F35">
        <v>1</v>
      </c>
      <c r="G35">
        <v>3</v>
      </c>
      <c r="H35">
        <v>0.82699999999999996</v>
      </c>
      <c r="I35" s="19" t="s">
        <v>249</v>
      </c>
      <c r="J35" s="19" t="s">
        <v>15</v>
      </c>
      <c r="K35">
        <v>3</v>
      </c>
      <c r="L35">
        <v>2</v>
      </c>
      <c r="M35">
        <v>0.12</v>
      </c>
      <c r="N35" s="19" t="s">
        <v>20</v>
      </c>
      <c r="O35" s="19" t="s">
        <v>284</v>
      </c>
      <c r="P35" s="19" t="s">
        <v>291</v>
      </c>
      <c r="Q35" s="19" t="s">
        <v>287</v>
      </c>
      <c r="R35" s="19" t="s">
        <v>248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60</v>
      </c>
      <c r="O37" s="19" t="s">
        <v>60</v>
      </c>
      <c r="P37" s="19" t="s">
        <v>60</v>
      </c>
      <c r="Q37" s="19" t="s">
        <v>60</v>
      </c>
      <c r="R37" s="19" t="s">
        <v>60</v>
      </c>
      <c r="S37" s="19" t="s">
        <v>60</v>
      </c>
      <c r="T37" s="19" t="s">
        <v>281</v>
      </c>
    </row>
    <row r="38" spans="1:20" x14ac:dyDescent="0.2">
      <c r="A38" s="1">
        <v>45999</v>
      </c>
      <c r="B38" s="2">
        <v>0.875</v>
      </c>
      <c r="C38" s="19" t="s">
        <v>55</v>
      </c>
      <c r="D38" s="19" t="s">
        <v>13</v>
      </c>
      <c r="E38" s="19" t="s">
        <v>13</v>
      </c>
      <c r="F38">
        <v>3</v>
      </c>
      <c r="G38">
        <v>4</v>
      </c>
      <c r="H38">
        <v>0.58199999999999996</v>
      </c>
      <c r="I38" s="19" t="s">
        <v>249</v>
      </c>
      <c r="J38" s="19" t="s">
        <v>55</v>
      </c>
      <c r="K38">
        <v>3</v>
      </c>
      <c r="L38">
        <v>2</v>
      </c>
      <c r="M38">
        <v>0.17</v>
      </c>
      <c r="N38" s="19" t="s">
        <v>60</v>
      </c>
      <c r="O38" s="19" t="s">
        <v>60</v>
      </c>
      <c r="P38" s="19" t="s">
        <v>60</v>
      </c>
      <c r="Q38" s="19" t="s">
        <v>60</v>
      </c>
      <c r="R38" s="19" t="s">
        <v>60</v>
      </c>
      <c r="S38" s="19" t="s">
        <v>60</v>
      </c>
      <c r="T38" s="19" t="s">
        <v>281</v>
      </c>
    </row>
    <row r="39" spans="1:20" x14ac:dyDescent="0.2">
      <c r="A39" s="1">
        <v>45999</v>
      </c>
      <c r="B39" s="2">
        <v>0.875</v>
      </c>
      <c r="C39" s="19" t="s">
        <v>16</v>
      </c>
      <c r="D39" s="19" t="s">
        <v>23</v>
      </c>
      <c r="E39" s="19" t="s">
        <v>23</v>
      </c>
      <c r="F39">
        <v>3</v>
      </c>
      <c r="G39">
        <v>4</v>
      </c>
      <c r="H39">
        <v>0.5736</v>
      </c>
      <c r="I39" s="19" t="s">
        <v>249</v>
      </c>
      <c r="J39" s="19" t="s">
        <v>23</v>
      </c>
      <c r="K39">
        <v>3</v>
      </c>
      <c r="L39">
        <v>2</v>
      </c>
      <c r="M39">
        <v>-0.22</v>
      </c>
      <c r="N39" s="19" t="s">
        <v>60</v>
      </c>
      <c r="O39" s="19" t="s">
        <v>60</v>
      </c>
      <c r="P39" s="19" t="s">
        <v>60</v>
      </c>
      <c r="Q39" s="19" t="s">
        <v>60</v>
      </c>
      <c r="R39" s="19" t="s">
        <v>60</v>
      </c>
      <c r="S39" s="19" t="s">
        <v>60</v>
      </c>
      <c r="T39" s="19" t="s">
        <v>281</v>
      </c>
    </row>
    <row r="40" spans="1:20" x14ac:dyDescent="0.2">
      <c r="A40" s="1">
        <v>45999</v>
      </c>
      <c r="B40" s="2">
        <v>0.91666666666666663</v>
      </c>
      <c r="C40" s="19" t="s">
        <v>32</v>
      </c>
      <c r="D40" s="19" t="s">
        <v>34</v>
      </c>
      <c r="E40" s="19" t="s">
        <v>34</v>
      </c>
      <c r="F40">
        <v>2</v>
      </c>
      <c r="G40">
        <v>3</v>
      </c>
      <c r="H40">
        <v>0.7</v>
      </c>
      <c r="I40" s="19" t="s">
        <v>249</v>
      </c>
      <c r="J40" s="19" t="s">
        <v>34</v>
      </c>
      <c r="K40">
        <v>3</v>
      </c>
      <c r="L40">
        <v>2</v>
      </c>
      <c r="M40">
        <v>-0.48</v>
      </c>
      <c r="N40" s="19" t="s">
        <v>60</v>
      </c>
      <c r="O40" s="19" t="s">
        <v>60</v>
      </c>
      <c r="P40" s="19" t="s">
        <v>60</v>
      </c>
      <c r="Q40" s="19" t="s">
        <v>60</v>
      </c>
      <c r="R40" s="19" t="s">
        <v>60</v>
      </c>
      <c r="S40" s="19" t="s">
        <v>60</v>
      </c>
      <c r="T40" s="19" t="s">
        <v>281</v>
      </c>
    </row>
    <row r="41" spans="1:20" x14ac:dyDescent="0.2">
      <c r="A41" s="1">
        <v>45999</v>
      </c>
      <c r="B41" s="2">
        <v>0.91666666666666663</v>
      </c>
      <c r="C41" s="19" t="s">
        <v>38</v>
      </c>
      <c r="D41" s="19" t="s">
        <v>26</v>
      </c>
      <c r="E41" s="19" t="s">
        <v>26</v>
      </c>
      <c r="F41">
        <v>2</v>
      </c>
      <c r="G41">
        <v>4</v>
      </c>
      <c r="H41">
        <v>0.76849999999999996</v>
      </c>
      <c r="I41" s="19" t="s">
        <v>249</v>
      </c>
      <c r="J41" s="19" t="s">
        <v>26</v>
      </c>
      <c r="K41">
        <v>3</v>
      </c>
      <c r="L41">
        <v>2</v>
      </c>
      <c r="M41">
        <v>-0.03</v>
      </c>
      <c r="N41" s="19" t="s">
        <v>60</v>
      </c>
      <c r="O41" s="19" t="s">
        <v>60</v>
      </c>
      <c r="P41" s="19" t="s">
        <v>60</v>
      </c>
      <c r="Q41" s="19" t="s">
        <v>60</v>
      </c>
      <c r="R41" s="19" t="s">
        <v>60</v>
      </c>
      <c r="S41" s="19" t="s">
        <v>60</v>
      </c>
      <c r="T41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2025-12-08T22:42:20Z</dcterms:modified>
</cp:coreProperties>
</file>