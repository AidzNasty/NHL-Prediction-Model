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queryTables/queryTable2.xml" ContentType="application/vnd.openxmlformats-officedocument.spreadsheetml.query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102"/>
  <workbookPr codeName="ThisWorkbook" defaultThemeVersion="202300"/>
  <mc:AlternateContent xmlns:mc="http://schemas.openxmlformats.org/markup-compatibility/2006">
    <mc:Choice Requires="x15">
      <x15ac:absPath xmlns:x15ac="http://schemas.microsoft.com/office/spreadsheetml/2010/11/ac" url="https://sumail-my.sharepoint.com/personal/aac01075_su_suffolk_edu/Documents/Prediction Models/NHL/"/>
    </mc:Choice>
  </mc:AlternateContent>
  <xr:revisionPtr revIDLastSave="499" documentId="14_{BC0C37BD-5950-BD49-823D-87212FE79B51}" xr6:coauthVersionLast="47" xr6:coauthVersionMax="47" xr10:uidLastSave="{298275A6-8FC2-4648-ADBC-E7213852FC96}"/>
  <bookViews>
    <workbookView xWindow="0" yWindow="680" windowWidth="29400" windowHeight="17040" activeTab="4" xr2:uid="{7CE34565-0E34-CB48-A9A7-C6944B417D9B}"/>
  </bookViews>
  <sheets>
    <sheet name="NHL2025-26Results" sheetId="3" r:id="rId1"/>
    <sheet name="NHL Model" sheetId="1" r:id="rId2"/>
    <sheet name="NHL HomeIce Model" sheetId="4" r:id="rId3"/>
    <sheet name="Standings" sheetId="5" r:id="rId4"/>
    <sheet name="ML Prediction Model" sheetId="8" r:id="rId5"/>
  </sheets>
  <definedNames>
    <definedName name="ExternalData_1" localSheetId="4" hidden="1">'ML Prediction Model'!$A$1:$R$7</definedName>
    <definedName name="ExternalData_1" localSheetId="0" hidden="1">'NHL2025-26Results'!$A$1:$J$1313</definedName>
    <definedName name="HomeEdge">'NHL Model'!$B$1</definedName>
    <definedName name="solver_adj" localSheetId="2" hidden="1">'NHL HomeIce Model'!$T$10</definedName>
    <definedName name="solver_adj" localSheetId="1" hidden="1">'NHL Model'!$B$1,'NHL Model'!$B$7:$B$38</definedName>
    <definedName name="solver_cvg" localSheetId="2" hidden="1">0.0001</definedName>
    <definedName name="solver_cvg" localSheetId="1" hidden="1">0.0001</definedName>
    <definedName name="solver_cvg" localSheetId="3" hidden="1">0.0001</definedName>
    <definedName name="solver_drv" localSheetId="2" hidden="1">1</definedName>
    <definedName name="solver_drv" localSheetId="1" hidden="1">1</definedName>
    <definedName name="solver_drv" localSheetId="3" hidden="1">1</definedName>
    <definedName name="solver_eng" localSheetId="2" hidden="1">1</definedName>
    <definedName name="solver_eng" localSheetId="1" hidden="1">1</definedName>
    <definedName name="solver_itr" localSheetId="2" hidden="1">2147483647</definedName>
    <definedName name="solver_itr" localSheetId="1" hidden="1">2147483647</definedName>
    <definedName name="solver_itr" localSheetId="3" hidden="1">2147483647</definedName>
    <definedName name="solver_lhs1" localSheetId="2" hidden="1">'NHL HomeIce Model'!$T$10</definedName>
    <definedName name="solver_lhs1" localSheetId="1" hidden="1">'NHL Model'!$B$3</definedName>
    <definedName name="solver_lhs2" localSheetId="2" hidden="1">'NHL HomeIce Model'!$T$10</definedName>
    <definedName name="solver_lin" localSheetId="2" hidden="1">2</definedName>
    <definedName name="solver_lin" localSheetId="1" hidden="1">2</definedName>
    <definedName name="solver_mip" localSheetId="2" hidden="1">2147483647</definedName>
    <definedName name="solver_mip" localSheetId="1" hidden="1">2147483647</definedName>
    <definedName name="solver_mip" localSheetId="3" hidden="1">2147483647</definedName>
    <definedName name="solver_mni" localSheetId="2" hidden="1">30</definedName>
    <definedName name="solver_mni" localSheetId="1" hidden="1">30</definedName>
    <definedName name="solver_mni" localSheetId="3" hidden="1">30</definedName>
    <definedName name="solver_mrt" localSheetId="2" hidden="1">0.075</definedName>
    <definedName name="solver_mrt" localSheetId="1" hidden="1">0.075</definedName>
    <definedName name="solver_mrt" localSheetId="3" hidden="1">0.075</definedName>
    <definedName name="solver_msl" localSheetId="2" hidden="1">2</definedName>
    <definedName name="solver_msl" localSheetId="1" hidden="1">2</definedName>
    <definedName name="solver_msl" localSheetId="3" hidden="1">2</definedName>
    <definedName name="solver_neg" localSheetId="2" hidden="1">1</definedName>
    <definedName name="solver_neg" localSheetId="1" hidden="1">2</definedName>
    <definedName name="solver_neg" localSheetId="3" hidden="1">2</definedName>
    <definedName name="solver_nod" localSheetId="2" hidden="1">2147483647</definedName>
    <definedName name="solver_nod" localSheetId="1" hidden="1">2147483647</definedName>
    <definedName name="solver_nod" localSheetId="3" hidden="1">2147483647</definedName>
    <definedName name="solver_num" localSheetId="2" hidden="1">1</definedName>
    <definedName name="solver_num" localSheetId="1" hidden="1">1</definedName>
    <definedName name="solver_opt" localSheetId="2" hidden="1">'NHL HomeIce Model'!$T$8</definedName>
    <definedName name="solver_opt" localSheetId="1" hidden="1">'NHL Model'!$J$3</definedName>
    <definedName name="solver_opt" localSheetId="3" hidden="1">Standings!$J$3</definedName>
    <definedName name="solver_pre" localSheetId="2" hidden="1">0.000001</definedName>
    <definedName name="solver_pre" localSheetId="1" hidden="1">0.000001</definedName>
    <definedName name="solver_pre" localSheetId="3" hidden="1">0.000001</definedName>
    <definedName name="solver_rbv" localSheetId="2" hidden="1">1</definedName>
    <definedName name="solver_rbv" localSheetId="1" hidden="1">1</definedName>
    <definedName name="solver_rbv" localSheetId="3" hidden="1">1</definedName>
    <definedName name="solver_rel1" localSheetId="2" hidden="1">1</definedName>
    <definedName name="solver_rel1" localSheetId="1" hidden="1">2</definedName>
    <definedName name="solver_rel2" localSheetId="2" hidden="1">3</definedName>
    <definedName name="solver_rhs1" localSheetId="2" hidden="1">0.5</definedName>
    <definedName name="solver_rhs1" localSheetId="1" hidden="1">0</definedName>
    <definedName name="solver_rhs2" localSheetId="2" hidden="1">0.05</definedName>
    <definedName name="solver_rlx" localSheetId="2" hidden="1">2</definedName>
    <definedName name="solver_rlx" localSheetId="1" hidden="1">2</definedName>
    <definedName name="solver_rlx" localSheetId="3" hidden="1">2</definedName>
    <definedName name="solver_rsd" localSheetId="2" hidden="1">0</definedName>
    <definedName name="solver_rsd" localSheetId="1" hidden="1">0</definedName>
    <definedName name="solver_rsd" localSheetId="3" hidden="1">0</definedName>
    <definedName name="solver_scl" localSheetId="2" hidden="1">1</definedName>
    <definedName name="solver_scl" localSheetId="1" hidden="1">1</definedName>
    <definedName name="solver_scl" localSheetId="3" hidden="1">1</definedName>
    <definedName name="solver_sho" localSheetId="2" hidden="1">2</definedName>
    <definedName name="solver_sho" localSheetId="1" hidden="1">2</definedName>
    <definedName name="solver_sho" localSheetId="3" hidden="1">2</definedName>
    <definedName name="solver_ssz" localSheetId="2" hidden="1">100</definedName>
    <definedName name="solver_ssz" localSheetId="1" hidden="1">100</definedName>
    <definedName name="solver_ssz" localSheetId="3" hidden="1">100</definedName>
    <definedName name="solver_tim" localSheetId="2" hidden="1">2147483647</definedName>
    <definedName name="solver_tim" localSheetId="1" hidden="1">2147483647</definedName>
    <definedName name="solver_tim" localSheetId="3" hidden="1">2147483647</definedName>
    <definedName name="solver_tol" localSheetId="2" hidden="1">0.01</definedName>
    <definedName name="solver_tol" localSheetId="1" hidden="1">0.01</definedName>
    <definedName name="solver_tol" localSheetId="3" hidden="1">0.01</definedName>
    <definedName name="solver_typ" localSheetId="2" hidden="1">2</definedName>
    <definedName name="solver_typ" localSheetId="1" hidden="1">2</definedName>
    <definedName name="solver_val" localSheetId="2" hidden="1">0</definedName>
    <definedName name="solver_val" localSheetId="1" hidden="1">0</definedName>
    <definedName name="solver_ver" localSheetId="2" hidden="1">2</definedName>
    <definedName name="solver_ver" localSheetId="1" hidden="1">2</definedName>
  </definedNames>
  <calcPr calcId="191029" calcMode="manual" calcCompleted="0"/>
  <pivotCaches>
    <pivotCache cacheId="1" r:id="rId6"/>
    <pivotCache cacheId="7" r:id="rId7"/>
  </pivotCaches>
  <fileRecoveryPr repairLoad="1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308" i="4" l="1"/>
  <c r="J2" i="4"/>
  <c r="J3" i="4"/>
  <c r="J4" i="4"/>
  <c r="J5" i="4"/>
  <c r="J6" i="4"/>
  <c r="J7" i="4"/>
  <c r="J8" i="4"/>
  <c r="J9" i="4"/>
  <c r="J10" i="4"/>
  <c r="J11" i="4"/>
  <c r="J12" i="4"/>
  <c r="J13" i="4"/>
  <c r="J14" i="4"/>
  <c r="J15" i="4"/>
  <c r="J16" i="4"/>
  <c r="J17" i="4"/>
  <c r="J18" i="4"/>
  <c r="J19" i="4"/>
  <c r="J20" i="4"/>
  <c r="J21" i="4"/>
  <c r="J22" i="4"/>
  <c r="J23" i="4"/>
  <c r="J24" i="4"/>
  <c r="J25" i="4"/>
  <c r="J26" i="4"/>
  <c r="J27" i="4"/>
  <c r="J28" i="4"/>
  <c r="J29" i="4"/>
  <c r="J30" i="4"/>
  <c r="J31" i="4"/>
  <c r="J32" i="4"/>
  <c r="J33" i="4"/>
  <c r="J34" i="4"/>
  <c r="J35" i="4"/>
  <c r="J36" i="4"/>
  <c r="J37" i="4"/>
  <c r="J38" i="4"/>
  <c r="J39" i="4"/>
  <c r="J40" i="4"/>
  <c r="J41" i="4"/>
  <c r="J42" i="4"/>
  <c r="J43" i="4"/>
  <c r="J44" i="4"/>
  <c r="J45" i="4"/>
  <c r="J46" i="4"/>
  <c r="J47" i="4"/>
  <c r="J48" i="4"/>
  <c r="J49" i="4"/>
  <c r="J50" i="4"/>
  <c r="J51" i="4"/>
  <c r="J52" i="4"/>
  <c r="J53" i="4"/>
  <c r="J54" i="4"/>
  <c r="J55" i="4"/>
  <c r="J56" i="4"/>
  <c r="J57" i="4"/>
  <c r="J58" i="4"/>
  <c r="J59" i="4"/>
  <c r="J60" i="4"/>
  <c r="J61" i="4"/>
  <c r="J62" i="4"/>
  <c r="J63" i="4"/>
  <c r="J64" i="4"/>
  <c r="J65" i="4"/>
  <c r="J66" i="4"/>
  <c r="J67" i="4"/>
  <c r="J68" i="4"/>
  <c r="J69" i="4"/>
  <c r="J70" i="4"/>
  <c r="J71" i="4"/>
  <c r="J72" i="4"/>
  <c r="J73" i="4"/>
  <c r="J74" i="4"/>
  <c r="J75" i="4"/>
  <c r="J76" i="4"/>
  <c r="J77" i="4"/>
  <c r="J78" i="4"/>
  <c r="J79" i="4"/>
  <c r="J80" i="4"/>
  <c r="J81" i="4"/>
  <c r="J82" i="4"/>
  <c r="J83" i="4"/>
  <c r="J84" i="4"/>
  <c r="J85" i="4"/>
  <c r="J86" i="4"/>
  <c r="J87" i="4"/>
  <c r="J88" i="4"/>
  <c r="J89" i="4"/>
  <c r="J90" i="4"/>
  <c r="J91" i="4"/>
  <c r="J92" i="4"/>
  <c r="J93" i="4"/>
  <c r="J94" i="4"/>
  <c r="J95" i="4"/>
  <c r="J96" i="4"/>
  <c r="J97" i="4"/>
  <c r="J98" i="4"/>
  <c r="J99" i="4"/>
  <c r="J100" i="4"/>
  <c r="J101" i="4"/>
  <c r="J102" i="4"/>
  <c r="J103" i="4"/>
  <c r="J104" i="4"/>
  <c r="J105" i="4"/>
  <c r="J106" i="4"/>
  <c r="J107" i="4"/>
  <c r="J108" i="4"/>
  <c r="J109" i="4"/>
  <c r="J110" i="4"/>
  <c r="J111" i="4"/>
  <c r="J112" i="4"/>
  <c r="J113" i="4"/>
  <c r="J114" i="4"/>
  <c r="J115" i="4"/>
  <c r="J116" i="4"/>
  <c r="J117" i="4"/>
  <c r="J118" i="4"/>
  <c r="J119" i="4"/>
  <c r="J120" i="4"/>
  <c r="J121" i="4"/>
  <c r="J122" i="4"/>
  <c r="J123" i="4"/>
  <c r="J124" i="4"/>
  <c r="J125" i="4"/>
  <c r="J126" i="4"/>
  <c r="J127" i="4"/>
  <c r="J128" i="4"/>
  <c r="J129" i="4"/>
  <c r="J130" i="4"/>
  <c r="J131" i="4"/>
  <c r="J132" i="4"/>
  <c r="J133" i="4"/>
  <c r="J134" i="4"/>
  <c r="J135" i="4"/>
  <c r="J136" i="4"/>
  <c r="J137" i="4"/>
  <c r="J138" i="4"/>
  <c r="J139" i="4"/>
  <c r="J140" i="4"/>
  <c r="J141" i="4"/>
  <c r="J142" i="4"/>
  <c r="J143" i="4"/>
  <c r="J144" i="4"/>
  <c r="J145" i="4"/>
  <c r="J146" i="4"/>
  <c r="J147" i="4"/>
  <c r="J148" i="4"/>
  <c r="J149" i="4"/>
  <c r="J150" i="4"/>
  <c r="J151" i="4"/>
  <c r="J152" i="4"/>
  <c r="J153" i="4"/>
  <c r="J154" i="4"/>
  <c r="J155" i="4"/>
  <c r="J156" i="4"/>
  <c r="J157" i="4"/>
  <c r="J158" i="4"/>
  <c r="J159" i="4"/>
  <c r="J160" i="4"/>
  <c r="J161" i="4"/>
  <c r="J162" i="4"/>
  <c r="J163" i="4"/>
  <c r="J164" i="4"/>
  <c r="J165" i="4"/>
  <c r="J166" i="4"/>
  <c r="J167" i="4"/>
  <c r="J168" i="4"/>
  <c r="J169" i="4"/>
  <c r="J170" i="4"/>
  <c r="J171" i="4"/>
  <c r="J172" i="4"/>
  <c r="J173" i="4"/>
  <c r="J174" i="4"/>
  <c r="J175" i="4"/>
  <c r="J176" i="4"/>
  <c r="J177" i="4"/>
  <c r="J178" i="4"/>
  <c r="J179" i="4"/>
  <c r="J180" i="4"/>
  <c r="J181" i="4"/>
  <c r="J182" i="4"/>
  <c r="J183" i="4"/>
  <c r="J184" i="4"/>
  <c r="J185" i="4"/>
  <c r="J186" i="4"/>
  <c r="J187" i="4"/>
  <c r="J188" i="4"/>
  <c r="J189" i="4"/>
  <c r="J190" i="4"/>
  <c r="J191" i="4"/>
  <c r="J192" i="4"/>
  <c r="J193" i="4"/>
  <c r="J194" i="4"/>
  <c r="J195" i="4"/>
  <c r="J196" i="4"/>
  <c r="J197" i="4"/>
  <c r="J198" i="4"/>
  <c r="J199" i="4"/>
  <c r="J200" i="4"/>
  <c r="J201" i="4"/>
  <c r="J202" i="4"/>
  <c r="J203" i="4"/>
  <c r="J204" i="4"/>
  <c r="J205" i="4"/>
  <c r="J206" i="4"/>
  <c r="J207" i="4"/>
  <c r="J208" i="4"/>
  <c r="J209" i="4"/>
  <c r="J210" i="4"/>
  <c r="J211" i="4"/>
  <c r="J212" i="4"/>
  <c r="J213" i="4"/>
  <c r="J214" i="4"/>
  <c r="J215" i="4"/>
  <c r="J216" i="4"/>
  <c r="J217" i="4"/>
  <c r="J218" i="4"/>
  <c r="J219" i="4"/>
  <c r="J220" i="4"/>
  <c r="J221" i="4"/>
  <c r="J222" i="4"/>
  <c r="J223" i="4"/>
  <c r="J224" i="4"/>
  <c r="J225" i="4"/>
  <c r="J226" i="4"/>
  <c r="J227" i="4"/>
  <c r="J228" i="4"/>
  <c r="J229" i="4"/>
  <c r="J230" i="4"/>
  <c r="J231" i="4"/>
  <c r="J232" i="4"/>
  <c r="J233" i="4"/>
  <c r="J234" i="4"/>
  <c r="J235" i="4"/>
  <c r="J236" i="4"/>
  <c r="J237" i="4"/>
  <c r="J238" i="4"/>
  <c r="J239" i="4"/>
  <c r="J240" i="4"/>
  <c r="J241" i="4"/>
  <c r="J242" i="4"/>
  <c r="J243" i="4"/>
  <c r="J244" i="4"/>
  <c r="J245" i="4"/>
  <c r="J246" i="4"/>
  <c r="J247" i="4"/>
  <c r="J248" i="4"/>
  <c r="J249" i="4"/>
  <c r="J250" i="4"/>
  <c r="J251" i="4"/>
  <c r="J252" i="4"/>
  <c r="J253" i="4"/>
  <c r="J254" i="4"/>
  <c r="J255" i="4"/>
  <c r="J256" i="4"/>
  <c r="J257" i="4"/>
  <c r="J258" i="4"/>
  <c r="J259" i="4"/>
  <c r="J260" i="4"/>
  <c r="J261" i="4"/>
  <c r="J262" i="4"/>
  <c r="J263" i="4"/>
  <c r="J264" i="4"/>
  <c r="J265" i="4"/>
  <c r="J266" i="4"/>
  <c r="J267" i="4"/>
  <c r="J268" i="4"/>
  <c r="J269" i="4"/>
  <c r="J270" i="4"/>
  <c r="J271" i="4"/>
  <c r="J272" i="4"/>
  <c r="J273" i="4"/>
  <c r="J274" i="4"/>
  <c r="J275" i="4"/>
  <c r="J276" i="4"/>
  <c r="J277" i="4"/>
  <c r="J278" i="4"/>
  <c r="J279" i="4"/>
  <c r="J280" i="4"/>
  <c r="J281" i="4"/>
  <c r="J282" i="4"/>
  <c r="J283" i="4"/>
  <c r="J284" i="4"/>
  <c r="J285" i="4"/>
  <c r="J286" i="4"/>
  <c r="J287" i="4"/>
  <c r="J288" i="4"/>
  <c r="J289" i="4"/>
  <c r="J290" i="4"/>
  <c r="J291" i="4"/>
  <c r="J292" i="4"/>
  <c r="J293" i="4"/>
  <c r="J294" i="4"/>
  <c r="J295" i="4"/>
  <c r="J296" i="4"/>
  <c r="J297" i="4"/>
  <c r="J298" i="4"/>
  <c r="J299" i="4"/>
  <c r="J300" i="4"/>
  <c r="J301" i="4"/>
  <c r="J302" i="4"/>
  <c r="J303" i="4"/>
  <c r="J304" i="4"/>
  <c r="J305" i="4"/>
  <c r="J306" i="4"/>
  <c r="J307" i="4"/>
  <c r="J309" i="4"/>
  <c r="J310" i="4"/>
  <c r="J311" i="4"/>
  <c r="J312" i="4"/>
  <c r="J313" i="4"/>
  <c r="J314" i="4"/>
  <c r="J315" i="4"/>
  <c r="J316" i="4"/>
  <c r="J317" i="4"/>
  <c r="J318" i="4"/>
  <c r="J319" i="4"/>
  <c r="J320" i="4"/>
  <c r="J321" i="4"/>
  <c r="J322" i="4"/>
  <c r="J323" i="4"/>
  <c r="J324" i="4"/>
  <c r="J325" i="4"/>
  <c r="J326" i="4"/>
  <c r="J327" i="4"/>
  <c r="J328" i="4"/>
  <c r="J329" i="4"/>
  <c r="J330" i="4"/>
  <c r="J331" i="4"/>
  <c r="J332" i="4"/>
  <c r="J333" i="4"/>
  <c r="J334" i="4"/>
  <c r="J335" i="4"/>
  <c r="J336" i="4"/>
  <c r="J337" i="4"/>
  <c r="J338" i="4"/>
  <c r="J339" i="4"/>
  <c r="J340" i="4"/>
  <c r="J341" i="4"/>
  <c r="J342" i="4"/>
  <c r="J343" i="4"/>
  <c r="J344" i="4"/>
  <c r="J345" i="4"/>
  <c r="J346" i="4"/>
  <c r="J347" i="4"/>
  <c r="J348" i="4"/>
  <c r="J349" i="4"/>
  <c r="J350" i="4"/>
  <c r="J351" i="4"/>
  <c r="J352" i="4"/>
  <c r="J353" i="4"/>
  <c r="J354" i="4"/>
  <c r="J355" i="4"/>
  <c r="J356" i="4"/>
  <c r="J357" i="4"/>
  <c r="J358" i="4"/>
  <c r="J359" i="4"/>
  <c r="J360" i="4"/>
  <c r="J361" i="4"/>
  <c r="J362" i="4"/>
  <c r="J363" i="4"/>
  <c r="J364" i="4"/>
  <c r="J365" i="4"/>
  <c r="J366" i="4"/>
  <c r="J367" i="4"/>
  <c r="J368" i="4"/>
  <c r="J369" i="4"/>
  <c r="J370" i="4"/>
  <c r="J371" i="4"/>
  <c r="J372" i="4"/>
  <c r="J373" i="4"/>
  <c r="J374" i="4"/>
  <c r="J375" i="4"/>
  <c r="J376" i="4"/>
  <c r="J377" i="4"/>
  <c r="J378" i="4"/>
  <c r="J379" i="4"/>
  <c r="J380" i="4"/>
  <c r="J381" i="4"/>
  <c r="J382" i="4"/>
  <c r="J383" i="4"/>
  <c r="J384" i="4"/>
  <c r="J385" i="4"/>
  <c r="J386" i="4"/>
  <c r="J387" i="4"/>
  <c r="J388" i="4"/>
  <c r="J389" i="4"/>
  <c r="J390" i="4"/>
  <c r="J391" i="4"/>
  <c r="J392" i="4"/>
  <c r="J393" i="4"/>
  <c r="J394" i="4"/>
  <c r="J395" i="4"/>
  <c r="J396" i="4"/>
  <c r="J397" i="4"/>
  <c r="J398" i="4"/>
  <c r="J399" i="4"/>
  <c r="J400" i="4"/>
  <c r="J401" i="4"/>
  <c r="J402" i="4"/>
  <c r="J403" i="4"/>
  <c r="J404" i="4"/>
  <c r="J405" i="4"/>
  <c r="J406" i="4"/>
  <c r="J407" i="4"/>
  <c r="J408" i="4"/>
  <c r="J409" i="4"/>
  <c r="J410" i="4"/>
  <c r="J411" i="4"/>
  <c r="J412" i="4"/>
  <c r="J413" i="4"/>
  <c r="J414" i="4"/>
  <c r="J415" i="4"/>
  <c r="J416" i="4"/>
  <c r="J417" i="4"/>
  <c r="J418" i="4"/>
  <c r="J419" i="4"/>
  <c r="J420" i="4"/>
  <c r="J421" i="4"/>
  <c r="J422" i="4"/>
  <c r="J423" i="4"/>
  <c r="J424" i="4"/>
  <c r="J425" i="4"/>
  <c r="J426" i="4"/>
  <c r="J427" i="4"/>
  <c r="J428" i="4"/>
  <c r="J429" i="4"/>
  <c r="J430" i="4"/>
  <c r="J431" i="4"/>
  <c r="J432" i="4"/>
  <c r="J433" i="4"/>
  <c r="J434" i="4"/>
  <c r="J435" i="4"/>
  <c r="J436" i="4"/>
  <c r="J437" i="4"/>
  <c r="J438" i="4"/>
  <c r="J439" i="4"/>
  <c r="J440" i="4"/>
  <c r="J441" i="4"/>
  <c r="J442" i="4"/>
  <c r="J443" i="4"/>
  <c r="J444" i="4"/>
  <c r="J445" i="4"/>
  <c r="J446" i="4"/>
  <c r="J447" i="4"/>
  <c r="J448" i="4"/>
  <c r="J449" i="4"/>
  <c r="J450" i="4"/>
  <c r="J451" i="4"/>
  <c r="J452" i="4"/>
  <c r="J453" i="4"/>
  <c r="J454" i="4"/>
  <c r="J455" i="4"/>
  <c r="J456" i="4"/>
  <c r="J457" i="4"/>
  <c r="J458" i="4"/>
  <c r="J459" i="4"/>
  <c r="J460" i="4"/>
  <c r="J461" i="4"/>
  <c r="J462" i="4"/>
  <c r="J463" i="4"/>
  <c r="J464" i="4"/>
  <c r="J465" i="4"/>
  <c r="J466" i="4"/>
  <c r="J467" i="4"/>
  <c r="J468" i="4"/>
  <c r="J469" i="4"/>
  <c r="J470" i="4"/>
  <c r="J471" i="4"/>
  <c r="J472" i="4"/>
  <c r="J473" i="4"/>
  <c r="J474" i="4"/>
  <c r="J475" i="4"/>
  <c r="J476" i="4"/>
  <c r="J477" i="4"/>
  <c r="J478" i="4"/>
  <c r="J479" i="4"/>
  <c r="J480" i="4"/>
  <c r="J481" i="4"/>
  <c r="J482" i="4"/>
  <c r="J483" i="4"/>
  <c r="J484" i="4"/>
  <c r="J485" i="4"/>
  <c r="J486" i="4"/>
  <c r="J487" i="4"/>
  <c r="J488" i="4"/>
  <c r="J489" i="4"/>
  <c r="J490" i="4"/>
  <c r="J491" i="4"/>
  <c r="J492" i="4"/>
  <c r="J493" i="4"/>
  <c r="J494" i="4"/>
  <c r="J495" i="4"/>
  <c r="J496" i="4"/>
  <c r="J497" i="4"/>
  <c r="J498" i="4"/>
  <c r="J499" i="4"/>
  <c r="J500" i="4"/>
  <c r="J501" i="4"/>
  <c r="J502" i="4"/>
  <c r="J503" i="4"/>
  <c r="J504" i="4"/>
  <c r="J505" i="4"/>
  <c r="J506" i="4"/>
  <c r="J507" i="4"/>
  <c r="J508" i="4"/>
  <c r="J509" i="4"/>
  <c r="J510" i="4"/>
  <c r="J511" i="4"/>
  <c r="J512" i="4"/>
  <c r="J513" i="4"/>
  <c r="J514" i="4"/>
  <c r="J515" i="4"/>
  <c r="J516" i="4"/>
  <c r="J517" i="4"/>
  <c r="J518" i="4"/>
  <c r="J519" i="4"/>
  <c r="J520" i="4"/>
  <c r="J521" i="4"/>
  <c r="J522" i="4"/>
  <c r="J523" i="4"/>
  <c r="J524" i="4"/>
  <c r="J525" i="4"/>
  <c r="J526" i="4"/>
  <c r="J527" i="4"/>
  <c r="J528" i="4"/>
  <c r="J529" i="4"/>
  <c r="J530" i="4"/>
  <c r="J531" i="4"/>
  <c r="J532" i="4"/>
  <c r="J533" i="4"/>
  <c r="J534" i="4"/>
  <c r="J535" i="4"/>
  <c r="J536" i="4"/>
  <c r="J537" i="4"/>
  <c r="J538" i="4"/>
  <c r="J539" i="4"/>
  <c r="J540" i="4"/>
  <c r="J541" i="4"/>
  <c r="J542" i="4"/>
  <c r="J543" i="4"/>
  <c r="J544" i="4"/>
  <c r="J545" i="4"/>
  <c r="J546" i="4"/>
  <c r="J547" i="4"/>
  <c r="J548" i="4"/>
  <c r="J549" i="4"/>
  <c r="J550" i="4"/>
  <c r="J551" i="4"/>
  <c r="J552" i="4"/>
  <c r="J553" i="4"/>
  <c r="J554" i="4"/>
  <c r="J555" i="4"/>
  <c r="J556" i="4"/>
  <c r="J557" i="4"/>
  <c r="J558" i="4"/>
  <c r="J559" i="4"/>
  <c r="J560" i="4"/>
  <c r="J561" i="4"/>
  <c r="J562" i="4"/>
  <c r="J563" i="4"/>
  <c r="J564" i="4"/>
  <c r="J565" i="4"/>
  <c r="J566" i="4"/>
  <c r="J567" i="4"/>
  <c r="J568" i="4"/>
  <c r="J569" i="4"/>
  <c r="J570" i="4"/>
  <c r="J571" i="4"/>
  <c r="J572" i="4"/>
  <c r="J573" i="4"/>
  <c r="J574" i="4"/>
  <c r="J575" i="4"/>
  <c r="J576" i="4"/>
  <c r="J577" i="4"/>
  <c r="J578" i="4"/>
  <c r="J579" i="4"/>
  <c r="J580" i="4"/>
  <c r="J581" i="4"/>
  <c r="J582" i="4"/>
  <c r="J583" i="4"/>
  <c r="J584" i="4"/>
  <c r="J585" i="4"/>
  <c r="J586" i="4"/>
  <c r="J587" i="4"/>
  <c r="J588" i="4"/>
  <c r="J589" i="4"/>
  <c r="J590" i="4"/>
  <c r="J591" i="4"/>
  <c r="J592" i="4"/>
  <c r="J593" i="4"/>
  <c r="J594" i="4"/>
  <c r="J595" i="4"/>
  <c r="J596" i="4"/>
  <c r="J597" i="4"/>
  <c r="J598" i="4"/>
  <c r="J599" i="4"/>
  <c r="J600" i="4"/>
  <c r="J601" i="4"/>
  <c r="J602" i="4"/>
  <c r="J603" i="4"/>
  <c r="J604" i="4"/>
  <c r="J605" i="4"/>
  <c r="J606" i="4"/>
  <c r="J607" i="4"/>
  <c r="J608" i="4"/>
  <c r="J609" i="4"/>
  <c r="J610" i="4"/>
  <c r="J611" i="4"/>
  <c r="J612" i="4"/>
  <c r="J613" i="4"/>
  <c r="J614" i="4"/>
  <c r="J615" i="4"/>
  <c r="J616" i="4"/>
  <c r="J617" i="4"/>
  <c r="J618" i="4"/>
  <c r="J619" i="4"/>
  <c r="J620" i="4"/>
  <c r="J621" i="4"/>
  <c r="J622" i="4"/>
  <c r="J623" i="4"/>
  <c r="J624" i="4"/>
  <c r="J625" i="4"/>
  <c r="J626" i="4"/>
  <c r="J627" i="4"/>
  <c r="J628" i="4"/>
  <c r="J629" i="4"/>
  <c r="J630" i="4"/>
  <c r="J631" i="4"/>
  <c r="J632" i="4"/>
  <c r="J633" i="4"/>
  <c r="J634" i="4"/>
  <c r="J635" i="4"/>
  <c r="J636" i="4"/>
  <c r="J637" i="4"/>
  <c r="J638" i="4"/>
  <c r="J639" i="4"/>
  <c r="J640" i="4"/>
  <c r="J641" i="4"/>
  <c r="J642" i="4"/>
  <c r="J643" i="4"/>
  <c r="J644" i="4"/>
  <c r="J645" i="4"/>
  <c r="J646" i="4"/>
  <c r="J647" i="4"/>
  <c r="J648" i="4"/>
  <c r="J649" i="4"/>
  <c r="J650" i="4"/>
  <c r="J651" i="4"/>
  <c r="J652" i="4"/>
  <c r="J653" i="4"/>
  <c r="J654" i="4"/>
  <c r="J655" i="4"/>
  <c r="J656" i="4"/>
  <c r="J657" i="4"/>
  <c r="J658" i="4"/>
  <c r="J659" i="4"/>
  <c r="J660" i="4"/>
  <c r="J661" i="4"/>
  <c r="J662" i="4"/>
  <c r="J663" i="4"/>
  <c r="J664" i="4"/>
  <c r="J665" i="4"/>
  <c r="J666" i="4"/>
  <c r="J667" i="4"/>
  <c r="J668" i="4"/>
  <c r="J669" i="4"/>
  <c r="J670" i="4"/>
  <c r="J671" i="4"/>
  <c r="J672" i="4"/>
  <c r="J673" i="4"/>
  <c r="J674" i="4"/>
  <c r="J675" i="4"/>
  <c r="J676" i="4"/>
  <c r="J677" i="4"/>
  <c r="J678" i="4"/>
  <c r="J679" i="4"/>
  <c r="J680" i="4"/>
  <c r="J681" i="4"/>
  <c r="J682" i="4"/>
  <c r="J683" i="4"/>
  <c r="J684" i="4"/>
  <c r="J685" i="4"/>
  <c r="J686" i="4"/>
  <c r="J687" i="4"/>
  <c r="J688" i="4"/>
  <c r="J689" i="4"/>
  <c r="J690" i="4"/>
  <c r="J691" i="4"/>
  <c r="J692" i="4"/>
  <c r="J693" i="4"/>
  <c r="J694" i="4"/>
  <c r="J695" i="4"/>
  <c r="J696" i="4"/>
  <c r="J697" i="4"/>
  <c r="J698" i="4"/>
  <c r="J699" i="4"/>
  <c r="J700" i="4"/>
  <c r="J701" i="4"/>
  <c r="J702" i="4"/>
  <c r="J703" i="4"/>
  <c r="J704" i="4"/>
  <c r="J705" i="4"/>
  <c r="J706" i="4"/>
  <c r="J707" i="4"/>
  <c r="J708" i="4"/>
  <c r="J709" i="4"/>
  <c r="J710" i="4"/>
  <c r="J711" i="4"/>
  <c r="J712" i="4"/>
  <c r="J713" i="4"/>
  <c r="J714" i="4"/>
  <c r="J715" i="4"/>
  <c r="J716" i="4"/>
  <c r="J717" i="4"/>
  <c r="J718" i="4"/>
  <c r="J719" i="4"/>
  <c r="J720" i="4"/>
  <c r="J721" i="4"/>
  <c r="J722" i="4"/>
  <c r="J723" i="4"/>
  <c r="J724" i="4"/>
  <c r="J725" i="4"/>
  <c r="J726" i="4"/>
  <c r="J727" i="4"/>
  <c r="J728" i="4"/>
  <c r="J729" i="4"/>
  <c r="J730" i="4"/>
  <c r="J731" i="4"/>
  <c r="J732" i="4"/>
  <c r="J733" i="4"/>
  <c r="J734" i="4"/>
  <c r="J735" i="4"/>
  <c r="J736" i="4"/>
  <c r="J737" i="4"/>
  <c r="J738" i="4"/>
  <c r="J739" i="4"/>
  <c r="J740" i="4"/>
  <c r="J741" i="4"/>
  <c r="J742" i="4"/>
  <c r="J743" i="4"/>
  <c r="J744" i="4"/>
  <c r="J745" i="4"/>
  <c r="J746" i="4"/>
  <c r="J747" i="4"/>
  <c r="J748" i="4"/>
  <c r="J749" i="4"/>
  <c r="J750" i="4"/>
  <c r="J751" i="4"/>
  <c r="J752" i="4"/>
  <c r="J753" i="4"/>
  <c r="J754" i="4"/>
  <c r="J755" i="4"/>
  <c r="J756" i="4"/>
  <c r="J757" i="4"/>
  <c r="J758" i="4"/>
  <c r="J759" i="4"/>
  <c r="J760" i="4"/>
  <c r="J761" i="4"/>
  <c r="J762" i="4"/>
  <c r="J763" i="4"/>
  <c r="J764" i="4"/>
  <c r="J765" i="4"/>
  <c r="J766" i="4"/>
  <c r="J767" i="4"/>
  <c r="J768" i="4"/>
  <c r="J769" i="4"/>
  <c r="J770" i="4"/>
  <c r="J771" i="4"/>
  <c r="J772" i="4"/>
  <c r="J773" i="4"/>
  <c r="J774" i="4"/>
  <c r="J775" i="4"/>
  <c r="J776" i="4"/>
  <c r="J777" i="4"/>
  <c r="J778" i="4"/>
  <c r="J779" i="4"/>
  <c r="J780" i="4"/>
  <c r="J781" i="4"/>
  <c r="J782" i="4"/>
  <c r="J783" i="4"/>
  <c r="J784" i="4"/>
  <c r="J785" i="4"/>
  <c r="J786" i="4"/>
  <c r="J787" i="4"/>
  <c r="J788" i="4"/>
  <c r="J789" i="4"/>
  <c r="J790" i="4"/>
  <c r="J791" i="4"/>
  <c r="J792" i="4"/>
  <c r="J793" i="4"/>
  <c r="J794" i="4"/>
  <c r="J795" i="4"/>
  <c r="J796" i="4"/>
  <c r="J797" i="4"/>
  <c r="J798" i="4"/>
  <c r="J799" i="4"/>
  <c r="J800" i="4"/>
  <c r="J801" i="4"/>
  <c r="J802" i="4"/>
  <c r="J803" i="4"/>
  <c r="J804" i="4"/>
  <c r="J805" i="4"/>
  <c r="J806" i="4"/>
  <c r="J807" i="4"/>
  <c r="J808" i="4"/>
  <c r="J809" i="4"/>
  <c r="J810" i="4"/>
  <c r="J811" i="4"/>
  <c r="J812" i="4"/>
  <c r="J813" i="4"/>
  <c r="J814" i="4"/>
  <c r="J815" i="4"/>
  <c r="J816" i="4"/>
  <c r="J817" i="4"/>
  <c r="J818" i="4"/>
  <c r="J819" i="4"/>
  <c r="J820" i="4"/>
  <c r="J821" i="4"/>
  <c r="J822" i="4"/>
  <c r="J823" i="4"/>
  <c r="J824" i="4"/>
  <c r="J825" i="4"/>
  <c r="J826" i="4"/>
  <c r="J827" i="4"/>
  <c r="J828" i="4"/>
  <c r="J829" i="4"/>
  <c r="J830" i="4"/>
  <c r="J831" i="4"/>
  <c r="J832" i="4"/>
  <c r="J833" i="4"/>
  <c r="J834" i="4"/>
  <c r="J835" i="4"/>
  <c r="J836" i="4"/>
  <c r="J837" i="4"/>
  <c r="J838" i="4"/>
  <c r="J839" i="4"/>
  <c r="J840" i="4"/>
  <c r="J841" i="4"/>
  <c r="J842" i="4"/>
  <c r="J843" i="4"/>
  <c r="J844" i="4"/>
  <c r="J845" i="4"/>
  <c r="J846" i="4"/>
  <c r="J847" i="4"/>
  <c r="J848" i="4"/>
  <c r="J849" i="4"/>
  <c r="J850" i="4"/>
  <c r="J851" i="4"/>
  <c r="J852" i="4"/>
  <c r="J853" i="4"/>
  <c r="J854" i="4"/>
  <c r="J855" i="4"/>
  <c r="J856" i="4"/>
  <c r="J857" i="4"/>
  <c r="J858" i="4"/>
  <c r="J859" i="4"/>
  <c r="J860" i="4"/>
  <c r="J861" i="4"/>
  <c r="J862" i="4"/>
  <c r="J863" i="4"/>
  <c r="J864" i="4"/>
  <c r="J865" i="4"/>
  <c r="J866" i="4"/>
  <c r="J867" i="4"/>
  <c r="J868" i="4"/>
  <c r="J869" i="4"/>
  <c r="J870" i="4"/>
  <c r="J871" i="4"/>
  <c r="J872" i="4"/>
  <c r="J873" i="4"/>
  <c r="J874" i="4"/>
  <c r="J875" i="4"/>
  <c r="J876" i="4"/>
  <c r="J877" i="4"/>
  <c r="J878" i="4"/>
  <c r="J879" i="4"/>
  <c r="J880" i="4"/>
  <c r="J881" i="4"/>
  <c r="J882" i="4"/>
  <c r="J883" i="4"/>
  <c r="J884" i="4"/>
  <c r="J885" i="4"/>
  <c r="J886" i="4"/>
  <c r="J887" i="4"/>
  <c r="J888" i="4"/>
  <c r="J889" i="4"/>
  <c r="J890" i="4"/>
  <c r="J891" i="4"/>
  <c r="J892" i="4"/>
  <c r="J893" i="4"/>
  <c r="J894" i="4"/>
  <c r="J895" i="4"/>
  <c r="J896" i="4"/>
  <c r="J897" i="4"/>
  <c r="J898" i="4"/>
  <c r="J899" i="4"/>
  <c r="J900" i="4"/>
  <c r="J901" i="4"/>
  <c r="J902" i="4"/>
  <c r="J903" i="4"/>
  <c r="J904" i="4"/>
  <c r="J905" i="4"/>
  <c r="J906" i="4"/>
  <c r="J907" i="4"/>
  <c r="J908" i="4"/>
  <c r="J909" i="4"/>
  <c r="J910" i="4"/>
  <c r="J911" i="4"/>
  <c r="J912" i="4"/>
  <c r="J913" i="4"/>
  <c r="J914" i="4"/>
  <c r="J915" i="4"/>
  <c r="J916" i="4"/>
  <c r="J917" i="4"/>
  <c r="J918" i="4"/>
  <c r="J919" i="4"/>
  <c r="J920" i="4"/>
  <c r="J921" i="4"/>
  <c r="J922" i="4"/>
  <c r="J923" i="4"/>
  <c r="J924" i="4"/>
  <c r="J925" i="4"/>
  <c r="J926" i="4"/>
  <c r="J927" i="4"/>
  <c r="J928" i="4"/>
  <c r="J929" i="4"/>
  <c r="J930" i="4"/>
  <c r="J931" i="4"/>
  <c r="J932" i="4"/>
  <c r="J933" i="4"/>
  <c r="J934" i="4"/>
  <c r="J935" i="4"/>
  <c r="J936" i="4"/>
  <c r="J937" i="4"/>
  <c r="J938" i="4"/>
  <c r="J939" i="4"/>
  <c r="J940" i="4"/>
  <c r="J941" i="4"/>
  <c r="J942" i="4"/>
  <c r="J943" i="4"/>
  <c r="J944" i="4"/>
  <c r="J945" i="4"/>
  <c r="J946" i="4"/>
  <c r="J947" i="4"/>
  <c r="J948" i="4"/>
  <c r="J949" i="4"/>
  <c r="J950" i="4"/>
  <c r="J951" i="4"/>
  <c r="J952" i="4"/>
  <c r="J953" i="4"/>
  <c r="J954" i="4"/>
  <c r="J955" i="4"/>
  <c r="J956" i="4"/>
  <c r="J957" i="4"/>
  <c r="J958" i="4"/>
  <c r="J959" i="4"/>
  <c r="J960" i="4"/>
  <c r="J961" i="4"/>
  <c r="J962" i="4"/>
  <c r="J963" i="4"/>
  <c r="J964" i="4"/>
  <c r="J965" i="4"/>
  <c r="J966" i="4"/>
  <c r="J967" i="4"/>
  <c r="J968" i="4"/>
  <c r="J969" i="4"/>
  <c r="J970" i="4"/>
  <c r="J971" i="4"/>
  <c r="J972" i="4"/>
  <c r="J973" i="4"/>
  <c r="J974" i="4"/>
  <c r="J975" i="4"/>
  <c r="J976" i="4"/>
  <c r="J977" i="4"/>
  <c r="J978" i="4"/>
  <c r="J979" i="4"/>
  <c r="J980" i="4"/>
  <c r="J981" i="4"/>
  <c r="J982" i="4"/>
  <c r="J983" i="4"/>
  <c r="J984" i="4"/>
  <c r="J985" i="4"/>
  <c r="J986" i="4"/>
  <c r="J987" i="4"/>
  <c r="J988" i="4"/>
  <c r="J989" i="4"/>
  <c r="J990" i="4"/>
  <c r="J991" i="4"/>
  <c r="J992" i="4"/>
  <c r="J993" i="4"/>
  <c r="J994" i="4"/>
  <c r="J995" i="4"/>
  <c r="J996" i="4"/>
  <c r="J997" i="4"/>
  <c r="J998" i="4"/>
  <c r="J999" i="4"/>
  <c r="J1000" i="4"/>
  <c r="J1001" i="4"/>
  <c r="J1002" i="4"/>
  <c r="J1003" i="4"/>
  <c r="J1004" i="4"/>
  <c r="J1005" i="4"/>
  <c r="J1006" i="4"/>
  <c r="J1007" i="4"/>
  <c r="J1008" i="4"/>
  <c r="J1009" i="4"/>
  <c r="J1010" i="4"/>
  <c r="J1011" i="4"/>
  <c r="J1012" i="4"/>
  <c r="J1013" i="4"/>
  <c r="J1014" i="4"/>
  <c r="J1015" i="4"/>
  <c r="J1016" i="4"/>
  <c r="J1017" i="4"/>
  <c r="J1018" i="4"/>
  <c r="J1019" i="4"/>
  <c r="J1020" i="4"/>
  <c r="J1021" i="4"/>
  <c r="J1022" i="4"/>
  <c r="J1023" i="4"/>
  <c r="J1024" i="4"/>
  <c r="J1025" i="4"/>
  <c r="J1026" i="4"/>
  <c r="J1027" i="4"/>
  <c r="J1028" i="4"/>
  <c r="J1029" i="4"/>
  <c r="J1030" i="4"/>
  <c r="J1031" i="4"/>
  <c r="J1032" i="4"/>
  <c r="J1033" i="4"/>
  <c r="J1034" i="4"/>
  <c r="J1035" i="4"/>
  <c r="J1036" i="4"/>
  <c r="J1037" i="4"/>
  <c r="J1038" i="4"/>
  <c r="J1039" i="4"/>
  <c r="J1040" i="4"/>
  <c r="J1041" i="4"/>
  <c r="J1042" i="4"/>
  <c r="J1043" i="4"/>
  <c r="J1044" i="4"/>
  <c r="J1045" i="4"/>
  <c r="J1046" i="4"/>
  <c r="J1047" i="4"/>
  <c r="J1048" i="4"/>
  <c r="J1049" i="4"/>
  <c r="J1050" i="4"/>
  <c r="J1051" i="4"/>
  <c r="J1052" i="4"/>
  <c r="J1053" i="4"/>
  <c r="J1054" i="4"/>
  <c r="J1055" i="4"/>
  <c r="J1056" i="4"/>
  <c r="J1057" i="4"/>
  <c r="J1058" i="4"/>
  <c r="J1059" i="4"/>
  <c r="J1060" i="4"/>
  <c r="J1061" i="4"/>
  <c r="J1062" i="4"/>
  <c r="J1063" i="4"/>
  <c r="J1064" i="4"/>
  <c r="J1065" i="4"/>
  <c r="J1066" i="4"/>
  <c r="J1067" i="4"/>
  <c r="J1068" i="4"/>
  <c r="J1069" i="4"/>
  <c r="J1070" i="4"/>
  <c r="J1071" i="4"/>
  <c r="J1072" i="4"/>
  <c r="J1073" i="4"/>
  <c r="J1074" i="4"/>
  <c r="J1075" i="4"/>
  <c r="J1076" i="4"/>
  <c r="J1077" i="4"/>
  <c r="J1078" i="4"/>
  <c r="J1079" i="4"/>
  <c r="J1080" i="4"/>
  <c r="J1081" i="4"/>
  <c r="J1082" i="4"/>
  <c r="J1083" i="4"/>
  <c r="J1084" i="4"/>
  <c r="J1085" i="4"/>
  <c r="J1086" i="4"/>
  <c r="J1087" i="4"/>
  <c r="J1088" i="4"/>
  <c r="J1089" i="4"/>
  <c r="J1090" i="4"/>
  <c r="J1091" i="4"/>
  <c r="J1092" i="4"/>
  <c r="J1093" i="4"/>
  <c r="J1094" i="4"/>
  <c r="J1095" i="4"/>
  <c r="J1096" i="4"/>
  <c r="J1097" i="4"/>
  <c r="J1098" i="4"/>
  <c r="J1099" i="4"/>
  <c r="J1100" i="4"/>
  <c r="J1101" i="4"/>
  <c r="J1102" i="4"/>
  <c r="J1103" i="4"/>
  <c r="J1104" i="4"/>
  <c r="J1105" i="4"/>
  <c r="J1106" i="4"/>
  <c r="J1107" i="4"/>
  <c r="J1108" i="4"/>
  <c r="J1109" i="4"/>
  <c r="J1110" i="4"/>
  <c r="J1111" i="4"/>
  <c r="J1112" i="4"/>
  <c r="J1113" i="4"/>
  <c r="J1114" i="4"/>
  <c r="J1115" i="4"/>
  <c r="J1116" i="4"/>
  <c r="J1117" i="4"/>
  <c r="J1118" i="4"/>
  <c r="J1119" i="4"/>
  <c r="J1120" i="4"/>
  <c r="J1121" i="4"/>
  <c r="J1122" i="4"/>
  <c r="J1123" i="4"/>
  <c r="J1124" i="4"/>
  <c r="J1125" i="4"/>
  <c r="J1126" i="4"/>
  <c r="J1127" i="4"/>
  <c r="J1128" i="4"/>
  <c r="J1129" i="4"/>
  <c r="J1130" i="4"/>
  <c r="J1131" i="4"/>
  <c r="J1132" i="4"/>
  <c r="J1133" i="4"/>
  <c r="J1134" i="4"/>
  <c r="J1135" i="4"/>
  <c r="J1136" i="4"/>
  <c r="J1137" i="4"/>
  <c r="J1138" i="4"/>
  <c r="J1139" i="4"/>
  <c r="J1140" i="4"/>
  <c r="J1141" i="4"/>
  <c r="J1142" i="4"/>
  <c r="J1143" i="4"/>
  <c r="J1144" i="4"/>
  <c r="J1145" i="4"/>
  <c r="J1146" i="4"/>
  <c r="J1147" i="4"/>
  <c r="J1148" i="4"/>
  <c r="J1149" i="4"/>
  <c r="J1150" i="4"/>
  <c r="J1151" i="4"/>
  <c r="J1152" i="4"/>
  <c r="J1153" i="4"/>
  <c r="J1154" i="4"/>
  <c r="J1155" i="4"/>
  <c r="J1156" i="4"/>
  <c r="J1157" i="4"/>
  <c r="J1158" i="4"/>
  <c r="J1159" i="4"/>
  <c r="J1160" i="4"/>
  <c r="J1161" i="4"/>
  <c r="J1162" i="4"/>
  <c r="J1163" i="4"/>
  <c r="J1164" i="4"/>
  <c r="J1165" i="4"/>
  <c r="J1166" i="4"/>
  <c r="J1167" i="4"/>
  <c r="J1168" i="4"/>
  <c r="J1169" i="4"/>
  <c r="J1170" i="4"/>
  <c r="J1171" i="4"/>
  <c r="J1172" i="4"/>
  <c r="J1173" i="4"/>
  <c r="J1174" i="4"/>
  <c r="J1175" i="4"/>
  <c r="J1176" i="4"/>
  <c r="J1177" i="4"/>
  <c r="J1178" i="4"/>
  <c r="J1179" i="4"/>
  <c r="J1180" i="4"/>
  <c r="J1181" i="4"/>
  <c r="J1182" i="4"/>
  <c r="J1183" i="4"/>
  <c r="J1184" i="4"/>
  <c r="J1185" i="4"/>
  <c r="J1186" i="4"/>
  <c r="J1187" i="4"/>
  <c r="J1188" i="4"/>
  <c r="J1189" i="4"/>
  <c r="J1190" i="4"/>
  <c r="J1191" i="4"/>
  <c r="J1192" i="4"/>
  <c r="J1193" i="4"/>
  <c r="J1194" i="4"/>
  <c r="J1195" i="4"/>
  <c r="J1196" i="4"/>
  <c r="J1197" i="4"/>
  <c r="J1198" i="4"/>
  <c r="J1199" i="4"/>
  <c r="J1200" i="4"/>
  <c r="J1201" i="4"/>
  <c r="J1202" i="4"/>
  <c r="J1203" i="4"/>
  <c r="J1204" i="4"/>
  <c r="J1205" i="4"/>
  <c r="J1206" i="4"/>
  <c r="J1207" i="4"/>
  <c r="J1208" i="4"/>
  <c r="J1209" i="4"/>
  <c r="J1210" i="4"/>
  <c r="J1211" i="4"/>
  <c r="J1212" i="4"/>
  <c r="J1213" i="4"/>
  <c r="J1214" i="4"/>
  <c r="J1215" i="4"/>
  <c r="J1216" i="4"/>
  <c r="J1217" i="4"/>
  <c r="J1218" i="4"/>
  <c r="J1219" i="4"/>
  <c r="J1220" i="4"/>
  <c r="J1221" i="4"/>
  <c r="J1222" i="4"/>
  <c r="J1223" i="4"/>
  <c r="J1224" i="4"/>
  <c r="J1225" i="4"/>
  <c r="J1226" i="4"/>
  <c r="J1227" i="4"/>
  <c r="J1228" i="4"/>
  <c r="J1229" i="4"/>
  <c r="J1230" i="4"/>
  <c r="J1231" i="4"/>
  <c r="J1232" i="4"/>
  <c r="J1233" i="4"/>
  <c r="J1234" i="4"/>
  <c r="J1235" i="4"/>
  <c r="J1236" i="4"/>
  <c r="J1237" i="4"/>
  <c r="J1238" i="4"/>
  <c r="J1239" i="4"/>
  <c r="J1240" i="4"/>
  <c r="J1241" i="4"/>
  <c r="J1242" i="4"/>
  <c r="J1243" i="4"/>
  <c r="J1244" i="4"/>
  <c r="J1245" i="4"/>
  <c r="J1246" i="4"/>
  <c r="J1247" i="4"/>
  <c r="J1248" i="4"/>
  <c r="J1249" i="4"/>
  <c r="J1250" i="4"/>
  <c r="J1251" i="4"/>
  <c r="J1252" i="4"/>
  <c r="J1253" i="4"/>
  <c r="J1254" i="4"/>
  <c r="J1255" i="4"/>
  <c r="J1256" i="4"/>
  <c r="J1257" i="4"/>
  <c r="J1258" i="4"/>
  <c r="J1259" i="4"/>
  <c r="J1260" i="4"/>
  <c r="J1261" i="4"/>
  <c r="J1262" i="4"/>
  <c r="J1263" i="4"/>
  <c r="J1264" i="4"/>
  <c r="J1265" i="4"/>
  <c r="J1266" i="4"/>
  <c r="J1267" i="4"/>
  <c r="J1268" i="4"/>
  <c r="J1269" i="4"/>
  <c r="J1270" i="4"/>
  <c r="J1271" i="4"/>
  <c r="J1272" i="4"/>
  <c r="J1273" i="4"/>
  <c r="J1274" i="4"/>
  <c r="J1275" i="4"/>
  <c r="J1276" i="4"/>
  <c r="J1277" i="4"/>
  <c r="J1278" i="4"/>
  <c r="J1279" i="4"/>
  <c r="J1280" i="4"/>
  <c r="J1281" i="4"/>
  <c r="J1282" i="4"/>
  <c r="J1283" i="4"/>
  <c r="J1284" i="4"/>
  <c r="J1285" i="4"/>
  <c r="J1286" i="4"/>
  <c r="J1287" i="4"/>
  <c r="J1288" i="4"/>
  <c r="J1289" i="4"/>
  <c r="J1290" i="4"/>
  <c r="J1291" i="4"/>
  <c r="J1292" i="4"/>
  <c r="J1293" i="4"/>
  <c r="J1294" i="4"/>
  <c r="J1295" i="4"/>
  <c r="J1296" i="4"/>
  <c r="J1297" i="4"/>
  <c r="J1298" i="4"/>
  <c r="J1299" i="4"/>
  <c r="J1300" i="4"/>
  <c r="J1301" i="4"/>
  <c r="J1302" i="4"/>
  <c r="J1303" i="4"/>
  <c r="J1304" i="4"/>
  <c r="J1305" i="4"/>
  <c r="J1306" i="4"/>
  <c r="J1307" i="4"/>
  <c r="J1308" i="4"/>
  <c r="J1309" i="4"/>
  <c r="J1310" i="4"/>
  <c r="J1311" i="4"/>
  <c r="J1312" i="4"/>
  <c r="J1313" i="4"/>
  <c r="K308" i="4"/>
  <c r="P3" i="5"/>
  <c r="P2" i="5"/>
  <c r="O3" i="5"/>
  <c r="O2" i="5"/>
  <c r="G303" i="4"/>
  <c r="I303" i="4"/>
  <c r="I306" i="1"/>
  <c r="I305" i="1"/>
  <c r="I304" i="1"/>
  <c r="I303" i="1"/>
  <c r="I302" i="1"/>
  <c r="H303" i="1"/>
  <c r="H302" i="1"/>
  <c r="G306" i="1"/>
  <c r="H306" i="1" s="1"/>
  <c r="G305" i="1"/>
  <c r="H305" i="1" s="1"/>
  <c r="G304" i="1"/>
  <c r="H304" i="1" s="1"/>
  <c r="G303" i="1"/>
  <c r="G302" i="1"/>
  <c r="E303" i="1"/>
  <c r="E302" i="1"/>
  <c r="E304" i="1"/>
  <c r="E305" i="1"/>
  <c r="E306" i="1"/>
  <c r="V8" i="4"/>
  <c r="V4" i="4"/>
  <c r="V3" i="4"/>
  <c r="J306" i="1" l="1"/>
  <c r="J305" i="1"/>
  <c r="J302" i="1"/>
  <c r="J303" i="1"/>
  <c r="J304" i="1"/>
  <c r="V5" i="4"/>
  <c r="V6" i="4" s="1"/>
  <c r="G291" i="1" l="1"/>
  <c r="G289" i="1"/>
  <c r="E301" i="1"/>
  <c r="E300" i="1"/>
  <c r="E299" i="1"/>
  <c r="E298" i="1"/>
  <c r="E297" i="1"/>
  <c r="E296" i="1"/>
  <c r="E295" i="1"/>
  <c r="E294" i="1"/>
  <c r="E293" i="1"/>
  <c r="H293" i="1" s="1"/>
  <c r="E292" i="1"/>
  <c r="E291" i="1"/>
  <c r="H291" i="1" s="1"/>
  <c r="E290" i="1"/>
  <c r="E289" i="1"/>
  <c r="H289" i="1" s="1"/>
  <c r="I289" i="1"/>
  <c r="G290" i="1"/>
  <c r="I290" i="1"/>
  <c r="I291" i="1"/>
  <c r="G292" i="1"/>
  <c r="H292" i="1" s="1"/>
  <c r="I292" i="1"/>
  <c r="G293" i="1"/>
  <c r="I293" i="1"/>
  <c r="G294" i="1"/>
  <c r="H294" i="1" s="1"/>
  <c r="I294" i="1"/>
  <c r="G295" i="1"/>
  <c r="I295" i="1"/>
  <c r="G296" i="1"/>
  <c r="H296" i="1" s="1"/>
  <c r="I296" i="1"/>
  <c r="G297" i="1"/>
  <c r="H297" i="1"/>
  <c r="I297" i="1"/>
  <c r="G298" i="1"/>
  <c r="I298" i="1"/>
  <c r="G299" i="1"/>
  <c r="H299" i="1"/>
  <c r="I299" i="1"/>
  <c r="G300" i="1"/>
  <c r="H300" i="1" s="1"/>
  <c r="I300" i="1"/>
  <c r="G301" i="1"/>
  <c r="H301" i="1" s="1"/>
  <c r="I301" i="1"/>
  <c r="J4" i="5"/>
  <c r="L3" i="5"/>
  <c r="O4" i="5"/>
  <c r="I288" i="1"/>
  <c r="I287" i="1"/>
  <c r="I286" i="1"/>
  <c r="I285" i="1"/>
  <c r="G288" i="1"/>
  <c r="G287" i="1"/>
  <c r="G286" i="1"/>
  <c r="H286" i="1" s="1"/>
  <c r="G285" i="1"/>
  <c r="H285" i="1" s="1"/>
  <c r="G284" i="1"/>
  <c r="E288" i="1"/>
  <c r="E287" i="1"/>
  <c r="E286" i="1"/>
  <c r="E285" i="1"/>
  <c r="H298" i="1" l="1"/>
  <c r="H290" i="1"/>
  <c r="H295" i="1"/>
  <c r="J289" i="1"/>
  <c r="J292" i="1"/>
  <c r="J293" i="1"/>
  <c r="J299" i="1"/>
  <c r="J296" i="1"/>
  <c r="J294" i="1"/>
  <c r="J298" i="1"/>
  <c r="J291" i="1"/>
  <c r="J297" i="1"/>
  <c r="J290" i="1"/>
  <c r="J301" i="1"/>
  <c r="J300" i="1"/>
  <c r="J295" i="1"/>
  <c r="H287" i="1"/>
  <c r="H288" i="1"/>
  <c r="J288" i="1"/>
  <c r="J285" i="1"/>
  <c r="J287" i="1"/>
  <c r="J286" i="1"/>
  <c r="E278" i="1" l="1"/>
  <c r="E276" i="1"/>
  <c r="E275" i="1"/>
  <c r="G275" i="1"/>
  <c r="I275" i="1"/>
  <c r="G276" i="1"/>
  <c r="I276" i="1"/>
  <c r="G277" i="1"/>
  <c r="I277" i="1"/>
  <c r="G278" i="1"/>
  <c r="H278" i="1" s="1"/>
  <c r="I278" i="1"/>
  <c r="G279" i="1"/>
  <c r="I279" i="1"/>
  <c r="G280" i="1"/>
  <c r="I280" i="1"/>
  <c r="G281" i="1"/>
  <c r="I281" i="1"/>
  <c r="G282" i="1"/>
  <c r="I282" i="1"/>
  <c r="G283" i="1"/>
  <c r="I283" i="1"/>
  <c r="I284" i="1"/>
  <c r="E284" i="1"/>
  <c r="H284" i="1" s="1"/>
  <c r="E277" i="1"/>
  <c r="H277" i="1" s="1"/>
  <c r="E279" i="1"/>
  <c r="E280" i="1"/>
  <c r="E281" i="1"/>
  <c r="E282" i="1"/>
  <c r="E283" i="1"/>
  <c r="I274" i="1"/>
  <c r="I273" i="1"/>
  <c r="I272" i="1"/>
  <c r="I271" i="1"/>
  <c r="G274" i="1"/>
  <c r="G273" i="1"/>
  <c r="G272" i="1"/>
  <c r="G271" i="1"/>
  <c r="E273" i="1"/>
  <c r="E272" i="1"/>
  <c r="E271" i="1"/>
  <c r="E274" i="1"/>
  <c r="H281" i="1" l="1"/>
  <c r="H275" i="1"/>
  <c r="H279" i="1"/>
  <c r="J279" i="1" s="1"/>
  <c r="H282" i="1"/>
  <c r="J282" i="1" s="1"/>
  <c r="H271" i="1"/>
  <c r="J271" i="1" s="1"/>
  <c r="H272" i="1"/>
  <c r="J272" i="1" s="1"/>
  <c r="H273" i="1"/>
  <c r="J273" i="1" s="1"/>
  <c r="H274" i="1"/>
  <c r="J274" i="1" s="1"/>
  <c r="H283" i="1"/>
  <c r="J283" i="1" s="1"/>
  <c r="H280" i="1"/>
  <c r="J280" i="1" s="1"/>
  <c r="H276" i="1"/>
  <c r="J277" i="1"/>
  <c r="J281" i="1"/>
  <c r="J284" i="1"/>
  <c r="J276" i="1"/>
  <c r="J275" i="1"/>
  <c r="J278" i="1"/>
  <c r="E269" i="1" l="1"/>
  <c r="E268" i="1"/>
  <c r="E267" i="1"/>
  <c r="E266" i="1"/>
  <c r="E265" i="1"/>
  <c r="E264" i="1"/>
  <c r="E263" i="1"/>
  <c r="E262" i="1"/>
  <c r="H262" i="1" s="1"/>
  <c r="E261" i="1"/>
  <c r="G262" i="1"/>
  <c r="I262" i="1"/>
  <c r="G263" i="1"/>
  <c r="I263" i="1"/>
  <c r="G264" i="1"/>
  <c r="I264" i="1"/>
  <c r="G265" i="1"/>
  <c r="I265" i="1"/>
  <c r="G266" i="1"/>
  <c r="I266" i="1"/>
  <c r="G267" i="1"/>
  <c r="I267" i="1"/>
  <c r="G268" i="1"/>
  <c r="I268" i="1"/>
  <c r="G269" i="1"/>
  <c r="I269" i="1"/>
  <c r="G270" i="1"/>
  <c r="I270" i="1"/>
  <c r="E270" i="1"/>
  <c r="H270" i="1" s="1"/>
  <c r="I259" i="1"/>
  <c r="I261" i="1"/>
  <c r="I260" i="1"/>
  <c r="I258" i="1"/>
  <c r="G261" i="1"/>
  <c r="H261" i="1" s="1"/>
  <c r="G260" i="1"/>
  <c r="G259" i="1"/>
  <c r="G258" i="1"/>
  <c r="E260" i="1"/>
  <c r="E259" i="1"/>
  <c r="E258" i="1"/>
  <c r="R2" i="5"/>
  <c r="R3" i="5"/>
  <c r="R4" i="5"/>
  <c r="R5" i="5"/>
  <c r="R6" i="5"/>
  <c r="R7" i="5"/>
  <c r="R8" i="5"/>
  <c r="R9" i="5"/>
  <c r="R10" i="5"/>
  <c r="R11" i="5"/>
  <c r="R12" i="5"/>
  <c r="R13" i="5"/>
  <c r="R14" i="5"/>
  <c r="R15" i="5"/>
  <c r="R16" i="5"/>
  <c r="R17" i="5"/>
  <c r="R18" i="5"/>
  <c r="R19" i="5"/>
  <c r="R20" i="5"/>
  <c r="R21" i="5"/>
  <c r="R22" i="5"/>
  <c r="R23" i="5"/>
  <c r="R24" i="5"/>
  <c r="R25" i="5"/>
  <c r="R26" i="5"/>
  <c r="R27" i="5"/>
  <c r="R28" i="5"/>
  <c r="R29" i="5"/>
  <c r="R30" i="5"/>
  <c r="R31" i="5"/>
  <c r="R32" i="5"/>
  <c r="R33" i="5"/>
  <c r="Q2" i="5"/>
  <c r="Q3" i="5"/>
  <c r="Q4" i="5"/>
  <c r="Q5" i="5"/>
  <c r="Q6" i="5"/>
  <c r="Q7" i="5"/>
  <c r="Q8" i="5"/>
  <c r="Q9" i="5"/>
  <c r="Q10" i="5"/>
  <c r="Q11" i="5"/>
  <c r="Q12" i="5"/>
  <c r="Q13" i="5"/>
  <c r="Q14" i="5"/>
  <c r="Q15" i="5"/>
  <c r="Q16" i="5"/>
  <c r="Q17" i="5"/>
  <c r="Q18" i="5"/>
  <c r="Q19" i="5"/>
  <c r="Q20" i="5"/>
  <c r="Q21" i="5"/>
  <c r="Q22" i="5"/>
  <c r="Q23" i="5"/>
  <c r="Q24" i="5"/>
  <c r="Q25" i="5"/>
  <c r="Q26" i="5"/>
  <c r="Q27" i="5"/>
  <c r="Q28" i="5"/>
  <c r="Q29" i="5"/>
  <c r="Q30" i="5"/>
  <c r="Q31" i="5"/>
  <c r="Q32" i="5"/>
  <c r="Q33" i="5"/>
  <c r="P4" i="5"/>
  <c r="P5" i="5"/>
  <c r="P6" i="5"/>
  <c r="P7" i="5"/>
  <c r="P8" i="5"/>
  <c r="P9" i="5"/>
  <c r="P10" i="5"/>
  <c r="P11" i="5"/>
  <c r="P12" i="5"/>
  <c r="P13" i="5"/>
  <c r="P14" i="5"/>
  <c r="P15" i="5"/>
  <c r="P16" i="5"/>
  <c r="P17" i="5"/>
  <c r="P18" i="5"/>
  <c r="P19" i="5"/>
  <c r="P20" i="5"/>
  <c r="P21" i="5"/>
  <c r="P22" i="5"/>
  <c r="P23" i="5"/>
  <c r="P24" i="5"/>
  <c r="P25" i="5"/>
  <c r="P26" i="5"/>
  <c r="P27" i="5"/>
  <c r="P28" i="5"/>
  <c r="P29" i="5"/>
  <c r="P30" i="5"/>
  <c r="P31" i="5"/>
  <c r="P32" i="5"/>
  <c r="P33" i="5"/>
  <c r="O5" i="5"/>
  <c r="O6" i="5"/>
  <c r="O7" i="5"/>
  <c r="O8" i="5"/>
  <c r="O9" i="5"/>
  <c r="O10" i="5"/>
  <c r="O11" i="5"/>
  <c r="O12" i="5"/>
  <c r="O13" i="5"/>
  <c r="O14" i="5"/>
  <c r="O15" i="5"/>
  <c r="O16" i="5"/>
  <c r="O17" i="5"/>
  <c r="O18" i="5"/>
  <c r="O19" i="5"/>
  <c r="O20" i="5"/>
  <c r="O21" i="5"/>
  <c r="O22" i="5"/>
  <c r="O23" i="5"/>
  <c r="O24" i="5"/>
  <c r="O25" i="5"/>
  <c r="O26" i="5"/>
  <c r="O27" i="5"/>
  <c r="O28" i="5"/>
  <c r="O29" i="5"/>
  <c r="O30" i="5"/>
  <c r="O31" i="5"/>
  <c r="O32" i="5"/>
  <c r="O33" i="5"/>
  <c r="I257" i="1"/>
  <c r="I256" i="1"/>
  <c r="I255" i="1"/>
  <c r="I254" i="1"/>
  <c r="I253" i="1"/>
  <c r="I252" i="1"/>
  <c r="I251" i="1"/>
  <c r="I250" i="1"/>
  <c r="I249" i="1"/>
  <c r="I248" i="1"/>
  <c r="G257" i="1"/>
  <c r="G256" i="1"/>
  <c r="G255" i="1"/>
  <c r="G254" i="1"/>
  <c r="G253" i="1"/>
  <c r="G252" i="1"/>
  <c r="G251" i="1"/>
  <c r="G250" i="1"/>
  <c r="E256" i="1"/>
  <c r="E255" i="1"/>
  <c r="E254" i="1"/>
  <c r="E253" i="1"/>
  <c r="E252" i="1"/>
  <c r="E251" i="1"/>
  <c r="E250" i="1"/>
  <c r="E257" i="1"/>
  <c r="G248" i="1"/>
  <c r="G247" i="1"/>
  <c r="G245" i="1"/>
  <c r="G244" i="1"/>
  <c r="G243" i="1"/>
  <c r="G242" i="1"/>
  <c r="G241" i="1"/>
  <c r="G240" i="1"/>
  <c r="G239" i="1"/>
  <c r="G238" i="1"/>
  <c r="G237" i="1"/>
  <c r="I237" i="1"/>
  <c r="I238" i="1"/>
  <c r="I239" i="1"/>
  <c r="I240" i="1"/>
  <c r="I241" i="1"/>
  <c r="I242" i="1"/>
  <c r="I243" i="1"/>
  <c r="I244" i="1"/>
  <c r="I245" i="1"/>
  <c r="G246" i="1"/>
  <c r="I246" i="1"/>
  <c r="I247" i="1"/>
  <c r="G249" i="1"/>
  <c r="E242" i="1"/>
  <c r="E241" i="1"/>
  <c r="E240" i="1"/>
  <c r="E239" i="1"/>
  <c r="E238" i="1"/>
  <c r="E237" i="1"/>
  <c r="E243" i="1"/>
  <c r="E244" i="1"/>
  <c r="E245" i="1"/>
  <c r="E246" i="1"/>
  <c r="E247" i="1"/>
  <c r="E248" i="1"/>
  <c r="E249" i="1"/>
  <c r="H239" i="1" l="1"/>
  <c r="H253" i="1"/>
  <c r="H265" i="1"/>
  <c r="H258" i="1"/>
  <c r="J258" i="1" s="1"/>
  <c r="H263" i="1"/>
  <c r="H268" i="1"/>
  <c r="H266" i="1"/>
  <c r="H255" i="1"/>
  <c r="J255" i="1" s="1"/>
  <c r="H264" i="1"/>
  <c r="J264" i="1" s="1"/>
  <c r="H267" i="1"/>
  <c r="J267" i="1" s="1"/>
  <c r="H257" i="1"/>
  <c r="J257" i="1" s="1"/>
  <c r="H237" i="1"/>
  <c r="H241" i="1"/>
  <c r="J241" i="1" s="1"/>
  <c r="H251" i="1"/>
  <c r="J251" i="1" s="1"/>
  <c r="J265" i="1"/>
  <c r="H243" i="1"/>
  <c r="J243" i="1" s="1"/>
  <c r="H259" i="1"/>
  <c r="J259" i="1" s="1"/>
  <c r="H254" i="1"/>
  <c r="J254" i="1" s="1"/>
  <c r="H260" i="1"/>
  <c r="J260" i="1" s="1"/>
  <c r="H269" i="1"/>
  <c r="J269" i="1" s="1"/>
  <c r="H256" i="1"/>
  <c r="J256" i="1" s="1"/>
  <c r="J263" i="1"/>
  <c r="J266" i="1"/>
  <c r="J268" i="1"/>
  <c r="J262" i="1"/>
  <c r="J270" i="1"/>
  <c r="H252" i="1"/>
  <c r="J252" i="1" s="1"/>
  <c r="H245" i="1"/>
  <c r="J245" i="1" s="1"/>
  <c r="H242" i="1"/>
  <c r="J242" i="1" s="1"/>
  <c r="H238" i="1"/>
  <c r="J238" i="1" s="1"/>
  <c r="H249" i="1"/>
  <c r="J249" i="1" s="1"/>
  <c r="H248" i="1"/>
  <c r="J248" i="1" s="1"/>
  <c r="H240" i="1"/>
  <c r="J240" i="1" s="1"/>
  <c r="J261" i="1"/>
  <c r="H244" i="1"/>
  <c r="J244" i="1" s="1"/>
  <c r="H250" i="1"/>
  <c r="J250" i="1" s="1"/>
  <c r="H246" i="1"/>
  <c r="J246" i="1" s="1"/>
  <c r="H247" i="1"/>
  <c r="J247" i="1" s="1"/>
  <c r="J253" i="1"/>
  <c r="J239" i="1"/>
  <c r="J237" i="1"/>
  <c r="I236" i="1" l="1"/>
  <c r="I235" i="1"/>
  <c r="I234" i="1"/>
  <c r="I233" i="1"/>
  <c r="I232" i="1"/>
  <c r="E236" i="1"/>
  <c r="E235" i="1"/>
  <c r="E234" i="1"/>
  <c r="E233" i="1"/>
  <c r="E232" i="1"/>
  <c r="G236" i="1"/>
  <c r="G235" i="1"/>
  <c r="G234" i="1"/>
  <c r="G233" i="1"/>
  <c r="H233" i="1" s="1"/>
  <c r="I225" i="1"/>
  <c r="I224" i="1"/>
  <c r="I223" i="1"/>
  <c r="G232" i="1"/>
  <c r="H232" i="1" s="1"/>
  <c r="G231" i="1"/>
  <c r="G230" i="1"/>
  <c r="G229" i="1"/>
  <c r="G228" i="1"/>
  <c r="G227" i="1"/>
  <c r="G226" i="1"/>
  <c r="G225" i="1"/>
  <c r="G224" i="1"/>
  <c r="G223" i="1"/>
  <c r="E231" i="1"/>
  <c r="E230" i="1"/>
  <c r="E229" i="1"/>
  <c r="E228" i="1"/>
  <c r="E227" i="1"/>
  <c r="E226" i="1"/>
  <c r="E225" i="1"/>
  <c r="E224" i="1"/>
  <c r="I226" i="1"/>
  <c r="I227" i="1"/>
  <c r="I228" i="1"/>
  <c r="I229" i="1"/>
  <c r="I230" i="1"/>
  <c r="I231" i="1"/>
  <c r="G20" i="5"/>
  <c r="G219" i="1"/>
  <c r="I219" i="1"/>
  <c r="G220" i="1"/>
  <c r="I220" i="1"/>
  <c r="G221" i="1"/>
  <c r="I221" i="1"/>
  <c r="G222" i="1"/>
  <c r="I222" i="1"/>
  <c r="E219" i="1"/>
  <c r="E220" i="1"/>
  <c r="E221" i="1"/>
  <c r="E222" i="1"/>
  <c r="E223" i="1"/>
  <c r="H223" i="1" s="1"/>
  <c r="G205" i="1"/>
  <c r="I205" i="1"/>
  <c r="G206" i="1"/>
  <c r="I206" i="1"/>
  <c r="G207" i="1"/>
  <c r="I207" i="1"/>
  <c r="G208" i="1"/>
  <c r="I208" i="1"/>
  <c r="G209" i="1"/>
  <c r="I209" i="1"/>
  <c r="G210" i="1"/>
  <c r="I210" i="1"/>
  <c r="G211" i="1"/>
  <c r="I211" i="1"/>
  <c r="G212" i="1"/>
  <c r="I212" i="1"/>
  <c r="G213" i="1"/>
  <c r="I213" i="1"/>
  <c r="G214" i="1"/>
  <c r="I214" i="1"/>
  <c r="G215" i="1"/>
  <c r="I215" i="1"/>
  <c r="G216" i="1"/>
  <c r="I216" i="1"/>
  <c r="G217" i="1"/>
  <c r="I217" i="1"/>
  <c r="G218" i="1"/>
  <c r="I218" i="1"/>
  <c r="E217" i="1"/>
  <c r="E218" i="1"/>
  <c r="E205" i="1"/>
  <c r="E206" i="1"/>
  <c r="E207" i="1"/>
  <c r="E208" i="1"/>
  <c r="E209" i="1"/>
  <c r="E210" i="1"/>
  <c r="E211" i="1"/>
  <c r="E212" i="1"/>
  <c r="E213" i="1"/>
  <c r="E214" i="1"/>
  <c r="E215" i="1"/>
  <c r="E216" i="1"/>
  <c r="G200" i="1"/>
  <c r="I200" i="1"/>
  <c r="G201" i="1"/>
  <c r="I201" i="1"/>
  <c r="G202" i="1"/>
  <c r="I202" i="1"/>
  <c r="G203" i="1"/>
  <c r="I203" i="1"/>
  <c r="G204" i="1"/>
  <c r="I204" i="1"/>
  <c r="E200" i="1"/>
  <c r="E201" i="1"/>
  <c r="E202" i="1"/>
  <c r="E203" i="1"/>
  <c r="E204" i="1"/>
  <c r="G184" i="1"/>
  <c r="I184" i="1"/>
  <c r="G185" i="1"/>
  <c r="I185" i="1"/>
  <c r="G186" i="1"/>
  <c r="I186" i="1"/>
  <c r="G187" i="1"/>
  <c r="I187" i="1"/>
  <c r="G188" i="1"/>
  <c r="I188" i="1"/>
  <c r="G189" i="1"/>
  <c r="I189" i="1"/>
  <c r="G190" i="1"/>
  <c r="I190" i="1"/>
  <c r="G191" i="1"/>
  <c r="I191" i="1"/>
  <c r="G192" i="1"/>
  <c r="I192" i="1"/>
  <c r="G193" i="1"/>
  <c r="I193" i="1"/>
  <c r="G194" i="1"/>
  <c r="I194" i="1"/>
  <c r="G195" i="1"/>
  <c r="I195" i="1"/>
  <c r="G196" i="1"/>
  <c r="I196" i="1"/>
  <c r="G197" i="1"/>
  <c r="I197" i="1"/>
  <c r="G198" i="1"/>
  <c r="I198" i="1"/>
  <c r="G199" i="1"/>
  <c r="I199" i="1"/>
  <c r="E184" i="1"/>
  <c r="E185" i="1"/>
  <c r="E186" i="1"/>
  <c r="E187" i="1"/>
  <c r="E188" i="1"/>
  <c r="E189" i="1"/>
  <c r="E190" i="1"/>
  <c r="E191" i="1"/>
  <c r="E192" i="1"/>
  <c r="E193" i="1"/>
  <c r="E194" i="1"/>
  <c r="E195" i="1"/>
  <c r="E196" i="1"/>
  <c r="E197" i="1"/>
  <c r="E198" i="1"/>
  <c r="E199" i="1"/>
  <c r="G173" i="1"/>
  <c r="I173" i="1"/>
  <c r="G174" i="1"/>
  <c r="I174" i="1"/>
  <c r="G175" i="1"/>
  <c r="I175" i="1"/>
  <c r="G176" i="1"/>
  <c r="I176" i="1"/>
  <c r="G177" i="1"/>
  <c r="I177" i="1"/>
  <c r="G178" i="1"/>
  <c r="I178" i="1"/>
  <c r="G179" i="1"/>
  <c r="I179" i="1"/>
  <c r="G180" i="1"/>
  <c r="I180" i="1"/>
  <c r="G181" i="1"/>
  <c r="I181" i="1"/>
  <c r="G182" i="1"/>
  <c r="I182" i="1"/>
  <c r="G183" i="1"/>
  <c r="I183" i="1"/>
  <c r="E173" i="1"/>
  <c r="E174" i="1"/>
  <c r="E175" i="1"/>
  <c r="E176" i="1"/>
  <c r="E177" i="1"/>
  <c r="E178" i="1"/>
  <c r="E179" i="1"/>
  <c r="E180" i="1"/>
  <c r="H180" i="1" s="1"/>
  <c r="E181" i="1"/>
  <c r="E182" i="1"/>
  <c r="E183" i="1"/>
  <c r="G156" i="1"/>
  <c r="I156" i="1"/>
  <c r="G157" i="1"/>
  <c r="I157" i="1"/>
  <c r="G158" i="1"/>
  <c r="I158" i="1"/>
  <c r="G159" i="1"/>
  <c r="I159" i="1"/>
  <c r="G160" i="1"/>
  <c r="I160" i="1"/>
  <c r="G161" i="1"/>
  <c r="I161" i="1"/>
  <c r="G162" i="1"/>
  <c r="I162" i="1"/>
  <c r="G163" i="1"/>
  <c r="I163" i="1"/>
  <c r="G164" i="1"/>
  <c r="I164" i="1"/>
  <c r="G165" i="1"/>
  <c r="I165" i="1"/>
  <c r="G166" i="1"/>
  <c r="I166" i="1"/>
  <c r="G167" i="1"/>
  <c r="I167" i="1"/>
  <c r="G168" i="1"/>
  <c r="I168" i="1"/>
  <c r="G169" i="1"/>
  <c r="I169" i="1"/>
  <c r="G170" i="1"/>
  <c r="I170" i="1"/>
  <c r="G171" i="1"/>
  <c r="I171" i="1"/>
  <c r="G172" i="1"/>
  <c r="I172" i="1"/>
  <c r="E156" i="1"/>
  <c r="E157" i="1"/>
  <c r="E158" i="1"/>
  <c r="E159" i="1"/>
  <c r="E160" i="1"/>
  <c r="E161" i="1"/>
  <c r="E162" i="1"/>
  <c r="E163" i="1"/>
  <c r="E164" i="1"/>
  <c r="E165" i="1"/>
  <c r="E166" i="1"/>
  <c r="H166" i="1" s="1"/>
  <c r="E167" i="1"/>
  <c r="E168" i="1"/>
  <c r="E169" i="1"/>
  <c r="E170" i="1"/>
  <c r="E171" i="1"/>
  <c r="E172" i="1"/>
  <c r="G154" i="1"/>
  <c r="I154" i="1"/>
  <c r="G155" i="1"/>
  <c r="I155" i="1"/>
  <c r="E154" i="1"/>
  <c r="E155" i="1"/>
  <c r="G146" i="1"/>
  <c r="I146" i="1"/>
  <c r="G147" i="1"/>
  <c r="I147" i="1"/>
  <c r="G148" i="1"/>
  <c r="I148" i="1"/>
  <c r="G149" i="1"/>
  <c r="I149" i="1"/>
  <c r="G150" i="1"/>
  <c r="I150" i="1"/>
  <c r="G151" i="1"/>
  <c r="I151" i="1"/>
  <c r="G152" i="1"/>
  <c r="I152" i="1"/>
  <c r="G153" i="1"/>
  <c r="H153" i="1" s="1"/>
  <c r="I153" i="1"/>
  <c r="E146" i="1"/>
  <c r="E147" i="1"/>
  <c r="E148" i="1"/>
  <c r="E149" i="1"/>
  <c r="E150" i="1"/>
  <c r="E151" i="1"/>
  <c r="E152" i="1"/>
  <c r="E153" i="1"/>
  <c r="G132" i="1"/>
  <c r="I132" i="1"/>
  <c r="G133" i="1"/>
  <c r="I133" i="1"/>
  <c r="G134" i="1"/>
  <c r="I134" i="1"/>
  <c r="G135" i="1"/>
  <c r="I135" i="1"/>
  <c r="G136" i="1"/>
  <c r="I136" i="1"/>
  <c r="G137" i="1"/>
  <c r="I137" i="1"/>
  <c r="G138" i="1"/>
  <c r="I138" i="1"/>
  <c r="G139" i="1"/>
  <c r="I139" i="1"/>
  <c r="G140" i="1"/>
  <c r="I140" i="1"/>
  <c r="G141" i="1"/>
  <c r="I141" i="1"/>
  <c r="G142" i="1"/>
  <c r="I142" i="1"/>
  <c r="G143" i="1"/>
  <c r="I143" i="1"/>
  <c r="G144" i="1"/>
  <c r="I144" i="1"/>
  <c r="G145" i="1"/>
  <c r="I145" i="1"/>
  <c r="E132" i="1"/>
  <c r="E133" i="1"/>
  <c r="E134" i="1"/>
  <c r="E135" i="1"/>
  <c r="E136" i="1"/>
  <c r="E137" i="1"/>
  <c r="E138" i="1"/>
  <c r="E139" i="1"/>
  <c r="E140" i="1"/>
  <c r="E141" i="1"/>
  <c r="E142" i="1"/>
  <c r="E143" i="1"/>
  <c r="E144" i="1"/>
  <c r="E145" i="1"/>
  <c r="I129" i="1"/>
  <c r="I130" i="1"/>
  <c r="I131" i="1"/>
  <c r="G131" i="1"/>
  <c r="G129" i="1"/>
  <c r="G130" i="1"/>
  <c r="E129" i="1"/>
  <c r="E130" i="1"/>
  <c r="E131" i="1"/>
  <c r="G117" i="1"/>
  <c r="I117" i="1"/>
  <c r="G118" i="1"/>
  <c r="I118" i="1"/>
  <c r="G119" i="1"/>
  <c r="I119" i="1"/>
  <c r="G120" i="1"/>
  <c r="I120" i="1"/>
  <c r="G121" i="1"/>
  <c r="I121" i="1"/>
  <c r="G122" i="1"/>
  <c r="I122" i="1"/>
  <c r="G123" i="1"/>
  <c r="I123" i="1"/>
  <c r="G124" i="1"/>
  <c r="I124" i="1"/>
  <c r="G125" i="1"/>
  <c r="I125" i="1"/>
  <c r="G126" i="1"/>
  <c r="I126" i="1"/>
  <c r="G127" i="1"/>
  <c r="I127" i="1"/>
  <c r="G128" i="1"/>
  <c r="I128" i="1"/>
  <c r="E117" i="1"/>
  <c r="E118" i="1"/>
  <c r="E119" i="1"/>
  <c r="E120" i="1"/>
  <c r="H120" i="1" s="1"/>
  <c r="E121" i="1"/>
  <c r="E122" i="1"/>
  <c r="H122" i="1" s="1"/>
  <c r="E123" i="1"/>
  <c r="E124" i="1"/>
  <c r="E125" i="1"/>
  <c r="E126" i="1"/>
  <c r="E127" i="1"/>
  <c r="E128" i="1"/>
  <c r="H128" i="1" s="1"/>
  <c r="G114" i="1"/>
  <c r="I114" i="1"/>
  <c r="G115" i="1"/>
  <c r="I115" i="1"/>
  <c r="G116" i="1"/>
  <c r="I116" i="1"/>
  <c r="E114" i="1"/>
  <c r="E115" i="1"/>
  <c r="E116" i="1"/>
  <c r="G104" i="1"/>
  <c r="I104" i="1"/>
  <c r="G105" i="1"/>
  <c r="I105" i="1"/>
  <c r="G106" i="1"/>
  <c r="I106" i="1"/>
  <c r="G107" i="1"/>
  <c r="H107" i="1" s="1"/>
  <c r="I107" i="1"/>
  <c r="G108" i="1"/>
  <c r="I108" i="1"/>
  <c r="G109" i="1"/>
  <c r="I109" i="1"/>
  <c r="G110" i="1"/>
  <c r="I110" i="1"/>
  <c r="G111" i="1"/>
  <c r="I111" i="1"/>
  <c r="G112" i="1"/>
  <c r="H112" i="1" s="1"/>
  <c r="I112" i="1"/>
  <c r="G113" i="1"/>
  <c r="I113" i="1"/>
  <c r="E104" i="1"/>
  <c r="E105" i="1"/>
  <c r="E106" i="1"/>
  <c r="H106" i="1" s="1"/>
  <c r="E107" i="1"/>
  <c r="E108" i="1"/>
  <c r="E109" i="1"/>
  <c r="E110" i="1"/>
  <c r="E111" i="1"/>
  <c r="E112" i="1"/>
  <c r="E113" i="1"/>
  <c r="G99" i="1"/>
  <c r="I99" i="1"/>
  <c r="G100" i="1"/>
  <c r="I100" i="1"/>
  <c r="G101" i="1"/>
  <c r="I101" i="1"/>
  <c r="G102" i="1"/>
  <c r="I102" i="1"/>
  <c r="G103" i="1"/>
  <c r="I103" i="1"/>
  <c r="E99" i="1"/>
  <c r="E100" i="1"/>
  <c r="E101" i="1"/>
  <c r="E102" i="1"/>
  <c r="E103" i="1"/>
  <c r="G95" i="1"/>
  <c r="I95" i="1"/>
  <c r="G96" i="1"/>
  <c r="I96" i="1"/>
  <c r="G97" i="1"/>
  <c r="I97" i="1"/>
  <c r="G98" i="1"/>
  <c r="I98" i="1"/>
  <c r="E95" i="1"/>
  <c r="E96" i="1"/>
  <c r="H96" i="1" s="1"/>
  <c r="E97" i="1"/>
  <c r="E98" i="1"/>
  <c r="H98" i="1" s="1"/>
  <c r="G82" i="1"/>
  <c r="I82" i="1"/>
  <c r="G83" i="1"/>
  <c r="I83" i="1"/>
  <c r="G84" i="1"/>
  <c r="I84" i="1"/>
  <c r="G85" i="1"/>
  <c r="I85" i="1"/>
  <c r="G86" i="1"/>
  <c r="I86" i="1"/>
  <c r="G87" i="1"/>
  <c r="I87" i="1"/>
  <c r="G88" i="1"/>
  <c r="I88" i="1"/>
  <c r="G89" i="1"/>
  <c r="I89" i="1"/>
  <c r="G90" i="1"/>
  <c r="I90" i="1"/>
  <c r="G91" i="1"/>
  <c r="I91" i="1"/>
  <c r="G92" i="1"/>
  <c r="I92" i="1"/>
  <c r="G93" i="1"/>
  <c r="I93" i="1"/>
  <c r="G94" i="1"/>
  <c r="I94" i="1"/>
  <c r="E88" i="1"/>
  <c r="E89" i="1"/>
  <c r="E90" i="1"/>
  <c r="E91" i="1"/>
  <c r="E92" i="1"/>
  <c r="E93" i="1"/>
  <c r="E94" i="1"/>
  <c r="E82" i="1"/>
  <c r="E83" i="1"/>
  <c r="E84" i="1"/>
  <c r="E85" i="1"/>
  <c r="E86" i="1"/>
  <c r="H86" i="1" s="1"/>
  <c r="E87" i="1"/>
  <c r="I66" i="1"/>
  <c r="I67" i="1"/>
  <c r="I68" i="1"/>
  <c r="I69" i="1"/>
  <c r="I70" i="1"/>
  <c r="I71" i="1"/>
  <c r="I72" i="1"/>
  <c r="I73" i="1"/>
  <c r="I74" i="1"/>
  <c r="I75" i="1"/>
  <c r="I76" i="1"/>
  <c r="I77" i="1"/>
  <c r="I78" i="1"/>
  <c r="I79" i="1"/>
  <c r="I80" i="1"/>
  <c r="I81" i="1"/>
  <c r="G66" i="1"/>
  <c r="G67" i="1"/>
  <c r="G68" i="1"/>
  <c r="G69" i="1"/>
  <c r="G70" i="1"/>
  <c r="G71" i="1"/>
  <c r="G72" i="1"/>
  <c r="H72" i="1" s="1"/>
  <c r="G73" i="1"/>
  <c r="G74" i="1"/>
  <c r="G75" i="1"/>
  <c r="G76" i="1"/>
  <c r="G77" i="1"/>
  <c r="G78" i="1"/>
  <c r="G79" i="1"/>
  <c r="G80" i="1"/>
  <c r="H80" i="1" s="1"/>
  <c r="G81" i="1"/>
  <c r="E81" i="1"/>
  <c r="E80" i="1"/>
  <c r="E79" i="1"/>
  <c r="E78" i="1"/>
  <c r="E66" i="1"/>
  <c r="E67" i="1"/>
  <c r="E68" i="1"/>
  <c r="E69" i="1"/>
  <c r="E70" i="1"/>
  <c r="E71" i="1"/>
  <c r="E72" i="1"/>
  <c r="E73" i="1"/>
  <c r="E74" i="1"/>
  <c r="E75" i="1"/>
  <c r="E76" i="1"/>
  <c r="E77" i="1"/>
  <c r="L2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L27" i="5"/>
  <c r="L28" i="5"/>
  <c r="L29" i="5"/>
  <c r="L30" i="5"/>
  <c r="L31" i="5"/>
  <c r="L32" i="5"/>
  <c r="L33" i="5"/>
  <c r="I2" i="5"/>
  <c r="I3" i="5"/>
  <c r="I4" i="5"/>
  <c r="I5" i="5"/>
  <c r="I6" i="5"/>
  <c r="I7" i="5"/>
  <c r="I8" i="5"/>
  <c r="I9" i="5"/>
  <c r="I10" i="5"/>
  <c r="I11" i="5"/>
  <c r="I12" i="5"/>
  <c r="I13" i="5"/>
  <c r="I14" i="5"/>
  <c r="I15" i="5"/>
  <c r="I16" i="5"/>
  <c r="I17" i="5"/>
  <c r="I18" i="5"/>
  <c r="I19" i="5"/>
  <c r="I20" i="5"/>
  <c r="I21" i="5"/>
  <c r="I22" i="5"/>
  <c r="I23" i="5"/>
  <c r="I24" i="5"/>
  <c r="I25" i="5"/>
  <c r="I26" i="5"/>
  <c r="I27" i="5"/>
  <c r="I28" i="5"/>
  <c r="I29" i="5"/>
  <c r="I30" i="5"/>
  <c r="I31" i="5"/>
  <c r="I32" i="5"/>
  <c r="I33" i="5"/>
  <c r="K2" i="5"/>
  <c r="K3" i="5"/>
  <c r="K4" i="5"/>
  <c r="K5" i="5"/>
  <c r="K6" i="5"/>
  <c r="K7" i="5"/>
  <c r="K8" i="5"/>
  <c r="K9" i="5"/>
  <c r="K10" i="5"/>
  <c r="K11" i="5"/>
  <c r="K12" i="5"/>
  <c r="K13" i="5"/>
  <c r="K14" i="5"/>
  <c r="K15" i="5"/>
  <c r="K16" i="5"/>
  <c r="K17" i="5"/>
  <c r="K18" i="5"/>
  <c r="K19" i="5"/>
  <c r="K20" i="5"/>
  <c r="K21" i="5"/>
  <c r="K22" i="5"/>
  <c r="K23" i="5"/>
  <c r="K24" i="5"/>
  <c r="K25" i="5"/>
  <c r="K26" i="5"/>
  <c r="K27" i="5"/>
  <c r="K28" i="5"/>
  <c r="K29" i="5"/>
  <c r="K30" i="5"/>
  <c r="K31" i="5"/>
  <c r="K32" i="5"/>
  <c r="K33" i="5"/>
  <c r="H2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J2" i="5"/>
  <c r="J3" i="5"/>
  <c r="J5" i="5"/>
  <c r="J6" i="5"/>
  <c r="J7" i="5"/>
  <c r="J8" i="5"/>
  <c r="J9" i="5"/>
  <c r="J10" i="5"/>
  <c r="J11" i="5"/>
  <c r="J12" i="5"/>
  <c r="J13" i="5"/>
  <c r="J14" i="5"/>
  <c r="J15" i="5"/>
  <c r="J16" i="5"/>
  <c r="J17" i="5"/>
  <c r="J18" i="5"/>
  <c r="J19" i="5"/>
  <c r="J20" i="5"/>
  <c r="J21" i="5"/>
  <c r="J22" i="5"/>
  <c r="J23" i="5"/>
  <c r="J24" i="5"/>
  <c r="J25" i="5"/>
  <c r="J26" i="5"/>
  <c r="J27" i="5"/>
  <c r="J28" i="5"/>
  <c r="J29" i="5"/>
  <c r="J30" i="5"/>
  <c r="J31" i="5"/>
  <c r="J32" i="5"/>
  <c r="J33" i="5"/>
  <c r="G2" i="5"/>
  <c r="G3" i="5"/>
  <c r="G4" i="5"/>
  <c r="G5" i="5"/>
  <c r="G6" i="5"/>
  <c r="G7" i="5"/>
  <c r="G8" i="5"/>
  <c r="G9" i="5"/>
  <c r="G10" i="5"/>
  <c r="G11" i="5"/>
  <c r="G12" i="5"/>
  <c r="G13" i="5"/>
  <c r="M13" i="5" s="1"/>
  <c r="G14" i="5"/>
  <c r="G15" i="5"/>
  <c r="G16" i="5"/>
  <c r="G17" i="5"/>
  <c r="G18" i="5"/>
  <c r="G19" i="5"/>
  <c r="G21" i="5"/>
  <c r="G22" i="5"/>
  <c r="G23" i="5"/>
  <c r="M23" i="5" s="1"/>
  <c r="G24" i="5"/>
  <c r="G25" i="5"/>
  <c r="G26" i="5"/>
  <c r="G27" i="5"/>
  <c r="G28" i="5"/>
  <c r="G29" i="5"/>
  <c r="G30" i="5"/>
  <c r="G31" i="5"/>
  <c r="G32" i="5"/>
  <c r="G33" i="5"/>
  <c r="D2" i="5"/>
  <c r="D3" i="5"/>
  <c r="D4" i="5"/>
  <c r="D5" i="5"/>
  <c r="D6" i="5"/>
  <c r="D7" i="5"/>
  <c r="D8" i="5"/>
  <c r="D9" i="5"/>
  <c r="D10" i="5"/>
  <c r="D11" i="5"/>
  <c r="D12" i="5"/>
  <c r="D13" i="5"/>
  <c r="D14" i="5"/>
  <c r="D15" i="5"/>
  <c r="D16" i="5"/>
  <c r="D17" i="5"/>
  <c r="D18" i="5"/>
  <c r="D19" i="5"/>
  <c r="D20" i="5"/>
  <c r="D21" i="5"/>
  <c r="D22" i="5"/>
  <c r="D23" i="5"/>
  <c r="D24" i="5"/>
  <c r="D25" i="5"/>
  <c r="D26" i="5"/>
  <c r="D27" i="5"/>
  <c r="D28" i="5"/>
  <c r="D29" i="5"/>
  <c r="D30" i="5"/>
  <c r="D31" i="5"/>
  <c r="D32" i="5"/>
  <c r="D33" i="5"/>
  <c r="E4" i="5"/>
  <c r="E3" i="5"/>
  <c r="E2" i="5"/>
  <c r="E5" i="5"/>
  <c r="E6" i="5"/>
  <c r="E7" i="5"/>
  <c r="E8" i="5"/>
  <c r="E9" i="5"/>
  <c r="E10" i="5"/>
  <c r="E11" i="5"/>
  <c r="E12" i="5"/>
  <c r="E13" i="5"/>
  <c r="E14" i="5"/>
  <c r="E15" i="5"/>
  <c r="E16" i="5"/>
  <c r="E17" i="5"/>
  <c r="E18" i="5"/>
  <c r="E19" i="5"/>
  <c r="E20" i="5"/>
  <c r="E21" i="5"/>
  <c r="E22" i="5"/>
  <c r="E23" i="5"/>
  <c r="E24" i="5"/>
  <c r="E25" i="5"/>
  <c r="E26" i="5"/>
  <c r="E27" i="5"/>
  <c r="E28" i="5"/>
  <c r="E29" i="5"/>
  <c r="E30" i="5"/>
  <c r="E31" i="5"/>
  <c r="E32" i="5"/>
  <c r="E33" i="5"/>
  <c r="C4" i="5"/>
  <c r="F4" i="5" s="1"/>
  <c r="C5" i="5"/>
  <c r="C6" i="5"/>
  <c r="C7" i="5"/>
  <c r="C8" i="5"/>
  <c r="C9" i="5"/>
  <c r="C10" i="5"/>
  <c r="C11" i="5"/>
  <c r="C12" i="5"/>
  <c r="F12" i="5" s="1"/>
  <c r="C13" i="5"/>
  <c r="C14" i="5"/>
  <c r="C15" i="5"/>
  <c r="C16" i="5"/>
  <c r="C17" i="5"/>
  <c r="C18" i="5"/>
  <c r="C19" i="5"/>
  <c r="C20" i="5"/>
  <c r="C21" i="5"/>
  <c r="C22" i="5"/>
  <c r="C23" i="5"/>
  <c r="C24" i="5"/>
  <c r="C25" i="5"/>
  <c r="C26" i="5"/>
  <c r="C27" i="5"/>
  <c r="C28" i="5"/>
  <c r="F28" i="5" s="1"/>
  <c r="C29" i="5"/>
  <c r="C30" i="5"/>
  <c r="C31" i="5"/>
  <c r="F31" i="5" s="1"/>
  <c r="C32" i="5"/>
  <c r="C33" i="5"/>
  <c r="C3" i="5"/>
  <c r="C2" i="5"/>
  <c r="B2" i="5" s="1"/>
  <c r="I63" i="1"/>
  <c r="I64" i="1"/>
  <c r="I65" i="1"/>
  <c r="G63" i="1"/>
  <c r="G64" i="1"/>
  <c r="G65" i="1"/>
  <c r="E63" i="1"/>
  <c r="E64" i="1"/>
  <c r="E65" i="1"/>
  <c r="I1313" i="4"/>
  <c r="I1312" i="4"/>
  <c r="I1311" i="4"/>
  <c r="I1310" i="4"/>
  <c r="I1309" i="4"/>
  <c r="I1308" i="4"/>
  <c r="I1307" i="4"/>
  <c r="I1306" i="4"/>
  <c r="I1305" i="4"/>
  <c r="I1304" i="4"/>
  <c r="I1303" i="4"/>
  <c r="I1302" i="4"/>
  <c r="I1301" i="4"/>
  <c r="I1300" i="4"/>
  <c r="I1299" i="4"/>
  <c r="I1298" i="4"/>
  <c r="I1297" i="4"/>
  <c r="I1296" i="4"/>
  <c r="I1295" i="4"/>
  <c r="I1294" i="4"/>
  <c r="I1293" i="4"/>
  <c r="I1292" i="4"/>
  <c r="I1291" i="4"/>
  <c r="I1290" i="4"/>
  <c r="I1289" i="4"/>
  <c r="I1288" i="4"/>
  <c r="I1287" i="4"/>
  <c r="I1286" i="4"/>
  <c r="I1285" i="4"/>
  <c r="I1284" i="4"/>
  <c r="I1283" i="4"/>
  <c r="I1282" i="4"/>
  <c r="I1281" i="4"/>
  <c r="I1280" i="4"/>
  <c r="I1279" i="4"/>
  <c r="I1278" i="4"/>
  <c r="I1277" i="4"/>
  <c r="I1276" i="4"/>
  <c r="I1275" i="4"/>
  <c r="I1274" i="4"/>
  <c r="I1273" i="4"/>
  <c r="I1272" i="4"/>
  <c r="I1271" i="4"/>
  <c r="I1270" i="4"/>
  <c r="I1269" i="4"/>
  <c r="I1268" i="4"/>
  <c r="I1267" i="4"/>
  <c r="I1266" i="4"/>
  <c r="I1265" i="4"/>
  <c r="I1264" i="4"/>
  <c r="I1263" i="4"/>
  <c r="I1262" i="4"/>
  <c r="I1261" i="4"/>
  <c r="I1260" i="4"/>
  <c r="I1259" i="4"/>
  <c r="I1258" i="4"/>
  <c r="I1257" i="4"/>
  <c r="I1256" i="4"/>
  <c r="I1255" i="4"/>
  <c r="I1254" i="4"/>
  <c r="I1253" i="4"/>
  <c r="I1252" i="4"/>
  <c r="I1251" i="4"/>
  <c r="I1250" i="4"/>
  <c r="I1249" i="4"/>
  <c r="I1248" i="4"/>
  <c r="I1247" i="4"/>
  <c r="I1246" i="4"/>
  <c r="I1245" i="4"/>
  <c r="I1244" i="4"/>
  <c r="I1243" i="4"/>
  <c r="I1242" i="4"/>
  <c r="I1241" i="4"/>
  <c r="I1240" i="4"/>
  <c r="I1239" i="4"/>
  <c r="I1238" i="4"/>
  <c r="I1237" i="4"/>
  <c r="I1236" i="4"/>
  <c r="I1235" i="4"/>
  <c r="I1234" i="4"/>
  <c r="I1233" i="4"/>
  <c r="I1232" i="4"/>
  <c r="I1231" i="4"/>
  <c r="I1230" i="4"/>
  <c r="I1229" i="4"/>
  <c r="I1228" i="4"/>
  <c r="I1227" i="4"/>
  <c r="I1226" i="4"/>
  <c r="I1225" i="4"/>
  <c r="I1224" i="4"/>
  <c r="I1223" i="4"/>
  <c r="I1222" i="4"/>
  <c r="I1221" i="4"/>
  <c r="I1220" i="4"/>
  <c r="I1219" i="4"/>
  <c r="I1218" i="4"/>
  <c r="I1217" i="4"/>
  <c r="I1216" i="4"/>
  <c r="I1215" i="4"/>
  <c r="I1214" i="4"/>
  <c r="I1213" i="4"/>
  <c r="I1212" i="4"/>
  <c r="I1211" i="4"/>
  <c r="I1210" i="4"/>
  <c r="I1209" i="4"/>
  <c r="I1208" i="4"/>
  <c r="I1207" i="4"/>
  <c r="I1206" i="4"/>
  <c r="I1205" i="4"/>
  <c r="I1204" i="4"/>
  <c r="I1203" i="4"/>
  <c r="I1202" i="4"/>
  <c r="I1201" i="4"/>
  <c r="I1200" i="4"/>
  <c r="I1199" i="4"/>
  <c r="I1198" i="4"/>
  <c r="I1197" i="4"/>
  <c r="I1196" i="4"/>
  <c r="I1195" i="4"/>
  <c r="I1194" i="4"/>
  <c r="I1193" i="4"/>
  <c r="I1192" i="4"/>
  <c r="I1191" i="4"/>
  <c r="I1190" i="4"/>
  <c r="I1189" i="4"/>
  <c r="I1188" i="4"/>
  <c r="I1187" i="4"/>
  <c r="I1186" i="4"/>
  <c r="I1185" i="4"/>
  <c r="I1184" i="4"/>
  <c r="I1183" i="4"/>
  <c r="I1182" i="4"/>
  <c r="I1181" i="4"/>
  <c r="I1180" i="4"/>
  <c r="I1179" i="4"/>
  <c r="I1178" i="4"/>
  <c r="I1177" i="4"/>
  <c r="I1176" i="4"/>
  <c r="I1175" i="4"/>
  <c r="I1174" i="4"/>
  <c r="I1173" i="4"/>
  <c r="I1172" i="4"/>
  <c r="I1171" i="4"/>
  <c r="I1170" i="4"/>
  <c r="I1169" i="4"/>
  <c r="I1168" i="4"/>
  <c r="I1167" i="4"/>
  <c r="I1166" i="4"/>
  <c r="I1165" i="4"/>
  <c r="I1164" i="4"/>
  <c r="I1163" i="4"/>
  <c r="I1162" i="4"/>
  <c r="I1161" i="4"/>
  <c r="I1160" i="4"/>
  <c r="I1159" i="4"/>
  <c r="I1158" i="4"/>
  <c r="I1157" i="4"/>
  <c r="I1156" i="4"/>
  <c r="I1155" i="4"/>
  <c r="I1154" i="4"/>
  <c r="I1153" i="4"/>
  <c r="I1152" i="4"/>
  <c r="I1151" i="4"/>
  <c r="I1150" i="4"/>
  <c r="I1149" i="4"/>
  <c r="I1148" i="4"/>
  <c r="I1147" i="4"/>
  <c r="I1146" i="4"/>
  <c r="I1145" i="4"/>
  <c r="I1144" i="4"/>
  <c r="I1143" i="4"/>
  <c r="I1142" i="4"/>
  <c r="I1141" i="4"/>
  <c r="I1140" i="4"/>
  <c r="I1139" i="4"/>
  <c r="I1138" i="4"/>
  <c r="I1137" i="4"/>
  <c r="I1136" i="4"/>
  <c r="I1135" i="4"/>
  <c r="I1134" i="4"/>
  <c r="I1133" i="4"/>
  <c r="I1132" i="4"/>
  <c r="I1131" i="4"/>
  <c r="I1130" i="4"/>
  <c r="I1129" i="4"/>
  <c r="I1128" i="4"/>
  <c r="I1127" i="4"/>
  <c r="I1126" i="4"/>
  <c r="I1125" i="4"/>
  <c r="I1124" i="4"/>
  <c r="I1123" i="4"/>
  <c r="I1122" i="4"/>
  <c r="I1121" i="4"/>
  <c r="I1120" i="4"/>
  <c r="I1119" i="4"/>
  <c r="I1118" i="4"/>
  <c r="I1117" i="4"/>
  <c r="I1116" i="4"/>
  <c r="I1115" i="4"/>
  <c r="I1114" i="4"/>
  <c r="I1113" i="4"/>
  <c r="I1112" i="4"/>
  <c r="I1111" i="4"/>
  <c r="I1110" i="4"/>
  <c r="I1109" i="4"/>
  <c r="I1108" i="4"/>
  <c r="I1107" i="4"/>
  <c r="I1106" i="4"/>
  <c r="I1105" i="4"/>
  <c r="I1104" i="4"/>
  <c r="I1103" i="4"/>
  <c r="I1102" i="4"/>
  <c r="I1101" i="4"/>
  <c r="I1100" i="4"/>
  <c r="I1099" i="4"/>
  <c r="I1098" i="4"/>
  <c r="I1097" i="4"/>
  <c r="I1096" i="4"/>
  <c r="I1095" i="4"/>
  <c r="I1094" i="4"/>
  <c r="I1093" i="4"/>
  <c r="I1092" i="4"/>
  <c r="I1091" i="4"/>
  <c r="I1090" i="4"/>
  <c r="I1089" i="4"/>
  <c r="I1088" i="4"/>
  <c r="I1087" i="4"/>
  <c r="I1086" i="4"/>
  <c r="I1085" i="4"/>
  <c r="I1084" i="4"/>
  <c r="I1083" i="4"/>
  <c r="I1082" i="4"/>
  <c r="I1081" i="4"/>
  <c r="I1080" i="4"/>
  <c r="I1079" i="4"/>
  <c r="I1078" i="4"/>
  <c r="I1077" i="4"/>
  <c r="I1076" i="4"/>
  <c r="I1075" i="4"/>
  <c r="I1074" i="4"/>
  <c r="I1073" i="4"/>
  <c r="I1072" i="4"/>
  <c r="I1071" i="4"/>
  <c r="I1070" i="4"/>
  <c r="I1069" i="4"/>
  <c r="I1068" i="4"/>
  <c r="I1067" i="4"/>
  <c r="I1066" i="4"/>
  <c r="I1065" i="4"/>
  <c r="I1064" i="4"/>
  <c r="I1063" i="4"/>
  <c r="I1062" i="4"/>
  <c r="I1061" i="4"/>
  <c r="I1060" i="4"/>
  <c r="I1059" i="4"/>
  <c r="I1058" i="4"/>
  <c r="I1057" i="4"/>
  <c r="I1056" i="4"/>
  <c r="I1055" i="4"/>
  <c r="I1054" i="4"/>
  <c r="I1053" i="4"/>
  <c r="I1052" i="4"/>
  <c r="I1051" i="4"/>
  <c r="I1050" i="4"/>
  <c r="I1049" i="4"/>
  <c r="I1048" i="4"/>
  <c r="I1047" i="4"/>
  <c r="I1046" i="4"/>
  <c r="I1045" i="4"/>
  <c r="I1044" i="4"/>
  <c r="I1043" i="4"/>
  <c r="I1042" i="4"/>
  <c r="I1041" i="4"/>
  <c r="I1040" i="4"/>
  <c r="I1039" i="4"/>
  <c r="I1038" i="4"/>
  <c r="I1037" i="4"/>
  <c r="I1036" i="4"/>
  <c r="I1035" i="4"/>
  <c r="I1034" i="4"/>
  <c r="I1033" i="4"/>
  <c r="I1032" i="4"/>
  <c r="I1031" i="4"/>
  <c r="I1030" i="4"/>
  <c r="I1029" i="4"/>
  <c r="I1028" i="4"/>
  <c r="I1027" i="4"/>
  <c r="I1026" i="4"/>
  <c r="I1025" i="4"/>
  <c r="I1024" i="4"/>
  <c r="I1023" i="4"/>
  <c r="I1022" i="4"/>
  <c r="I1021" i="4"/>
  <c r="I1020" i="4"/>
  <c r="I1019" i="4"/>
  <c r="I1018" i="4"/>
  <c r="I1017" i="4"/>
  <c r="I1016" i="4"/>
  <c r="I1015" i="4"/>
  <c r="I1014" i="4"/>
  <c r="I1013" i="4"/>
  <c r="I1012" i="4"/>
  <c r="I1011" i="4"/>
  <c r="I1010" i="4"/>
  <c r="I1009" i="4"/>
  <c r="I1008" i="4"/>
  <c r="I1007" i="4"/>
  <c r="I1006" i="4"/>
  <c r="I1005" i="4"/>
  <c r="I1004" i="4"/>
  <c r="I1003" i="4"/>
  <c r="I1002" i="4"/>
  <c r="I1001" i="4"/>
  <c r="I1000" i="4"/>
  <c r="I999" i="4"/>
  <c r="I998" i="4"/>
  <c r="I997" i="4"/>
  <c r="I996" i="4"/>
  <c r="I995" i="4"/>
  <c r="I994" i="4"/>
  <c r="I993" i="4"/>
  <c r="I992" i="4"/>
  <c r="I991" i="4"/>
  <c r="I990" i="4"/>
  <c r="I989" i="4"/>
  <c r="I988" i="4"/>
  <c r="I987" i="4"/>
  <c r="I986" i="4"/>
  <c r="I985" i="4"/>
  <c r="I984" i="4"/>
  <c r="I983" i="4"/>
  <c r="I982" i="4"/>
  <c r="I981" i="4"/>
  <c r="I980" i="4"/>
  <c r="I979" i="4"/>
  <c r="I978" i="4"/>
  <c r="I977" i="4"/>
  <c r="I976" i="4"/>
  <c r="I975" i="4"/>
  <c r="I974" i="4"/>
  <c r="I973" i="4"/>
  <c r="I972" i="4"/>
  <c r="I971" i="4"/>
  <c r="I970" i="4"/>
  <c r="I969" i="4"/>
  <c r="I968" i="4"/>
  <c r="I967" i="4"/>
  <c r="I966" i="4"/>
  <c r="I965" i="4"/>
  <c r="I964" i="4"/>
  <c r="I963" i="4"/>
  <c r="I962" i="4"/>
  <c r="I961" i="4"/>
  <c r="I960" i="4"/>
  <c r="I959" i="4"/>
  <c r="I958" i="4"/>
  <c r="I957" i="4"/>
  <c r="I956" i="4"/>
  <c r="I955" i="4"/>
  <c r="I954" i="4"/>
  <c r="I953" i="4"/>
  <c r="I952" i="4"/>
  <c r="I951" i="4"/>
  <c r="I950" i="4"/>
  <c r="I949" i="4"/>
  <c r="I948" i="4"/>
  <c r="I947" i="4"/>
  <c r="I946" i="4"/>
  <c r="I945" i="4"/>
  <c r="I944" i="4"/>
  <c r="I943" i="4"/>
  <c r="I942" i="4"/>
  <c r="I941" i="4"/>
  <c r="I940" i="4"/>
  <c r="I939" i="4"/>
  <c r="I938" i="4"/>
  <c r="I937" i="4"/>
  <c r="I936" i="4"/>
  <c r="I935" i="4"/>
  <c r="I934" i="4"/>
  <c r="I933" i="4"/>
  <c r="I932" i="4"/>
  <c r="I931" i="4"/>
  <c r="I930" i="4"/>
  <c r="I929" i="4"/>
  <c r="I928" i="4"/>
  <c r="I927" i="4"/>
  <c r="I926" i="4"/>
  <c r="I925" i="4"/>
  <c r="I924" i="4"/>
  <c r="I923" i="4"/>
  <c r="I922" i="4"/>
  <c r="I921" i="4"/>
  <c r="I920" i="4"/>
  <c r="I919" i="4"/>
  <c r="I918" i="4"/>
  <c r="I917" i="4"/>
  <c r="I916" i="4"/>
  <c r="I915" i="4"/>
  <c r="I914" i="4"/>
  <c r="I913" i="4"/>
  <c r="I912" i="4"/>
  <c r="I911" i="4"/>
  <c r="I910" i="4"/>
  <c r="I909" i="4"/>
  <c r="I908" i="4"/>
  <c r="I907" i="4"/>
  <c r="I906" i="4"/>
  <c r="I905" i="4"/>
  <c r="I904" i="4"/>
  <c r="I903" i="4"/>
  <c r="I902" i="4"/>
  <c r="I901" i="4"/>
  <c r="I900" i="4"/>
  <c r="I899" i="4"/>
  <c r="I898" i="4"/>
  <c r="I897" i="4"/>
  <c r="I896" i="4"/>
  <c r="I895" i="4"/>
  <c r="I894" i="4"/>
  <c r="I893" i="4"/>
  <c r="I892" i="4"/>
  <c r="I891" i="4"/>
  <c r="I890" i="4"/>
  <c r="I889" i="4"/>
  <c r="I888" i="4"/>
  <c r="I887" i="4"/>
  <c r="I886" i="4"/>
  <c r="I885" i="4"/>
  <c r="I884" i="4"/>
  <c r="I883" i="4"/>
  <c r="I882" i="4"/>
  <c r="I881" i="4"/>
  <c r="I880" i="4"/>
  <c r="I879" i="4"/>
  <c r="I878" i="4"/>
  <c r="I877" i="4"/>
  <c r="I876" i="4"/>
  <c r="I875" i="4"/>
  <c r="I874" i="4"/>
  <c r="I873" i="4"/>
  <c r="I872" i="4"/>
  <c r="I871" i="4"/>
  <c r="I870" i="4"/>
  <c r="I869" i="4"/>
  <c r="I868" i="4"/>
  <c r="I867" i="4"/>
  <c r="I866" i="4"/>
  <c r="I865" i="4"/>
  <c r="I864" i="4"/>
  <c r="I863" i="4"/>
  <c r="I862" i="4"/>
  <c r="I861" i="4"/>
  <c r="I860" i="4"/>
  <c r="I859" i="4"/>
  <c r="I858" i="4"/>
  <c r="I857" i="4"/>
  <c r="I856" i="4"/>
  <c r="I855" i="4"/>
  <c r="I854" i="4"/>
  <c r="I853" i="4"/>
  <c r="I852" i="4"/>
  <c r="I851" i="4"/>
  <c r="I850" i="4"/>
  <c r="I849" i="4"/>
  <c r="I848" i="4"/>
  <c r="I847" i="4"/>
  <c r="I846" i="4"/>
  <c r="I845" i="4"/>
  <c r="I844" i="4"/>
  <c r="I843" i="4"/>
  <c r="I842" i="4"/>
  <c r="I841" i="4"/>
  <c r="I840" i="4"/>
  <c r="I839" i="4"/>
  <c r="I838" i="4"/>
  <c r="I837" i="4"/>
  <c r="I836" i="4"/>
  <c r="I835" i="4"/>
  <c r="I834" i="4"/>
  <c r="I833" i="4"/>
  <c r="I832" i="4"/>
  <c r="I831" i="4"/>
  <c r="I830" i="4"/>
  <c r="I829" i="4"/>
  <c r="I828" i="4"/>
  <c r="I827" i="4"/>
  <c r="I826" i="4"/>
  <c r="I825" i="4"/>
  <c r="I824" i="4"/>
  <c r="I823" i="4"/>
  <c r="I822" i="4"/>
  <c r="I821" i="4"/>
  <c r="I820" i="4"/>
  <c r="I819" i="4"/>
  <c r="I818" i="4"/>
  <c r="I817" i="4"/>
  <c r="I816" i="4"/>
  <c r="I815" i="4"/>
  <c r="I814" i="4"/>
  <c r="I813" i="4"/>
  <c r="I812" i="4"/>
  <c r="I811" i="4"/>
  <c r="I810" i="4"/>
  <c r="I809" i="4"/>
  <c r="I808" i="4"/>
  <c r="I807" i="4"/>
  <c r="I806" i="4"/>
  <c r="I805" i="4"/>
  <c r="I804" i="4"/>
  <c r="I803" i="4"/>
  <c r="I802" i="4"/>
  <c r="I801" i="4"/>
  <c r="I800" i="4"/>
  <c r="I799" i="4"/>
  <c r="I798" i="4"/>
  <c r="I797" i="4"/>
  <c r="I796" i="4"/>
  <c r="I795" i="4"/>
  <c r="I794" i="4"/>
  <c r="I793" i="4"/>
  <c r="I792" i="4"/>
  <c r="I791" i="4"/>
  <c r="I790" i="4"/>
  <c r="I789" i="4"/>
  <c r="I788" i="4"/>
  <c r="I787" i="4"/>
  <c r="I786" i="4"/>
  <c r="I785" i="4"/>
  <c r="I784" i="4"/>
  <c r="I783" i="4"/>
  <c r="I782" i="4"/>
  <c r="I781" i="4"/>
  <c r="I780" i="4"/>
  <c r="I779" i="4"/>
  <c r="I778" i="4"/>
  <c r="I777" i="4"/>
  <c r="I776" i="4"/>
  <c r="I775" i="4"/>
  <c r="I774" i="4"/>
  <c r="I773" i="4"/>
  <c r="I772" i="4"/>
  <c r="I771" i="4"/>
  <c r="I770" i="4"/>
  <c r="I769" i="4"/>
  <c r="I768" i="4"/>
  <c r="I767" i="4"/>
  <c r="I766" i="4"/>
  <c r="I765" i="4"/>
  <c r="I764" i="4"/>
  <c r="I763" i="4"/>
  <c r="I762" i="4"/>
  <c r="I761" i="4"/>
  <c r="I760" i="4"/>
  <c r="I759" i="4"/>
  <c r="I758" i="4"/>
  <c r="I757" i="4"/>
  <c r="I756" i="4"/>
  <c r="I755" i="4"/>
  <c r="I754" i="4"/>
  <c r="I753" i="4"/>
  <c r="I752" i="4"/>
  <c r="I751" i="4"/>
  <c r="I750" i="4"/>
  <c r="I749" i="4"/>
  <c r="I748" i="4"/>
  <c r="I747" i="4"/>
  <c r="I746" i="4"/>
  <c r="I745" i="4"/>
  <c r="I744" i="4"/>
  <c r="I743" i="4"/>
  <c r="I742" i="4"/>
  <c r="I741" i="4"/>
  <c r="I740" i="4"/>
  <c r="I739" i="4"/>
  <c r="I738" i="4"/>
  <c r="I737" i="4"/>
  <c r="I736" i="4"/>
  <c r="I735" i="4"/>
  <c r="I734" i="4"/>
  <c r="I733" i="4"/>
  <c r="I732" i="4"/>
  <c r="I731" i="4"/>
  <c r="I730" i="4"/>
  <c r="I729" i="4"/>
  <c r="I728" i="4"/>
  <c r="I727" i="4"/>
  <c r="I726" i="4"/>
  <c r="I725" i="4"/>
  <c r="I724" i="4"/>
  <c r="I723" i="4"/>
  <c r="I722" i="4"/>
  <c r="I721" i="4"/>
  <c r="I720" i="4"/>
  <c r="I719" i="4"/>
  <c r="I718" i="4"/>
  <c r="I717" i="4"/>
  <c r="I716" i="4"/>
  <c r="I715" i="4"/>
  <c r="I714" i="4"/>
  <c r="I713" i="4"/>
  <c r="I712" i="4"/>
  <c r="I711" i="4"/>
  <c r="I710" i="4"/>
  <c r="I709" i="4"/>
  <c r="I708" i="4"/>
  <c r="I707" i="4"/>
  <c r="I706" i="4"/>
  <c r="I705" i="4"/>
  <c r="I704" i="4"/>
  <c r="I703" i="4"/>
  <c r="I702" i="4"/>
  <c r="I701" i="4"/>
  <c r="I700" i="4"/>
  <c r="I699" i="4"/>
  <c r="I698" i="4"/>
  <c r="I697" i="4"/>
  <c r="I696" i="4"/>
  <c r="I695" i="4"/>
  <c r="I694" i="4"/>
  <c r="I693" i="4"/>
  <c r="I692" i="4"/>
  <c r="I691" i="4"/>
  <c r="I690" i="4"/>
  <c r="I689" i="4"/>
  <c r="I688" i="4"/>
  <c r="I687" i="4"/>
  <c r="I686" i="4"/>
  <c r="I685" i="4"/>
  <c r="I684" i="4"/>
  <c r="I683" i="4"/>
  <c r="I682" i="4"/>
  <c r="I681" i="4"/>
  <c r="I680" i="4"/>
  <c r="I679" i="4"/>
  <c r="I678" i="4"/>
  <c r="I677" i="4"/>
  <c r="I676" i="4"/>
  <c r="I675" i="4"/>
  <c r="I674" i="4"/>
  <c r="I673" i="4"/>
  <c r="I672" i="4"/>
  <c r="I671" i="4"/>
  <c r="I670" i="4"/>
  <c r="I669" i="4"/>
  <c r="I668" i="4"/>
  <c r="I667" i="4"/>
  <c r="I666" i="4"/>
  <c r="I665" i="4"/>
  <c r="I664" i="4"/>
  <c r="I663" i="4"/>
  <c r="I662" i="4"/>
  <c r="I661" i="4"/>
  <c r="I660" i="4"/>
  <c r="I659" i="4"/>
  <c r="I658" i="4"/>
  <c r="I657" i="4"/>
  <c r="I656" i="4"/>
  <c r="I655" i="4"/>
  <c r="I654" i="4"/>
  <c r="I653" i="4"/>
  <c r="I652" i="4"/>
  <c r="I651" i="4"/>
  <c r="I650" i="4"/>
  <c r="I649" i="4"/>
  <c r="I648" i="4"/>
  <c r="I647" i="4"/>
  <c r="I646" i="4"/>
  <c r="I645" i="4"/>
  <c r="I644" i="4"/>
  <c r="I643" i="4"/>
  <c r="I642" i="4"/>
  <c r="I641" i="4"/>
  <c r="I640" i="4"/>
  <c r="I639" i="4"/>
  <c r="I638" i="4"/>
  <c r="I637" i="4"/>
  <c r="I636" i="4"/>
  <c r="I635" i="4"/>
  <c r="I634" i="4"/>
  <c r="I633" i="4"/>
  <c r="I632" i="4"/>
  <c r="I631" i="4"/>
  <c r="I630" i="4"/>
  <c r="I629" i="4"/>
  <c r="I628" i="4"/>
  <c r="I627" i="4"/>
  <c r="I626" i="4"/>
  <c r="I625" i="4"/>
  <c r="I624" i="4"/>
  <c r="I623" i="4"/>
  <c r="I622" i="4"/>
  <c r="I621" i="4"/>
  <c r="I620" i="4"/>
  <c r="I619" i="4"/>
  <c r="I618" i="4"/>
  <c r="I617" i="4"/>
  <c r="I616" i="4"/>
  <c r="I615" i="4"/>
  <c r="I614" i="4"/>
  <c r="I613" i="4"/>
  <c r="I612" i="4"/>
  <c r="I611" i="4"/>
  <c r="I610" i="4"/>
  <c r="I609" i="4"/>
  <c r="I608" i="4"/>
  <c r="I607" i="4"/>
  <c r="I606" i="4"/>
  <c r="I605" i="4"/>
  <c r="I604" i="4"/>
  <c r="I603" i="4"/>
  <c r="I602" i="4"/>
  <c r="I601" i="4"/>
  <c r="I600" i="4"/>
  <c r="I599" i="4"/>
  <c r="I598" i="4"/>
  <c r="I597" i="4"/>
  <c r="I596" i="4"/>
  <c r="I595" i="4"/>
  <c r="I594" i="4"/>
  <c r="I593" i="4"/>
  <c r="I592" i="4"/>
  <c r="I591" i="4"/>
  <c r="I590" i="4"/>
  <c r="I589" i="4"/>
  <c r="I588" i="4"/>
  <c r="I587" i="4"/>
  <c r="I586" i="4"/>
  <c r="I585" i="4"/>
  <c r="I584" i="4"/>
  <c r="I583" i="4"/>
  <c r="I582" i="4"/>
  <c r="I581" i="4"/>
  <c r="I580" i="4"/>
  <c r="I579" i="4"/>
  <c r="I578" i="4"/>
  <c r="I577" i="4"/>
  <c r="I576" i="4"/>
  <c r="I575" i="4"/>
  <c r="I574" i="4"/>
  <c r="I573" i="4"/>
  <c r="I572" i="4"/>
  <c r="I571" i="4"/>
  <c r="I570" i="4"/>
  <c r="I569" i="4"/>
  <c r="I568" i="4"/>
  <c r="I567" i="4"/>
  <c r="I566" i="4"/>
  <c r="I565" i="4"/>
  <c r="I564" i="4"/>
  <c r="I563" i="4"/>
  <c r="I562" i="4"/>
  <c r="I561" i="4"/>
  <c r="I560" i="4"/>
  <c r="I559" i="4"/>
  <c r="I558" i="4"/>
  <c r="I557" i="4"/>
  <c r="I556" i="4"/>
  <c r="I555" i="4"/>
  <c r="I554" i="4"/>
  <c r="I553" i="4"/>
  <c r="I552" i="4"/>
  <c r="I551" i="4"/>
  <c r="I550" i="4"/>
  <c r="I549" i="4"/>
  <c r="I548" i="4"/>
  <c r="I547" i="4"/>
  <c r="I546" i="4"/>
  <c r="I545" i="4"/>
  <c r="I544" i="4"/>
  <c r="I543" i="4"/>
  <c r="I542" i="4"/>
  <c r="I541" i="4"/>
  <c r="I540" i="4"/>
  <c r="I539" i="4"/>
  <c r="I538" i="4"/>
  <c r="I537" i="4"/>
  <c r="I536" i="4"/>
  <c r="I535" i="4"/>
  <c r="I534" i="4"/>
  <c r="I533" i="4"/>
  <c r="I532" i="4"/>
  <c r="I531" i="4"/>
  <c r="I530" i="4"/>
  <c r="I529" i="4"/>
  <c r="I528" i="4"/>
  <c r="I527" i="4"/>
  <c r="I526" i="4"/>
  <c r="I525" i="4"/>
  <c r="I524" i="4"/>
  <c r="I523" i="4"/>
  <c r="I522" i="4"/>
  <c r="I521" i="4"/>
  <c r="I520" i="4"/>
  <c r="I519" i="4"/>
  <c r="I518" i="4"/>
  <c r="I517" i="4"/>
  <c r="I516" i="4"/>
  <c r="I515" i="4"/>
  <c r="I514" i="4"/>
  <c r="I513" i="4"/>
  <c r="I512" i="4"/>
  <c r="I511" i="4"/>
  <c r="I510" i="4"/>
  <c r="I509" i="4"/>
  <c r="I508" i="4"/>
  <c r="I507" i="4"/>
  <c r="I506" i="4"/>
  <c r="I505" i="4"/>
  <c r="I504" i="4"/>
  <c r="I503" i="4"/>
  <c r="I502" i="4"/>
  <c r="I501" i="4"/>
  <c r="I500" i="4"/>
  <c r="I499" i="4"/>
  <c r="I498" i="4"/>
  <c r="I497" i="4"/>
  <c r="I496" i="4"/>
  <c r="I495" i="4"/>
  <c r="I494" i="4"/>
  <c r="I493" i="4"/>
  <c r="I492" i="4"/>
  <c r="I491" i="4"/>
  <c r="I490" i="4"/>
  <c r="I489" i="4"/>
  <c r="I488" i="4"/>
  <c r="I487" i="4"/>
  <c r="I486" i="4"/>
  <c r="I485" i="4"/>
  <c r="I484" i="4"/>
  <c r="I483" i="4"/>
  <c r="I482" i="4"/>
  <c r="I481" i="4"/>
  <c r="I480" i="4"/>
  <c r="I479" i="4"/>
  <c r="I478" i="4"/>
  <c r="I477" i="4"/>
  <c r="I476" i="4"/>
  <c r="I475" i="4"/>
  <c r="I474" i="4"/>
  <c r="I473" i="4"/>
  <c r="I472" i="4"/>
  <c r="I471" i="4"/>
  <c r="I470" i="4"/>
  <c r="I469" i="4"/>
  <c r="I468" i="4"/>
  <c r="I467" i="4"/>
  <c r="I466" i="4"/>
  <c r="I465" i="4"/>
  <c r="I464" i="4"/>
  <c r="I463" i="4"/>
  <c r="I462" i="4"/>
  <c r="I461" i="4"/>
  <c r="I460" i="4"/>
  <c r="I459" i="4"/>
  <c r="I458" i="4"/>
  <c r="I457" i="4"/>
  <c r="I456" i="4"/>
  <c r="I455" i="4"/>
  <c r="I454" i="4"/>
  <c r="I453" i="4"/>
  <c r="I452" i="4"/>
  <c r="I451" i="4"/>
  <c r="I450" i="4"/>
  <c r="I449" i="4"/>
  <c r="I448" i="4"/>
  <c r="I447" i="4"/>
  <c r="I446" i="4"/>
  <c r="I445" i="4"/>
  <c r="I444" i="4"/>
  <c r="I443" i="4"/>
  <c r="I442" i="4"/>
  <c r="I441" i="4"/>
  <c r="I440" i="4"/>
  <c r="I439" i="4"/>
  <c r="I438" i="4"/>
  <c r="I437" i="4"/>
  <c r="I436" i="4"/>
  <c r="I435" i="4"/>
  <c r="I434" i="4"/>
  <c r="I433" i="4"/>
  <c r="I432" i="4"/>
  <c r="I431" i="4"/>
  <c r="I430" i="4"/>
  <c r="I429" i="4"/>
  <c r="I428" i="4"/>
  <c r="I427" i="4"/>
  <c r="I426" i="4"/>
  <c r="I425" i="4"/>
  <c r="I424" i="4"/>
  <c r="I423" i="4"/>
  <c r="I422" i="4"/>
  <c r="I421" i="4"/>
  <c r="I420" i="4"/>
  <c r="I419" i="4"/>
  <c r="I418" i="4"/>
  <c r="I417" i="4"/>
  <c r="I416" i="4"/>
  <c r="I415" i="4"/>
  <c r="I414" i="4"/>
  <c r="I413" i="4"/>
  <c r="I412" i="4"/>
  <c r="I411" i="4"/>
  <c r="I410" i="4"/>
  <c r="I409" i="4"/>
  <c r="I408" i="4"/>
  <c r="I407" i="4"/>
  <c r="I406" i="4"/>
  <c r="I405" i="4"/>
  <c r="I404" i="4"/>
  <c r="I403" i="4"/>
  <c r="I402" i="4"/>
  <c r="I401" i="4"/>
  <c r="I400" i="4"/>
  <c r="I399" i="4"/>
  <c r="I398" i="4"/>
  <c r="I397" i="4"/>
  <c r="I396" i="4"/>
  <c r="I395" i="4"/>
  <c r="I394" i="4"/>
  <c r="I393" i="4"/>
  <c r="I392" i="4"/>
  <c r="I391" i="4"/>
  <c r="I390" i="4"/>
  <c r="I389" i="4"/>
  <c r="I388" i="4"/>
  <c r="I387" i="4"/>
  <c r="I386" i="4"/>
  <c r="I385" i="4"/>
  <c r="I384" i="4"/>
  <c r="I383" i="4"/>
  <c r="I382" i="4"/>
  <c r="I381" i="4"/>
  <c r="I380" i="4"/>
  <c r="I379" i="4"/>
  <c r="I378" i="4"/>
  <c r="I377" i="4"/>
  <c r="I376" i="4"/>
  <c r="I375" i="4"/>
  <c r="I374" i="4"/>
  <c r="I373" i="4"/>
  <c r="I372" i="4"/>
  <c r="I371" i="4"/>
  <c r="I370" i="4"/>
  <c r="I369" i="4"/>
  <c r="I368" i="4"/>
  <c r="I367" i="4"/>
  <c r="I366" i="4"/>
  <c r="I365" i="4"/>
  <c r="I364" i="4"/>
  <c r="I363" i="4"/>
  <c r="I362" i="4"/>
  <c r="I361" i="4"/>
  <c r="I360" i="4"/>
  <c r="I359" i="4"/>
  <c r="I358" i="4"/>
  <c r="I357" i="4"/>
  <c r="I356" i="4"/>
  <c r="I355" i="4"/>
  <c r="I354" i="4"/>
  <c r="I353" i="4"/>
  <c r="I352" i="4"/>
  <c r="I351" i="4"/>
  <c r="I350" i="4"/>
  <c r="I349" i="4"/>
  <c r="I348" i="4"/>
  <c r="I347" i="4"/>
  <c r="I346" i="4"/>
  <c r="I345" i="4"/>
  <c r="I344" i="4"/>
  <c r="I343" i="4"/>
  <c r="I342" i="4"/>
  <c r="I341" i="4"/>
  <c r="I340" i="4"/>
  <c r="I339" i="4"/>
  <c r="I338" i="4"/>
  <c r="I337" i="4"/>
  <c r="I336" i="4"/>
  <c r="I335" i="4"/>
  <c r="I334" i="4"/>
  <c r="I333" i="4"/>
  <c r="I332" i="4"/>
  <c r="I331" i="4"/>
  <c r="I330" i="4"/>
  <c r="I329" i="4"/>
  <c r="I328" i="4"/>
  <c r="I327" i="4"/>
  <c r="I326" i="4"/>
  <c r="I325" i="4"/>
  <c r="I324" i="4"/>
  <c r="I323" i="4"/>
  <c r="I322" i="4"/>
  <c r="I321" i="4"/>
  <c r="I320" i="4"/>
  <c r="I319" i="4"/>
  <c r="I318" i="4"/>
  <c r="I317" i="4"/>
  <c r="I316" i="4"/>
  <c r="I315" i="4"/>
  <c r="I314" i="4"/>
  <c r="I313" i="4"/>
  <c r="I312" i="4"/>
  <c r="I311" i="4"/>
  <c r="I310" i="4"/>
  <c r="I309" i="4"/>
  <c r="I308" i="4"/>
  <c r="I307" i="4"/>
  <c r="I306" i="4"/>
  <c r="I305" i="4"/>
  <c r="I304" i="4"/>
  <c r="I302" i="4"/>
  <c r="I301" i="4"/>
  <c r="I300" i="4"/>
  <c r="I299" i="4"/>
  <c r="I298" i="4"/>
  <c r="I297" i="4"/>
  <c r="I296" i="4"/>
  <c r="I295" i="4"/>
  <c r="I294" i="4"/>
  <c r="I293" i="4"/>
  <c r="I292" i="4"/>
  <c r="I291" i="4"/>
  <c r="I290" i="4"/>
  <c r="I289" i="4"/>
  <c r="I288" i="4"/>
  <c r="I287" i="4"/>
  <c r="I286" i="4"/>
  <c r="I285" i="4"/>
  <c r="I284" i="4"/>
  <c r="I283" i="4"/>
  <c r="I282" i="4"/>
  <c r="I281" i="4"/>
  <c r="I280" i="4"/>
  <c r="I279" i="4"/>
  <c r="I278" i="4"/>
  <c r="I277" i="4"/>
  <c r="I276" i="4"/>
  <c r="I275" i="4"/>
  <c r="I274" i="4"/>
  <c r="I273" i="4"/>
  <c r="I272" i="4"/>
  <c r="I271" i="4"/>
  <c r="I270" i="4"/>
  <c r="I269" i="4"/>
  <c r="I268" i="4"/>
  <c r="I267" i="4"/>
  <c r="I266" i="4"/>
  <c r="I265" i="4"/>
  <c r="I264" i="4"/>
  <c r="I263" i="4"/>
  <c r="I262" i="4"/>
  <c r="I261" i="4"/>
  <c r="I260" i="4"/>
  <c r="I259" i="4"/>
  <c r="I258" i="4"/>
  <c r="I257" i="4"/>
  <c r="I256" i="4"/>
  <c r="I255" i="4"/>
  <c r="I254" i="4"/>
  <c r="I253" i="4"/>
  <c r="I252" i="4"/>
  <c r="I251" i="4"/>
  <c r="I250" i="4"/>
  <c r="I249" i="4"/>
  <c r="I248" i="4"/>
  <c r="I247" i="4"/>
  <c r="I246" i="4"/>
  <c r="I245" i="4"/>
  <c r="I244" i="4"/>
  <c r="I243" i="4"/>
  <c r="I242" i="4"/>
  <c r="I241" i="4"/>
  <c r="I240" i="4"/>
  <c r="I239" i="4"/>
  <c r="I238" i="4"/>
  <c r="I237" i="4"/>
  <c r="I236" i="4"/>
  <c r="I235" i="4"/>
  <c r="I234" i="4"/>
  <c r="I233" i="4"/>
  <c r="I232" i="4"/>
  <c r="I231" i="4"/>
  <c r="I230" i="4"/>
  <c r="I229" i="4"/>
  <c r="I228" i="4"/>
  <c r="I227" i="4"/>
  <c r="I226" i="4"/>
  <c r="I225" i="4"/>
  <c r="I224" i="4"/>
  <c r="I223" i="4"/>
  <c r="I222" i="4"/>
  <c r="I221" i="4"/>
  <c r="I220" i="4"/>
  <c r="I219" i="4"/>
  <c r="I218" i="4"/>
  <c r="I217" i="4"/>
  <c r="I216" i="4"/>
  <c r="I215" i="4"/>
  <c r="I214" i="4"/>
  <c r="I213" i="4"/>
  <c r="I212" i="4"/>
  <c r="I211" i="4"/>
  <c r="I210" i="4"/>
  <c r="I209" i="4"/>
  <c r="I208" i="4"/>
  <c r="I207" i="4"/>
  <c r="I206" i="4"/>
  <c r="I205" i="4"/>
  <c r="I204" i="4"/>
  <c r="I203" i="4"/>
  <c r="I202" i="4"/>
  <c r="I201" i="4"/>
  <c r="I200" i="4"/>
  <c r="I199" i="4"/>
  <c r="I198" i="4"/>
  <c r="I197" i="4"/>
  <c r="I196" i="4"/>
  <c r="I195" i="4"/>
  <c r="I194" i="4"/>
  <c r="I193" i="4"/>
  <c r="I192" i="4"/>
  <c r="I191" i="4"/>
  <c r="I190" i="4"/>
  <c r="I189" i="4"/>
  <c r="I188" i="4"/>
  <c r="I187" i="4"/>
  <c r="I186" i="4"/>
  <c r="I185" i="4"/>
  <c r="I184" i="4"/>
  <c r="I183" i="4"/>
  <c r="I182" i="4"/>
  <c r="I181" i="4"/>
  <c r="I180" i="4"/>
  <c r="I179" i="4"/>
  <c r="I178" i="4"/>
  <c r="I177" i="4"/>
  <c r="I176" i="4"/>
  <c r="I175" i="4"/>
  <c r="I174" i="4"/>
  <c r="I173" i="4"/>
  <c r="I172" i="4"/>
  <c r="I171" i="4"/>
  <c r="I170" i="4"/>
  <c r="I169" i="4"/>
  <c r="I168" i="4"/>
  <c r="I167" i="4"/>
  <c r="I166" i="4"/>
  <c r="I165" i="4"/>
  <c r="I164" i="4"/>
  <c r="I163" i="4"/>
  <c r="I162" i="4"/>
  <c r="I161" i="4"/>
  <c r="I160" i="4"/>
  <c r="I159" i="4"/>
  <c r="I158" i="4"/>
  <c r="I157" i="4"/>
  <c r="I156" i="4"/>
  <c r="I155" i="4"/>
  <c r="I154" i="4"/>
  <c r="I153" i="4"/>
  <c r="I152" i="4"/>
  <c r="I151" i="4"/>
  <c r="I150" i="4"/>
  <c r="I149" i="4"/>
  <c r="I148" i="4"/>
  <c r="I147" i="4"/>
  <c r="I146" i="4"/>
  <c r="I145" i="4"/>
  <c r="I144" i="4"/>
  <c r="I143" i="4"/>
  <c r="I142" i="4"/>
  <c r="I141" i="4"/>
  <c r="I140" i="4"/>
  <c r="I139" i="4"/>
  <c r="I138" i="4"/>
  <c r="I137" i="4"/>
  <c r="I136" i="4"/>
  <c r="I135" i="4"/>
  <c r="I134" i="4"/>
  <c r="I133" i="4"/>
  <c r="I132" i="4"/>
  <c r="I131" i="4"/>
  <c r="I130" i="4"/>
  <c r="I129" i="4"/>
  <c r="I128" i="4"/>
  <c r="I127" i="4"/>
  <c r="I126" i="4"/>
  <c r="I125" i="4"/>
  <c r="I124" i="4"/>
  <c r="I123" i="4"/>
  <c r="I122" i="4"/>
  <c r="I121" i="4"/>
  <c r="I120" i="4"/>
  <c r="I119" i="4"/>
  <c r="I118" i="4"/>
  <c r="I117" i="4"/>
  <c r="I116" i="4"/>
  <c r="I115" i="4"/>
  <c r="I114" i="4"/>
  <c r="I113" i="4"/>
  <c r="I112" i="4"/>
  <c r="I111" i="4"/>
  <c r="I110" i="4"/>
  <c r="I109" i="4"/>
  <c r="I108" i="4"/>
  <c r="I107" i="4"/>
  <c r="I106" i="4"/>
  <c r="I105" i="4"/>
  <c r="I104" i="4"/>
  <c r="I103" i="4"/>
  <c r="I102" i="4"/>
  <c r="I101" i="4"/>
  <c r="I100" i="4"/>
  <c r="I99" i="4"/>
  <c r="I98" i="4"/>
  <c r="I97" i="4"/>
  <c r="I96" i="4"/>
  <c r="I95" i="4"/>
  <c r="I94" i="4"/>
  <c r="I93" i="4"/>
  <c r="I92" i="4"/>
  <c r="I91" i="4"/>
  <c r="I90" i="4"/>
  <c r="I89" i="4"/>
  <c r="I88" i="4"/>
  <c r="I87" i="4"/>
  <c r="I86" i="4"/>
  <c r="I85" i="4"/>
  <c r="I84" i="4"/>
  <c r="I83" i="4"/>
  <c r="I82" i="4"/>
  <c r="I81" i="4"/>
  <c r="I80" i="4"/>
  <c r="I79" i="4"/>
  <c r="I78" i="4"/>
  <c r="I77" i="4"/>
  <c r="I76" i="4"/>
  <c r="I75" i="4"/>
  <c r="I74" i="4"/>
  <c r="I73" i="4"/>
  <c r="I72" i="4"/>
  <c r="I71" i="4"/>
  <c r="I70" i="4"/>
  <c r="I69" i="4"/>
  <c r="I68" i="4"/>
  <c r="I67" i="4"/>
  <c r="I66" i="4"/>
  <c r="I65" i="4"/>
  <c r="I64" i="4"/>
  <c r="I63" i="4"/>
  <c r="I62" i="4"/>
  <c r="I61" i="4"/>
  <c r="I60" i="4"/>
  <c r="I59" i="4"/>
  <c r="I58" i="4"/>
  <c r="I57" i="4"/>
  <c r="I56" i="4"/>
  <c r="I55" i="4"/>
  <c r="I54" i="4"/>
  <c r="I53" i="4"/>
  <c r="I52" i="4"/>
  <c r="I51" i="4"/>
  <c r="I50" i="4"/>
  <c r="I49" i="4"/>
  <c r="I48" i="4"/>
  <c r="I47" i="4"/>
  <c r="I46" i="4"/>
  <c r="I45" i="4"/>
  <c r="I44" i="4"/>
  <c r="I43" i="4"/>
  <c r="I42" i="4"/>
  <c r="I41" i="4"/>
  <c r="I40" i="4"/>
  <c r="I39" i="4"/>
  <c r="I38" i="4"/>
  <c r="I37" i="4"/>
  <c r="I36" i="4"/>
  <c r="I35" i="4"/>
  <c r="I34" i="4"/>
  <c r="I33" i="4"/>
  <c r="I32" i="4"/>
  <c r="I31" i="4"/>
  <c r="I30" i="4"/>
  <c r="I29" i="4"/>
  <c r="I28" i="4"/>
  <c r="I27" i="4"/>
  <c r="I26" i="4"/>
  <c r="I25" i="4"/>
  <c r="I24" i="4"/>
  <c r="I23" i="4"/>
  <c r="I22" i="4"/>
  <c r="I21" i="4"/>
  <c r="I20" i="4"/>
  <c r="I19" i="4"/>
  <c r="I18" i="4"/>
  <c r="I17" i="4"/>
  <c r="I16" i="4"/>
  <c r="I15" i="4"/>
  <c r="I14" i="4"/>
  <c r="I13" i="4"/>
  <c r="I12" i="4"/>
  <c r="I11" i="4"/>
  <c r="I10" i="4"/>
  <c r="I9" i="4"/>
  <c r="I8" i="4"/>
  <c r="I7" i="4"/>
  <c r="I6" i="4"/>
  <c r="I5" i="4"/>
  <c r="I4" i="4"/>
  <c r="I3" i="4"/>
  <c r="G1313" i="4"/>
  <c r="G1312" i="4"/>
  <c r="G1311" i="4"/>
  <c r="G1310" i="4"/>
  <c r="G1309" i="4"/>
  <c r="G1308" i="4"/>
  <c r="G1307" i="4"/>
  <c r="G1306" i="4"/>
  <c r="G1305" i="4"/>
  <c r="G1304" i="4"/>
  <c r="G1303" i="4"/>
  <c r="G1302" i="4"/>
  <c r="G1301" i="4"/>
  <c r="G1300" i="4"/>
  <c r="G1299" i="4"/>
  <c r="G1298" i="4"/>
  <c r="G1297" i="4"/>
  <c r="G1296" i="4"/>
  <c r="G1295" i="4"/>
  <c r="G1294" i="4"/>
  <c r="G1293" i="4"/>
  <c r="G1292" i="4"/>
  <c r="G1291" i="4"/>
  <c r="G1290" i="4"/>
  <c r="G1289" i="4"/>
  <c r="G1288" i="4"/>
  <c r="G1287" i="4"/>
  <c r="G1286" i="4"/>
  <c r="G1285" i="4"/>
  <c r="G1284" i="4"/>
  <c r="G1283" i="4"/>
  <c r="G1282" i="4"/>
  <c r="G1281" i="4"/>
  <c r="G1280" i="4"/>
  <c r="G1279" i="4"/>
  <c r="G1278" i="4"/>
  <c r="G1277" i="4"/>
  <c r="G1276" i="4"/>
  <c r="G1275" i="4"/>
  <c r="G1274" i="4"/>
  <c r="G1273" i="4"/>
  <c r="G1272" i="4"/>
  <c r="G1271" i="4"/>
  <c r="G1270" i="4"/>
  <c r="G1269" i="4"/>
  <c r="G1268" i="4"/>
  <c r="G1267" i="4"/>
  <c r="G1266" i="4"/>
  <c r="G1265" i="4"/>
  <c r="G1264" i="4"/>
  <c r="G1263" i="4"/>
  <c r="G1262" i="4"/>
  <c r="G1261" i="4"/>
  <c r="G1260" i="4"/>
  <c r="G1259" i="4"/>
  <c r="G1258" i="4"/>
  <c r="G1257" i="4"/>
  <c r="G1256" i="4"/>
  <c r="G1255" i="4"/>
  <c r="G1254" i="4"/>
  <c r="G1253" i="4"/>
  <c r="G1252" i="4"/>
  <c r="G1251" i="4"/>
  <c r="G1250" i="4"/>
  <c r="G1249" i="4"/>
  <c r="G1248" i="4"/>
  <c r="G1247" i="4"/>
  <c r="G1246" i="4"/>
  <c r="G1245" i="4"/>
  <c r="G1244" i="4"/>
  <c r="G1243" i="4"/>
  <c r="G1242" i="4"/>
  <c r="G1241" i="4"/>
  <c r="G1240" i="4"/>
  <c r="G1239" i="4"/>
  <c r="G1238" i="4"/>
  <c r="G1237" i="4"/>
  <c r="G1236" i="4"/>
  <c r="G1235" i="4"/>
  <c r="G1234" i="4"/>
  <c r="G1233" i="4"/>
  <c r="G1232" i="4"/>
  <c r="G1231" i="4"/>
  <c r="G1230" i="4"/>
  <c r="G1229" i="4"/>
  <c r="G1228" i="4"/>
  <c r="G1227" i="4"/>
  <c r="G1226" i="4"/>
  <c r="G1225" i="4"/>
  <c r="G1224" i="4"/>
  <c r="G1223" i="4"/>
  <c r="G1222" i="4"/>
  <c r="G1221" i="4"/>
  <c r="G1220" i="4"/>
  <c r="G1219" i="4"/>
  <c r="G1218" i="4"/>
  <c r="G1217" i="4"/>
  <c r="G1216" i="4"/>
  <c r="G1215" i="4"/>
  <c r="G1214" i="4"/>
  <c r="G1213" i="4"/>
  <c r="G1212" i="4"/>
  <c r="G1211" i="4"/>
  <c r="G1210" i="4"/>
  <c r="G1209" i="4"/>
  <c r="G1208" i="4"/>
  <c r="G1207" i="4"/>
  <c r="G1206" i="4"/>
  <c r="G1205" i="4"/>
  <c r="G1204" i="4"/>
  <c r="G1203" i="4"/>
  <c r="G1202" i="4"/>
  <c r="G1201" i="4"/>
  <c r="G1200" i="4"/>
  <c r="G1199" i="4"/>
  <c r="G1198" i="4"/>
  <c r="G1197" i="4"/>
  <c r="G1196" i="4"/>
  <c r="G1195" i="4"/>
  <c r="G1194" i="4"/>
  <c r="G1193" i="4"/>
  <c r="G1192" i="4"/>
  <c r="G1191" i="4"/>
  <c r="G1190" i="4"/>
  <c r="G1189" i="4"/>
  <c r="G1188" i="4"/>
  <c r="G1187" i="4"/>
  <c r="G1186" i="4"/>
  <c r="G1185" i="4"/>
  <c r="G1184" i="4"/>
  <c r="G1183" i="4"/>
  <c r="G1182" i="4"/>
  <c r="G1181" i="4"/>
  <c r="G1180" i="4"/>
  <c r="G1179" i="4"/>
  <c r="G1178" i="4"/>
  <c r="G1177" i="4"/>
  <c r="G1176" i="4"/>
  <c r="G1175" i="4"/>
  <c r="G1174" i="4"/>
  <c r="G1173" i="4"/>
  <c r="G1172" i="4"/>
  <c r="G1171" i="4"/>
  <c r="G1170" i="4"/>
  <c r="G1169" i="4"/>
  <c r="G1168" i="4"/>
  <c r="G1167" i="4"/>
  <c r="G1166" i="4"/>
  <c r="G1165" i="4"/>
  <c r="G1164" i="4"/>
  <c r="G1163" i="4"/>
  <c r="G1162" i="4"/>
  <c r="G1161" i="4"/>
  <c r="G1160" i="4"/>
  <c r="G1159" i="4"/>
  <c r="G1158" i="4"/>
  <c r="G1157" i="4"/>
  <c r="G1156" i="4"/>
  <c r="G1155" i="4"/>
  <c r="G1154" i="4"/>
  <c r="G1153" i="4"/>
  <c r="G1152" i="4"/>
  <c r="G1151" i="4"/>
  <c r="G1150" i="4"/>
  <c r="G1149" i="4"/>
  <c r="G1148" i="4"/>
  <c r="G1147" i="4"/>
  <c r="G1146" i="4"/>
  <c r="G1145" i="4"/>
  <c r="G1144" i="4"/>
  <c r="G1143" i="4"/>
  <c r="G1142" i="4"/>
  <c r="G1141" i="4"/>
  <c r="G1140" i="4"/>
  <c r="G1139" i="4"/>
  <c r="G1138" i="4"/>
  <c r="G1137" i="4"/>
  <c r="G1136" i="4"/>
  <c r="G1135" i="4"/>
  <c r="G1134" i="4"/>
  <c r="G1133" i="4"/>
  <c r="G1132" i="4"/>
  <c r="G1131" i="4"/>
  <c r="G1130" i="4"/>
  <c r="G1129" i="4"/>
  <c r="G1128" i="4"/>
  <c r="G1127" i="4"/>
  <c r="G1126" i="4"/>
  <c r="G1125" i="4"/>
  <c r="G1124" i="4"/>
  <c r="G1123" i="4"/>
  <c r="G1122" i="4"/>
  <c r="G1121" i="4"/>
  <c r="G1120" i="4"/>
  <c r="G1119" i="4"/>
  <c r="G1118" i="4"/>
  <c r="G1117" i="4"/>
  <c r="G1116" i="4"/>
  <c r="G1115" i="4"/>
  <c r="G1114" i="4"/>
  <c r="G1113" i="4"/>
  <c r="G1112" i="4"/>
  <c r="G1111" i="4"/>
  <c r="G1110" i="4"/>
  <c r="G1109" i="4"/>
  <c r="G1108" i="4"/>
  <c r="G1107" i="4"/>
  <c r="G1106" i="4"/>
  <c r="G1105" i="4"/>
  <c r="G1104" i="4"/>
  <c r="G1103" i="4"/>
  <c r="G1102" i="4"/>
  <c r="G1101" i="4"/>
  <c r="G1100" i="4"/>
  <c r="G1099" i="4"/>
  <c r="G1098" i="4"/>
  <c r="G1097" i="4"/>
  <c r="G1096" i="4"/>
  <c r="G1095" i="4"/>
  <c r="G1094" i="4"/>
  <c r="G1093" i="4"/>
  <c r="G1092" i="4"/>
  <c r="G1091" i="4"/>
  <c r="G1090" i="4"/>
  <c r="G1089" i="4"/>
  <c r="G1088" i="4"/>
  <c r="G1087" i="4"/>
  <c r="G1086" i="4"/>
  <c r="G1085" i="4"/>
  <c r="G1084" i="4"/>
  <c r="G1083" i="4"/>
  <c r="G1082" i="4"/>
  <c r="G1081" i="4"/>
  <c r="G1080" i="4"/>
  <c r="G1079" i="4"/>
  <c r="G1078" i="4"/>
  <c r="G1077" i="4"/>
  <c r="G1076" i="4"/>
  <c r="G1075" i="4"/>
  <c r="G1074" i="4"/>
  <c r="G1073" i="4"/>
  <c r="G1072" i="4"/>
  <c r="G1071" i="4"/>
  <c r="G1070" i="4"/>
  <c r="G1069" i="4"/>
  <c r="G1068" i="4"/>
  <c r="G1067" i="4"/>
  <c r="G1066" i="4"/>
  <c r="G1065" i="4"/>
  <c r="G1064" i="4"/>
  <c r="G1063" i="4"/>
  <c r="G1062" i="4"/>
  <c r="G1061" i="4"/>
  <c r="G1060" i="4"/>
  <c r="G1059" i="4"/>
  <c r="G1058" i="4"/>
  <c r="G1057" i="4"/>
  <c r="G1056" i="4"/>
  <c r="G1055" i="4"/>
  <c r="G1054" i="4"/>
  <c r="G1053" i="4"/>
  <c r="G1052" i="4"/>
  <c r="G1051" i="4"/>
  <c r="G1050" i="4"/>
  <c r="G1049" i="4"/>
  <c r="G1048" i="4"/>
  <c r="G1047" i="4"/>
  <c r="G1046" i="4"/>
  <c r="G1045" i="4"/>
  <c r="G1044" i="4"/>
  <c r="G1043" i="4"/>
  <c r="G1042" i="4"/>
  <c r="G1041" i="4"/>
  <c r="G1040" i="4"/>
  <c r="G1039" i="4"/>
  <c r="G1038" i="4"/>
  <c r="G1037" i="4"/>
  <c r="G1036" i="4"/>
  <c r="G1035" i="4"/>
  <c r="G1034" i="4"/>
  <c r="G1033" i="4"/>
  <c r="G1032" i="4"/>
  <c r="G1031" i="4"/>
  <c r="G1030" i="4"/>
  <c r="G1029" i="4"/>
  <c r="G1028" i="4"/>
  <c r="G1027" i="4"/>
  <c r="G1026" i="4"/>
  <c r="G1025" i="4"/>
  <c r="G1024" i="4"/>
  <c r="G1023" i="4"/>
  <c r="G1022" i="4"/>
  <c r="G1021" i="4"/>
  <c r="G1020" i="4"/>
  <c r="G1019" i="4"/>
  <c r="G1018" i="4"/>
  <c r="G1017" i="4"/>
  <c r="G1016" i="4"/>
  <c r="G1015" i="4"/>
  <c r="G1014" i="4"/>
  <c r="G1013" i="4"/>
  <c r="G1012" i="4"/>
  <c r="G1011" i="4"/>
  <c r="G1010" i="4"/>
  <c r="G1009" i="4"/>
  <c r="G1008" i="4"/>
  <c r="G1007" i="4"/>
  <c r="G1006" i="4"/>
  <c r="G1005" i="4"/>
  <c r="G1004" i="4"/>
  <c r="G1003" i="4"/>
  <c r="G1002" i="4"/>
  <c r="G1001" i="4"/>
  <c r="G1000" i="4"/>
  <c r="G999" i="4"/>
  <c r="G998" i="4"/>
  <c r="G997" i="4"/>
  <c r="G996" i="4"/>
  <c r="G995" i="4"/>
  <c r="G994" i="4"/>
  <c r="G993" i="4"/>
  <c r="G992" i="4"/>
  <c r="G991" i="4"/>
  <c r="G990" i="4"/>
  <c r="G989" i="4"/>
  <c r="G988" i="4"/>
  <c r="G987" i="4"/>
  <c r="G986" i="4"/>
  <c r="G985" i="4"/>
  <c r="G984" i="4"/>
  <c r="G983" i="4"/>
  <c r="G982" i="4"/>
  <c r="G981" i="4"/>
  <c r="G980" i="4"/>
  <c r="G979" i="4"/>
  <c r="G978" i="4"/>
  <c r="G977" i="4"/>
  <c r="G976" i="4"/>
  <c r="G975" i="4"/>
  <c r="G974" i="4"/>
  <c r="G973" i="4"/>
  <c r="G972" i="4"/>
  <c r="G971" i="4"/>
  <c r="G970" i="4"/>
  <c r="G969" i="4"/>
  <c r="G968" i="4"/>
  <c r="G967" i="4"/>
  <c r="G966" i="4"/>
  <c r="G965" i="4"/>
  <c r="G964" i="4"/>
  <c r="G963" i="4"/>
  <c r="G962" i="4"/>
  <c r="G961" i="4"/>
  <c r="G960" i="4"/>
  <c r="G959" i="4"/>
  <c r="G958" i="4"/>
  <c r="G957" i="4"/>
  <c r="G956" i="4"/>
  <c r="G955" i="4"/>
  <c r="G954" i="4"/>
  <c r="G953" i="4"/>
  <c r="G952" i="4"/>
  <c r="G951" i="4"/>
  <c r="G950" i="4"/>
  <c r="G949" i="4"/>
  <c r="G948" i="4"/>
  <c r="G947" i="4"/>
  <c r="G946" i="4"/>
  <c r="G945" i="4"/>
  <c r="G944" i="4"/>
  <c r="G943" i="4"/>
  <c r="G942" i="4"/>
  <c r="G941" i="4"/>
  <c r="G940" i="4"/>
  <c r="G939" i="4"/>
  <c r="G938" i="4"/>
  <c r="G937" i="4"/>
  <c r="G936" i="4"/>
  <c r="G935" i="4"/>
  <c r="G934" i="4"/>
  <c r="G933" i="4"/>
  <c r="G932" i="4"/>
  <c r="G931" i="4"/>
  <c r="G930" i="4"/>
  <c r="G929" i="4"/>
  <c r="G928" i="4"/>
  <c r="G927" i="4"/>
  <c r="G926" i="4"/>
  <c r="G925" i="4"/>
  <c r="G924" i="4"/>
  <c r="G923" i="4"/>
  <c r="G922" i="4"/>
  <c r="G921" i="4"/>
  <c r="G920" i="4"/>
  <c r="G919" i="4"/>
  <c r="G918" i="4"/>
  <c r="G917" i="4"/>
  <c r="G916" i="4"/>
  <c r="G915" i="4"/>
  <c r="G914" i="4"/>
  <c r="G913" i="4"/>
  <c r="G912" i="4"/>
  <c r="G911" i="4"/>
  <c r="G910" i="4"/>
  <c r="G909" i="4"/>
  <c r="G908" i="4"/>
  <c r="G907" i="4"/>
  <c r="G906" i="4"/>
  <c r="G905" i="4"/>
  <c r="G904" i="4"/>
  <c r="G903" i="4"/>
  <c r="G902" i="4"/>
  <c r="G901" i="4"/>
  <c r="G900" i="4"/>
  <c r="G899" i="4"/>
  <c r="G898" i="4"/>
  <c r="G897" i="4"/>
  <c r="G896" i="4"/>
  <c r="G895" i="4"/>
  <c r="G894" i="4"/>
  <c r="G893" i="4"/>
  <c r="G892" i="4"/>
  <c r="G891" i="4"/>
  <c r="G890" i="4"/>
  <c r="G889" i="4"/>
  <c r="G888" i="4"/>
  <c r="G887" i="4"/>
  <c r="G886" i="4"/>
  <c r="G885" i="4"/>
  <c r="G884" i="4"/>
  <c r="G883" i="4"/>
  <c r="G882" i="4"/>
  <c r="G881" i="4"/>
  <c r="G880" i="4"/>
  <c r="G879" i="4"/>
  <c r="G878" i="4"/>
  <c r="G877" i="4"/>
  <c r="G876" i="4"/>
  <c r="G875" i="4"/>
  <c r="G874" i="4"/>
  <c r="G873" i="4"/>
  <c r="G872" i="4"/>
  <c r="G871" i="4"/>
  <c r="G870" i="4"/>
  <c r="G869" i="4"/>
  <c r="G868" i="4"/>
  <c r="G867" i="4"/>
  <c r="G866" i="4"/>
  <c r="G865" i="4"/>
  <c r="G864" i="4"/>
  <c r="G863" i="4"/>
  <c r="G862" i="4"/>
  <c r="G861" i="4"/>
  <c r="G860" i="4"/>
  <c r="G859" i="4"/>
  <c r="G858" i="4"/>
  <c r="G857" i="4"/>
  <c r="G856" i="4"/>
  <c r="G855" i="4"/>
  <c r="G854" i="4"/>
  <c r="G853" i="4"/>
  <c r="G852" i="4"/>
  <c r="G851" i="4"/>
  <c r="G850" i="4"/>
  <c r="G849" i="4"/>
  <c r="G848" i="4"/>
  <c r="G847" i="4"/>
  <c r="G846" i="4"/>
  <c r="G845" i="4"/>
  <c r="G844" i="4"/>
  <c r="G843" i="4"/>
  <c r="G842" i="4"/>
  <c r="G841" i="4"/>
  <c r="G840" i="4"/>
  <c r="G839" i="4"/>
  <c r="G838" i="4"/>
  <c r="G837" i="4"/>
  <c r="G836" i="4"/>
  <c r="G835" i="4"/>
  <c r="G834" i="4"/>
  <c r="G833" i="4"/>
  <c r="G832" i="4"/>
  <c r="G831" i="4"/>
  <c r="G830" i="4"/>
  <c r="G829" i="4"/>
  <c r="G828" i="4"/>
  <c r="G827" i="4"/>
  <c r="G826" i="4"/>
  <c r="G825" i="4"/>
  <c r="G824" i="4"/>
  <c r="G823" i="4"/>
  <c r="G822" i="4"/>
  <c r="G821" i="4"/>
  <c r="G820" i="4"/>
  <c r="G819" i="4"/>
  <c r="G818" i="4"/>
  <c r="G817" i="4"/>
  <c r="G816" i="4"/>
  <c r="G815" i="4"/>
  <c r="G814" i="4"/>
  <c r="G813" i="4"/>
  <c r="G812" i="4"/>
  <c r="G811" i="4"/>
  <c r="G810" i="4"/>
  <c r="G809" i="4"/>
  <c r="G808" i="4"/>
  <c r="G807" i="4"/>
  <c r="G806" i="4"/>
  <c r="G805" i="4"/>
  <c r="G804" i="4"/>
  <c r="G803" i="4"/>
  <c r="G802" i="4"/>
  <c r="G801" i="4"/>
  <c r="G800" i="4"/>
  <c r="G799" i="4"/>
  <c r="G798" i="4"/>
  <c r="G797" i="4"/>
  <c r="G796" i="4"/>
  <c r="G795" i="4"/>
  <c r="G794" i="4"/>
  <c r="G793" i="4"/>
  <c r="G792" i="4"/>
  <c r="G791" i="4"/>
  <c r="G790" i="4"/>
  <c r="G789" i="4"/>
  <c r="G788" i="4"/>
  <c r="G787" i="4"/>
  <c r="G786" i="4"/>
  <c r="G785" i="4"/>
  <c r="G784" i="4"/>
  <c r="G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70" i="4"/>
  <c r="G769" i="4"/>
  <c r="G768" i="4"/>
  <c r="G767" i="4"/>
  <c r="G766" i="4"/>
  <c r="G765" i="4"/>
  <c r="G764" i="4"/>
  <c r="G763" i="4"/>
  <c r="G762" i="4"/>
  <c r="G761" i="4"/>
  <c r="G760" i="4"/>
  <c r="G759" i="4"/>
  <c r="G758" i="4"/>
  <c r="G757" i="4"/>
  <c r="G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43" i="4"/>
  <c r="G742" i="4"/>
  <c r="G741" i="4"/>
  <c r="G740" i="4"/>
  <c r="G739" i="4"/>
  <c r="G738" i="4"/>
  <c r="G737" i="4"/>
  <c r="G736" i="4"/>
  <c r="G735" i="4"/>
  <c r="G734" i="4"/>
  <c r="G733" i="4"/>
  <c r="G732" i="4"/>
  <c r="G731" i="4"/>
  <c r="G730" i="4"/>
  <c r="G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G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03" i="4"/>
  <c r="G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689" i="4"/>
  <c r="G688" i="4"/>
  <c r="G687" i="4"/>
  <c r="G686" i="4"/>
  <c r="G685" i="4"/>
  <c r="G684" i="4"/>
  <c r="G683" i="4"/>
  <c r="G682" i="4"/>
  <c r="G681" i="4"/>
  <c r="G680" i="4"/>
  <c r="G679" i="4"/>
  <c r="G678" i="4"/>
  <c r="G677" i="4"/>
  <c r="G676" i="4"/>
  <c r="G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62" i="4"/>
  <c r="G661" i="4"/>
  <c r="G660" i="4"/>
  <c r="G659" i="4"/>
  <c r="G658" i="4"/>
  <c r="G657" i="4"/>
  <c r="G656" i="4"/>
  <c r="G655" i="4"/>
  <c r="G654" i="4"/>
  <c r="G653" i="4"/>
  <c r="G652" i="4"/>
  <c r="G651" i="4"/>
  <c r="G650" i="4"/>
  <c r="G649" i="4"/>
  <c r="G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G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22" i="4"/>
  <c r="G621" i="4"/>
  <c r="G620" i="4"/>
  <c r="G619" i="4"/>
  <c r="G618" i="4"/>
  <c r="G617" i="4"/>
  <c r="G616" i="4"/>
  <c r="G615" i="4"/>
  <c r="G614" i="4"/>
  <c r="G613" i="4"/>
  <c r="G612" i="4"/>
  <c r="G611" i="4"/>
  <c r="G610" i="4"/>
  <c r="G609" i="4"/>
  <c r="G608" i="4"/>
  <c r="G607" i="4"/>
  <c r="G606" i="4"/>
  <c r="G605" i="4"/>
  <c r="G604" i="4"/>
  <c r="G603" i="4"/>
  <c r="G602" i="4"/>
  <c r="G601" i="4"/>
  <c r="G600" i="4"/>
  <c r="G599" i="4"/>
  <c r="G598" i="4"/>
  <c r="G597" i="4"/>
  <c r="G596" i="4"/>
  <c r="G595" i="4"/>
  <c r="G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81" i="4"/>
  <c r="G580" i="4"/>
  <c r="G579" i="4"/>
  <c r="G578" i="4"/>
  <c r="G577" i="4"/>
  <c r="G576" i="4"/>
  <c r="G575" i="4"/>
  <c r="G574" i="4"/>
  <c r="G573" i="4"/>
  <c r="G572" i="4"/>
  <c r="G571" i="4"/>
  <c r="G570" i="4"/>
  <c r="G569" i="4"/>
  <c r="G568" i="4"/>
  <c r="G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G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41" i="4"/>
  <c r="G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27" i="4"/>
  <c r="G526" i="4"/>
  <c r="G525" i="4"/>
  <c r="G524" i="4"/>
  <c r="G523" i="4"/>
  <c r="G522" i="4"/>
  <c r="G521" i="4"/>
  <c r="G520" i="4"/>
  <c r="G519" i="4"/>
  <c r="G518" i="4"/>
  <c r="G517" i="4"/>
  <c r="G516" i="4"/>
  <c r="G515" i="4"/>
  <c r="G514" i="4"/>
  <c r="G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487" i="4"/>
  <c r="G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73" i="4"/>
  <c r="G472" i="4"/>
  <c r="G471" i="4"/>
  <c r="G470" i="4"/>
  <c r="G469" i="4"/>
  <c r="G468" i="4"/>
  <c r="G467" i="4"/>
  <c r="G466" i="4"/>
  <c r="G465" i="4"/>
  <c r="G464" i="4"/>
  <c r="G463" i="4"/>
  <c r="G462" i="4"/>
  <c r="G461" i="4"/>
  <c r="G460" i="4"/>
  <c r="G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46" i="4"/>
  <c r="G445" i="4"/>
  <c r="G444" i="4"/>
  <c r="G443" i="4"/>
  <c r="G442" i="4"/>
  <c r="G441" i="4"/>
  <c r="G440" i="4"/>
  <c r="G439" i="4"/>
  <c r="G438" i="4"/>
  <c r="G437" i="4"/>
  <c r="G436" i="4"/>
  <c r="G435" i="4"/>
  <c r="G434" i="4"/>
  <c r="G433" i="4"/>
  <c r="G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G419" i="4"/>
  <c r="G418" i="4"/>
  <c r="G417" i="4"/>
  <c r="G416" i="4"/>
  <c r="G415" i="4"/>
  <c r="G414" i="4"/>
  <c r="G413" i="4"/>
  <c r="G412" i="4"/>
  <c r="G411" i="4"/>
  <c r="G410" i="4"/>
  <c r="G409" i="4"/>
  <c r="G408" i="4"/>
  <c r="G407" i="4"/>
  <c r="G406" i="4"/>
  <c r="G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392" i="4"/>
  <c r="G391" i="4"/>
  <c r="G390" i="4"/>
  <c r="G389" i="4"/>
  <c r="G388" i="4"/>
  <c r="G387" i="4"/>
  <c r="G386" i="4"/>
  <c r="G385" i="4"/>
  <c r="G384" i="4"/>
  <c r="G383" i="4"/>
  <c r="G382" i="4"/>
  <c r="G381" i="4"/>
  <c r="G380" i="4"/>
  <c r="G379" i="4"/>
  <c r="G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G365" i="4"/>
  <c r="G364" i="4"/>
  <c r="G363" i="4"/>
  <c r="G362" i="4"/>
  <c r="G361" i="4"/>
  <c r="G360" i="4"/>
  <c r="G359" i="4"/>
  <c r="G358" i="4"/>
  <c r="G357" i="4"/>
  <c r="G356" i="4"/>
  <c r="G355" i="4"/>
  <c r="G354" i="4"/>
  <c r="G353" i="4"/>
  <c r="G352" i="4"/>
  <c r="G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G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G325" i="4"/>
  <c r="G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11" i="4"/>
  <c r="G310" i="4"/>
  <c r="G309" i="4"/>
  <c r="G308" i="4"/>
  <c r="G307" i="4"/>
  <c r="G306" i="4"/>
  <c r="G305" i="4"/>
  <c r="G304" i="4"/>
  <c r="G302" i="4"/>
  <c r="G301" i="4"/>
  <c r="G300" i="4"/>
  <c r="G299" i="4"/>
  <c r="G298" i="4"/>
  <c r="G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84" i="4"/>
  <c r="G283" i="4"/>
  <c r="G282" i="4"/>
  <c r="G281" i="4"/>
  <c r="G280" i="4"/>
  <c r="G279" i="4"/>
  <c r="G278" i="4"/>
  <c r="G277" i="4"/>
  <c r="G276" i="4"/>
  <c r="G275" i="4"/>
  <c r="G274" i="4"/>
  <c r="G273" i="4"/>
  <c r="G272" i="4"/>
  <c r="G271" i="4"/>
  <c r="G270" i="4"/>
  <c r="G269" i="4"/>
  <c r="G268" i="4"/>
  <c r="G267" i="4"/>
  <c r="G266" i="4"/>
  <c r="G265" i="4"/>
  <c r="G264" i="4"/>
  <c r="G263" i="4"/>
  <c r="G262" i="4"/>
  <c r="G261" i="4"/>
  <c r="G260" i="4"/>
  <c r="G259" i="4"/>
  <c r="G258" i="4"/>
  <c r="G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44" i="4"/>
  <c r="G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30" i="4"/>
  <c r="G229" i="4"/>
  <c r="G228" i="4"/>
  <c r="G227" i="4"/>
  <c r="G226" i="4"/>
  <c r="G225" i="4"/>
  <c r="G224" i="4"/>
  <c r="G223" i="4"/>
  <c r="G222" i="4"/>
  <c r="G221" i="4"/>
  <c r="G220" i="4"/>
  <c r="G219" i="4"/>
  <c r="G218" i="4"/>
  <c r="G217" i="4"/>
  <c r="G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190" i="4"/>
  <c r="G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76" i="4"/>
  <c r="G175" i="4"/>
  <c r="G174" i="4"/>
  <c r="G173" i="4"/>
  <c r="G172" i="4"/>
  <c r="G171" i="4"/>
  <c r="G170" i="4"/>
  <c r="G169" i="4"/>
  <c r="G168" i="4"/>
  <c r="G167" i="4"/>
  <c r="G166" i="4"/>
  <c r="G165" i="4"/>
  <c r="G164" i="4"/>
  <c r="G163" i="4"/>
  <c r="G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49" i="4"/>
  <c r="G148" i="4"/>
  <c r="G147" i="4"/>
  <c r="G146" i="4"/>
  <c r="G145" i="4"/>
  <c r="G144" i="4"/>
  <c r="G143" i="4"/>
  <c r="G142" i="4"/>
  <c r="G141" i="4"/>
  <c r="G140" i="4"/>
  <c r="G139" i="4"/>
  <c r="G138" i="4"/>
  <c r="G137" i="4"/>
  <c r="G136" i="4"/>
  <c r="G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G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09" i="4"/>
  <c r="G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95" i="4"/>
  <c r="G94" i="4"/>
  <c r="G93" i="4"/>
  <c r="G92" i="4"/>
  <c r="G91" i="4"/>
  <c r="G90" i="4"/>
  <c r="G89" i="4"/>
  <c r="G88" i="4"/>
  <c r="G87" i="4"/>
  <c r="G86" i="4"/>
  <c r="G85" i="4"/>
  <c r="G84" i="4"/>
  <c r="G83" i="4"/>
  <c r="G82" i="4"/>
  <c r="G81" i="4"/>
  <c r="G80" i="4"/>
  <c r="G79" i="4"/>
  <c r="G78" i="4"/>
  <c r="G77" i="4"/>
  <c r="G76" i="4"/>
  <c r="G75" i="4"/>
  <c r="G74" i="4"/>
  <c r="G73" i="4"/>
  <c r="G72" i="4"/>
  <c r="G71" i="4"/>
  <c r="G70" i="4"/>
  <c r="G69" i="4"/>
  <c r="G68" i="4"/>
  <c r="G67" i="4"/>
  <c r="G66" i="4"/>
  <c r="G65" i="4"/>
  <c r="G64" i="4"/>
  <c r="G63" i="4"/>
  <c r="G62" i="4"/>
  <c r="G61" i="4"/>
  <c r="G60" i="4"/>
  <c r="G59" i="4"/>
  <c r="G58" i="4"/>
  <c r="G57" i="4"/>
  <c r="G56" i="4"/>
  <c r="G55" i="4"/>
  <c r="G54" i="4"/>
  <c r="G53" i="4"/>
  <c r="G52" i="4"/>
  <c r="G51" i="4"/>
  <c r="G50" i="4"/>
  <c r="G49" i="4"/>
  <c r="G48" i="4"/>
  <c r="G47" i="4"/>
  <c r="G46" i="4"/>
  <c r="G45" i="4"/>
  <c r="G44" i="4"/>
  <c r="G43" i="4"/>
  <c r="G42" i="4"/>
  <c r="G41" i="4"/>
  <c r="G40" i="4"/>
  <c r="G39" i="4"/>
  <c r="G38" i="4"/>
  <c r="G37" i="4"/>
  <c r="G36" i="4"/>
  <c r="G35" i="4"/>
  <c r="G34" i="4"/>
  <c r="G33" i="4"/>
  <c r="G32" i="4"/>
  <c r="G31" i="4"/>
  <c r="G30" i="4"/>
  <c r="G29" i="4"/>
  <c r="G28" i="4"/>
  <c r="G27" i="4"/>
  <c r="G26" i="4"/>
  <c r="G25" i="4"/>
  <c r="G24" i="4"/>
  <c r="G23" i="4"/>
  <c r="G22" i="4"/>
  <c r="G21" i="4"/>
  <c r="G20" i="4"/>
  <c r="G19" i="4"/>
  <c r="G18" i="4"/>
  <c r="G17" i="4"/>
  <c r="G16" i="4"/>
  <c r="G15" i="4"/>
  <c r="G14" i="4"/>
  <c r="G13" i="4"/>
  <c r="G12" i="4"/>
  <c r="G11" i="4"/>
  <c r="G10" i="4"/>
  <c r="G9" i="4"/>
  <c r="G8" i="4"/>
  <c r="G7" i="4"/>
  <c r="G6" i="4"/>
  <c r="G5" i="4"/>
  <c r="G4" i="4"/>
  <c r="G3" i="4"/>
  <c r="I2" i="4"/>
  <c r="G2" i="4"/>
  <c r="I55" i="1"/>
  <c r="I56" i="1"/>
  <c r="I57" i="1"/>
  <c r="I58" i="1"/>
  <c r="I59" i="1"/>
  <c r="I60" i="1"/>
  <c r="I61" i="1"/>
  <c r="I62" i="1"/>
  <c r="G55" i="1"/>
  <c r="G56" i="1"/>
  <c r="G57" i="1"/>
  <c r="G58" i="1"/>
  <c r="G59" i="1"/>
  <c r="G60" i="1"/>
  <c r="G61" i="1"/>
  <c r="G62" i="1"/>
  <c r="E55" i="1"/>
  <c r="E56" i="1"/>
  <c r="E57" i="1"/>
  <c r="E58" i="1"/>
  <c r="E59" i="1"/>
  <c r="E60" i="1"/>
  <c r="E61" i="1"/>
  <c r="E62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6" i="1"/>
  <c r="G27" i="1"/>
  <c r="G28" i="1"/>
  <c r="G29" i="1"/>
  <c r="G30" i="1"/>
  <c r="G31" i="1"/>
  <c r="G32" i="1"/>
  <c r="G33" i="1"/>
  <c r="H33" i="1" s="1"/>
  <c r="G34" i="1"/>
  <c r="G35" i="1"/>
  <c r="G36" i="1"/>
  <c r="G37" i="1"/>
  <c r="G38" i="1"/>
  <c r="G39" i="1"/>
  <c r="G40" i="1"/>
  <c r="G41" i="1"/>
  <c r="H41" i="1" s="1"/>
  <c r="G42" i="1"/>
  <c r="G43" i="1"/>
  <c r="G44" i="1"/>
  <c r="G45" i="1"/>
  <c r="G46" i="1"/>
  <c r="G47" i="1"/>
  <c r="G48" i="1"/>
  <c r="G49" i="1"/>
  <c r="G50" i="1"/>
  <c r="G51" i="1"/>
  <c r="G52" i="1"/>
  <c r="G53" i="1"/>
  <c r="G54" i="1"/>
  <c r="G7" i="1"/>
  <c r="E8" i="1"/>
  <c r="E9" i="1"/>
  <c r="E10" i="1"/>
  <c r="E11" i="1"/>
  <c r="E12" i="1"/>
  <c r="E13" i="1"/>
  <c r="E14" i="1"/>
  <c r="E15" i="1"/>
  <c r="E16" i="1"/>
  <c r="E17" i="1"/>
  <c r="E18" i="1"/>
  <c r="E19" i="1"/>
  <c r="E20" i="1"/>
  <c r="E21" i="1"/>
  <c r="E22" i="1"/>
  <c r="E23" i="1"/>
  <c r="E24" i="1"/>
  <c r="E25" i="1"/>
  <c r="E26" i="1"/>
  <c r="E27" i="1"/>
  <c r="E28" i="1"/>
  <c r="E29" i="1"/>
  <c r="E30" i="1"/>
  <c r="E31" i="1"/>
  <c r="E32" i="1"/>
  <c r="E33" i="1"/>
  <c r="E34" i="1"/>
  <c r="E35" i="1"/>
  <c r="E36" i="1"/>
  <c r="E37" i="1"/>
  <c r="E38" i="1"/>
  <c r="E39" i="1"/>
  <c r="E40" i="1"/>
  <c r="E41" i="1"/>
  <c r="E42" i="1"/>
  <c r="E43" i="1"/>
  <c r="E44" i="1"/>
  <c r="E45" i="1"/>
  <c r="E46" i="1"/>
  <c r="E47" i="1"/>
  <c r="E48" i="1"/>
  <c r="E49" i="1"/>
  <c r="E50" i="1"/>
  <c r="E51" i="1"/>
  <c r="E52" i="1"/>
  <c r="E53" i="1"/>
  <c r="E54" i="1"/>
  <c r="E7" i="1"/>
  <c r="I45" i="1"/>
  <c r="I46" i="1"/>
  <c r="I47" i="1"/>
  <c r="I48" i="1"/>
  <c r="I49" i="1"/>
  <c r="I50" i="1"/>
  <c r="I51" i="1"/>
  <c r="I52" i="1"/>
  <c r="I53" i="1"/>
  <c r="I54" i="1"/>
  <c r="M16" i="5"/>
  <c r="M8" i="5"/>
  <c r="N32" i="5"/>
  <c r="N24" i="5"/>
  <c r="N16" i="5"/>
  <c r="N8" i="5"/>
  <c r="M32" i="5"/>
  <c r="H130" i="1"/>
  <c r="H131" i="1"/>
  <c r="H124" i="1"/>
  <c r="H126" i="1"/>
  <c r="H119" i="1"/>
  <c r="H87" i="1"/>
  <c r="H113" i="1"/>
  <c r="H118" i="1"/>
  <c r="H90" i="1"/>
  <c r="H110" i="1"/>
  <c r="H123" i="1"/>
  <c r="H116" i="1"/>
  <c r="H125" i="1"/>
  <c r="H121" i="1"/>
  <c r="H127" i="1"/>
  <c r="H117" i="1"/>
  <c r="H102" i="1"/>
  <c r="H109" i="1"/>
  <c r="H105" i="1"/>
  <c r="H115" i="1"/>
  <c r="H111" i="1"/>
  <c r="H101" i="1"/>
  <c r="H97" i="1"/>
  <c r="H89" i="1"/>
  <c r="H95" i="1"/>
  <c r="H91" i="1"/>
  <c r="H75" i="1"/>
  <c r="H67" i="1"/>
  <c r="H85" i="1"/>
  <c r="H84" i="1"/>
  <c r="H76" i="1"/>
  <c r="H68" i="1"/>
  <c r="H88" i="1"/>
  <c r="H94" i="1"/>
  <c r="H83" i="1"/>
  <c r="H79" i="1"/>
  <c r="H71" i="1"/>
  <c r="H78" i="1"/>
  <c r="H92" i="1"/>
  <c r="H82" i="1"/>
  <c r="B1" i="4"/>
  <c r="I8" i="1"/>
  <c r="I9" i="1"/>
  <c r="I10" i="1"/>
  <c r="I11" i="1"/>
  <c r="I12" i="1"/>
  <c r="I13" i="1"/>
  <c r="I14" i="1"/>
  <c r="I15" i="1"/>
  <c r="I16" i="1"/>
  <c r="I17" i="1"/>
  <c r="I18" i="1"/>
  <c r="I19" i="1"/>
  <c r="I20" i="1"/>
  <c r="I21" i="1"/>
  <c r="I22" i="1"/>
  <c r="I23" i="1"/>
  <c r="I24" i="1"/>
  <c r="I25" i="1"/>
  <c r="I26" i="1"/>
  <c r="I27" i="1"/>
  <c r="I28" i="1"/>
  <c r="I29" i="1"/>
  <c r="I30" i="1"/>
  <c r="I31" i="1"/>
  <c r="I32" i="1"/>
  <c r="I33" i="1"/>
  <c r="I34" i="1"/>
  <c r="I35" i="1"/>
  <c r="I36" i="1"/>
  <c r="I37" i="1"/>
  <c r="I38" i="1"/>
  <c r="I39" i="1"/>
  <c r="I40" i="1"/>
  <c r="I41" i="1"/>
  <c r="I42" i="1"/>
  <c r="I43" i="1"/>
  <c r="I44" i="1"/>
  <c r="I7" i="1"/>
  <c r="M22" i="5" l="1"/>
  <c r="M20" i="5"/>
  <c r="F7" i="5"/>
  <c r="M4" i="5"/>
  <c r="H176" i="1"/>
  <c r="H193" i="1"/>
  <c r="H204" i="1"/>
  <c r="J204" i="1" s="1"/>
  <c r="M17" i="5"/>
  <c r="H150" i="1"/>
  <c r="H198" i="1"/>
  <c r="H194" i="1"/>
  <c r="H190" i="1"/>
  <c r="H186" i="1"/>
  <c r="H50" i="1"/>
  <c r="H26" i="1"/>
  <c r="J26" i="1" s="1"/>
  <c r="H18" i="1"/>
  <c r="M18" i="5"/>
  <c r="H36" i="1"/>
  <c r="B17" i="5"/>
  <c r="F30" i="5"/>
  <c r="F22" i="5"/>
  <c r="F14" i="5"/>
  <c r="N4" i="5"/>
  <c r="N20" i="5"/>
  <c r="H17" i="1"/>
  <c r="B29" i="5"/>
  <c r="B21" i="5"/>
  <c r="F13" i="5"/>
  <c r="M27" i="5"/>
  <c r="B20" i="5"/>
  <c r="H45" i="1"/>
  <c r="J45" i="1" s="1"/>
  <c r="F10" i="5"/>
  <c r="M24" i="5"/>
  <c r="M15" i="5"/>
  <c r="M7" i="5"/>
  <c r="F9" i="5"/>
  <c r="B7" i="5"/>
  <c r="N13" i="5"/>
  <c r="H141" i="1"/>
  <c r="H133" i="1"/>
  <c r="H151" i="1"/>
  <c r="M19" i="5"/>
  <c r="M11" i="5"/>
  <c r="M3" i="5"/>
  <c r="N27" i="5"/>
  <c r="N19" i="5"/>
  <c r="N11" i="5"/>
  <c r="F5" i="5"/>
  <c r="B27" i="5"/>
  <c r="F19" i="5"/>
  <c r="F11" i="5"/>
  <c r="H60" i="1"/>
  <c r="F33" i="5"/>
  <c r="F25" i="5"/>
  <c r="H64" i="1"/>
  <c r="F16" i="5"/>
  <c r="B9" i="5"/>
  <c r="H57" i="1"/>
  <c r="H70" i="1"/>
  <c r="H74" i="1"/>
  <c r="H66" i="1"/>
  <c r="H93" i="1"/>
  <c r="H100" i="1"/>
  <c r="H104" i="1"/>
  <c r="F18" i="5"/>
  <c r="H143" i="1"/>
  <c r="H103" i="1"/>
  <c r="J103" i="1" s="1"/>
  <c r="B32" i="5"/>
  <c r="N21" i="5"/>
  <c r="H205" i="1"/>
  <c r="H216" i="1"/>
  <c r="J216" i="1" s="1"/>
  <c r="H208" i="1"/>
  <c r="H222" i="1"/>
  <c r="J222" i="1" s="1"/>
  <c r="H11" i="1"/>
  <c r="J11" i="1" s="1"/>
  <c r="H58" i="1"/>
  <c r="J58" i="1" s="1"/>
  <c r="B24" i="5"/>
  <c r="H10" i="1"/>
  <c r="J10" i="1" s="1"/>
  <c r="H9" i="1"/>
  <c r="J9" i="1" s="1"/>
  <c r="H137" i="1"/>
  <c r="H99" i="1"/>
  <c r="H108" i="1"/>
  <c r="H129" i="1"/>
  <c r="J129" i="1" s="1"/>
  <c r="H77" i="1"/>
  <c r="H69" i="1"/>
  <c r="H81" i="1"/>
  <c r="J81" i="1" s="1"/>
  <c r="H73" i="1"/>
  <c r="H114" i="1"/>
  <c r="H44" i="1"/>
  <c r="J44" i="1" s="1"/>
  <c r="H20" i="1"/>
  <c r="J20" i="1" s="1"/>
  <c r="F6" i="5"/>
  <c r="B14" i="5"/>
  <c r="M30" i="5"/>
  <c r="M5" i="5"/>
  <c r="N29" i="5"/>
  <c r="N5" i="5"/>
  <c r="H173" i="1"/>
  <c r="H227" i="1"/>
  <c r="J227" i="1" s="1"/>
  <c r="H51" i="1"/>
  <c r="J51" i="1" s="1"/>
  <c r="H35" i="1"/>
  <c r="H19" i="1"/>
  <c r="H42" i="1"/>
  <c r="J42" i="1" s="1"/>
  <c r="H34" i="1"/>
  <c r="J34" i="1" s="1"/>
  <c r="B31" i="5"/>
  <c r="B23" i="5"/>
  <c r="B15" i="5"/>
  <c r="H142" i="1"/>
  <c r="H134" i="1"/>
  <c r="J134" i="1" s="1"/>
  <c r="H152" i="1"/>
  <c r="J152" i="1" s="1"/>
  <c r="H148" i="1"/>
  <c r="H49" i="1"/>
  <c r="J49" i="1" s="1"/>
  <c r="H25" i="1"/>
  <c r="J25" i="1" s="1"/>
  <c r="H56" i="1"/>
  <c r="J56" i="1" s="1"/>
  <c r="H139" i="1"/>
  <c r="H149" i="1"/>
  <c r="H158" i="1"/>
  <c r="J158" i="1" s="1"/>
  <c r="H229" i="1"/>
  <c r="H234" i="1"/>
  <c r="B26" i="5"/>
  <c r="H140" i="1"/>
  <c r="H220" i="1"/>
  <c r="H43" i="1"/>
  <c r="J43" i="1" s="1"/>
  <c r="B11" i="5"/>
  <c r="N10" i="5"/>
  <c r="H165" i="1"/>
  <c r="H157" i="1"/>
  <c r="B13" i="5"/>
  <c r="F15" i="5"/>
  <c r="H135" i="1"/>
  <c r="H162" i="1"/>
  <c r="J162" i="1" s="1"/>
  <c r="H172" i="1"/>
  <c r="H168" i="1"/>
  <c r="J168" i="1" s="1"/>
  <c r="H210" i="1"/>
  <c r="H226" i="1"/>
  <c r="J226" i="1" s="1"/>
  <c r="N2" i="5"/>
  <c r="M26" i="5"/>
  <c r="N26" i="5"/>
  <c r="F2" i="5"/>
  <c r="F27" i="5"/>
  <c r="B19" i="5"/>
  <c r="F17" i="5"/>
  <c r="B33" i="5"/>
  <c r="B25" i="5"/>
  <c r="M25" i="5"/>
  <c r="H228" i="1"/>
  <c r="H23" i="1"/>
  <c r="J23" i="1" s="1"/>
  <c r="H62" i="1"/>
  <c r="J62" i="1" s="1"/>
  <c r="H65" i="1"/>
  <c r="J65" i="1" s="1"/>
  <c r="M10" i="5"/>
  <c r="M2" i="5"/>
  <c r="N18" i="5"/>
  <c r="B12" i="5"/>
  <c r="H38" i="1"/>
  <c r="H30" i="1"/>
  <c r="J30" i="1" s="1"/>
  <c r="H14" i="1"/>
  <c r="J14" i="1" s="1"/>
  <c r="H61" i="1"/>
  <c r="J61" i="1" s="1"/>
  <c r="J50" i="1"/>
  <c r="H37" i="1"/>
  <c r="J37" i="1" s="1"/>
  <c r="H29" i="1"/>
  <c r="J29" i="1" s="1"/>
  <c r="H63" i="1"/>
  <c r="J63" i="1" s="1"/>
  <c r="F3" i="5"/>
  <c r="F26" i="5"/>
  <c r="B18" i="5"/>
  <c r="B10" i="5"/>
  <c r="H147" i="1"/>
  <c r="H201" i="1"/>
  <c r="J201" i="1" s="1"/>
  <c r="H212" i="1"/>
  <c r="H52" i="1"/>
  <c r="H28" i="1"/>
  <c r="J28" i="1" s="1"/>
  <c r="F23" i="5"/>
  <c r="H230" i="1"/>
  <c r="H144" i="1"/>
  <c r="J144" i="1" s="1"/>
  <c r="H136" i="1"/>
  <c r="J136" i="1" s="1"/>
  <c r="H132" i="1"/>
  <c r="J132" i="1" s="1"/>
  <c r="H146" i="1"/>
  <c r="J146" i="1" s="1"/>
  <c r="H174" i="1"/>
  <c r="J180" i="1"/>
  <c r="J176" i="1"/>
  <c r="B30" i="5"/>
  <c r="J41" i="1"/>
  <c r="J33" i="1"/>
  <c r="J17" i="1"/>
  <c r="B28" i="5"/>
  <c r="H200" i="1"/>
  <c r="H27" i="1"/>
  <c r="J27" i="1" s="1"/>
  <c r="H191" i="1"/>
  <c r="H225" i="1"/>
  <c r="J225" i="1" s="1"/>
  <c r="H169" i="1"/>
  <c r="J169" i="1" s="1"/>
  <c r="H183" i="1"/>
  <c r="H175" i="1"/>
  <c r="H197" i="1"/>
  <c r="H189" i="1"/>
  <c r="J189" i="1" s="1"/>
  <c r="H203" i="1"/>
  <c r="H215" i="1"/>
  <c r="J215" i="1" s="1"/>
  <c r="H217" i="1"/>
  <c r="F21" i="5"/>
  <c r="M9" i="5"/>
  <c r="N33" i="5"/>
  <c r="N25" i="5"/>
  <c r="N17" i="5"/>
  <c r="N9" i="5"/>
  <c r="F29" i="5"/>
  <c r="B5" i="5"/>
  <c r="F20" i="5"/>
  <c r="N6" i="5"/>
  <c r="B4" i="5"/>
  <c r="B3" i="5"/>
  <c r="J232" i="1"/>
  <c r="H39" i="1"/>
  <c r="J39" i="1" s="1"/>
  <c r="H48" i="1"/>
  <c r="H55" i="1"/>
  <c r="H7" i="1"/>
  <c r="J7" i="1" s="1"/>
  <c r="H47" i="1"/>
  <c r="J47" i="1" s="1"/>
  <c r="H31" i="1"/>
  <c r="J31" i="1" s="1"/>
  <c r="H15" i="1"/>
  <c r="J15" i="1" s="1"/>
  <c r="B22" i="5"/>
  <c r="B6" i="5"/>
  <c r="F8" i="5"/>
  <c r="B8" i="5"/>
  <c r="H12" i="1"/>
  <c r="J12" i="1" s="1"/>
  <c r="B16" i="5"/>
  <c r="H21" i="1"/>
  <c r="J21" i="1" s="1"/>
  <c r="H13" i="1"/>
  <c r="J13" i="1" s="1"/>
  <c r="J60" i="1"/>
  <c r="F24" i="5"/>
  <c r="J36" i="1"/>
  <c r="F32" i="5"/>
  <c r="H22" i="1"/>
  <c r="J22" i="1" s="1"/>
  <c r="J38" i="1"/>
  <c r="J35" i="1"/>
  <c r="J19" i="1"/>
  <c r="J18" i="1"/>
  <c r="N14" i="5"/>
  <c r="J118" i="1"/>
  <c r="H155" i="1"/>
  <c r="H170" i="1"/>
  <c r="H196" i="1"/>
  <c r="H192" i="1"/>
  <c r="H188" i="1"/>
  <c r="H184" i="1"/>
  <c r="M6" i="5"/>
  <c r="L284" i="4" s="1"/>
  <c r="N22" i="5"/>
  <c r="J79" i="1"/>
  <c r="J71" i="1"/>
  <c r="J110" i="1"/>
  <c r="H154" i="1"/>
  <c r="H164" i="1"/>
  <c r="H160" i="1"/>
  <c r="H156" i="1"/>
  <c r="H182" i="1"/>
  <c r="H178" i="1"/>
  <c r="H199" i="1"/>
  <c r="J199" i="1" s="1"/>
  <c r="H211" i="1"/>
  <c r="H207" i="1"/>
  <c r="H221" i="1"/>
  <c r="J83" i="1"/>
  <c r="J98" i="1"/>
  <c r="J116" i="1"/>
  <c r="J117" i="1"/>
  <c r="H161" i="1"/>
  <c r="H218" i="1"/>
  <c r="J210" i="1"/>
  <c r="M31" i="5"/>
  <c r="N3" i="5"/>
  <c r="M28" i="5"/>
  <c r="M12" i="5"/>
  <c r="N28" i="5"/>
  <c r="N12" i="5"/>
  <c r="J101" i="1"/>
  <c r="H171" i="1"/>
  <c r="H159" i="1"/>
  <c r="H181" i="1"/>
  <c r="J194" i="1"/>
  <c r="H219" i="1"/>
  <c r="J76" i="1"/>
  <c r="J68" i="1"/>
  <c r="J94" i="1"/>
  <c r="J86" i="1"/>
  <c r="J82" i="1"/>
  <c r="J97" i="1"/>
  <c r="J115" i="1"/>
  <c r="J124" i="1"/>
  <c r="J120" i="1"/>
  <c r="M29" i="5"/>
  <c r="J75" i="1"/>
  <c r="J67" i="1"/>
  <c r="J112" i="1"/>
  <c r="J108" i="1"/>
  <c r="H145" i="1"/>
  <c r="H195" i="1"/>
  <c r="H187" i="1"/>
  <c r="H206" i="1"/>
  <c r="H209" i="1"/>
  <c r="M14" i="5"/>
  <c r="N31" i="5"/>
  <c r="N23" i="5"/>
  <c r="M33" i="5"/>
  <c r="J127" i="1"/>
  <c r="J157" i="1"/>
  <c r="H202" i="1"/>
  <c r="H213" i="1"/>
  <c r="M21" i="5"/>
  <c r="N30" i="5"/>
  <c r="N15" i="5"/>
  <c r="N7" i="5"/>
  <c r="J107" i="1"/>
  <c r="H179" i="1"/>
  <c r="H224" i="1"/>
  <c r="H235" i="1"/>
  <c r="J230" i="1"/>
  <c r="H231" i="1"/>
  <c r="J231" i="1" s="1"/>
  <c r="H236" i="1"/>
  <c r="J223" i="1"/>
  <c r="J85" i="1"/>
  <c r="J123" i="1"/>
  <c r="L686" i="4"/>
  <c r="L1242" i="4"/>
  <c r="K819" i="4"/>
  <c r="M819" i="4" s="1"/>
  <c r="N819" i="4" s="1"/>
  <c r="L511" i="4"/>
  <c r="J84" i="1"/>
  <c r="J102" i="1"/>
  <c r="J80" i="1"/>
  <c r="L255" i="4"/>
  <c r="L965" i="4"/>
  <c r="L574" i="4"/>
  <c r="K734" i="4"/>
  <c r="M734" i="4" s="1"/>
  <c r="N734" i="4" s="1"/>
  <c r="L1086" i="4"/>
  <c r="K1222" i="4"/>
  <c r="M1222" i="4" s="1"/>
  <c r="N1222" i="4" s="1"/>
  <c r="J125" i="1"/>
  <c r="J126" i="1"/>
  <c r="J109" i="1"/>
  <c r="K1305" i="4"/>
  <c r="M1305" i="4" s="1"/>
  <c r="N1305" i="4" s="1"/>
  <c r="J166" i="1"/>
  <c r="L93" i="4"/>
  <c r="L1093" i="4"/>
  <c r="L1277" i="4"/>
  <c r="J55" i="1"/>
  <c r="L505" i="4"/>
  <c r="L553" i="4"/>
  <c r="J113" i="1"/>
  <c r="J77" i="1"/>
  <c r="J87" i="1"/>
  <c r="K172" i="4"/>
  <c r="M172" i="4" s="1"/>
  <c r="L908" i="4"/>
  <c r="L381" i="4"/>
  <c r="L461" i="4"/>
  <c r="L485" i="4"/>
  <c r="K893" i="4"/>
  <c r="M893" i="4" s="1"/>
  <c r="N893" i="4" s="1"/>
  <c r="L1085" i="4"/>
  <c r="L60" i="4"/>
  <c r="L212" i="4"/>
  <c r="K292" i="4"/>
  <c r="M292" i="4" s="1"/>
  <c r="K324" i="4"/>
  <c r="M324" i="4" s="1"/>
  <c r="N324" i="4" s="1"/>
  <c r="K1036" i="4"/>
  <c r="M1036" i="4" s="1"/>
  <c r="N1036" i="4" s="1"/>
  <c r="L1068" i="4"/>
  <c r="K1044" i="4"/>
  <c r="M1044" i="4" s="1"/>
  <c r="N1044" i="4" s="1"/>
  <c r="L1060" i="4"/>
  <c r="J119" i="1"/>
  <c r="K992" i="4"/>
  <c r="M992" i="4" s="1"/>
  <c r="N992" i="4" s="1"/>
  <c r="K1136" i="4"/>
  <c r="M1136" i="4" s="1"/>
  <c r="N1136" i="4" s="1"/>
  <c r="K1192" i="4"/>
  <c r="M1192" i="4" s="1"/>
  <c r="N1192" i="4" s="1"/>
  <c r="L1208" i="4"/>
  <c r="J114" i="1"/>
  <c r="K87" i="4"/>
  <c r="M87" i="4" s="1"/>
  <c r="L167" i="4"/>
  <c r="L503" i="4"/>
  <c r="L559" i="4"/>
  <c r="L599" i="4"/>
  <c r="L767" i="4"/>
  <c r="L895" i="4"/>
  <c r="K951" i="4"/>
  <c r="M951" i="4" s="1"/>
  <c r="N951" i="4" s="1"/>
  <c r="K975" i="4"/>
  <c r="M975" i="4" s="1"/>
  <c r="N975" i="4" s="1"/>
  <c r="L1095" i="4"/>
  <c r="L1231" i="4"/>
  <c r="L1295" i="4"/>
  <c r="L119" i="4"/>
  <c r="K231" i="4"/>
  <c r="M231" i="4" s="1"/>
  <c r="L335" i="4"/>
  <c r="L415" i="4"/>
  <c r="K703" i="4"/>
  <c r="M703" i="4" s="1"/>
  <c r="N703" i="4" s="1"/>
  <c r="L719" i="4"/>
  <c r="K831" i="4"/>
  <c r="M831" i="4" s="1"/>
  <c r="N831" i="4" s="1"/>
  <c r="K871" i="4"/>
  <c r="M871" i="4" s="1"/>
  <c r="N871" i="4" s="1"/>
  <c r="L959" i="4"/>
  <c r="L983" i="4"/>
  <c r="K1079" i="4"/>
  <c r="M1079" i="4" s="1"/>
  <c r="N1079" i="4" s="1"/>
  <c r="K1191" i="4"/>
  <c r="M1191" i="4" s="1"/>
  <c r="N1191" i="4" s="1"/>
  <c r="L1287" i="4"/>
  <c r="L1303" i="4"/>
  <c r="J96" i="1"/>
  <c r="K336" i="4"/>
  <c r="M336" i="4" s="1"/>
  <c r="N336" i="4" s="1"/>
  <c r="K776" i="4"/>
  <c r="M776" i="4" s="1"/>
  <c r="N776" i="4" s="1"/>
  <c r="L792" i="4"/>
  <c r="L824" i="4"/>
  <c r="L1008" i="4"/>
  <c r="K1112" i="4"/>
  <c r="M1112" i="4" s="1"/>
  <c r="N1112" i="4" s="1"/>
  <c r="L1128" i="4"/>
  <c r="K1200" i="4"/>
  <c r="M1200" i="4" s="1"/>
  <c r="N1200" i="4" s="1"/>
  <c r="K1240" i="4"/>
  <c r="M1240" i="4" s="1"/>
  <c r="N1240" i="4" s="1"/>
  <c r="K1272" i="4"/>
  <c r="M1272" i="4" s="1"/>
  <c r="N1272" i="4" s="1"/>
  <c r="L1304" i="4"/>
  <c r="J106" i="1"/>
  <c r="J73" i="1"/>
  <c r="J66" i="1"/>
  <c r="L1154" i="4"/>
  <c r="J89" i="1"/>
  <c r="J111" i="1"/>
  <c r="J74" i="1"/>
  <c r="J131" i="1"/>
  <c r="K38" i="4"/>
  <c r="M38" i="4" s="1"/>
  <c r="L598" i="4"/>
  <c r="L806" i="4"/>
  <c r="L1166" i="4"/>
  <c r="L33" i="4"/>
  <c r="L329" i="4"/>
  <c r="K369" i="4"/>
  <c r="M369" i="4" s="1"/>
  <c r="N369" i="4" s="1"/>
  <c r="L457" i="4"/>
  <c r="L705" i="4"/>
  <c r="L737" i="4"/>
  <c r="L841" i="4"/>
  <c r="L897" i="4"/>
  <c r="L1009" i="4"/>
  <c r="L190" i="4"/>
  <c r="L273" i="4"/>
  <c r="K321" i="4"/>
  <c r="M321" i="4" s="1"/>
  <c r="N321" i="4" s="1"/>
  <c r="K441" i="4"/>
  <c r="M441" i="4" s="1"/>
  <c r="N441" i="4" s="1"/>
  <c r="K545" i="4"/>
  <c r="M545" i="4" s="1"/>
  <c r="N545" i="4" s="1"/>
  <c r="L729" i="4"/>
  <c r="K825" i="4"/>
  <c r="M825" i="4" s="1"/>
  <c r="N825" i="4" s="1"/>
  <c r="L1257" i="4"/>
  <c r="K81" i="4"/>
  <c r="M81" i="4" s="1"/>
  <c r="L353" i="4"/>
  <c r="L521" i="4"/>
  <c r="L601" i="4"/>
  <c r="L849" i="4"/>
  <c r="K921" i="4"/>
  <c r="M921" i="4" s="1"/>
  <c r="N921" i="4" s="1"/>
  <c r="K993" i="4"/>
  <c r="M993" i="4" s="1"/>
  <c r="N993" i="4" s="1"/>
  <c r="K1161" i="4"/>
  <c r="M1161" i="4" s="1"/>
  <c r="N1161" i="4" s="1"/>
  <c r="K1209" i="4"/>
  <c r="M1209" i="4" s="1"/>
  <c r="N1209" i="4" s="1"/>
  <c r="K1249" i="4"/>
  <c r="M1249" i="4" s="1"/>
  <c r="N1249" i="4" s="1"/>
  <c r="J64" i="1"/>
  <c r="K834" i="4"/>
  <c r="M834" i="4" s="1"/>
  <c r="N834" i="4" s="1"/>
  <c r="K874" i="4"/>
  <c r="M874" i="4" s="1"/>
  <c r="N874" i="4" s="1"/>
  <c r="L914" i="4"/>
  <c r="L1018" i="4"/>
  <c r="L1066" i="4"/>
  <c r="K1114" i="4"/>
  <c r="M1114" i="4" s="1"/>
  <c r="N1114" i="4" s="1"/>
  <c r="L1234" i="4"/>
  <c r="K1282" i="4"/>
  <c r="M1282" i="4" s="1"/>
  <c r="N1282" i="4" s="1"/>
  <c r="L1298" i="4"/>
  <c r="L17" i="4"/>
  <c r="L97" i="4"/>
  <c r="L225" i="4"/>
  <c r="L265" i="4"/>
  <c r="L345" i="4"/>
  <c r="L569" i="4"/>
  <c r="L913" i="4"/>
  <c r="L1033" i="4"/>
  <c r="L1089" i="4"/>
  <c r="L1145" i="4"/>
  <c r="K1177" i="4"/>
  <c r="M1177" i="4" s="1"/>
  <c r="N1177" i="4" s="1"/>
  <c r="K1241" i="4"/>
  <c r="M1241" i="4" s="1"/>
  <c r="N1241" i="4" s="1"/>
  <c r="J95" i="1"/>
  <c r="L826" i="4"/>
  <c r="K1026" i="4"/>
  <c r="M1026" i="4" s="1"/>
  <c r="N1026" i="4" s="1"/>
  <c r="L1090" i="4"/>
  <c r="K1106" i="4"/>
  <c r="M1106" i="4" s="1"/>
  <c r="N1106" i="4" s="1"/>
  <c r="L1162" i="4"/>
  <c r="K1306" i="4"/>
  <c r="M1306" i="4" s="1"/>
  <c r="N1306" i="4" s="1"/>
  <c r="L124" i="4"/>
  <c r="L252" i="4"/>
  <c r="L348" i="4"/>
  <c r="L396" i="4"/>
  <c r="L420" i="4"/>
  <c r="K436" i="4"/>
  <c r="M436" i="4" s="1"/>
  <c r="N436" i="4" s="1"/>
  <c r="L516" i="4"/>
  <c r="L604" i="4"/>
  <c r="K788" i="4"/>
  <c r="M788" i="4" s="1"/>
  <c r="N788" i="4" s="1"/>
  <c r="L812" i="4"/>
  <c r="L948" i="4"/>
  <c r="K1116" i="4"/>
  <c r="M1116" i="4" s="1"/>
  <c r="N1116" i="4" s="1"/>
  <c r="L389" i="4"/>
  <c r="L437" i="4"/>
  <c r="L949" i="4"/>
  <c r="K18" i="4"/>
  <c r="M18" i="4" s="1"/>
  <c r="L58" i="4"/>
  <c r="K146" i="4"/>
  <c r="M146" i="4" s="1"/>
  <c r="L482" i="4"/>
  <c r="L794" i="4"/>
  <c r="L866" i="4"/>
  <c r="L995" i="4"/>
  <c r="K220" i="4"/>
  <c r="M220" i="4" s="1"/>
  <c r="K444" i="4"/>
  <c r="M444" i="4" s="1"/>
  <c r="N444" i="4" s="1"/>
  <c r="L572" i="4"/>
  <c r="L1220" i="4"/>
  <c r="J90" i="1"/>
  <c r="J155" i="1"/>
  <c r="L138" i="4"/>
  <c r="L298" i="4"/>
  <c r="K506" i="4"/>
  <c r="M506" i="4" s="1"/>
  <c r="N506" i="4" s="1"/>
  <c r="L594" i="4"/>
  <c r="L626" i="4"/>
  <c r="L83" i="4"/>
  <c r="K1299" i="4"/>
  <c r="M1299" i="4" s="1"/>
  <c r="N1299" i="4" s="1"/>
  <c r="L562" i="4"/>
  <c r="L786" i="4"/>
  <c r="L82" i="4"/>
  <c r="K274" i="4"/>
  <c r="M274" i="4" s="1"/>
  <c r="K402" i="4"/>
  <c r="M402" i="4" s="1"/>
  <c r="N402" i="4" s="1"/>
  <c r="L530" i="4"/>
  <c r="L618" i="4"/>
  <c r="L858" i="4"/>
  <c r="K923" i="4"/>
  <c r="M923" i="4" s="1"/>
  <c r="N923" i="4" s="1"/>
  <c r="L260" i="4"/>
  <c r="K1276" i="4"/>
  <c r="M1276" i="4" s="1"/>
  <c r="N1276" i="4" s="1"/>
  <c r="K1308" i="4"/>
  <c r="M1308" i="4" s="1"/>
  <c r="N1308" i="4" s="1"/>
  <c r="K149" i="4"/>
  <c r="M149" i="4" s="1"/>
  <c r="K325" i="4"/>
  <c r="M325" i="4" s="1"/>
  <c r="N325" i="4" s="1"/>
  <c r="L341" i="4"/>
  <c r="K653" i="4"/>
  <c r="M653" i="4" s="1"/>
  <c r="N653" i="4" s="1"/>
  <c r="L829" i="4"/>
  <c r="L861" i="4"/>
  <c r="L877" i="4"/>
  <c r="L885" i="4"/>
  <c r="K917" i="4"/>
  <c r="M917" i="4" s="1"/>
  <c r="N917" i="4" s="1"/>
  <c r="K989" i="4"/>
  <c r="M989" i="4" s="1"/>
  <c r="N989" i="4" s="1"/>
  <c r="K1037" i="4"/>
  <c r="M1037" i="4" s="1"/>
  <c r="N1037" i="4" s="1"/>
  <c r="K1045" i="4"/>
  <c r="M1045" i="4" s="1"/>
  <c r="N1045" i="4" s="1"/>
  <c r="L1069" i="4"/>
  <c r="L1077" i="4"/>
  <c r="K1285" i="4"/>
  <c r="M1285" i="4" s="1"/>
  <c r="N1285" i="4" s="1"/>
  <c r="L198" i="4"/>
  <c r="L334" i="4"/>
  <c r="K342" i="4"/>
  <c r="M342" i="4" s="1"/>
  <c r="N342" i="4" s="1"/>
  <c r="K358" i="4"/>
  <c r="M358" i="4" s="1"/>
  <c r="N358" i="4" s="1"/>
  <c r="L374" i="4"/>
  <c r="L382" i="4"/>
  <c r="L406" i="4"/>
  <c r="L430" i="4"/>
  <c r="L446" i="4"/>
  <c r="L838" i="4"/>
  <c r="L854" i="4"/>
  <c r="L902" i="4"/>
  <c r="L926" i="4"/>
  <c r="L934" i="4"/>
  <c r="L1006" i="4"/>
  <c r="L1094" i="4"/>
  <c r="L1214" i="4"/>
  <c r="K1310" i="4"/>
  <c r="M1310" i="4" s="1"/>
  <c r="N1310" i="4" s="1"/>
  <c r="K51" i="4"/>
  <c r="M51" i="4" s="1"/>
  <c r="K915" i="4"/>
  <c r="M915" i="4" s="1"/>
  <c r="N915" i="4" s="1"/>
  <c r="L1115" i="4"/>
  <c r="K1195" i="4"/>
  <c r="M1195" i="4" s="1"/>
  <c r="N1195" i="4" s="1"/>
  <c r="J52" i="1"/>
  <c r="K972" i="4"/>
  <c r="M972" i="4" s="1"/>
  <c r="N972" i="4" s="1"/>
  <c r="K1156" i="4"/>
  <c r="M1156" i="4" s="1"/>
  <c r="N1156" i="4" s="1"/>
  <c r="L1300" i="4"/>
  <c r="K141" i="4"/>
  <c r="M141" i="4" s="1"/>
  <c r="K173" i="4"/>
  <c r="M173" i="4" s="1"/>
  <c r="L221" i="4"/>
  <c r="J128" i="1"/>
  <c r="L34" i="4"/>
  <c r="L122" i="4"/>
  <c r="K178" i="4"/>
  <c r="M178" i="4" s="1"/>
  <c r="L498" i="4"/>
  <c r="K650" i="4"/>
  <c r="M650" i="4" s="1"/>
  <c r="N650" i="4" s="1"/>
  <c r="L714" i="4"/>
  <c r="L778" i="4"/>
  <c r="K962" i="4"/>
  <c r="M962" i="4" s="1"/>
  <c r="N962" i="4" s="1"/>
  <c r="K1147" i="4"/>
  <c r="M1147" i="4" s="1"/>
  <c r="N1147" i="4" s="1"/>
  <c r="L188" i="4"/>
  <c r="K996" i="4"/>
  <c r="M996" i="4" s="1"/>
  <c r="N996" i="4" s="1"/>
  <c r="K1292" i="4"/>
  <c r="M1292" i="4" s="1"/>
  <c r="N1292" i="4" s="1"/>
  <c r="J78" i="1"/>
  <c r="J104" i="1"/>
  <c r="K307" i="4"/>
  <c r="M307" i="4" s="1"/>
  <c r="N307" i="4" s="1"/>
  <c r="L811" i="4"/>
  <c r="L867" i="4"/>
  <c r="L357" i="4"/>
  <c r="J92" i="1"/>
  <c r="J91" i="1"/>
  <c r="L2" i="4"/>
  <c r="K683" i="4"/>
  <c r="M683" i="4" s="1"/>
  <c r="N683" i="4" s="1"/>
  <c r="L364" i="4"/>
  <c r="L531" i="4"/>
  <c r="L587" i="4"/>
  <c r="K205" i="4"/>
  <c r="M205" i="4" s="1"/>
  <c r="L453" i="4"/>
  <c r="K797" i="4"/>
  <c r="M797" i="4" s="1"/>
  <c r="N797" i="4" s="1"/>
  <c r="J88" i="1"/>
  <c r="J99" i="1"/>
  <c r="L150" i="4"/>
  <c r="L398" i="4"/>
  <c r="K422" i="4"/>
  <c r="M422" i="4" s="1"/>
  <c r="N422" i="4" s="1"/>
  <c r="L478" i="4"/>
  <c r="K894" i="4"/>
  <c r="M894" i="4" s="1"/>
  <c r="N894" i="4" s="1"/>
  <c r="L1030" i="4"/>
  <c r="L23" i="4"/>
  <c r="L103" i="4"/>
  <c r="J178" i="1"/>
  <c r="K323" i="4"/>
  <c r="M323" i="4" s="1"/>
  <c r="N323" i="4" s="1"/>
  <c r="L69" i="4"/>
  <c r="L147" i="4"/>
  <c r="K555" i="4"/>
  <c r="M555" i="4" s="1"/>
  <c r="N555" i="4" s="1"/>
  <c r="K787" i="4"/>
  <c r="M787" i="4" s="1"/>
  <c r="N787" i="4" s="1"/>
  <c r="K196" i="4"/>
  <c r="M196" i="4" s="1"/>
  <c r="L228" i="4"/>
  <c r="L860" i="4"/>
  <c r="L940" i="4"/>
  <c r="L397" i="4"/>
  <c r="J202" i="1"/>
  <c r="J121" i="1"/>
  <c r="J122" i="1"/>
  <c r="L543" i="4"/>
  <c r="Q241" i="4"/>
  <c r="K583" i="4"/>
  <c r="M583" i="4" s="1"/>
  <c r="N583" i="4" s="1"/>
  <c r="L578" i="4"/>
  <c r="L668" i="4"/>
  <c r="L631" i="4"/>
  <c r="L356" i="4"/>
  <c r="K590" i="4"/>
  <c r="M590" i="4" s="1"/>
  <c r="N590" i="4" s="1"/>
  <c r="L314" i="4"/>
  <c r="L1092" i="4"/>
  <c r="K833" i="4"/>
  <c r="M833" i="4" s="1"/>
  <c r="N833" i="4" s="1"/>
  <c r="L586" i="4"/>
  <c r="L191" i="4"/>
  <c r="K909" i="4"/>
  <c r="M909" i="4" s="1"/>
  <c r="N909" i="4" s="1"/>
  <c r="K1081" i="4"/>
  <c r="M1081" i="4" s="1"/>
  <c r="N1081" i="4" s="1"/>
  <c r="K59" i="4"/>
  <c r="M59" i="4" s="1"/>
  <c r="L1196" i="4"/>
  <c r="K613" i="4"/>
  <c r="M613" i="4" s="1"/>
  <c r="N613" i="4" s="1"/>
  <c r="L137" i="4"/>
  <c r="L850" i="4"/>
  <c r="K986" i="4"/>
  <c r="M986" i="4" s="1"/>
  <c r="N986" i="4" s="1"/>
  <c r="L1049" i="4"/>
  <c r="K638" i="4"/>
  <c r="M638" i="4" s="1"/>
  <c r="N638" i="4" s="1"/>
  <c r="K206" i="4"/>
  <c r="M206" i="4" s="1"/>
  <c r="L702" i="4"/>
  <c r="K658" i="4"/>
  <c r="M658" i="4" s="1"/>
  <c r="N658" i="4" s="1"/>
  <c r="K1198" i="4"/>
  <c r="M1198" i="4" s="1"/>
  <c r="N1198" i="4" s="1"/>
  <c r="J69" i="1"/>
  <c r="J130" i="1"/>
  <c r="J100" i="1"/>
  <c r="J105" i="1"/>
  <c r="J93" i="1"/>
  <c r="L1293" i="4"/>
  <c r="K1088" i="4"/>
  <c r="M1088" i="4" s="1"/>
  <c r="N1088" i="4" s="1"/>
  <c r="Q237" i="4"/>
  <c r="K99" i="4"/>
  <c r="M99" i="4" s="1"/>
  <c r="K42" i="4"/>
  <c r="M42" i="4" s="1"/>
  <c r="L1035" i="4"/>
  <c r="L489" i="4"/>
  <c r="L1151" i="4"/>
  <c r="L1074" i="4"/>
  <c r="L881" i="4"/>
  <c r="L1225" i="4"/>
  <c r="L649" i="4"/>
  <c r="K723" i="4"/>
  <c r="M723" i="4" s="1"/>
  <c r="N723" i="4" s="1"/>
  <c r="L285" i="4"/>
  <c r="L57" i="4"/>
  <c r="L379" i="4"/>
  <c r="L724" i="4"/>
  <c r="L1149" i="4"/>
  <c r="K143" i="4"/>
  <c r="M143" i="4" s="1"/>
  <c r="L74" i="4"/>
  <c r="L1131" i="4"/>
  <c r="K919" i="4"/>
  <c r="M919" i="4" s="1"/>
  <c r="N919" i="4" s="1"/>
  <c r="L652" i="4"/>
  <c r="L1125" i="4"/>
  <c r="L534" i="4"/>
  <c r="K49" i="4"/>
  <c r="M49" i="4" s="1"/>
  <c r="L44" i="4"/>
  <c r="K1051" i="4"/>
  <c r="M1051" i="4" s="1"/>
  <c r="N1051" i="4" s="1"/>
  <c r="K853" i="4"/>
  <c r="M853" i="4" s="1"/>
  <c r="N853" i="4" s="1"/>
  <c r="K648" i="4"/>
  <c r="M648" i="4" s="1"/>
  <c r="N648" i="4" s="1"/>
  <c r="K266" i="4"/>
  <c r="M266" i="4" s="1"/>
  <c r="K676" i="4"/>
  <c r="M676" i="4" s="1"/>
  <c r="N676" i="4" s="1"/>
  <c r="L916" i="4"/>
  <c r="L1188" i="4"/>
  <c r="L1260" i="4"/>
  <c r="L691" i="4"/>
  <c r="K641" i="4"/>
  <c r="M641" i="4" s="1"/>
  <c r="N641" i="4" s="1"/>
  <c r="K661" i="4"/>
  <c r="M661" i="4" s="1"/>
  <c r="N661" i="4" s="1"/>
  <c r="L47" i="4"/>
  <c r="L716" i="4"/>
  <c r="L62" i="4"/>
  <c r="L654" i="4"/>
  <c r="L865" i="4"/>
  <c r="L507" i="4"/>
  <c r="K1020" i="4"/>
  <c r="M1020" i="4" s="1"/>
  <c r="N1020" i="4" s="1"/>
  <c r="L388" i="4"/>
  <c r="L462" i="4"/>
  <c r="K783" i="4"/>
  <c r="M783" i="4" s="1"/>
  <c r="N783" i="4" s="1"/>
  <c r="L458" i="4"/>
  <c r="L1259" i="4"/>
  <c r="L1237" i="4"/>
  <c r="L1113" i="4"/>
  <c r="L755" i="4"/>
  <c r="J193" i="1"/>
  <c r="J197" i="1"/>
  <c r="J170" i="1"/>
  <c r="J150" i="1"/>
  <c r="J154" i="1"/>
  <c r="J156" i="1"/>
  <c r="J182" i="1"/>
  <c r="J213" i="1"/>
  <c r="J70" i="1"/>
  <c r="J72" i="1"/>
  <c r="J236" i="1"/>
  <c r="J196" i="1"/>
  <c r="J192" i="1"/>
  <c r="J188" i="1"/>
  <c r="J184" i="1"/>
  <c r="J206" i="1"/>
  <c r="J209" i="1"/>
  <c r="L277" i="4"/>
  <c r="K763" i="4"/>
  <c r="M763" i="4" s="1"/>
  <c r="N763" i="4" s="1"/>
  <c r="K938" i="4"/>
  <c r="M938" i="4" s="1"/>
  <c r="N938" i="4" s="1"/>
  <c r="L790" i="4"/>
  <c r="L106" i="4"/>
  <c r="L171" i="4"/>
  <c r="K651" i="4"/>
  <c r="M651" i="4" s="1"/>
  <c r="N651" i="4" s="1"/>
  <c r="L297" i="4"/>
  <c r="L1064" i="4"/>
  <c r="K450" i="4"/>
  <c r="M450" i="4" s="1"/>
  <c r="N450" i="4" s="1"/>
  <c r="L134" i="4"/>
  <c r="L679" i="4"/>
  <c r="L1185" i="4"/>
  <c r="L355" i="4"/>
  <c r="K623" i="4"/>
  <c r="M623" i="4" s="1"/>
  <c r="N623" i="4" s="1"/>
  <c r="L872" i="4"/>
  <c r="L362" i="4"/>
  <c r="L690" i="4"/>
  <c r="L1099" i="4"/>
  <c r="Q239" i="4"/>
  <c r="L678" i="4"/>
  <c r="K1169" i="4"/>
  <c r="M1169" i="4" s="1"/>
  <c r="N1169" i="4" s="1"/>
  <c r="L66" i="4"/>
  <c r="L500" i="4"/>
  <c r="K675" i="4"/>
  <c r="M675" i="4" s="1"/>
  <c r="N675" i="4" s="1"/>
  <c r="L45" i="4"/>
  <c r="L798" i="4"/>
  <c r="L633" i="4"/>
  <c r="K306" i="4"/>
  <c r="M306" i="4" s="1"/>
  <c r="N306" i="4" s="1"/>
  <c r="L350" i="4"/>
  <c r="L1269" i="4"/>
  <c r="L293" i="4"/>
  <c r="L625" i="4"/>
  <c r="L1232" i="4"/>
  <c r="K490" i="4"/>
  <c r="M490" i="4" s="1"/>
  <c r="N490" i="4" s="1"/>
  <c r="K1163" i="4"/>
  <c r="M1163" i="4" s="1"/>
  <c r="N1163" i="4" s="1"/>
  <c r="L413" i="4"/>
  <c r="L589" i="4"/>
  <c r="L1119" i="4"/>
  <c r="K802" i="4"/>
  <c r="M802" i="4" s="1"/>
  <c r="N802" i="4" s="1"/>
  <c r="L183" i="4"/>
  <c r="L593" i="4"/>
  <c r="L810" i="4"/>
  <c r="L77" i="4"/>
  <c r="L1101" i="4"/>
  <c r="L817" i="4"/>
  <c r="K809" i="4"/>
  <c r="M809" i="4" s="1"/>
  <c r="N809" i="4" s="1"/>
  <c r="L946" i="4"/>
  <c r="K5" i="4"/>
  <c r="M5" i="4" s="1"/>
  <c r="L510" i="4"/>
  <c r="L943" i="4"/>
  <c r="K711" i="4"/>
  <c r="M711" i="4" s="1"/>
  <c r="N711" i="4" s="1"/>
  <c r="L800" i="4"/>
  <c r="L1226" i="4"/>
  <c r="K54" i="4"/>
  <c r="M54" i="4" s="1"/>
  <c r="L351" i="4"/>
  <c r="L1057" i="4"/>
  <c r="L745" i="4"/>
  <c r="L165" i="4"/>
  <c r="L1286" i="4"/>
  <c r="L721" i="4"/>
  <c r="K1042" i="4"/>
  <c r="M1042" i="4" s="1"/>
  <c r="N1042" i="4" s="1"/>
  <c r="L1182" i="4"/>
  <c r="K1047" i="4"/>
  <c r="M1047" i="4" s="1"/>
  <c r="N1047" i="4" s="1"/>
  <c r="K338" i="4"/>
  <c r="M338" i="4" s="1"/>
  <c r="N338" i="4" s="1"/>
  <c r="K373" i="4"/>
  <c r="M373" i="4" s="1"/>
  <c r="N373" i="4" s="1"/>
  <c r="K359" i="4"/>
  <c r="M359" i="4" s="1"/>
  <c r="N359" i="4" s="1"/>
  <c r="L873" i="4"/>
  <c r="L300" i="4"/>
  <c r="K900" i="4"/>
  <c r="M900" i="4" s="1"/>
  <c r="N900" i="4" s="1"/>
  <c r="K247" i="4"/>
  <c r="M247" i="4" s="1"/>
  <c r="K424" i="4"/>
  <c r="M424" i="4" s="1"/>
  <c r="N424" i="4" s="1"/>
  <c r="K393" i="4"/>
  <c r="M393" i="4" s="1"/>
  <c r="N393" i="4" s="1"/>
  <c r="L1022" i="4"/>
  <c r="L427" i="4"/>
  <c r="L390" i="4"/>
  <c r="L1229" i="4"/>
  <c r="L372" i="4"/>
  <c r="K739" i="4"/>
  <c r="M739" i="4" s="1"/>
  <c r="N739" i="4" s="1"/>
  <c r="L109" i="4"/>
  <c r="K622" i="4"/>
  <c r="M622" i="4" s="1"/>
  <c r="N622" i="4" s="1"/>
  <c r="L844" i="4"/>
  <c r="Q238" i="4"/>
  <c r="L79" i="4"/>
  <c r="L257" i="4"/>
  <c r="K570" i="4"/>
  <c r="M570" i="4" s="1"/>
  <c r="N570" i="4" s="1"/>
  <c r="L898" i="4"/>
  <c r="K883" i="4"/>
  <c r="M883" i="4" s="1"/>
  <c r="N883" i="4" s="1"/>
  <c r="L565" i="4"/>
  <c r="L709" i="4"/>
  <c r="L1039" i="4"/>
  <c r="L1247" i="4"/>
  <c r="K1170" i="4"/>
  <c r="M1170" i="4" s="1"/>
  <c r="N1170" i="4" s="1"/>
  <c r="K1244" i="4"/>
  <c r="M1244" i="4" s="1"/>
  <c r="N1244" i="4" s="1"/>
  <c r="L1133" i="4"/>
  <c r="K129" i="4"/>
  <c r="M129" i="4" s="1"/>
  <c r="K275" i="4"/>
  <c r="M275" i="4" s="1"/>
  <c r="K317" i="4"/>
  <c r="M317" i="4" s="1"/>
  <c r="N317" i="4" s="1"/>
  <c r="L575" i="4"/>
  <c r="L1167" i="4"/>
  <c r="K405" i="4"/>
  <c r="M405" i="4" s="1"/>
  <c r="N405" i="4" s="1"/>
  <c r="L394" i="4"/>
  <c r="K525" i="4"/>
  <c r="M525" i="4" s="1"/>
  <c r="N525" i="4" s="1"/>
  <c r="K469" i="4"/>
  <c r="M469" i="4" s="1"/>
  <c r="N469" i="4" s="1"/>
  <c r="L947" i="4"/>
  <c r="K161" i="4"/>
  <c r="M161" i="4" s="1"/>
  <c r="L659" i="4"/>
  <c r="L229" i="4"/>
  <c r="K271" i="4"/>
  <c r="M271" i="4" s="1"/>
  <c r="K495" i="4"/>
  <c r="M495" i="4" s="1"/>
  <c r="N495" i="4" s="1"/>
  <c r="L889" i="4"/>
  <c r="L1000" i="4"/>
  <c r="L1123" i="4"/>
  <c r="L287" i="4"/>
  <c r="L254" i="4"/>
  <c r="L115" i="4"/>
  <c r="L741" i="4"/>
  <c r="K493" i="4"/>
  <c r="M493" i="4" s="1"/>
  <c r="N493" i="4" s="1"/>
  <c r="L1184" i="4"/>
  <c r="L1201" i="4"/>
  <c r="K4" i="4"/>
  <c r="M4" i="4" s="1"/>
  <c r="L701" i="4"/>
  <c r="K942" i="4"/>
  <c r="M942" i="4" s="1"/>
  <c r="N942" i="4" s="1"/>
  <c r="L644" i="4"/>
  <c r="K740" i="4"/>
  <c r="M740" i="4" s="1"/>
  <c r="N740" i="4" s="1"/>
  <c r="L494" i="4"/>
  <c r="L952" i="4"/>
  <c r="L1050" i="4"/>
  <c r="L1248" i="4"/>
  <c r="K315" i="4"/>
  <c r="M315" i="4" s="1"/>
  <c r="N315" i="4" s="1"/>
  <c r="L1103" i="4"/>
  <c r="L1264" i="4"/>
  <c r="L203" i="4"/>
  <c r="L722" i="4"/>
  <c r="L939" i="4"/>
  <c r="K1132" i="4"/>
  <c r="M1132" i="4" s="1"/>
  <c r="N1132" i="4" s="1"/>
  <c r="K950" i="4"/>
  <c r="M950" i="4" s="1"/>
  <c r="N950" i="4" s="1"/>
  <c r="L1082" i="4"/>
  <c r="L445" i="4"/>
  <c r="K876" i="4"/>
  <c r="M876" i="4" s="1"/>
  <c r="N876" i="4" s="1"/>
  <c r="L114" i="4"/>
  <c r="L830" i="4"/>
  <c r="J57" i="1"/>
  <c r="J48" i="1"/>
  <c r="L8" i="4"/>
  <c r="L24" i="4"/>
  <c r="L32" i="4"/>
  <c r="L40" i="4"/>
  <c r="K56" i="4"/>
  <c r="M56" i="4" s="1"/>
  <c r="L80" i="4"/>
  <c r="K96" i="4"/>
  <c r="M96" i="4" s="1"/>
  <c r="L104" i="4"/>
  <c r="K3" i="4"/>
  <c r="M3" i="4" s="1"/>
  <c r="K67" i="4"/>
  <c r="M67" i="4" s="1"/>
  <c r="L75" i="4"/>
  <c r="L91" i="4"/>
  <c r="L131" i="4"/>
  <c r="K155" i="4"/>
  <c r="M155" i="4" s="1"/>
  <c r="L163" i="4"/>
  <c r="L179" i="4"/>
  <c r="K227" i="4"/>
  <c r="M227" i="4" s="1"/>
  <c r="Q235" i="4"/>
  <c r="K259" i="4"/>
  <c r="M259" i="4" s="1"/>
  <c r="K267" i="4"/>
  <c r="M267" i="4" s="1"/>
  <c r="K299" i="4"/>
  <c r="M299" i="4" s="1"/>
  <c r="K339" i="4"/>
  <c r="M339" i="4" s="1"/>
  <c r="N339" i="4" s="1"/>
  <c r="L363" i="4"/>
  <c r="L371" i="4"/>
  <c r="L419" i="4"/>
  <c r="L443" i="4"/>
  <c r="L467" i="4"/>
  <c r="L483" i="4"/>
  <c r="L539" i="4"/>
  <c r="L547" i="4"/>
  <c r="K603" i="4"/>
  <c r="M603" i="4" s="1"/>
  <c r="N603" i="4" s="1"/>
  <c r="L627" i="4"/>
  <c r="K635" i="4"/>
  <c r="M635" i="4" s="1"/>
  <c r="N635" i="4" s="1"/>
  <c r="L699" i="4"/>
  <c r="K707" i="4"/>
  <c r="M707" i="4" s="1"/>
  <c r="N707" i="4" s="1"/>
  <c r="L715" i="4"/>
  <c r="L779" i="4"/>
  <c r="L827" i="4"/>
  <c r="K955" i="4"/>
  <c r="M955" i="4" s="1"/>
  <c r="N955" i="4" s="1"/>
  <c r="L963" i="4"/>
  <c r="J203" i="1"/>
  <c r="J217" i="1"/>
  <c r="J165" i="1"/>
  <c r="J140" i="1"/>
  <c r="J161" i="1"/>
  <c r="K112" i="4"/>
  <c r="M112" i="4" s="1"/>
  <c r="L120" i="4"/>
  <c r="L128" i="4"/>
  <c r="K136" i="4"/>
  <c r="M136" i="4" s="1"/>
  <c r="L144" i="4"/>
  <c r="L152" i="4"/>
  <c r="J143" i="1"/>
  <c r="J220" i="1"/>
  <c r="K21" i="4"/>
  <c r="M21" i="4" s="1"/>
  <c r="K863" i="4"/>
  <c r="M863" i="4" s="1"/>
  <c r="N863" i="4" s="1"/>
  <c r="K956" i="4"/>
  <c r="M956" i="4" s="1"/>
  <c r="N956" i="4" s="1"/>
  <c r="L615" i="4"/>
  <c r="L1063" i="4"/>
  <c r="K751" i="4"/>
  <c r="M751" i="4" s="1"/>
  <c r="N751" i="4" s="1"/>
  <c r="L976" i="4"/>
  <c r="L1289" i="4"/>
  <c r="K517" i="4"/>
  <c r="M517" i="4" s="1"/>
  <c r="N517" i="4" s="1"/>
  <c r="K878" i="4"/>
  <c r="M878" i="4" s="1"/>
  <c r="N878" i="4" s="1"/>
  <c r="L246" i="4"/>
  <c r="L1254" i="4"/>
  <c r="L1073" i="4"/>
  <c r="L1175" i="4"/>
  <c r="K195" i="4"/>
  <c r="M195" i="4" s="1"/>
  <c r="L564" i="4"/>
  <c r="K814" i="4"/>
  <c r="M814" i="4" s="1"/>
  <c r="N814" i="4" s="1"/>
  <c r="K1181" i="4"/>
  <c r="M1181" i="4" s="1"/>
  <c r="N1181" i="4" s="1"/>
  <c r="L657" i="4"/>
  <c r="L1255" i="4"/>
  <c r="K213" i="4"/>
  <c r="M213" i="4" s="1"/>
  <c r="L439" i="4"/>
  <c r="L305" i="4"/>
  <c r="L1258" i="4"/>
  <c r="Q234" i="4"/>
  <c r="L669" i="4"/>
  <c r="L1061" i="4"/>
  <c r="L647" i="4"/>
  <c r="L1105" i="4"/>
  <c r="L1233" i="4"/>
  <c r="K732" i="4"/>
  <c r="M732" i="4" s="1"/>
  <c r="N732" i="4" s="1"/>
  <c r="L39" i="4"/>
  <c r="L759" i="4"/>
  <c r="K837" i="4"/>
  <c r="M837" i="4" s="1"/>
  <c r="N837" i="4" s="1"/>
  <c r="K310" i="4"/>
  <c r="M310" i="4" s="1"/>
  <c r="N310" i="4" s="1"/>
  <c r="K465" i="4"/>
  <c r="M465" i="4" s="1"/>
  <c r="N465" i="4" s="1"/>
  <c r="L770" i="4"/>
  <c r="L1243" i="4"/>
  <c r="K655" i="4"/>
  <c r="M655" i="4" s="1"/>
  <c r="N655" i="4" s="1"/>
  <c r="K706" i="4"/>
  <c r="M706" i="4" s="1"/>
  <c r="N706" i="4" s="1"/>
  <c r="L1197" i="4"/>
  <c r="L1183" i="4"/>
  <c r="K804" i="4"/>
  <c r="M804" i="4" s="1"/>
  <c r="N804" i="4" s="1"/>
  <c r="K1238" i="4"/>
  <c r="M1238" i="4" s="1"/>
  <c r="N1238" i="4" s="1"/>
  <c r="L224" i="4"/>
  <c r="L226" i="4"/>
  <c r="L409" i="4"/>
  <c r="K1165" i="4"/>
  <c r="M1165" i="4" s="1"/>
  <c r="N1165" i="4" s="1"/>
  <c r="L1031" i="4"/>
  <c r="L313" i="4"/>
  <c r="L636" i="4"/>
  <c r="L1290" i="4"/>
  <c r="L318" i="4"/>
  <c r="K1065" i="4"/>
  <c r="M1065" i="4" s="1"/>
  <c r="N1065" i="4" s="1"/>
  <c r="L85" i="4"/>
  <c r="L186" i="4"/>
  <c r="K1236" i="4"/>
  <c r="M1236" i="4" s="1"/>
  <c r="N1236" i="4" s="1"/>
  <c r="L210" i="4"/>
  <c r="K366" i="4"/>
  <c r="M366" i="4" s="1"/>
  <c r="N366" i="4" s="1"/>
  <c r="L1129" i="4"/>
  <c r="L1003" i="4"/>
  <c r="L19" i="4"/>
  <c r="L1180" i="4"/>
  <c r="K1218" i="4"/>
  <c r="M1218" i="4" s="1"/>
  <c r="N1218" i="4" s="1"/>
  <c r="K533" i="4"/>
  <c r="M533" i="4" s="1"/>
  <c r="N533" i="4" s="1"/>
  <c r="K584" i="4"/>
  <c r="M584" i="4" s="1"/>
  <c r="N584" i="4" s="1"/>
  <c r="L435" i="4"/>
  <c r="L513" i="4"/>
  <c r="J171" i="1"/>
  <c r="J159" i="1"/>
  <c r="J181" i="1"/>
  <c r="J174" i="1"/>
  <c r="J219" i="1"/>
  <c r="J191" i="1"/>
  <c r="L168" i="4"/>
  <c r="L176" i="4"/>
  <c r="L184" i="4"/>
  <c r="L192" i="4"/>
  <c r="L200" i="4"/>
  <c r="L216" i="4"/>
  <c r="L248" i="4"/>
  <c r="L256" i="4"/>
  <c r="L264" i="4"/>
  <c r="K272" i="4"/>
  <c r="M272" i="4" s="1"/>
  <c r="L288" i="4"/>
  <c r="K296" i="4"/>
  <c r="M296" i="4" s="1"/>
  <c r="L304" i="4"/>
  <c r="K312" i="4"/>
  <c r="M312" i="4" s="1"/>
  <c r="N312" i="4" s="1"/>
  <c r="L328" i="4"/>
  <c r="L352" i="4"/>
  <c r="L360" i="4"/>
  <c r="L368" i="4"/>
  <c r="K384" i="4"/>
  <c r="M384" i="4" s="1"/>
  <c r="N384" i="4" s="1"/>
  <c r="L400" i="4"/>
  <c r="L408" i="4"/>
  <c r="K432" i="4"/>
  <c r="M432" i="4" s="1"/>
  <c r="N432" i="4" s="1"/>
  <c r="K448" i="4"/>
  <c r="M448" i="4" s="1"/>
  <c r="N448" i="4" s="1"/>
  <c r="L464" i="4"/>
  <c r="L472" i="4"/>
  <c r="K480" i="4"/>
  <c r="M480" i="4" s="1"/>
  <c r="N480" i="4" s="1"/>
  <c r="L496" i="4"/>
  <c r="L504" i="4"/>
  <c r="K512" i="4"/>
  <c r="M512" i="4" s="1"/>
  <c r="N512" i="4" s="1"/>
  <c r="K528" i="4"/>
  <c r="M528" i="4" s="1"/>
  <c r="N528" i="4" s="1"/>
  <c r="L536" i="4"/>
  <c r="K544" i="4"/>
  <c r="M544" i="4" s="1"/>
  <c r="N544" i="4" s="1"/>
  <c r="L568" i="4"/>
  <c r="L576" i="4"/>
  <c r="L592" i="4"/>
  <c r="L632" i="4"/>
  <c r="L656" i="4"/>
  <c r="L664" i="4"/>
  <c r="K688" i="4"/>
  <c r="M688" i="4" s="1"/>
  <c r="N688" i="4" s="1"/>
  <c r="L712" i="4"/>
  <c r="L720" i="4"/>
  <c r="L760" i="4"/>
  <c r="L768" i="4"/>
  <c r="L808" i="4"/>
  <c r="K816" i="4"/>
  <c r="M816" i="4" s="1"/>
  <c r="N816" i="4" s="1"/>
  <c r="L848" i="4"/>
  <c r="K864" i="4"/>
  <c r="M864" i="4" s="1"/>
  <c r="N864" i="4" s="1"/>
  <c r="K896" i="4"/>
  <c r="M896" i="4" s="1"/>
  <c r="N896" i="4" s="1"/>
  <c r="L912" i="4"/>
  <c r="L928" i="4"/>
  <c r="L944" i="4"/>
  <c r="J183" i="1"/>
  <c r="J179" i="1"/>
  <c r="J175" i="1"/>
  <c r="J200" i="1"/>
  <c r="J218" i="1"/>
  <c r="J153" i="1"/>
  <c r="J142" i="1"/>
  <c r="J148" i="1"/>
  <c r="J212" i="1"/>
  <c r="J208" i="1"/>
  <c r="J139" i="1"/>
  <c r="J149" i="1"/>
  <c r="J198" i="1"/>
  <c r="J190" i="1"/>
  <c r="J186" i="1"/>
  <c r="J135" i="1"/>
  <c r="J145" i="1"/>
  <c r="J141" i="1"/>
  <c r="J137" i="1"/>
  <c r="J133" i="1"/>
  <c r="J151" i="1"/>
  <c r="J147" i="1"/>
  <c r="J195" i="1"/>
  <c r="J187" i="1"/>
  <c r="J205" i="1"/>
  <c r="J211" i="1"/>
  <c r="J207" i="1"/>
  <c r="J221" i="1"/>
  <c r="J224" i="1"/>
  <c r="J235" i="1"/>
  <c r="J228" i="1"/>
  <c r="J233" i="1"/>
  <c r="J229" i="1"/>
  <c r="J234" i="1"/>
  <c r="H40" i="1"/>
  <c r="J40" i="1" s="1"/>
  <c r="H32" i="1"/>
  <c r="J32" i="1" s="1"/>
  <c r="H24" i="1"/>
  <c r="J24" i="1" s="1"/>
  <c r="H16" i="1"/>
  <c r="J16" i="1" s="1"/>
  <c r="H8" i="1"/>
  <c r="J8" i="1" s="1"/>
  <c r="H59" i="1"/>
  <c r="J59" i="1" s="1"/>
  <c r="H54" i="1"/>
  <c r="J54" i="1" s="1"/>
  <c r="H46" i="1"/>
  <c r="J46" i="1" s="1"/>
  <c r="H53" i="1"/>
  <c r="J53" i="1" s="1"/>
  <c r="H138" i="1"/>
  <c r="J138" i="1" s="1"/>
  <c r="J172" i="1"/>
  <c r="J164" i="1"/>
  <c r="J160" i="1"/>
  <c r="H167" i="1"/>
  <c r="J167" i="1" s="1"/>
  <c r="H163" i="1"/>
  <c r="J163" i="1" s="1"/>
  <c r="H177" i="1"/>
  <c r="J177" i="1" s="1"/>
  <c r="J173" i="1"/>
  <c r="H185" i="1"/>
  <c r="J185" i="1" s="1"/>
  <c r="H214" i="1"/>
  <c r="J214" i="1" s="1"/>
  <c r="J3" i="1" l="1"/>
  <c r="L431" i="4"/>
  <c r="L1111" i="4"/>
  <c r="L9" i="4"/>
  <c r="L529" i="4"/>
  <c r="L449" i="4"/>
  <c r="L673" i="4"/>
  <c r="L936" i="4"/>
  <c r="L535" i="4"/>
  <c r="L111" i="4"/>
  <c r="L280" i="4"/>
  <c r="L281" i="4"/>
  <c r="L214" i="4"/>
  <c r="L871" i="4"/>
  <c r="L1200" i="4"/>
  <c r="K9" i="4"/>
  <c r="M9" i="4" s="1"/>
  <c r="L1136" i="4"/>
  <c r="L1222" i="4"/>
  <c r="K599" i="4"/>
  <c r="M599" i="4" s="1"/>
  <c r="N599" i="4" s="1"/>
  <c r="K908" i="4"/>
  <c r="M908" i="4" s="1"/>
  <c r="N908" i="4" s="1"/>
  <c r="K111" i="4"/>
  <c r="M111" i="4" s="1"/>
  <c r="K119" i="4"/>
  <c r="M119" i="4" s="1"/>
  <c r="N119" i="4" s="1"/>
  <c r="L336" i="4"/>
  <c r="K381" i="4"/>
  <c r="M381" i="4" s="1"/>
  <c r="N381" i="4" s="1"/>
  <c r="K767" i="4"/>
  <c r="M767" i="4" s="1"/>
  <c r="N767" i="4" s="1"/>
  <c r="L292" i="4"/>
  <c r="N292" i="4" s="1"/>
  <c r="L231" i="4"/>
  <c r="N231" i="4" s="1"/>
  <c r="L1192" i="4"/>
  <c r="L1240" i="4"/>
  <c r="L776" i="4"/>
  <c r="K431" i="4"/>
  <c r="M431" i="4" s="1"/>
  <c r="N431" i="4" s="1"/>
  <c r="L1106" i="4"/>
  <c r="L243" i="4"/>
  <c r="Q243" i="4"/>
  <c r="L244" i="4"/>
  <c r="Q244" i="4"/>
  <c r="L242" i="4"/>
  <c r="Q242" i="4"/>
  <c r="K240" i="4"/>
  <c r="M240" i="4" s="1"/>
  <c r="Q240" i="4"/>
  <c r="L232" i="4"/>
  <c r="Q232" i="4"/>
  <c r="L233" i="4"/>
  <c r="Q233" i="4"/>
  <c r="K236" i="4"/>
  <c r="M236" i="4" s="1"/>
  <c r="Q236" i="4"/>
  <c r="K965" i="4"/>
  <c r="M965" i="4" s="1"/>
  <c r="N965" i="4" s="1"/>
  <c r="K1111" i="4"/>
  <c r="M1111" i="4" s="1"/>
  <c r="N1111" i="4" s="1"/>
  <c r="L1177" i="4"/>
  <c r="K786" i="4"/>
  <c r="M786" i="4" s="1"/>
  <c r="N786" i="4" s="1"/>
  <c r="K841" i="4"/>
  <c r="M841" i="4" s="1"/>
  <c r="N841" i="4" s="1"/>
  <c r="K1162" i="4"/>
  <c r="M1162" i="4" s="1"/>
  <c r="N1162" i="4" s="1"/>
  <c r="K824" i="4"/>
  <c r="M824" i="4" s="1"/>
  <c r="N824" i="4" s="1"/>
  <c r="K415" i="4"/>
  <c r="M415" i="4" s="1"/>
  <c r="N415" i="4" s="1"/>
  <c r="K995" i="4"/>
  <c r="M995" i="4" s="1"/>
  <c r="N995" i="4" s="1"/>
  <c r="K914" i="4"/>
  <c r="M914" i="4" s="1"/>
  <c r="N914" i="4" s="1"/>
  <c r="K897" i="4"/>
  <c r="M897" i="4" s="1"/>
  <c r="N897" i="4" s="1"/>
  <c r="L734" i="4"/>
  <c r="K792" i="4"/>
  <c r="M792" i="4" s="1"/>
  <c r="N792" i="4" s="1"/>
  <c r="K895" i="4"/>
  <c r="M895" i="4" s="1"/>
  <c r="N895" i="4" s="1"/>
  <c r="K505" i="4"/>
  <c r="M505" i="4" s="1"/>
  <c r="N505" i="4" s="1"/>
  <c r="L1036" i="4"/>
  <c r="K516" i="4"/>
  <c r="M516" i="4" s="1"/>
  <c r="N516" i="4" s="1"/>
  <c r="K252" i="4"/>
  <c r="M252" i="4" s="1"/>
  <c r="N252" i="4" s="1"/>
  <c r="L178" i="4"/>
  <c r="N178" i="4" s="1"/>
  <c r="K457" i="4"/>
  <c r="M457" i="4" s="1"/>
  <c r="N457" i="4" s="1"/>
  <c r="L819" i="4"/>
  <c r="K885" i="4"/>
  <c r="M885" i="4" s="1"/>
  <c r="N885" i="4" s="1"/>
  <c r="K1257" i="4"/>
  <c r="M1257" i="4" s="1"/>
  <c r="N1257" i="4" s="1"/>
  <c r="K604" i="4"/>
  <c r="M604" i="4" s="1"/>
  <c r="N604" i="4" s="1"/>
  <c r="L274" i="4"/>
  <c r="N274" i="4" s="1"/>
  <c r="K983" i="4"/>
  <c r="M983" i="4" s="1"/>
  <c r="N983" i="4" s="1"/>
  <c r="K329" i="4"/>
  <c r="M329" i="4" s="1"/>
  <c r="N329" i="4" s="1"/>
  <c r="K529" i="4"/>
  <c r="M529" i="4" s="1"/>
  <c r="N529" i="4" s="1"/>
  <c r="K60" i="4"/>
  <c r="M60" i="4" s="1"/>
  <c r="N60" i="4" s="1"/>
  <c r="K1085" i="4"/>
  <c r="M1085" i="4" s="1"/>
  <c r="N1085" i="4" s="1"/>
  <c r="L172" i="4"/>
  <c r="N172" i="4" s="1"/>
  <c r="K686" i="4"/>
  <c r="M686" i="4" s="1"/>
  <c r="N686" i="4" s="1"/>
  <c r="L972" i="4"/>
  <c r="K778" i="4"/>
  <c r="M778" i="4" s="1"/>
  <c r="N778" i="4" s="1"/>
  <c r="K1231" i="4"/>
  <c r="M1231" i="4" s="1"/>
  <c r="N1231" i="4" s="1"/>
  <c r="K1303" i="4"/>
  <c r="M1303" i="4" s="1"/>
  <c r="N1303" i="4" s="1"/>
  <c r="K1115" i="4"/>
  <c r="M1115" i="4" s="1"/>
  <c r="N1115" i="4" s="1"/>
  <c r="L1026" i="4"/>
  <c r="K948" i="4"/>
  <c r="M948" i="4" s="1"/>
  <c r="N948" i="4" s="1"/>
  <c r="K1298" i="4"/>
  <c r="M1298" i="4" s="1"/>
  <c r="N1298" i="4" s="1"/>
  <c r="K389" i="4"/>
  <c r="M389" i="4" s="1"/>
  <c r="N389" i="4" s="1"/>
  <c r="K511" i="4"/>
  <c r="M511" i="4" s="1"/>
  <c r="N511" i="4" s="1"/>
  <c r="K572" i="4"/>
  <c r="M572" i="4" s="1"/>
  <c r="N572" i="4" s="1"/>
  <c r="L87" i="4"/>
  <c r="N87" i="4" s="1"/>
  <c r="L1209" i="4"/>
  <c r="K58" i="4"/>
  <c r="M58" i="4" s="1"/>
  <c r="N58" i="4" s="1"/>
  <c r="K1008" i="4"/>
  <c r="M1008" i="4" s="1"/>
  <c r="N1008" i="4" s="1"/>
  <c r="L989" i="4"/>
  <c r="K673" i="4"/>
  <c r="M673" i="4" s="1"/>
  <c r="N673" i="4" s="1"/>
  <c r="L703" i="4"/>
  <c r="K936" i="4"/>
  <c r="M936" i="4" s="1"/>
  <c r="N936" i="4" s="1"/>
  <c r="L38" i="4"/>
  <c r="N38" i="4" s="1"/>
  <c r="L1305" i="4"/>
  <c r="K167" i="4"/>
  <c r="M167" i="4" s="1"/>
  <c r="N167" i="4" s="1"/>
  <c r="K1095" i="4"/>
  <c r="M1095" i="4" s="1"/>
  <c r="N1095" i="4" s="1"/>
  <c r="L975" i="4"/>
  <c r="L324" i="4"/>
  <c r="L506" i="4"/>
  <c r="K260" i="4"/>
  <c r="M260" i="4" s="1"/>
  <c r="N260" i="4" s="1"/>
  <c r="K1077" i="4"/>
  <c r="M1077" i="4" s="1"/>
  <c r="N1077" i="4" s="1"/>
  <c r="L1272" i="4"/>
  <c r="K849" i="4"/>
  <c r="M849" i="4" s="1"/>
  <c r="N849" i="4" s="1"/>
  <c r="L1044" i="4"/>
  <c r="L441" i="4"/>
  <c r="L1282" i="4"/>
  <c r="K913" i="4"/>
  <c r="M913" i="4" s="1"/>
  <c r="N913" i="4" s="1"/>
  <c r="K103" i="4"/>
  <c r="M103" i="4" s="1"/>
  <c r="N103" i="4" s="1"/>
  <c r="K601" i="4"/>
  <c r="M601" i="4" s="1"/>
  <c r="N601" i="4" s="1"/>
  <c r="K829" i="4"/>
  <c r="M829" i="4" s="1"/>
  <c r="N829" i="4" s="1"/>
  <c r="K1242" i="4"/>
  <c r="M1242" i="4" s="1"/>
  <c r="N1242" i="4" s="1"/>
  <c r="L1079" i="4"/>
  <c r="L917" i="4"/>
  <c r="L1114" i="4"/>
  <c r="K586" i="4"/>
  <c r="M586" i="4" s="1"/>
  <c r="N586" i="4" s="1"/>
  <c r="L545" i="4"/>
  <c r="K150" i="4"/>
  <c r="M150" i="4" s="1"/>
  <c r="N150" i="4" s="1"/>
  <c r="L831" i="4"/>
  <c r="K214" i="4"/>
  <c r="M214" i="4" s="1"/>
  <c r="L81" i="4"/>
  <c r="N81" i="4" s="1"/>
  <c r="K461" i="4"/>
  <c r="M461" i="4" s="1"/>
  <c r="N461" i="4" s="1"/>
  <c r="K335" i="4"/>
  <c r="M335" i="4" s="1"/>
  <c r="N335" i="4" s="1"/>
  <c r="K959" i="4"/>
  <c r="M959" i="4" s="1"/>
  <c r="N959" i="4" s="1"/>
  <c r="K255" i="4"/>
  <c r="M255" i="4" s="1"/>
  <c r="N255" i="4" s="1"/>
  <c r="L1241" i="4"/>
  <c r="K1089" i="4"/>
  <c r="M1089" i="4" s="1"/>
  <c r="N1089" i="4" s="1"/>
  <c r="K867" i="4"/>
  <c r="M867" i="4" s="1"/>
  <c r="N867" i="4" s="1"/>
  <c r="L1310" i="4"/>
  <c r="K124" i="4"/>
  <c r="M124" i="4" s="1"/>
  <c r="N124" i="4" s="1"/>
  <c r="K397" i="4"/>
  <c r="M397" i="4" s="1"/>
  <c r="N397" i="4" s="1"/>
  <c r="K1220" i="4"/>
  <c r="M1220" i="4" s="1"/>
  <c r="N1220" i="4" s="1"/>
  <c r="K1214" i="4"/>
  <c r="M1214" i="4" s="1"/>
  <c r="N1214" i="4" s="1"/>
  <c r="K191" i="4"/>
  <c r="M191" i="4" s="1"/>
  <c r="N191" i="4" s="1"/>
  <c r="K357" i="4"/>
  <c r="M357" i="4" s="1"/>
  <c r="N357" i="4" s="1"/>
  <c r="K1068" i="4"/>
  <c r="M1068" i="4" s="1"/>
  <c r="N1068" i="4" s="1"/>
  <c r="L1308" i="4"/>
  <c r="K446" i="4"/>
  <c r="M446" i="4" s="1"/>
  <c r="N446" i="4" s="1"/>
  <c r="K198" i="4"/>
  <c r="M198" i="4" s="1"/>
  <c r="N198" i="4" s="1"/>
  <c r="K485" i="4"/>
  <c r="M485" i="4" s="1"/>
  <c r="N485" i="4" s="1"/>
  <c r="L1156" i="4"/>
  <c r="L173" i="4"/>
  <c r="N173" i="4" s="1"/>
  <c r="K1066" i="4"/>
  <c r="M1066" i="4" s="1"/>
  <c r="N1066" i="4" s="1"/>
  <c r="K265" i="4"/>
  <c r="M265" i="4" s="1"/>
  <c r="N265" i="4" s="1"/>
  <c r="K854" i="4"/>
  <c r="M854" i="4" s="1"/>
  <c r="N854" i="4" s="1"/>
  <c r="L1249" i="4"/>
  <c r="K273" i="4"/>
  <c r="M273" i="4" s="1"/>
  <c r="N273" i="4" s="1"/>
  <c r="L797" i="4"/>
  <c r="L141" i="4"/>
  <c r="N141" i="4" s="1"/>
  <c r="K449" i="4"/>
  <c r="M449" i="4" s="1"/>
  <c r="N449" i="4" s="1"/>
  <c r="L1191" i="4"/>
  <c r="K1151" i="4"/>
  <c r="M1151" i="4" s="1"/>
  <c r="N1151" i="4" s="1"/>
  <c r="L49" i="4"/>
  <c r="N49" i="4" s="1"/>
  <c r="K478" i="4"/>
  <c r="M478" i="4" s="1"/>
  <c r="N478" i="4" s="1"/>
  <c r="K190" i="4"/>
  <c r="M190" i="4" s="1"/>
  <c r="N190" i="4" s="1"/>
  <c r="K345" i="4"/>
  <c r="M345" i="4" s="1"/>
  <c r="N345" i="4" s="1"/>
  <c r="L18" i="4"/>
  <c r="N18" i="4" s="1"/>
  <c r="K93" i="4"/>
  <c r="M93" i="4" s="1"/>
  <c r="N93" i="4" s="1"/>
  <c r="L342" i="4"/>
  <c r="K1287" i="4"/>
  <c r="M1287" i="4" s="1"/>
  <c r="N1287" i="4" s="1"/>
  <c r="K574" i="4"/>
  <c r="M574" i="4" s="1"/>
  <c r="N574" i="4" s="1"/>
  <c r="K348" i="4"/>
  <c r="M348" i="4" s="1"/>
  <c r="N348" i="4" s="1"/>
  <c r="K902" i="4"/>
  <c r="M902" i="4" s="1"/>
  <c r="N902" i="4" s="1"/>
  <c r="K562" i="4"/>
  <c r="M562" i="4" s="1"/>
  <c r="N562" i="4" s="1"/>
  <c r="K594" i="4"/>
  <c r="M594" i="4" s="1"/>
  <c r="N594" i="4" s="1"/>
  <c r="K806" i="4"/>
  <c r="M806" i="4" s="1"/>
  <c r="N806" i="4" s="1"/>
  <c r="L321" i="4"/>
  <c r="L874" i="4"/>
  <c r="K1208" i="4"/>
  <c r="M1208" i="4" s="1"/>
  <c r="N1208" i="4" s="1"/>
  <c r="K1009" i="4"/>
  <c r="M1009" i="4" s="1"/>
  <c r="N1009" i="4" s="1"/>
  <c r="L809" i="4"/>
  <c r="L1020" i="4"/>
  <c r="L196" i="4"/>
  <c r="N196" i="4" s="1"/>
  <c r="L583" i="4"/>
  <c r="L307" i="4"/>
  <c r="L1116" i="4"/>
  <c r="K1295" i="4"/>
  <c r="M1295" i="4" s="1"/>
  <c r="N1295" i="4" s="1"/>
  <c r="K2" i="4"/>
  <c r="M2" i="4" s="1"/>
  <c r="L143" i="4"/>
  <c r="N143" i="4" s="1"/>
  <c r="L99" i="4"/>
  <c r="N99" i="4" s="1"/>
  <c r="K1277" i="4"/>
  <c r="M1277" i="4" s="1"/>
  <c r="N1277" i="4" s="1"/>
  <c r="K74" i="4"/>
  <c r="M74" i="4" s="1"/>
  <c r="N74" i="4" s="1"/>
  <c r="K1094" i="4"/>
  <c r="M1094" i="4" s="1"/>
  <c r="N1094" i="4" s="1"/>
  <c r="K97" i="4"/>
  <c r="M97" i="4" s="1"/>
  <c r="N97" i="4" s="1"/>
  <c r="K1033" i="4"/>
  <c r="M1033" i="4" s="1"/>
  <c r="N1033" i="4" s="1"/>
  <c r="K212" i="4"/>
  <c r="M212" i="4" s="1"/>
  <c r="N212" i="4" s="1"/>
  <c r="L992" i="4"/>
  <c r="K374" i="4"/>
  <c r="M374" i="4" s="1"/>
  <c r="N374" i="4" s="1"/>
  <c r="K1060" i="4"/>
  <c r="M1060" i="4" s="1"/>
  <c r="N1060" i="4" s="1"/>
  <c r="L648" i="4"/>
  <c r="L266" i="4"/>
  <c r="N266" i="4" s="1"/>
  <c r="K724" i="4"/>
  <c r="M724" i="4" s="1"/>
  <c r="N724" i="4" s="1"/>
  <c r="K553" i="4"/>
  <c r="M553" i="4" s="1"/>
  <c r="N553" i="4" s="1"/>
  <c r="L1276" i="4"/>
  <c r="L369" i="4"/>
  <c r="L783" i="4"/>
  <c r="K122" i="4"/>
  <c r="M122" i="4" s="1"/>
  <c r="N122" i="4" s="1"/>
  <c r="L951" i="4"/>
  <c r="K1304" i="4"/>
  <c r="M1304" i="4" s="1"/>
  <c r="N1304" i="4" s="1"/>
  <c r="K1260" i="4"/>
  <c r="M1260" i="4" s="1"/>
  <c r="N1260" i="4" s="1"/>
  <c r="L993" i="4"/>
  <c r="K1018" i="4"/>
  <c r="M1018" i="4" s="1"/>
  <c r="N1018" i="4" s="1"/>
  <c r="K225" i="4"/>
  <c r="M225" i="4" s="1"/>
  <c r="N225" i="4" s="1"/>
  <c r="K82" i="4"/>
  <c r="M82" i="4" s="1"/>
  <c r="N82" i="4" s="1"/>
  <c r="K458" i="4"/>
  <c r="M458" i="4" s="1"/>
  <c r="N458" i="4" s="1"/>
  <c r="L909" i="4"/>
  <c r="K691" i="4"/>
  <c r="M691" i="4" s="1"/>
  <c r="N691" i="4" s="1"/>
  <c r="K633" i="4"/>
  <c r="M633" i="4" s="1"/>
  <c r="N633" i="4" s="1"/>
  <c r="L444" i="4"/>
  <c r="K535" i="4"/>
  <c r="M535" i="4" s="1"/>
  <c r="N535" i="4" s="1"/>
  <c r="L788" i="4"/>
  <c r="K598" i="4"/>
  <c r="M598" i="4" s="1"/>
  <c r="N598" i="4" s="1"/>
  <c r="L833" i="4"/>
  <c r="K578" i="4"/>
  <c r="M578" i="4" s="1"/>
  <c r="N578" i="4" s="1"/>
  <c r="L325" i="4"/>
  <c r="K503" i="4"/>
  <c r="M503" i="4" s="1"/>
  <c r="N503" i="4" s="1"/>
  <c r="K1093" i="4"/>
  <c r="M1093" i="4" s="1"/>
  <c r="N1093" i="4" s="1"/>
  <c r="K587" i="4"/>
  <c r="M587" i="4" s="1"/>
  <c r="N587" i="4" s="1"/>
  <c r="L490" i="4"/>
  <c r="L853" i="4"/>
  <c r="K171" i="4"/>
  <c r="M171" i="4" s="1"/>
  <c r="N171" i="4" s="1"/>
  <c r="K530" i="4"/>
  <c r="M530" i="4" s="1"/>
  <c r="N530" i="4" s="1"/>
  <c r="K147" i="4"/>
  <c r="M147" i="4" s="1"/>
  <c r="N147" i="4" s="1"/>
  <c r="L146" i="4"/>
  <c r="N146" i="4" s="1"/>
  <c r="K826" i="4"/>
  <c r="M826" i="4" s="1"/>
  <c r="N826" i="4" s="1"/>
  <c r="L51" i="4"/>
  <c r="N51" i="4" s="1"/>
  <c r="K362" i="4"/>
  <c r="M362" i="4" s="1"/>
  <c r="N362" i="4" s="1"/>
  <c r="K1092" i="4"/>
  <c r="M1092" i="4" s="1"/>
  <c r="N1092" i="4" s="1"/>
  <c r="K79" i="4"/>
  <c r="M79" i="4" s="1"/>
  <c r="N79" i="4" s="1"/>
  <c r="K413" i="4"/>
  <c r="M413" i="4" s="1"/>
  <c r="N413" i="4" s="1"/>
  <c r="K1074" i="4"/>
  <c r="M1074" i="4" s="1"/>
  <c r="N1074" i="4" s="1"/>
  <c r="K794" i="4"/>
  <c r="M794" i="4" s="1"/>
  <c r="N794" i="4" s="1"/>
  <c r="L1244" i="4"/>
  <c r="K388" i="4"/>
  <c r="M388" i="4" s="1"/>
  <c r="N388" i="4" s="1"/>
  <c r="K1293" i="4"/>
  <c r="M1293" i="4" s="1"/>
  <c r="N1293" i="4" s="1"/>
  <c r="L1169" i="4"/>
  <c r="K1133" i="4"/>
  <c r="M1133" i="4" s="1"/>
  <c r="N1133" i="4" s="1"/>
  <c r="K1061" i="4"/>
  <c r="M1061" i="4" s="1"/>
  <c r="N1061" i="4" s="1"/>
  <c r="K593" i="4"/>
  <c r="M593" i="4" s="1"/>
  <c r="N593" i="4" s="1"/>
  <c r="K737" i="4"/>
  <c r="M737" i="4" s="1"/>
  <c r="N737" i="4" s="1"/>
  <c r="K1234" i="4"/>
  <c r="M1234" i="4" s="1"/>
  <c r="N1234" i="4" s="1"/>
  <c r="K559" i="4"/>
  <c r="M559" i="4" s="1"/>
  <c r="N559" i="4" s="1"/>
  <c r="K1101" i="4"/>
  <c r="M1101" i="4" s="1"/>
  <c r="N1101" i="4" s="1"/>
  <c r="K521" i="4"/>
  <c r="M521" i="4" s="1"/>
  <c r="N521" i="4" s="1"/>
  <c r="L942" i="4"/>
  <c r="K183" i="4"/>
  <c r="M183" i="4" s="1"/>
  <c r="N183" i="4" s="1"/>
  <c r="L220" i="4"/>
  <c r="N220" i="4" s="1"/>
  <c r="L271" i="4"/>
  <c r="N271" i="4" s="1"/>
  <c r="K257" i="4"/>
  <c r="M257" i="4" s="1"/>
  <c r="N257" i="4" s="1"/>
  <c r="K701" i="4"/>
  <c r="M701" i="4" s="1"/>
  <c r="N701" i="4" s="1"/>
  <c r="K946" i="4"/>
  <c r="M946" i="4" s="1"/>
  <c r="N946" i="4" s="1"/>
  <c r="L641" i="4"/>
  <c r="K1090" i="4"/>
  <c r="M1090" i="4" s="1"/>
  <c r="N1090" i="4" s="1"/>
  <c r="K482" i="4"/>
  <c r="M482" i="4" s="1"/>
  <c r="N482" i="4" s="1"/>
  <c r="K1259" i="4"/>
  <c r="M1259" i="4" s="1"/>
  <c r="N1259" i="4" s="1"/>
  <c r="K1119" i="4"/>
  <c r="M1119" i="4" s="1"/>
  <c r="N1119" i="4" s="1"/>
  <c r="K1131" i="4"/>
  <c r="M1131" i="4" s="1"/>
  <c r="N1131" i="4" s="1"/>
  <c r="K1166" i="4"/>
  <c r="M1166" i="4" s="1"/>
  <c r="N1166" i="4" s="1"/>
  <c r="L1088" i="4"/>
  <c r="K1128" i="4"/>
  <c r="M1128" i="4" s="1"/>
  <c r="N1128" i="4" s="1"/>
  <c r="K394" i="4"/>
  <c r="M394" i="4" s="1"/>
  <c r="N394" i="4" s="1"/>
  <c r="L54" i="4"/>
  <c r="N54" i="4" s="1"/>
  <c r="K1154" i="4"/>
  <c r="M1154" i="4" s="1"/>
  <c r="N1154" i="4" s="1"/>
  <c r="K165" i="4"/>
  <c r="M165" i="4" s="1"/>
  <c r="N165" i="4" s="1"/>
  <c r="L3" i="4"/>
  <c r="N3" i="4" s="1"/>
  <c r="K1247" i="4"/>
  <c r="M1247" i="4" s="1"/>
  <c r="N1247" i="4" s="1"/>
  <c r="K618" i="4"/>
  <c r="M618" i="4" s="1"/>
  <c r="N618" i="4" s="1"/>
  <c r="K1086" i="4"/>
  <c r="M1086" i="4" s="1"/>
  <c r="N1086" i="4" s="1"/>
  <c r="K1057" i="4"/>
  <c r="M1057" i="4" s="1"/>
  <c r="N1057" i="4" s="1"/>
  <c r="L424" i="4"/>
  <c r="K1232" i="4"/>
  <c r="M1232" i="4" s="1"/>
  <c r="N1232" i="4" s="1"/>
  <c r="K341" i="4"/>
  <c r="M341" i="4" s="1"/>
  <c r="N341" i="4" s="1"/>
  <c r="K860" i="4"/>
  <c r="M860" i="4" s="1"/>
  <c r="N860" i="4" s="1"/>
  <c r="K649" i="4"/>
  <c r="M649" i="4" s="1"/>
  <c r="N649" i="4" s="1"/>
  <c r="K719" i="4"/>
  <c r="M719" i="4" s="1"/>
  <c r="N719" i="4" s="1"/>
  <c r="K714" i="4"/>
  <c r="M714" i="4" s="1"/>
  <c r="N714" i="4" s="1"/>
  <c r="K705" i="4"/>
  <c r="M705" i="4" s="1"/>
  <c r="N705" i="4" s="1"/>
  <c r="L613" i="4"/>
  <c r="L1195" i="4"/>
  <c r="L1042" i="4"/>
  <c r="L986" i="4"/>
  <c r="K626" i="4"/>
  <c r="M626" i="4" s="1"/>
  <c r="N626" i="4" s="1"/>
  <c r="K203" i="4"/>
  <c r="M203" i="4" s="1"/>
  <c r="N203" i="4" s="1"/>
  <c r="L1198" i="4"/>
  <c r="L894" i="4"/>
  <c r="L1037" i="4"/>
  <c r="K1050" i="4"/>
  <c r="M1050" i="4" s="1"/>
  <c r="N1050" i="4" s="1"/>
  <c r="K800" i="4"/>
  <c r="M800" i="4" s="1"/>
  <c r="N800" i="4" s="1"/>
  <c r="K168" i="4"/>
  <c r="M168" i="4" s="1"/>
  <c r="N168" i="4" s="1"/>
  <c r="K755" i="4"/>
  <c r="M755" i="4" s="1"/>
  <c r="N755" i="4" s="1"/>
  <c r="L306" i="4"/>
  <c r="K244" i="4"/>
  <c r="M244" i="4" s="1"/>
  <c r="L675" i="4"/>
  <c r="L42" i="4"/>
  <c r="N42" i="4" s="1"/>
  <c r="K1145" i="4"/>
  <c r="M1145" i="4" s="1"/>
  <c r="N1145" i="4" s="1"/>
  <c r="L21" i="4"/>
  <c r="N21" i="4" s="1"/>
  <c r="K120" i="4"/>
  <c r="M120" i="4" s="1"/>
  <c r="N120" i="4" s="1"/>
  <c r="K66" i="4"/>
  <c r="M66" i="4" s="1"/>
  <c r="N66" i="4" s="1"/>
  <c r="K500" i="4"/>
  <c r="M500" i="4" s="1"/>
  <c r="N500" i="4" s="1"/>
  <c r="K1183" i="4"/>
  <c r="M1183" i="4" s="1"/>
  <c r="N1183" i="4" s="1"/>
  <c r="L136" i="4"/>
  <c r="N136" i="4" s="1"/>
  <c r="L339" i="4"/>
  <c r="L763" i="4"/>
  <c r="K1286" i="4"/>
  <c r="M1286" i="4" s="1"/>
  <c r="N1286" i="4" s="1"/>
  <c r="K1201" i="4"/>
  <c r="M1201" i="4" s="1"/>
  <c r="N1201" i="4" s="1"/>
  <c r="L59" i="4"/>
  <c r="N59" i="4" s="1"/>
  <c r="K1049" i="4"/>
  <c r="M1049" i="4" s="1"/>
  <c r="N1049" i="4" s="1"/>
  <c r="L825" i="4"/>
  <c r="L149" i="4"/>
  <c r="N149" i="4" s="1"/>
  <c r="K351" i="4"/>
  <c r="M351" i="4" s="1"/>
  <c r="N351" i="4" s="1"/>
  <c r="L938" i="4"/>
  <c r="L450" i="4"/>
  <c r="L921" i="4"/>
  <c r="L1306" i="4"/>
  <c r="K462" i="4"/>
  <c r="M462" i="4" s="1"/>
  <c r="N462" i="4" s="1"/>
  <c r="K589" i="4"/>
  <c r="M589" i="4" s="1"/>
  <c r="N589" i="4" s="1"/>
  <c r="K1000" i="4"/>
  <c r="M1000" i="4" s="1"/>
  <c r="N1000" i="4" s="1"/>
  <c r="K827" i="4"/>
  <c r="M827" i="4" s="1"/>
  <c r="N827" i="4" s="1"/>
  <c r="K300" i="4"/>
  <c r="M300" i="4" s="1"/>
  <c r="N300" i="4" s="1"/>
  <c r="K138" i="4"/>
  <c r="M138" i="4" s="1"/>
  <c r="N138" i="4" s="1"/>
  <c r="K1069" i="4"/>
  <c r="M1069" i="4" s="1"/>
  <c r="N1069" i="4" s="1"/>
  <c r="K1185" i="4"/>
  <c r="M1185" i="4" s="1"/>
  <c r="N1185" i="4" s="1"/>
  <c r="K644" i="4"/>
  <c r="M644" i="4" s="1"/>
  <c r="N644" i="4" s="1"/>
  <c r="K872" i="4"/>
  <c r="M872" i="4" s="1"/>
  <c r="N872" i="4" s="1"/>
  <c r="K350" i="4"/>
  <c r="M350" i="4" s="1"/>
  <c r="N350" i="4" s="1"/>
  <c r="L1051" i="4"/>
  <c r="L56" i="4"/>
  <c r="N56" i="4" s="1"/>
  <c r="K494" i="4"/>
  <c r="M494" i="4" s="1"/>
  <c r="N494" i="4" s="1"/>
  <c r="L323" i="4"/>
  <c r="K916" i="4"/>
  <c r="M916" i="4" s="1"/>
  <c r="N916" i="4" s="1"/>
  <c r="K709" i="4"/>
  <c r="M709" i="4" s="1"/>
  <c r="N709" i="4" s="1"/>
  <c r="L622" i="4"/>
  <c r="K810" i="4"/>
  <c r="M810" i="4" s="1"/>
  <c r="N810" i="4" s="1"/>
  <c r="K1064" i="4"/>
  <c r="M1064" i="4" s="1"/>
  <c r="N1064" i="4" s="1"/>
  <c r="K106" i="4"/>
  <c r="M106" i="4" s="1"/>
  <c r="N106" i="4" s="1"/>
  <c r="L739" i="4"/>
  <c r="K398" i="4"/>
  <c r="M398" i="4" s="1"/>
  <c r="N398" i="4" s="1"/>
  <c r="K277" i="4"/>
  <c r="M277" i="4" s="1"/>
  <c r="N277" i="4" s="1"/>
  <c r="K77" i="4"/>
  <c r="M77" i="4" s="1"/>
  <c r="N77" i="4" s="1"/>
  <c r="K228" i="4"/>
  <c r="M228" i="4" s="1"/>
  <c r="N228" i="4" s="1"/>
  <c r="K678" i="4"/>
  <c r="M678" i="4" s="1"/>
  <c r="N678" i="4" s="1"/>
  <c r="K293" i="4"/>
  <c r="M293" i="4" s="1"/>
  <c r="N293" i="4" s="1"/>
  <c r="K866" i="4"/>
  <c r="M866" i="4" s="1"/>
  <c r="N866" i="4" s="1"/>
  <c r="L893" i="4"/>
  <c r="K654" i="4"/>
  <c r="M654" i="4" s="1"/>
  <c r="N654" i="4" s="1"/>
  <c r="K745" i="4"/>
  <c r="M745" i="4" s="1"/>
  <c r="N745" i="4" s="1"/>
  <c r="L236" i="4"/>
  <c r="K379" i="4"/>
  <c r="M379" i="4" s="1"/>
  <c r="N379" i="4" s="1"/>
  <c r="K949" i="4"/>
  <c r="M949" i="4" s="1"/>
  <c r="N949" i="4" s="1"/>
  <c r="K353" i="4"/>
  <c r="M353" i="4" s="1"/>
  <c r="N353" i="4" s="1"/>
  <c r="L923" i="4"/>
  <c r="L1161" i="4"/>
  <c r="K865" i="4"/>
  <c r="M865" i="4" s="1"/>
  <c r="N865" i="4" s="1"/>
  <c r="L555" i="4"/>
  <c r="L638" i="4"/>
  <c r="L1163" i="4"/>
  <c r="K45" i="4"/>
  <c r="M45" i="4" s="1"/>
  <c r="N45" i="4" s="1"/>
  <c r="K489" i="4"/>
  <c r="M489" i="4" s="1"/>
  <c r="N489" i="4" s="1"/>
  <c r="K817" i="4"/>
  <c r="M817" i="4" s="1"/>
  <c r="N817" i="4" s="1"/>
  <c r="L653" i="4"/>
  <c r="K188" i="4"/>
  <c r="M188" i="4" s="1"/>
  <c r="N188" i="4" s="1"/>
  <c r="L436" i="4"/>
  <c r="K298" i="4"/>
  <c r="M298" i="4" s="1"/>
  <c r="N298" i="4" s="1"/>
  <c r="K1269" i="4"/>
  <c r="M1269" i="4" s="1"/>
  <c r="N1269" i="4" s="1"/>
  <c r="K1022" i="4"/>
  <c r="M1022" i="4" s="1"/>
  <c r="N1022" i="4" s="1"/>
  <c r="K534" i="4"/>
  <c r="M534" i="4" s="1"/>
  <c r="N534" i="4" s="1"/>
  <c r="K437" i="4"/>
  <c r="M437" i="4" s="1"/>
  <c r="N437" i="4" s="1"/>
  <c r="K17" i="4"/>
  <c r="M17" i="4" s="1"/>
  <c r="N17" i="4" s="1"/>
  <c r="K33" i="4"/>
  <c r="M33" i="4" s="1"/>
  <c r="N33" i="4" s="1"/>
  <c r="L570" i="4"/>
  <c r="K1182" i="4"/>
  <c r="M1182" i="4" s="1"/>
  <c r="N1182" i="4" s="1"/>
  <c r="K1149" i="4"/>
  <c r="M1149" i="4" s="1"/>
  <c r="N1149" i="4" s="1"/>
  <c r="K898" i="4"/>
  <c r="M898" i="4" s="1"/>
  <c r="N898" i="4" s="1"/>
  <c r="K1225" i="4"/>
  <c r="M1225" i="4" s="1"/>
  <c r="N1225" i="4" s="1"/>
  <c r="K543" i="4"/>
  <c r="M543" i="4" s="1"/>
  <c r="N543" i="4" s="1"/>
  <c r="K668" i="4"/>
  <c r="M668" i="4" s="1"/>
  <c r="N668" i="4" s="1"/>
  <c r="K1300" i="4"/>
  <c r="M1300" i="4" s="1"/>
  <c r="N1300" i="4" s="1"/>
  <c r="K221" i="4"/>
  <c r="M221" i="4" s="1"/>
  <c r="N221" i="4" s="1"/>
  <c r="L1045" i="4"/>
  <c r="K498" i="4"/>
  <c r="M498" i="4" s="1"/>
  <c r="N498" i="4" s="1"/>
  <c r="K858" i="4"/>
  <c r="M858" i="4" s="1"/>
  <c r="N858" i="4" s="1"/>
  <c r="L359" i="4"/>
  <c r="K881" i="4"/>
  <c r="M881" i="4" s="1"/>
  <c r="N881" i="4" s="1"/>
  <c r="K1237" i="4"/>
  <c r="M1237" i="4" s="1"/>
  <c r="N1237" i="4" s="1"/>
  <c r="K877" i="4"/>
  <c r="M877" i="4" s="1"/>
  <c r="N877" i="4" s="1"/>
  <c r="L422" i="4"/>
  <c r="K939" i="4"/>
  <c r="M939" i="4" s="1"/>
  <c r="N939" i="4" s="1"/>
  <c r="K1123" i="4"/>
  <c r="M1123" i="4" s="1"/>
  <c r="N1123" i="4" s="1"/>
  <c r="L317" i="4"/>
  <c r="K716" i="4"/>
  <c r="M716" i="4" s="1"/>
  <c r="N716" i="4" s="1"/>
  <c r="K636" i="4"/>
  <c r="M636" i="4" s="1"/>
  <c r="N636" i="4" s="1"/>
  <c r="L706" i="4"/>
  <c r="K246" i="4"/>
  <c r="M246" i="4" s="1"/>
  <c r="N246" i="4" s="1"/>
  <c r="L465" i="4"/>
  <c r="K679" i="4"/>
  <c r="M679" i="4" s="1"/>
  <c r="N679" i="4" s="1"/>
  <c r="K134" i="4"/>
  <c r="M134" i="4" s="1"/>
  <c r="N134" i="4" s="1"/>
  <c r="K364" i="4"/>
  <c r="M364" i="4" s="1"/>
  <c r="N364" i="4" s="1"/>
  <c r="L1299" i="4"/>
  <c r="K281" i="4"/>
  <c r="M281" i="4" s="1"/>
  <c r="K40" i="4"/>
  <c r="M40" i="4" s="1"/>
  <c r="N40" i="4" s="1"/>
  <c r="L469" i="4"/>
  <c r="K47" i="4"/>
  <c r="M47" i="4" s="1"/>
  <c r="N47" i="4" s="1"/>
  <c r="K702" i="4"/>
  <c r="M702" i="4" s="1"/>
  <c r="N702" i="4" s="1"/>
  <c r="K186" i="4"/>
  <c r="M186" i="4" s="1"/>
  <c r="N186" i="4" s="1"/>
  <c r="L240" i="4"/>
  <c r="L683" i="4"/>
  <c r="K952" i="4"/>
  <c r="M952" i="4" s="1"/>
  <c r="N952" i="4" s="1"/>
  <c r="K254" i="4"/>
  <c r="M254" i="4" s="1"/>
  <c r="N254" i="4" s="1"/>
  <c r="K114" i="4"/>
  <c r="M114" i="4" s="1"/>
  <c r="N114" i="4" s="1"/>
  <c r="K575" i="4"/>
  <c r="M575" i="4" s="1"/>
  <c r="N575" i="4" s="1"/>
  <c r="L661" i="4"/>
  <c r="K334" i="4"/>
  <c r="M334" i="4" s="1"/>
  <c r="N334" i="4" s="1"/>
  <c r="L996" i="4"/>
  <c r="L402" i="4"/>
  <c r="L1132" i="4"/>
  <c r="L878" i="4"/>
  <c r="L525" i="4"/>
  <c r="K1103" i="4"/>
  <c r="M1103" i="4" s="1"/>
  <c r="N1103" i="4" s="1"/>
  <c r="L658" i="4"/>
  <c r="K396" i="4"/>
  <c r="M396" i="4" s="1"/>
  <c r="N396" i="4" s="1"/>
  <c r="K420" i="4"/>
  <c r="M420" i="4" s="1"/>
  <c r="N420" i="4" s="1"/>
  <c r="L366" i="4"/>
  <c r="K439" i="4"/>
  <c r="M439" i="4" s="1"/>
  <c r="N439" i="4" s="1"/>
  <c r="K445" i="4"/>
  <c r="M445" i="4" s="1"/>
  <c r="N445" i="4" s="1"/>
  <c r="L883" i="4"/>
  <c r="K947" i="4"/>
  <c r="M947" i="4" s="1"/>
  <c r="N947" i="4" s="1"/>
  <c r="L834" i="4"/>
  <c r="K83" i="4"/>
  <c r="M83" i="4" s="1"/>
  <c r="N83" i="4" s="1"/>
  <c r="K812" i="4"/>
  <c r="M812" i="4" s="1"/>
  <c r="N812" i="4" s="1"/>
  <c r="L915" i="4"/>
  <c r="L814" i="4"/>
  <c r="K1233" i="4"/>
  <c r="M1233" i="4" s="1"/>
  <c r="N1233" i="4" s="1"/>
  <c r="L802" i="4"/>
  <c r="K1099" i="4"/>
  <c r="M1099" i="4" s="1"/>
  <c r="N1099" i="4" s="1"/>
  <c r="L740" i="4"/>
  <c r="K363" i="4"/>
  <c r="M363" i="4" s="1"/>
  <c r="N363" i="4" s="1"/>
  <c r="L650" i="4"/>
  <c r="L1238" i="4"/>
  <c r="L96" i="4"/>
  <c r="N96" i="4" s="1"/>
  <c r="K372" i="4"/>
  <c r="M372" i="4" s="1"/>
  <c r="N372" i="4" s="1"/>
  <c r="K229" i="4"/>
  <c r="M229" i="4" s="1"/>
  <c r="N229" i="4" s="1"/>
  <c r="L603" i="4"/>
  <c r="K811" i="4"/>
  <c r="M811" i="4" s="1"/>
  <c r="N811" i="4" s="1"/>
  <c r="K531" i="4"/>
  <c r="M531" i="4" s="1"/>
  <c r="N531" i="4" s="1"/>
  <c r="L358" i="4"/>
  <c r="L1112" i="4"/>
  <c r="K889" i="4"/>
  <c r="M889" i="4" s="1"/>
  <c r="N889" i="4" s="1"/>
  <c r="K356" i="4"/>
  <c r="M356" i="4" s="1"/>
  <c r="N356" i="4" s="1"/>
  <c r="K242" i="4"/>
  <c r="M242" i="4" s="1"/>
  <c r="K838" i="4"/>
  <c r="M838" i="4" s="1"/>
  <c r="N838" i="4" s="1"/>
  <c r="K729" i="4"/>
  <c r="M729" i="4" s="1"/>
  <c r="N729" i="4" s="1"/>
  <c r="K8" i="4"/>
  <c r="M8" i="4" s="1"/>
  <c r="N8" i="4" s="1"/>
  <c r="L1181" i="4"/>
  <c r="L950" i="4"/>
  <c r="K115" i="4"/>
  <c r="M115" i="4" s="1"/>
  <c r="N115" i="4" s="1"/>
  <c r="L623" i="4"/>
  <c r="K1035" i="4"/>
  <c r="M1035" i="4" s="1"/>
  <c r="N1035" i="4" s="1"/>
  <c r="K137" i="4"/>
  <c r="M137" i="4" s="1"/>
  <c r="N137" i="4" s="1"/>
  <c r="K430" i="4"/>
  <c r="M430" i="4" s="1"/>
  <c r="N430" i="4" s="1"/>
  <c r="K657" i="4"/>
  <c r="M657" i="4" s="1"/>
  <c r="N657" i="4" s="1"/>
  <c r="L1170" i="4"/>
  <c r="K844" i="4"/>
  <c r="M844" i="4" s="1"/>
  <c r="N844" i="4" s="1"/>
  <c r="L1285" i="4"/>
  <c r="K926" i="4"/>
  <c r="M926" i="4" s="1"/>
  <c r="N926" i="4" s="1"/>
  <c r="K1184" i="4"/>
  <c r="M1184" i="4" s="1"/>
  <c r="N1184" i="4" s="1"/>
  <c r="L1047" i="4"/>
  <c r="K409" i="4"/>
  <c r="M409" i="4" s="1"/>
  <c r="N409" i="4" s="1"/>
  <c r="L900" i="4"/>
  <c r="L590" i="4"/>
  <c r="L876" i="4"/>
  <c r="K631" i="4"/>
  <c r="M631" i="4" s="1"/>
  <c r="N631" i="4" s="1"/>
  <c r="K34" i="4"/>
  <c r="M34" i="4" s="1"/>
  <c r="N34" i="4" s="1"/>
  <c r="L804" i="4"/>
  <c r="K1264" i="4"/>
  <c r="M1264" i="4" s="1"/>
  <c r="N1264" i="4" s="1"/>
  <c r="K233" i="4"/>
  <c r="M233" i="4" s="1"/>
  <c r="K1113" i="4"/>
  <c r="M1113" i="4" s="1"/>
  <c r="N1113" i="4" s="1"/>
  <c r="K625" i="4"/>
  <c r="M625" i="4" s="1"/>
  <c r="N625" i="4" s="1"/>
  <c r="K355" i="4"/>
  <c r="M355" i="4" s="1"/>
  <c r="N355" i="4" s="1"/>
  <c r="K1188" i="4"/>
  <c r="M1188" i="4" s="1"/>
  <c r="N1188" i="4" s="1"/>
  <c r="K69" i="4"/>
  <c r="M69" i="4" s="1"/>
  <c r="N69" i="4" s="1"/>
  <c r="K934" i="4"/>
  <c r="M934" i="4" s="1"/>
  <c r="N934" i="4" s="1"/>
  <c r="L1065" i="4"/>
  <c r="K690" i="4"/>
  <c r="M690" i="4" s="1"/>
  <c r="N690" i="4" s="1"/>
  <c r="K873" i="4"/>
  <c r="M873" i="4" s="1"/>
  <c r="N873" i="4" s="1"/>
  <c r="L723" i="4"/>
  <c r="K1125" i="4"/>
  <c r="M1125" i="4" s="1"/>
  <c r="N1125" i="4" s="1"/>
  <c r="L205" i="4"/>
  <c r="N205" i="4" s="1"/>
  <c r="K1003" i="4"/>
  <c r="M1003" i="4" s="1"/>
  <c r="N1003" i="4" s="1"/>
  <c r="K669" i="4"/>
  <c r="M669" i="4" s="1"/>
  <c r="N669" i="4" s="1"/>
  <c r="L512" i="4"/>
  <c r="L393" i="4"/>
  <c r="K565" i="4"/>
  <c r="M565" i="4" s="1"/>
  <c r="N565" i="4" s="1"/>
  <c r="K285" i="4"/>
  <c r="M285" i="4" s="1"/>
  <c r="N285" i="4" s="1"/>
  <c r="L676" i="4"/>
  <c r="K1006" i="4"/>
  <c r="M1006" i="4" s="1"/>
  <c r="N1006" i="4" s="1"/>
  <c r="K940" i="4"/>
  <c r="M940" i="4" s="1"/>
  <c r="N940" i="4" s="1"/>
  <c r="K861" i="4"/>
  <c r="M861" i="4" s="1"/>
  <c r="N861" i="4" s="1"/>
  <c r="L213" i="4"/>
  <c r="N213" i="4" s="1"/>
  <c r="K176" i="4"/>
  <c r="M176" i="4" s="1"/>
  <c r="N176" i="4" s="1"/>
  <c r="L448" i="4"/>
  <c r="K790" i="4"/>
  <c r="M790" i="4" s="1"/>
  <c r="N790" i="4" s="1"/>
  <c r="K850" i="4"/>
  <c r="M850" i="4" s="1"/>
  <c r="N850" i="4" s="1"/>
  <c r="L962" i="4"/>
  <c r="K1196" i="4"/>
  <c r="M1196" i="4" s="1"/>
  <c r="N1196" i="4" s="1"/>
  <c r="K382" i="4"/>
  <c r="M382" i="4" s="1"/>
  <c r="N382" i="4" s="1"/>
  <c r="L787" i="4"/>
  <c r="K406" i="4"/>
  <c r="M406" i="4" s="1"/>
  <c r="N406" i="4" s="1"/>
  <c r="K569" i="4"/>
  <c r="M569" i="4" s="1"/>
  <c r="N569" i="4" s="1"/>
  <c r="K1289" i="4"/>
  <c r="M1289" i="4" s="1"/>
  <c r="N1289" i="4" s="1"/>
  <c r="L310" i="4"/>
  <c r="K131" i="4"/>
  <c r="M131" i="4" s="1"/>
  <c r="N131" i="4" s="1"/>
  <c r="L296" i="4"/>
  <c r="N296" i="4" s="1"/>
  <c r="L384" i="4"/>
  <c r="L711" i="4"/>
  <c r="K44" i="4"/>
  <c r="M44" i="4" s="1"/>
  <c r="N44" i="4" s="1"/>
  <c r="L1081" i="4"/>
  <c r="K1229" i="4"/>
  <c r="M1229" i="4" s="1"/>
  <c r="N1229" i="4" s="1"/>
  <c r="K770" i="4"/>
  <c r="M770" i="4" s="1"/>
  <c r="N770" i="4" s="1"/>
  <c r="K1063" i="4"/>
  <c r="M1063" i="4" s="1"/>
  <c r="N1063" i="4" s="1"/>
  <c r="K504" i="4"/>
  <c r="M504" i="4" s="1"/>
  <c r="N504" i="4" s="1"/>
  <c r="K390" i="4"/>
  <c r="M390" i="4" s="1"/>
  <c r="N390" i="4" s="1"/>
  <c r="L5" i="4"/>
  <c r="N5" i="4" s="1"/>
  <c r="L227" i="4"/>
  <c r="N227" i="4" s="1"/>
  <c r="K652" i="4"/>
  <c r="M652" i="4" s="1"/>
  <c r="N652" i="4" s="1"/>
  <c r="K23" i="4"/>
  <c r="M23" i="4" s="1"/>
  <c r="N23" i="4" s="1"/>
  <c r="L1147" i="4"/>
  <c r="K368" i="4"/>
  <c r="M368" i="4" s="1"/>
  <c r="N368" i="4" s="1"/>
  <c r="L315" i="4"/>
  <c r="K232" i="4"/>
  <c r="M232" i="4" s="1"/>
  <c r="K1039" i="4"/>
  <c r="M1039" i="4" s="1"/>
  <c r="N1039" i="4" s="1"/>
  <c r="L956" i="4"/>
  <c r="K592" i="4"/>
  <c r="M592" i="4" s="1"/>
  <c r="N592" i="4" s="1"/>
  <c r="K798" i="4"/>
  <c r="M798" i="4" s="1"/>
  <c r="N798" i="4" s="1"/>
  <c r="K287" i="4"/>
  <c r="M287" i="4" s="1"/>
  <c r="N287" i="4" s="1"/>
  <c r="L4" i="4"/>
  <c r="N4" i="4" s="1"/>
  <c r="K507" i="4"/>
  <c r="M507" i="4" s="1"/>
  <c r="N507" i="4" s="1"/>
  <c r="K57" i="4"/>
  <c r="M57" i="4" s="1"/>
  <c r="N57" i="4" s="1"/>
  <c r="L206" i="4"/>
  <c r="N206" i="4" s="1"/>
  <c r="K314" i="4"/>
  <c r="M314" i="4" s="1"/>
  <c r="N314" i="4" s="1"/>
  <c r="L1292" i="4"/>
  <c r="K1254" i="4"/>
  <c r="M1254" i="4" s="1"/>
  <c r="N1254" i="4" s="1"/>
  <c r="K615" i="4"/>
  <c r="M615" i="4" s="1"/>
  <c r="N615" i="4" s="1"/>
  <c r="K216" i="4"/>
  <c r="M216" i="4" s="1"/>
  <c r="N216" i="4" s="1"/>
  <c r="K510" i="4"/>
  <c r="M510" i="4" s="1"/>
  <c r="N510" i="4" s="1"/>
  <c r="K943" i="4"/>
  <c r="M943" i="4" s="1"/>
  <c r="N943" i="4" s="1"/>
  <c r="K1226" i="4"/>
  <c r="M1226" i="4" s="1"/>
  <c r="N1226" i="4" s="1"/>
  <c r="K1248" i="4"/>
  <c r="M1248" i="4" s="1"/>
  <c r="N1248" i="4" s="1"/>
  <c r="K62" i="4"/>
  <c r="M62" i="4" s="1"/>
  <c r="N62" i="4" s="1"/>
  <c r="L919" i="4"/>
  <c r="K1030" i="4"/>
  <c r="M1030" i="4" s="1"/>
  <c r="N1030" i="4" s="1"/>
  <c r="K1175" i="4"/>
  <c r="M1175" i="4" s="1"/>
  <c r="N1175" i="4" s="1"/>
  <c r="K976" i="4"/>
  <c r="M976" i="4" s="1"/>
  <c r="N976" i="4" s="1"/>
  <c r="K496" i="4"/>
  <c r="M496" i="4" s="1"/>
  <c r="N496" i="4" s="1"/>
  <c r="L495" i="4"/>
  <c r="L837" i="4"/>
  <c r="L247" i="4"/>
  <c r="N247" i="4" s="1"/>
  <c r="K288" i="4"/>
  <c r="M288" i="4" s="1"/>
  <c r="N288" i="4" s="1"/>
  <c r="L816" i="4"/>
  <c r="K109" i="4"/>
  <c r="M109" i="4" s="1"/>
  <c r="N109" i="4" s="1"/>
  <c r="K539" i="4"/>
  <c r="M539" i="4" s="1"/>
  <c r="N539" i="4" s="1"/>
  <c r="L267" i="4"/>
  <c r="N267" i="4" s="1"/>
  <c r="K715" i="4"/>
  <c r="M715" i="4" s="1"/>
  <c r="N715" i="4" s="1"/>
  <c r="L275" i="4"/>
  <c r="N275" i="4" s="1"/>
  <c r="K453" i="4"/>
  <c r="M453" i="4" s="1"/>
  <c r="N453" i="4" s="1"/>
  <c r="K360" i="4"/>
  <c r="M360" i="4" s="1"/>
  <c r="N360" i="4" s="1"/>
  <c r="K128" i="4"/>
  <c r="M128" i="4" s="1"/>
  <c r="N128" i="4" s="1"/>
  <c r="L161" i="4"/>
  <c r="N161" i="4" s="1"/>
  <c r="L517" i="4"/>
  <c r="K759" i="4"/>
  <c r="M759" i="4" s="1"/>
  <c r="N759" i="4" s="1"/>
  <c r="K576" i="4"/>
  <c r="M576" i="4" s="1"/>
  <c r="N576" i="4" s="1"/>
  <c r="L533" i="4"/>
  <c r="K944" i="4"/>
  <c r="M944" i="4" s="1"/>
  <c r="N944" i="4" s="1"/>
  <c r="K830" i="4"/>
  <c r="M830" i="4" s="1"/>
  <c r="N830" i="4" s="1"/>
  <c r="K179" i="4"/>
  <c r="M179" i="4" s="1"/>
  <c r="N179" i="4" s="1"/>
  <c r="L299" i="4"/>
  <c r="N299" i="4" s="1"/>
  <c r="K779" i="4"/>
  <c r="M779" i="4" s="1"/>
  <c r="N779" i="4" s="1"/>
  <c r="K722" i="4"/>
  <c r="M722" i="4" s="1"/>
  <c r="N722" i="4" s="1"/>
  <c r="L1165" i="4"/>
  <c r="K1073" i="4"/>
  <c r="M1073" i="4" s="1"/>
  <c r="N1073" i="4" s="1"/>
  <c r="L432" i="4"/>
  <c r="K104" i="4"/>
  <c r="M104" i="4" s="1"/>
  <c r="N104" i="4" s="1"/>
  <c r="K721" i="4"/>
  <c r="M721" i="4" s="1"/>
  <c r="N721" i="4" s="1"/>
  <c r="K80" i="4"/>
  <c r="M80" i="4" s="1"/>
  <c r="N80" i="4" s="1"/>
  <c r="K200" i="4"/>
  <c r="M200" i="4" s="1"/>
  <c r="N200" i="4" s="1"/>
  <c r="K297" i="4"/>
  <c r="M297" i="4" s="1"/>
  <c r="N297" i="4" s="1"/>
  <c r="K467" i="4"/>
  <c r="M467" i="4" s="1"/>
  <c r="N467" i="4" s="1"/>
  <c r="L129" i="4"/>
  <c r="N129" i="4" s="1"/>
  <c r="L1284" i="4"/>
  <c r="K1284" i="4"/>
  <c r="M1284" i="4" s="1"/>
  <c r="N1284" i="4" s="1"/>
  <c r="L836" i="4"/>
  <c r="K836" i="4"/>
  <c r="M836" i="4" s="1"/>
  <c r="N836" i="4" s="1"/>
  <c r="L868" i="4"/>
  <c r="K868" i="4"/>
  <c r="M868" i="4" s="1"/>
  <c r="N868" i="4" s="1"/>
  <c r="L1078" i="4"/>
  <c r="K1078" i="4"/>
  <c r="M1078" i="4" s="1"/>
  <c r="N1078" i="4" s="1"/>
  <c r="L241" i="4"/>
  <c r="K241" i="4"/>
  <c r="M241" i="4" s="1"/>
  <c r="L522" i="4"/>
  <c r="K522" i="4"/>
  <c r="M522" i="4" s="1"/>
  <c r="N522" i="4" s="1"/>
  <c r="L7" i="4"/>
  <c r="K7" i="4"/>
  <c r="M7" i="4" s="1"/>
  <c r="K1210" i="4"/>
  <c r="M1210" i="4" s="1"/>
  <c r="N1210" i="4" s="1"/>
  <c r="L1210" i="4"/>
  <c r="L249" i="4"/>
  <c r="K249" i="4"/>
  <c r="M249" i="4" s="1"/>
  <c r="L1017" i="4"/>
  <c r="K1017" i="4"/>
  <c r="M1017" i="4" s="1"/>
  <c r="N1017" i="4" s="1"/>
  <c r="K1148" i="4"/>
  <c r="M1148" i="4" s="1"/>
  <c r="N1148" i="4" s="1"/>
  <c r="L1148" i="4"/>
  <c r="L1076" i="4"/>
  <c r="K1076" i="4"/>
  <c r="M1076" i="4" s="1"/>
  <c r="N1076" i="4" s="1"/>
  <c r="L195" i="4"/>
  <c r="N195" i="4" s="1"/>
  <c r="K152" i="4"/>
  <c r="M152" i="4" s="1"/>
  <c r="N152" i="4" s="1"/>
  <c r="K24" i="4"/>
  <c r="M24" i="4" s="1"/>
  <c r="N24" i="4" s="1"/>
  <c r="L651" i="4"/>
  <c r="K483" i="4"/>
  <c r="M483" i="4" s="1"/>
  <c r="N483" i="4" s="1"/>
  <c r="L846" i="4"/>
  <c r="K846" i="4"/>
  <c r="M846" i="4" s="1"/>
  <c r="N846" i="4" s="1"/>
  <c r="L560" i="4"/>
  <c r="K560" i="4"/>
  <c r="M560" i="4" s="1"/>
  <c r="N560" i="4" s="1"/>
  <c r="K1258" i="4"/>
  <c r="M1258" i="4" s="1"/>
  <c r="N1258" i="4" s="1"/>
  <c r="L112" i="4"/>
  <c r="N112" i="4" s="1"/>
  <c r="K39" i="4"/>
  <c r="M39" i="4" s="1"/>
  <c r="N39" i="4" s="1"/>
  <c r="K32" i="4"/>
  <c r="M32" i="4" s="1"/>
  <c r="N32" i="4" s="1"/>
  <c r="K427" i="4"/>
  <c r="M427" i="4" s="1"/>
  <c r="N427" i="4" s="1"/>
  <c r="K741" i="4"/>
  <c r="M741" i="4" s="1"/>
  <c r="N741" i="4" s="1"/>
  <c r="L373" i="4"/>
  <c r="L155" i="4"/>
  <c r="N155" i="4" s="1"/>
  <c r="K1197" i="4"/>
  <c r="M1197" i="4" s="1"/>
  <c r="N1197" i="4" s="1"/>
  <c r="K848" i="4"/>
  <c r="M848" i="4" s="1"/>
  <c r="N848" i="4" s="1"/>
  <c r="L1236" i="4"/>
  <c r="L863" i="4"/>
  <c r="L528" i="4"/>
  <c r="L955" i="4"/>
  <c r="L635" i="4"/>
  <c r="K75" i="4"/>
  <c r="M75" i="4" s="1"/>
  <c r="N75" i="4" s="1"/>
  <c r="L782" i="4"/>
  <c r="K782" i="4"/>
  <c r="M782" i="4" s="1"/>
  <c r="N782" i="4" s="1"/>
  <c r="K580" i="4"/>
  <c r="M580" i="4" s="1"/>
  <c r="N580" i="4" s="1"/>
  <c r="L580" i="4"/>
  <c r="L159" i="4"/>
  <c r="K159" i="4"/>
  <c r="M159" i="4" s="1"/>
  <c r="L12" i="4"/>
  <c r="K12" i="4"/>
  <c r="M12" i="4" s="1"/>
  <c r="L486" i="4"/>
  <c r="K486" i="4"/>
  <c r="M486" i="4" s="1"/>
  <c r="N486" i="4" s="1"/>
  <c r="L708" i="4"/>
  <c r="K708" i="4"/>
  <c r="M708" i="4" s="1"/>
  <c r="N708" i="4" s="1"/>
  <c r="L563" i="4"/>
  <c r="K563" i="4"/>
  <c r="M563" i="4" s="1"/>
  <c r="N563" i="4" s="1"/>
  <c r="L102" i="4"/>
  <c r="K102" i="4"/>
  <c r="M102" i="4" s="1"/>
  <c r="L886" i="4"/>
  <c r="K886" i="4"/>
  <c r="M886" i="4" s="1"/>
  <c r="N886" i="4" s="1"/>
  <c r="L175" i="4"/>
  <c r="K175" i="4"/>
  <c r="M175" i="4" s="1"/>
  <c r="L22" i="4"/>
  <c r="K22" i="4"/>
  <c r="M22" i="4" s="1"/>
  <c r="L1040" i="4"/>
  <c r="K1040" i="4"/>
  <c r="M1040" i="4" s="1"/>
  <c r="N1040" i="4" s="1"/>
  <c r="K548" i="4"/>
  <c r="M548" i="4" s="1"/>
  <c r="N548" i="4" s="1"/>
  <c r="L548" i="4"/>
  <c r="L970" i="4"/>
  <c r="K970" i="4"/>
  <c r="M970" i="4" s="1"/>
  <c r="N970" i="4" s="1"/>
  <c r="L920" i="4"/>
  <c r="K920" i="4"/>
  <c r="M920" i="4" s="1"/>
  <c r="N920" i="4" s="1"/>
  <c r="L471" i="4"/>
  <c r="K471" i="4"/>
  <c r="M471" i="4" s="1"/>
  <c r="N471" i="4" s="1"/>
  <c r="L322" i="4"/>
  <c r="K322" i="4"/>
  <c r="M322" i="4" s="1"/>
  <c r="N322" i="4" s="1"/>
  <c r="L551" i="4"/>
  <c r="K551" i="4"/>
  <c r="M551" i="4" s="1"/>
  <c r="N551" i="4" s="1"/>
  <c r="L414" i="4"/>
  <c r="K414" i="4"/>
  <c r="M414" i="4" s="1"/>
  <c r="N414" i="4" s="1"/>
  <c r="L1054" i="4"/>
  <c r="K1054" i="4"/>
  <c r="M1054" i="4" s="1"/>
  <c r="N1054" i="4" s="1"/>
  <c r="L13" i="4"/>
  <c r="K13" i="4"/>
  <c r="M13" i="4" s="1"/>
  <c r="L1016" i="4"/>
  <c r="K1016" i="4"/>
  <c r="M1016" i="4" s="1"/>
  <c r="N1016" i="4" s="1"/>
  <c r="L174" i="4"/>
  <c r="K174" i="4"/>
  <c r="M174" i="4" s="1"/>
  <c r="L237" i="4"/>
  <c r="K237" i="4"/>
  <c r="M237" i="4" s="1"/>
  <c r="K1290" i="4"/>
  <c r="M1290" i="4" s="1"/>
  <c r="N1290" i="4" s="1"/>
  <c r="L655" i="4"/>
  <c r="K352" i="4"/>
  <c r="M352" i="4" s="1"/>
  <c r="N352" i="4" s="1"/>
  <c r="K699" i="4"/>
  <c r="M699" i="4" s="1"/>
  <c r="N699" i="4" s="1"/>
  <c r="K443" i="4"/>
  <c r="M443" i="4" s="1"/>
  <c r="N443" i="4" s="1"/>
  <c r="L338" i="4"/>
  <c r="L1187" i="4"/>
  <c r="K1187" i="4"/>
  <c r="M1187" i="4" s="1"/>
  <c r="N1187" i="4" s="1"/>
  <c r="L1137" i="4"/>
  <c r="K1137" i="4"/>
  <c r="M1137" i="4" s="1"/>
  <c r="N1137" i="4" s="1"/>
  <c r="L403" i="4"/>
  <c r="K403" i="4"/>
  <c r="M403" i="4" s="1"/>
  <c r="N403" i="4" s="1"/>
  <c r="L621" i="4"/>
  <c r="K621" i="4"/>
  <c r="M621" i="4" s="1"/>
  <c r="N621" i="4" s="1"/>
  <c r="L1091" i="4"/>
  <c r="K1091" i="4"/>
  <c r="M1091" i="4" s="1"/>
  <c r="N1091" i="4" s="1"/>
  <c r="L207" i="4"/>
  <c r="K207" i="4"/>
  <c r="M207" i="4" s="1"/>
  <c r="K264" i="4"/>
  <c r="M264" i="4" s="1"/>
  <c r="N264" i="4" s="1"/>
  <c r="L480" i="4"/>
  <c r="K1180" i="4"/>
  <c r="M1180" i="4" s="1"/>
  <c r="N1180" i="4" s="1"/>
  <c r="L732" i="4"/>
  <c r="K305" i="4"/>
  <c r="M305" i="4" s="1"/>
  <c r="N305" i="4" s="1"/>
  <c r="K371" i="4"/>
  <c r="M371" i="4" s="1"/>
  <c r="N371" i="4" s="1"/>
  <c r="K808" i="4"/>
  <c r="M808" i="4" s="1"/>
  <c r="N808" i="4" s="1"/>
  <c r="K568" i="4"/>
  <c r="M568" i="4" s="1"/>
  <c r="N568" i="4" s="1"/>
  <c r="K144" i="4"/>
  <c r="M144" i="4" s="1"/>
  <c r="N144" i="4" s="1"/>
  <c r="K1167" i="4"/>
  <c r="M1167" i="4" s="1"/>
  <c r="N1167" i="4" s="1"/>
  <c r="L116" i="4"/>
  <c r="K116" i="4"/>
  <c r="M116" i="4" s="1"/>
  <c r="L558" i="4"/>
  <c r="K558" i="4"/>
  <c r="M558" i="4" s="1"/>
  <c r="N558" i="4" s="1"/>
  <c r="L1059" i="4"/>
  <c r="K1059" i="4"/>
  <c r="M1059" i="4" s="1"/>
  <c r="N1059" i="4" s="1"/>
  <c r="L777" i="4"/>
  <c r="K777" i="4"/>
  <c r="M777" i="4" s="1"/>
  <c r="N777" i="4" s="1"/>
  <c r="K1105" i="4"/>
  <c r="M1105" i="4" s="1"/>
  <c r="N1105" i="4" s="1"/>
  <c r="K226" i="4"/>
  <c r="M226" i="4" s="1"/>
  <c r="N226" i="4" s="1"/>
  <c r="K659" i="4"/>
  <c r="M659" i="4" s="1"/>
  <c r="N659" i="4" s="1"/>
  <c r="K547" i="4"/>
  <c r="M547" i="4" s="1"/>
  <c r="N547" i="4" s="1"/>
  <c r="K163" i="4"/>
  <c r="M163" i="4" s="1"/>
  <c r="N163" i="4" s="1"/>
  <c r="L481" i="4"/>
  <c r="K481" i="4"/>
  <c r="M481" i="4" s="1"/>
  <c r="N481" i="4" s="1"/>
  <c r="L268" i="4"/>
  <c r="K268" i="4"/>
  <c r="M268" i="4" s="1"/>
  <c r="K65" i="4"/>
  <c r="M65" i="4" s="1"/>
  <c r="L65" i="4"/>
  <c r="L805" i="4"/>
  <c r="K805" i="4"/>
  <c r="M805" i="4" s="1"/>
  <c r="N805" i="4" s="1"/>
  <c r="L278" i="4"/>
  <c r="K278" i="4"/>
  <c r="M278" i="4" s="1"/>
  <c r="K313" i="4"/>
  <c r="M313" i="4" s="1"/>
  <c r="N313" i="4" s="1"/>
  <c r="K318" i="4"/>
  <c r="M318" i="4" s="1"/>
  <c r="N318" i="4" s="1"/>
  <c r="K1129" i="4"/>
  <c r="M1129" i="4" s="1"/>
  <c r="N1129" i="4" s="1"/>
  <c r="L864" i="4"/>
  <c r="K656" i="4"/>
  <c r="M656" i="4" s="1"/>
  <c r="N656" i="4" s="1"/>
  <c r="L751" i="4"/>
  <c r="K720" i="4"/>
  <c r="M720" i="4" s="1"/>
  <c r="N720" i="4" s="1"/>
  <c r="L67" i="4"/>
  <c r="N67" i="4" s="1"/>
  <c r="K963" i="4"/>
  <c r="M963" i="4" s="1"/>
  <c r="N963" i="4" s="1"/>
  <c r="L707" i="4"/>
  <c r="L259" i="4"/>
  <c r="N259" i="4" s="1"/>
  <c r="L493" i="4"/>
  <c r="L405" i="4"/>
  <c r="L979" i="4"/>
  <c r="K979" i="4"/>
  <c r="M979" i="4" s="1"/>
  <c r="N979" i="4" s="1"/>
  <c r="L154" i="4"/>
  <c r="K154" i="4"/>
  <c r="M154" i="4" s="1"/>
  <c r="L211" i="4"/>
  <c r="K211" i="4"/>
  <c r="M211" i="4" s="1"/>
  <c r="L1179" i="4"/>
  <c r="K1179" i="4"/>
  <c r="M1179" i="4" s="1"/>
  <c r="N1179" i="4" s="1"/>
  <c r="L663" i="4"/>
  <c r="K663" i="4"/>
  <c r="M663" i="4" s="1"/>
  <c r="N663" i="4" s="1"/>
  <c r="L135" i="4"/>
  <c r="K135" i="4"/>
  <c r="M135" i="4" s="1"/>
  <c r="L645" i="4"/>
  <c r="K645" i="4"/>
  <c r="M645" i="4" s="1"/>
  <c r="N645" i="4" s="1"/>
  <c r="L125" i="4"/>
  <c r="K125" i="4"/>
  <c r="M125" i="4" s="1"/>
  <c r="L1062" i="4"/>
  <c r="K1062" i="4"/>
  <c r="M1062" i="4" s="1"/>
  <c r="N1062" i="4" s="1"/>
  <c r="K1301" i="4"/>
  <c r="M1301" i="4" s="1"/>
  <c r="N1301" i="4" s="1"/>
  <c r="L1301" i="4"/>
  <c r="K918" i="4"/>
  <c r="M918" i="4" s="1"/>
  <c r="N918" i="4" s="1"/>
  <c r="L918" i="4"/>
  <c r="L773" i="4"/>
  <c r="K773" i="4"/>
  <c r="M773" i="4" s="1"/>
  <c r="N773" i="4" s="1"/>
  <c r="L1176" i="4"/>
  <c r="K1176" i="4"/>
  <c r="M1176" i="4" s="1"/>
  <c r="N1176" i="4" s="1"/>
  <c r="L967" i="4"/>
  <c r="K967" i="4"/>
  <c r="M967" i="4" s="1"/>
  <c r="N967" i="4" s="1"/>
  <c r="L343" i="4"/>
  <c r="K343" i="4"/>
  <c r="M343" i="4" s="1"/>
  <c r="N343" i="4" s="1"/>
  <c r="L1038" i="4"/>
  <c r="K1038" i="4"/>
  <c r="M1038" i="4" s="1"/>
  <c r="N1038" i="4" s="1"/>
  <c r="L319" i="4"/>
  <c r="K319" i="4"/>
  <c r="M319" i="4" s="1"/>
  <c r="N319" i="4" s="1"/>
  <c r="L1178" i="4"/>
  <c r="K1178" i="4"/>
  <c r="M1178" i="4" s="1"/>
  <c r="N1178" i="4" s="1"/>
  <c r="L180" i="4"/>
  <c r="K180" i="4"/>
  <c r="M180" i="4" s="1"/>
  <c r="L1215" i="4"/>
  <c r="K1215" i="4"/>
  <c r="M1215" i="4" s="1"/>
  <c r="N1215" i="4" s="1"/>
  <c r="L822" i="4"/>
  <c r="K822" i="4"/>
  <c r="M822" i="4" s="1"/>
  <c r="N822" i="4" s="1"/>
  <c r="L1291" i="4"/>
  <c r="K1291" i="4"/>
  <c r="M1291" i="4" s="1"/>
  <c r="N1291" i="4" s="1"/>
  <c r="L666" i="4"/>
  <c r="K666" i="4"/>
  <c r="M666" i="4" s="1"/>
  <c r="N666" i="4" s="1"/>
  <c r="L105" i="4"/>
  <c r="K105" i="4"/>
  <c r="M105" i="4" s="1"/>
  <c r="L92" i="4"/>
  <c r="K92" i="4"/>
  <c r="M92" i="4" s="1"/>
  <c r="L126" i="4"/>
  <c r="K126" i="4"/>
  <c r="M126" i="4" s="1"/>
  <c r="L743" i="4"/>
  <c r="K743" i="4"/>
  <c r="M743" i="4" s="1"/>
  <c r="N743" i="4" s="1"/>
  <c r="L1153" i="4"/>
  <c r="K1153" i="4"/>
  <c r="M1153" i="4" s="1"/>
  <c r="N1153" i="4" s="1"/>
  <c r="L689" i="4"/>
  <c r="K689" i="4"/>
  <c r="M689" i="4" s="1"/>
  <c r="N689" i="4" s="1"/>
  <c r="L573" i="4"/>
  <c r="K573" i="4"/>
  <c r="M573" i="4" s="1"/>
  <c r="N573" i="4" s="1"/>
  <c r="L961" i="4"/>
  <c r="K961" i="4"/>
  <c r="M961" i="4" s="1"/>
  <c r="N961" i="4" s="1"/>
  <c r="L349" i="4"/>
  <c r="K349" i="4"/>
  <c r="M349" i="4" s="1"/>
  <c r="N349" i="4" s="1"/>
  <c r="L710" i="4"/>
  <c r="K710" i="4"/>
  <c r="M710" i="4" s="1"/>
  <c r="N710" i="4" s="1"/>
  <c r="L670" i="4"/>
  <c r="K670" i="4"/>
  <c r="M670" i="4" s="1"/>
  <c r="N670" i="4" s="1"/>
  <c r="L455" i="4"/>
  <c r="K455" i="4"/>
  <c r="M455" i="4" s="1"/>
  <c r="N455" i="4" s="1"/>
  <c r="K145" i="4"/>
  <c r="M145" i="4" s="1"/>
  <c r="L145" i="4"/>
  <c r="L1302" i="4"/>
  <c r="K1302" i="4"/>
  <c r="M1302" i="4" s="1"/>
  <c r="N1302" i="4" s="1"/>
  <c r="L540" i="4"/>
  <c r="K540" i="4"/>
  <c r="M540" i="4" s="1"/>
  <c r="N540" i="4" s="1"/>
  <c r="L1203" i="4"/>
  <c r="K1203" i="4"/>
  <c r="M1203" i="4" s="1"/>
  <c r="N1203" i="4" s="1"/>
  <c r="K383" i="4"/>
  <c r="M383" i="4" s="1"/>
  <c r="N383" i="4" s="1"/>
  <c r="L383" i="4"/>
  <c r="K375" i="4"/>
  <c r="M375" i="4" s="1"/>
  <c r="N375" i="4" s="1"/>
  <c r="L375" i="4"/>
  <c r="L1143" i="4"/>
  <c r="K1143" i="4"/>
  <c r="M1143" i="4" s="1"/>
  <c r="N1143" i="4" s="1"/>
  <c r="L532" i="4"/>
  <c r="K532" i="4"/>
  <c r="M532" i="4" s="1"/>
  <c r="N532" i="4" s="1"/>
  <c r="L391" i="4"/>
  <c r="K391" i="4"/>
  <c r="M391" i="4" s="1"/>
  <c r="N391" i="4" s="1"/>
  <c r="L665" i="4"/>
  <c r="K665" i="4"/>
  <c r="M665" i="4" s="1"/>
  <c r="N665" i="4" s="1"/>
  <c r="L1172" i="4"/>
  <c r="K1172" i="4"/>
  <c r="M1172" i="4" s="1"/>
  <c r="N1172" i="4" s="1"/>
  <c r="L1011" i="4"/>
  <c r="K1011" i="4"/>
  <c r="M1011" i="4" s="1"/>
  <c r="N1011" i="4" s="1"/>
  <c r="L194" i="4"/>
  <c r="K194" i="4"/>
  <c r="M194" i="4" s="1"/>
  <c r="L6" i="4"/>
  <c r="K6" i="4"/>
  <c r="M6" i="4" s="1"/>
  <c r="L807" i="4"/>
  <c r="K807" i="4"/>
  <c r="M807" i="4" s="1"/>
  <c r="N807" i="4" s="1"/>
  <c r="L1199" i="4"/>
  <c r="K1199" i="4"/>
  <c r="M1199" i="4" s="1"/>
  <c r="N1199" i="4" s="1"/>
  <c r="L839" i="4"/>
  <c r="K839" i="4"/>
  <c r="M839" i="4" s="1"/>
  <c r="N839" i="4" s="1"/>
  <c r="L566" i="4"/>
  <c r="K566" i="4"/>
  <c r="M566" i="4" s="1"/>
  <c r="N566" i="4" s="1"/>
  <c r="L990" i="4"/>
  <c r="K990" i="4"/>
  <c r="M990" i="4" s="1"/>
  <c r="N990" i="4" s="1"/>
  <c r="L799" i="4"/>
  <c r="K799" i="4"/>
  <c r="M799" i="4" s="1"/>
  <c r="N799" i="4" s="1"/>
  <c r="L28" i="4"/>
  <c r="K28" i="4"/>
  <c r="M28" i="4" s="1"/>
  <c r="L286" i="4"/>
  <c r="K286" i="4"/>
  <c r="M286" i="4" s="1"/>
  <c r="L671" i="4"/>
  <c r="K671" i="4"/>
  <c r="M671" i="4" s="1"/>
  <c r="N671" i="4" s="1"/>
  <c r="L862" i="4"/>
  <c r="K862" i="4"/>
  <c r="M862" i="4" s="1"/>
  <c r="N862" i="4" s="1"/>
  <c r="L1134" i="4"/>
  <c r="K1134" i="4"/>
  <c r="M1134" i="4" s="1"/>
  <c r="N1134" i="4" s="1"/>
  <c r="L1070" i="4"/>
  <c r="K1070" i="4"/>
  <c r="M1070" i="4" s="1"/>
  <c r="N1070" i="4" s="1"/>
  <c r="L230" i="4"/>
  <c r="K230" i="4"/>
  <c r="M230" i="4" s="1"/>
  <c r="K88" i="4"/>
  <c r="M88" i="4" s="1"/>
  <c r="L88" i="4"/>
  <c r="L901" i="4"/>
  <c r="K901" i="4"/>
  <c r="M901" i="4" s="1"/>
  <c r="N901" i="4" s="1"/>
  <c r="L842" i="4"/>
  <c r="K842" i="4"/>
  <c r="M842" i="4" s="1"/>
  <c r="N842" i="4" s="1"/>
  <c r="L170" i="4"/>
  <c r="K170" i="4"/>
  <c r="M170" i="4" s="1"/>
  <c r="L1204" i="4"/>
  <c r="K1204" i="4"/>
  <c r="M1204" i="4" s="1"/>
  <c r="N1204" i="4" s="1"/>
  <c r="K855" i="4"/>
  <c r="M855" i="4" s="1"/>
  <c r="N855" i="4" s="1"/>
  <c r="L855" i="4"/>
  <c r="K684" i="4"/>
  <c r="M684" i="4" s="1"/>
  <c r="N684" i="4" s="1"/>
  <c r="L684" i="4"/>
  <c r="L1281" i="4"/>
  <c r="K1281" i="4"/>
  <c r="M1281" i="4" s="1"/>
  <c r="N1281" i="4" s="1"/>
  <c r="L262" i="4"/>
  <c r="K262" i="4"/>
  <c r="M262" i="4" s="1"/>
  <c r="L852" i="4"/>
  <c r="K852" i="4"/>
  <c r="M852" i="4" s="1"/>
  <c r="N852" i="4" s="1"/>
  <c r="L612" i="4"/>
  <c r="K612" i="4"/>
  <c r="M612" i="4" s="1"/>
  <c r="N612" i="4" s="1"/>
  <c r="L1186" i="4"/>
  <c r="K1186" i="4"/>
  <c r="M1186" i="4" s="1"/>
  <c r="N1186" i="4" s="1"/>
  <c r="L156" i="4"/>
  <c r="K156" i="4"/>
  <c r="M156" i="4" s="1"/>
  <c r="L1014" i="4"/>
  <c r="K1014" i="4"/>
  <c r="M1014" i="4" s="1"/>
  <c r="N1014" i="4" s="1"/>
  <c r="L46" i="4"/>
  <c r="K46" i="4"/>
  <c r="M46" i="4" s="1"/>
  <c r="L1205" i="4"/>
  <c r="K1205" i="4"/>
  <c r="M1205" i="4" s="1"/>
  <c r="N1205" i="4" s="1"/>
  <c r="L1206" i="4"/>
  <c r="K1206" i="4"/>
  <c r="M1206" i="4" s="1"/>
  <c r="N1206" i="4" s="1"/>
  <c r="L70" i="4"/>
  <c r="K70" i="4"/>
  <c r="M70" i="4" s="1"/>
  <c r="L775" i="4"/>
  <c r="K775" i="4"/>
  <c r="M775" i="4" s="1"/>
  <c r="N775" i="4" s="1"/>
  <c r="L261" i="4"/>
  <c r="K261" i="4"/>
  <c r="M261" i="4" s="1"/>
  <c r="L399" i="4"/>
  <c r="K399" i="4"/>
  <c r="M399" i="4" s="1"/>
  <c r="N399" i="4" s="1"/>
  <c r="L966" i="4"/>
  <c r="K966" i="4"/>
  <c r="M966" i="4" s="1"/>
  <c r="N966" i="4" s="1"/>
  <c r="L73" i="4"/>
  <c r="K73" i="4"/>
  <c r="M73" i="4" s="1"/>
  <c r="L412" i="4"/>
  <c r="K412" i="4"/>
  <c r="M412" i="4" s="1"/>
  <c r="N412" i="4" s="1"/>
  <c r="L477" i="4"/>
  <c r="K477" i="4"/>
  <c r="M477" i="4" s="1"/>
  <c r="N477" i="4" s="1"/>
  <c r="L199" i="4"/>
  <c r="K199" i="4"/>
  <c r="M199" i="4" s="1"/>
  <c r="L327" i="4"/>
  <c r="K327" i="4"/>
  <c r="M327" i="4" s="1"/>
  <c r="N327" i="4" s="1"/>
  <c r="L899" i="4"/>
  <c r="K899" i="4"/>
  <c r="M899" i="4" s="1"/>
  <c r="N899" i="4" s="1"/>
  <c r="L235" i="4"/>
  <c r="K235" i="4"/>
  <c r="M235" i="4" s="1"/>
  <c r="L16" i="4"/>
  <c r="K16" i="4"/>
  <c r="M16" i="4" s="1"/>
  <c r="L1032" i="4"/>
  <c r="K1032" i="4"/>
  <c r="M1032" i="4" s="1"/>
  <c r="N1032" i="4" s="1"/>
  <c r="L502" i="4"/>
  <c r="K502" i="4"/>
  <c r="M502" i="4" s="1"/>
  <c r="N502" i="4" s="1"/>
  <c r="L857" i="4"/>
  <c r="K857" i="4"/>
  <c r="M857" i="4" s="1"/>
  <c r="N857" i="4" s="1"/>
  <c r="L245" i="4"/>
  <c r="K245" i="4"/>
  <c r="M245" i="4" s="1"/>
  <c r="L132" i="4"/>
  <c r="K132" i="4"/>
  <c r="M132" i="4" s="1"/>
  <c r="L515" i="4"/>
  <c r="K515" i="4"/>
  <c r="M515" i="4" s="1"/>
  <c r="N515" i="4" s="1"/>
  <c r="L332" i="4"/>
  <c r="K332" i="4"/>
  <c r="M332" i="4" s="1"/>
  <c r="N332" i="4" s="1"/>
  <c r="K929" i="4"/>
  <c r="M929" i="4" s="1"/>
  <c r="N929" i="4" s="1"/>
  <c r="L929" i="4"/>
  <c r="K980" i="4"/>
  <c r="M980" i="4" s="1"/>
  <c r="N980" i="4" s="1"/>
  <c r="L980" i="4"/>
  <c r="L423" i="4"/>
  <c r="K423" i="4"/>
  <c r="M423" i="4" s="1"/>
  <c r="N423" i="4" s="1"/>
  <c r="L971" i="4"/>
  <c r="K971" i="4"/>
  <c r="M971" i="4" s="1"/>
  <c r="N971" i="4" s="1"/>
  <c r="L523" i="4"/>
  <c r="K523" i="4"/>
  <c r="M523" i="4" s="1"/>
  <c r="N523" i="4" s="1"/>
  <c r="L492" i="4"/>
  <c r="K492" i="4"/>
  <c r="M492" i="4" s="1"/>
  <c r="N492" i="4" s="1"/>
  <c r="L1048" i="4"/>
  <c r="K1048" i="4"/>
  <c r="M1048" i="4" s="1"/>
  <c r="N1048" i="4" s="1"/>
  <c r="L279" i="4"/>
  <c r="K279" i="4"/>
  <c r="M279" i="4" s="1"/>
  <c r="L1216" i="4"/>
  <c r="K1216" i="4"/>
  <c r="M1216" i="4" s="1"/>
  <c r="N1216" i="4" s="1"/>
  <c r="L554" i="4"/>
  <c r="K554" i="4"/>
  <c r="M554" i="4" s="1"/>
  <c r="N554" i="4" s="1"/>
  <c r="L725" i="4"/>
  <c r="K725" i="4"/>
  <c r="M725" i="4" s="1"/>
  <c r="N725" i="4" s="1"/>
  <c r="L974" i="4"/>
  <c r="K974" i="4"/>
  <c r="M974" i="4" s="1"/>
  <c r="N974" i="4" s="1"/>
  <c r="L209" i="4"/>
  <c r="K209" i="4"/>
  <c r="M209" i="4" s="1"/>
  <c r="L643" i="4"/>
  <c r="K643" i="4"/>
  <c r="M643" i="4" s="1"/>
  <c r="N643" i="4" s="1"/>
  <c r="L957" i="4"/>
  <c r="K957" i="4"/>
  <c r="M957" i="4" s="1"/>
  <c r="N957" i="4" s="1"/>
  <c r="L757" i="4"/>
  <c r="K757" i="4"/>
  <c r="M757" i="4" s="1"/>
  <c r="N757" i="4" s="1"/>
  <c r="L1104" i="4"/>
  <c r="K1104" i="4"/>
  <c r="M1104" i="4" s="1"/>
  <c r="N1104" i="4" s="1"/>
  <c r="L1130" i="4"/>
  <c r="K1130" i="4"/>
  <c r="M1130" i="4" s="1"/>
  <c r="N1130" i="4" s="1"/>
  <c r="L677" i="4"/>
  <c r="K677" i="4"/>
  <c r="M677" i="4" s="1"/>
  <c r="N677" i="4" s="1"/>
  <c r="L685" i="4"/>
  <c r="K685" i="4"/>
  <c r="M685" i="4" s="1"/>
  <c r="N685" i="4" s="1"/>
  <c r="L828" i="4"/>
  <c r="K828" i="4"/>
  <c r="M828" i="4" s="1"/>
  <c r="N828" i="4" s="1"/>
  <c r="L253" i="4"/>
  <c r="K253" i="4"/>
  <c r="M253" i="4" s="1"/>
  <c r="K91" i="4"/>
  <c r="M91" i="4" s="1"/>
  <c r="N91" i="4" s="1"/>
  <c r="L891" i="4"/>
  <c r="K891" i="4"/>
  <c r="M891" i="4" s="1"/>
  <c r="N891" i="4" s="1"/>
  <c r="L72" i="4"/>
  <c r="K72" i="4"/>
  <c r="M72" i="4" s="1"/>
  <c r="L1005" i="4"/>
  <c r="K1005" i="4"/>
  <c r="M1005" i="4" s="1"/>
  <c r="N1005" i="4" s="1"/>
  <c r="K497" i="4"/>
  <c r="M497" i="4" s="1"/>
  <c r="N497" i="4" s="1"/>
  <c r="L497" i="4"/>
  <c r="K14" i="4"/>
  <c r="M14" i="4" s="1"/>
  <c r="L14" i="4"/>
  <c r="L859" i="4"/>
  <c r="K859" i="4"/>
  <c r="M859" i="4" s="1"/>
  <c r="N859" i="4" s="1"/>
  <c r="K851" i="4"/>
  <c r="M851" i="4" s="1"/>
  <c r="N851" i="4" s="1"/>
  <c r="L851" i="4"/>
  <c r="L1158" i="4"/>
  <c r="K1158" i="4"/>
  <c r="M1158" i="4" s="1"/>
  <c r="N1158" i="4" s="1"/>
  <c r="L169" i="4"/>
  <c r="K169" i="4"/>
  <c r="M169" i="4" s="1"/>
  <c r="L428" i="4"/>
  <c r="K428" i="4"/>
  <c r="M428" i="4" s="1"/>
  <c r="N428" i="4" s="1"/>
  <c r="L238" i="4"/>
  <c r="K238" i="4"/>
  <c r="M238" i="4" s="1"/>
  <c r="L71" i="4"/>
  <c r="K71" i="4"/>
  <c r="M71" i="4" s="1"/>
  <c r="L442" i="4"/>
  <c r="K442" i="4"/>
  <c r="M442" i="4" s="1"/>
  <c r="N442" i="4" s="1"/>
  <c r="L887" i="4"/>
  <c r="K887" i="4"/>
  <c r="M887" i="4" s="1"/>
  <c r="N887" i="4" s="1"/>
  <c r="L941" i="4"/>
  <c r="K941" i="4"/>
  <c r="M941" i="4" s="1"/>
  <c r="N941" i="4" s="1"/>
  <c r="L1219" i="4"/>
  <c r="K1219" i="4"/>
  <c r="M1219" i="4" s="1"/>
  <c r="N1219" i="4" s="1"/>
  <c r="L158" i="4"/>
  <c r="K158" i="4"/>
  <c r="M158" i="4" s="1"/>
  <c r="L1296" i="4"/>
  <c r="K1296" i="4"/>
  <c r="M1296" i="4" s="1"/>
  <c r="N1296" i="4" s="1"/>
  <c r="L1261" i="4"/>
  <c r="K1261" i="4"/>
  <c r="M1261" i="4" s="1"/>
  <c r="N1261" i="4" s="1"/>
  <c r="L518" i="4"/>
  <c r="K518" i="4"/>
  <c r="M518" i="4" s="1"/>
  <c r="N518" i="4" s="1"/>
  <c r="L303" i="4"/>
  <c r="K303" i="4"/>
  <c r="M303" i="4" s="1"/>
  <c r="N303" i="4" s="1"/>
  <c r="L84" i="4"/>
  <c r="K84" i="4"/>
  <c r="M84" i="4" s="1"/>
  <c r="L764" i="4"/>
  <c r="K764" i="4"/>
  <c r="M764" i="4" s="1"/>
  <c r="N764" i="4" s="1"/>
  <c r="L596" i="4"/>
  <c r="K596" i="4"/>
  <c r="M596" i="4" s="1"/>
  <c r="N596" i="4" s="1"/>
  <c r="L1155" i="4"/>
  <c r="K1155" i="4"/>
  <c r="M1155" i="4" s="1"/>
  <c r="N1155" i="4" s="1"/>
  <c r="K718" i="4"/>
  <c r="M718" i="4" s="1"/>
  <c r="N718" i="4" s="1"/>
  <c r="L718" i="4"/>
  <c r="L519" i="4"/>
  <c r="K519" i="4"/>
  <c r="M519" i="4" s="1"/>
  <c r="N519" i="4" s="1"/>
  <c r="L1140" i="4"/>
  <c r="K1140" i="4"/>
  <c r="M1140" i="4" s="1"/>
  <c r="N1140" i="4" s="1"/>
  <c r="L1263" i="4"/>
  <c r="K1263" i="4"/>
  <c r="M1263" i="4" s="1"/>
  <c r="N1263" i="4" s="1"/>
  <c r="L272" i="4"/>
  <c r="N272" i="4" s="1"/>
  <c r="K280" i="4"/>
  <c r="M280" i="4" s="1"/>
  <c r="K712" i="4"/>
  <c r="M712" i="4" s="1"/>
  <c r="N712" i="4" s="1"/>
  <c r="K210" i="4"/>
  <c r="M210" i="4" s="1"/>
  <c r="N210" i="4" s="1"/>
  <c r="K224" i="4"/>
  <c r="M224" i="4" s="1"/>
  <c r="N224" i="4" s="1"/>
  <c r="L896" i="4"/>
  <c r="K664" i="4"/>
  <c r="M664" i="4" s="1"/>
  <c r="N664" i="4" s="1"/>
  <c r="K760" i="4"/>
  <c r="M760" i="4" s="1"/>
  <c r="N760" i="4" s="1"/>
  <c r="K243" i="4"/>
  <c r="M243" i="4" s="1"/>
  <c r="K627" i="4"/>
  <c r="M627" i="4" s="1"/>
  <c r="N627" i="4" s="1"/>
  <c r="K419" i="4"/>
  <c r="M419" i="4" s="1"/>
  <c r="N419" i="4" s="1"/>
  <c r="L835" i="4"/>
  <c r="K835" i="4"/>
  <c r="M835" i="4" s="1"/>
  <c r="N835" i="4" s="1"/>
  <c r="L64" i="4"/>
  <c r="K64" i="4"/>
  <c r="M64" i="4" s="1"/>
  <c r="L595" i="4"/>
  <c r="K595" i="4"/>
  <c r="M595" i="4" s="1"/>
  <c r="N595" i="4" s="1"/>
  <c r="L94" i="4"/>
  <c r="K94" i="4"/>
  <c r="M94" i="4" s="1"/>
  <c r="L330" i="4"/>
  <c r="K330" i="4"/>
  <c r="M330" i="4" s="1"/>
  <c r="N330" i="4" s="1"/>
  <c r="L717" i="4"/>
  <c r="K717" i="4"/>
  <c r="M717" i="4" s="1"/>
  <c r="N717" i="4" s="1"/>
  <c r="L86" i="4"/>
  <c r="K86" i="4"/>
  <c r="M86" i="4" s="1"/>
  <c r="L164" i="4"/>
  <c r="K164" i="4"/>
  <c r="M164" i="4" s="1"/>
  <c r="L378" i="4"/>
  <c r="K378" i="4"/>
  <c r="M378" i="4" s="1"/>
  <c r="N378" i="4" s="1"/>
  <c r="L1080" i="4"/>
  <c r="K1080" i="4"/>
  <c r="M1080" i="4" s="1"/>
  <c r="N1080" i="4" s="1"/>
  <c r="L1108" i="4"/>
  <c r="K1108" i="4"/>
  <c r="M1108" i="4" s="1"/>
  <c r="N1108" i="4" s="1"/>
  <c r="L1279" i="4"/>
  <c r="K1279" i="4"/>
  <c r="M1279" i="4" s="1"/>
  <c r="N1279" i="4" s="1"/>
  <c r="L309" i="4"/>
  <c r="K309" i="4"/>
  <c r="M309" i="4" s="1"/>
  <c r="N309" i="4" s="1"/>
  <c r="K795" i="4"/>
  <c r="M795" i="4" s="1"/>
  <c r="N795" i="4" s="1"/>
  <c r="L795" i="4"/>
  <c r="L911" i="4"/>
  <c r="K911" i="4"/>
  <c r="M911" i="4" s="1"/>
  <c r="N911" i="4" s="1"/>
  <c r="L1109" i="4"/>
  <c r="K1109" i="4"/>
  <c r="M1109" i="4" s="1"/>
  <c r="N1109" i="4" s="1"/>
  <c r="L340" i="4"/>
  <c r="K340" i="4"/>
  <c r="M340" i="4" s="1"/>
  <c r="N340" i="4" s="1"/>
  <c r="L263" i="4"/>
  <c r="K263" i="4"/>
  <c r="M263" i="4" s="1"/>
  <c r="L148" i="4"/>
  <c r="K148" i="4"/>
  <c r="M148" i="4" s="1"/>
  <c r="L501" i="4"/>
  <c r="K501" i="4"/>
  <c r="M501" i="4" s="1"/>
  <c r="N501" i="4" s="1"/>
  <c r="L1246" i="4"/>
  <c r="K1246" i="4"/>
  <c r="M1246" i="4" s="1"/>
  <c r="N1246" i="4" s="1"/>
  <c r="L687" i="4"/>
  <c r="K687" i="4"/>
  <c r="M687" i="4" s="1"/>
  <c r="N687" i="4" s="1"/>
  <c r="L290" i="4"/>
  <c r="K290" i="4"/>
  <c r="M290" i="4" s="1"/>
  <c r="L692" i="4"/>
  <c r="K692" i="4"/>
  <c r="M692" i="4" s="1"/>
  <c r="N692" i="4" s="1"/>
  <c r="L223" i="4"/>
  <c r="K223" i="4"/>
  <c r="M223" i="4" s="1"/>
  <c r="L239" i="4"/>
  <c r="K239" i="4"/>
  <c r="M239" i="4" s="1"/>
  <c r="L201" i="4"/>
  <c r="K201" i="4"/>
  <c r="M201" i="4" s="1"/>
  <c r="L1275" i="4"/>
  <c r="K1275" i="4"/>
  <c r="M1275" i="4" s="1"/>
  <c r="N1275" i="4" s="1"/>
  <c r="L269" i="4"/>
  <c r="K269" i="4"/>
  <c r="M269" i="4" s="1"/>
  <c r="L606" i="4"/>
  <c r="K606" i="4"/>
  <c r="M606" i="4" s="1"/>
  <c r="N606" i="4" s="1"/>
  <c r="L609" i="4"/>
  <c r="K609" i="4"/>
  <c r="M609" i="4" s="1"/>
  <c r="N609" i="4" s="1"/>
  <c r="L468" i="4"/>
  <c r="K468" i="4"/>
  <c r="M468" i="4" s="1"/>
  <c r="N468" i="4" s="1"/>
  <c r="L761" i="4"/>
  <c r="K761" i="4"/>
  <c r="M761" i="4" s="1"/>
  <c r="N761" i="4" s="1"/>
  <c r="K1255" i="4"/>
  <c r="M1255" i="4" s="1"/>
  <c r="N1255" i="4" s="1"/>
  <c r="K513" i="4"/>
  <c r="M513" i="4" s="1"/>
  <c r="N513" i="4" s="1"/>
  <c r="K1243" i="4"/>
  <c r="M1243" i="4" s="1"/>
  <c r="N1243" i="4" s="1"/>
  <c r="K1031" i="4"/>
  <c r="M1031" i="4" s="1"/>
  <c r="N1031" i="4" s="1"/>
  <c r="K85" i="4"/>
  <c r="M85" i="4" s="1"/>
  <c r="N85" i="4" s="1"/>
  <c r="K472" i="4"/>
  <c r="M472" i="4" s="1"/>
  <c r="N472" i="4" s="1"/>
  <c r="K1082" i="4"/>
  <c r="M1082" i="4" s="1"/>
  <c r="N1082" i="4" s="1"/>
  <c r="K614" i="4"/>
  <c r="M614" i="4" s="1"/>
  <c r="N614" i="4" s="1"/>
  <c r="L614" i="4"/>
  <c r="K1097" i="4"/>
  <c r="M1097" i="4" s="1"/>
  <c r="N1097" i="4" s="1"/>
  <c r="L1097" i="4"/>
  <c r="L582" i="4"/>
  <c r="K582" i="4"/>
  <c r="M582" i="4" s="1"/>
  <c r="N582" i="4" s="1"/>
  <c r="L1002" i="4"/>
  <c r="K1002" i="4"/>
  <c r="M1002" i="4" s="1"/>
  <c r="N1002" i="4" s="1"/>
  <c r="L695" i="4"/>
  <c r="K695" i="4"/>
  <c r="M695" i="4" s="1"/>
  <c r="N695" i="4" s="1"/>
  <c r="K1311" i="4"/>
  <c r="M1311" i="4" s="1"/>
  <c r="N1311" i="4" s="1"/>
  <c r="L1311" i="4"/>
  <c r="L932" i="4"/>
  <c r="K932" i="4"/>
  <c r="M932" i="4" s="1"/>
  <c r="N932" i="4" s="1"/>
  <c r="L258" i="4"/>
  <c r="K258" i="4"/>
  <c r="M258" i="4" s="1"/>
  <c r="L1071" i="4"/>
  <c r="K1071" i="4"/>
  <c r="M1071" i="4" s="1"/>
  <c r="N1071" i="4" s="1"/>
  <c r="L1083" i="4"/>
  <c r="K1083" i="4"/>
  <c r="M1083" i="4" s="1"/>
  <c r="N1083" i="4" s="1"/>
  <c r="L1021" i="4"/>
  <c r="K1021" i="4"/>
  <c r="M1021" i="4" s="1"/>
  <c r="N1021" i="4" s="1"/>
  <c r="L61" i="4"/>
  <c r="K61" i="4"/>
  <c r="M61" i="4" s="1"/>
  <c r="L1202" i="4"/>
  <c r="K1202" i="4"/>
  <c r="M1202" i="4" s="1"/>
  <c r="N1202" i="4" s="1"/>
  <c r="L1224" i="4"/>
  <c r="K1224" i="4"/>
  <c r="M1224" i="4" s="1"/>
  <c r="N1224" i="4" s="1"/>
  <c r="L367" i="4"/>
  <c r="K367" i="4"/>
  <c r="M367" i="4" s="1"/>
  <c r="N367" i="4" s="1"/>
  <c r="L418" i="4"/>
  <c r="K418" i="4"/>
  <c r="M418" i="4" s="1"/>
  <c r="N418" i="4" s="1"/>
  <c r="L884" i="4"/>
  <c r="K884" i="4"/>
  <c r="M884" i="4" s="1"/>
  <c r="N884" i="4" s="1"/>
  <c r="L130" i="4"/>
  <c r="K130" i="4"/>
  <c r="M130" i="4" s="1"/>
  <c r="L1253" i="4"/>
  <c r="K1253" i="4"/>
  <c r="M1253" i="4" s="1"/>
  <c r="N1253" i="4" s="1"/>
  <c r="L1207" i="4"/>
  <c r="K1207" i="4"/>
  <c r="M1207" i="4" s="1"/>
  <c r="N1207" i="4" s="1"/>
  <c r="L524" i="4"/>
  <c r="K524" i="4"/>
  <c r="M524" i="4" s="1"/>
  <c r="N524" i="4" s="1"/>
  <c r="L1004" i="4"/>
  <c r="K1004" i="4"/>
  <c r="M1004" i="4" s="1"/>
  <c r="N1004" i="4" s="1"/>
  <c r="L451" i="4"/>
  <c r="K451" i="4"/>
  <c r="M451" i="4" s="1"/>
  <c r="N451" i="4" s="1"/>
  <c r="L181" i="4"/>
  <c r="K181" i="4"/>
  <c r="M181" i="4" s="1"/>
  <c r="L460" i="4"/>
  <c r="K460" i="4"/>
  <c r="M460" i="4" s="1"/>
  <c r="N460" i="4" s="1"/>
  <c r="L1034" i="4"/>
  <c r="K1034" i="4"/>
  <c r="M1034" i="4" s="1"/>
  <c r="N1034" i="4" s="1"/>
  <c r="L869" i="4"/>
  <c r="K869" i="4"/>
  <c r="M869" i="4" s="1"/>
  <c r="N869" i="4" s="1"/>
  <c r="L1007" i="4"/>
  <c r="K1007" i="4"/>
  <c r="M1007" i="4" s="1"/>
  <c r="N1007" i="4" s="1"/>
  <c r="L610" i="4"/>
  <c r="K610" i="4"/>
  <c r="M610" i="4" s="1"/>
  <c r="N610" i="4" s="1"/>
  <c r="L1273" i="4"/>
  <c r="K1273" i="4"/>
  <c r="M1273" i="4" s="1"/>
  <c r="N1273" i="4" s="1"/>
  <c r="L438" i="4"/>
  <c r="K438" i="4"/>
  <c r="M438" i="4" s="1"/>
  <c r="N438" i="4" s="1"/>
  <c r="K564" i="4"/>
  <c r="M564" i="4" s="1"/>
  <c r="N564" i="4" s="1"/>
  <c r="L584" i="4"/>
  <c r="K19" i="4"/>
  <c r="M19" i="4" s="1"/>
  <c r="N19" i="4" s="1"/>
  <c r="K647" i="4"/>
  <c r="M647" i="4" s="1"/>
  <c r="N647" i="4" s="1"/>
  <c r="K435" i="4"/>
  <c r="M435" i="4" s="1"/>
  <c r="N435" i="4" s="1"/>
  <c r="K48" i="4"/>
  <c r="M48" i="4" s="1"/>
  <c r="L48" i="4"/>
  <c r="K694" i="4"/>
  <c r="M694" i="4" s="1"/>
  <c r="N694" i="4" s="1"/>
  <c r="L694" i="4"/>
  <c r="L1023" i="4"/>
  <c r="K1023" i="4"/>
  <c r="M1023" i="4" s="1"/>
  <c r="N1023" i="4" s="1"/>
  <c r="L166" i="4"/>
  <c r="K166" i="4"/>
  <c r="M166" i="4" s="1"/>
  <c r="L785" i="4"/>
  <c r="K785" i="4"/>
  <c r="M785" i="4" s="1"/>
  <c r="N785" i="4" s="1"/>
  <c r="L954" i="4"/>
  <c r="K954" i="4"/>
  <c r="M954" i="4" s="1"/>
  <c r="N954" i="4" s="1"/>
  <c r="L591" i="4"/>
  <c r="K591" i="4"/>
  <c r="M591" i="4" s="1"/>
  <c r="N591" i="4" s="1"/>
  <c r="K1265" i="4"/>
  <c r="M1265" i="4" s="1"/>
  <c r="N1265" i="4" s="1"/>
  <c r="L1265" i="4"/>
  <c r="L890" i="4"/>
  <c r="K890" i="4"/>
  <c r="M890" i="4" s="1"/>
  <c r="N890" i="4" s="1"/>
  <c r="L90" i="4"/>
  <c r="K90" i="4"/>
  <c r="M90" i="4" s="1"/>
  <c r="L250" i="4"/>
  <c r="K250" i="4"/>
  <c r="M250" i="4" s="1"/>
  <c r="L63" i="4"/>
  <c r="K63" i="4"/>
  <c r="M63" i="4" s="1"/>
  <c r="L1193" i="4"/>
  <c r="K1193" i="4"/>
  <c r="M1193" i="4" s="1"/>
  <c r="N1193" i="4" s="1"/>
  <c r="L935" i="4"/>
  <c r="K935" i="4"/>
  <c r="M935" i="4" s="1"/>
  <c r="N935" i="4" s="1"/>
  <c r="K821" i="4"/>
  <c r="M821" i="4" s="1"/>
  <c r="N821" i="4" s="1"/>
  <c r="L821" i="4"/>
  <c r="K879" i="4"/>
  <c r="M879" i="4" s="1"/>
  <c r="N879" i="4" s="1"/>
  <c r="L879" i="4"/>
  <c r="L1271" i="4"/>
  <c r="K1271" i="4"/>
  <c r="M1271" i="4" s="1"/>
  <c r="N1271" i="4" s="1"/>
  <c r="L1239" i="4"/>
  <c r="K1239" i="4"/>
  <c r="M1239" i="4" s="1"/>
  <c r="N1239" i="4" s="1"/>
  <c r="L882" i="4"/>
  <c r="K882" i="4"/>
  <c r="M882" i="4" s="1"/>
  <c r="N882" i="4" s="1"/>
  <c r="L845" i="4"/>
  <c r="K845" i="4"/>
  <c r="M845" i="4" s="1"/>
  <c r="N845" i="4" s="1"/>
  <c r="L401" i="4"/>
  <c r="K401" i="4"/>
  <c r="M401" i="4" s="1"/>
  <c r="N401" i="4" s="1"/>
  <c r="L538" i="4"/>
  <c r="K538" i="4"/>
  <c r="M538" i="4" s="1"/>
  <c r="N538" i="4" s="1"/>
  <c r="L933" i="4"/>
  <c r="K933" i="4"/>
  <c r="M933" i="4" s="1"/>
  <c r="N933" i="4" s="1"/>
  <c r="L793" i="4"/>
  <c r="K793" i="4"/>
  <c r="M793" i="4" s="1"/>
  <c r="N793" i="4" s="1"/>
  <c r="L346" i="4"/>
  <c r="K346" i="4"/>
  <c r="M346" i="4" s="1"/>
  <c r="N346" i="4" s="1"/>
  <c r="L110" i="4"/>
  <c r="K110" i="4"/>
  <c r="M110" i="4" s="1"/>
  <c r="L15" i="4"/>
  <c r="K15" i="4"/>
  <c r="M15" i="4" s="1"/>
  <c r="L1127" i="4"/>
  <c r="K1127" i="4"/>
  <c r="M1127" i="4" s="1"/>
  <c r="N1127" i="4" s="1"/>
  <c r="L753" i="4"/>
  <c r="K753" i="4"/>
  <c r="M753" i="4" s="1"/>
  <c r="N753" i="4" s="1"/>
  <c r="L781" i="4"/>
  <c r="K781" i="4"/>
  <c r="M781" i="4" s="1"/>
  <c r="N781" i="4" s="1"/>
  <c r="K768" i="4"/>
  <c r="M768" i="4" s="1"/>
  <c r="N768" i="4" s="1"/>
  <c r="K304" i="4"/>
  <c r="M304" i="4" s="1"/>
  <c r="N304" i="4" s="1"/>
  <c r="L688" i="4"/>
  <c r="L544" i="4"/>
  <c r="L880" i="4"/>
  <c r="K880" i="4"/>
  <c r="M880" i="4" s="1"/>
  <c r="N880" i="4" s="1"/>
  <c r="L784" i="4"/>
  <c r="K784" i="4"/>
  <c r="M784" i="4" s="1"/>
  <c r="N784" i="4" s="1"/>
  <c r="L640" i="4"/>
  <c r="K640" i="4"/>
  <c r="M640" i="4" s="1"/>
  <c r="N640" i="4" s="1"/>
  <c r="K552" i="4"/>
  <c r="M552" i="4" s="1"/>
  <c r="N552" i="4" s="1"/>
  <c r="L552" i="4"/>
  <c r="K344" i="4"/>
  <c r="M344" i="4" s="1"/>
  <c r="N344" i="4" s="1"/>
  <c r="L344" i="4"/>
  <c r="L1029" i="4"/>
  <c r="K1029" i="4"/>
  <c r="M1029" i="4" s="1"/>
  <c r="N1029" i="4" s="1"/>
  <c r="L738" i="4"/>
  <c r="K738" i="4"/>
  <c r="M738" i="4" s="1"/>
  <c r="N738" i="4" s="1"/>
  <c r="L1294" i="4"/>
  <c r="K1294" i="4"/>
  <c r="M1294" i="4" s="1"/>
  <c r="N1294" i="4" s="1"/>
  <c r="K347" i="4"/>
  <c r="M347" i="4" s="1"/>
  <c r="N347" i="4" s="1"/>
  <c r="L347" i="4"/>
  <c r="L637" i="4"/>
  <c r="K637" i="4"/>
  <c r="M637" i="4" s="1"/>
  <c r="N637" i="4" s="1"/>
  <c r="L370" i="4"/>
  <c r="K370" i="4"/>
  <c r="M370" i="4" s="1"/>
  <c r="N370" i="4" s="1"/>
  <c r="L1067" i="4"/>
  <c r="K1067" i="4"/>
  <c r="M1067" i="4" s="1"/>
  <c r="N1067" i="4" s="1"/>
  <c r="L1124" i="4"/>
  <c r="K1124" i="4"/>
  <c r="M1124" i="4" s="1"/>
  <c r="N1124" i="4" s="1"/>
  <c r="L1142" i="4"/>
  <c r="K1142" i="4"/>
  <c r="M1142" i="4" s="1"/>
  <c r="N1142" i="4" s="1"/>
  <c r="L1267" i="4"/>
  <c r="K1267" i="4"/>
  <c r="M1267" i="4" s="1"/>
  <c r="N1267" i="4" s="1"/>
  <c r="L142" i="4"/>
  <c r="K142" i="4"/>
  <c r="M142" i="4" s="1"/>
  <c r="L1015" i="4"/>
  <c r="K1015" i="4"/>
  <c r="M1015" i="4" s="1"/>
  <c r="N1015" i="4" s="1"/>
  <c r="L1313" i="4"/>
  <c r="K1313" i="4"/>
  <c r="M1313" i="4" s="1"/>
  <c r="N1313" i="4" s="1"/>
  <c r="L421" i="4"/>
  <c r="K421" i="4"/>
  <c r="M421" i="4" s="1"/>
  <c r="N421" i="4" s="1"/>
  <c r="L425" i="4"/>
  <c r="K425" i="4"/>
  <c r="M425" i="4" s="1"/>
  <c r="N425" i="4" s="1"/>
  <c r="L1194" i="4"/>
  <c r="K1194" i="4"/>
  <c r="M1194" i="4" s="1"/>
  <c r="N1194" i="4" s="1"/>
  <c r="L470" i="4"/>
  <c r="K470" i="4"/>
  <c r="M470" i="4" s="1"/>
  <c r="N470" i="4" s="1"/>
  <c r="L140" i="4"/>
  <c r="K140" i="4"/>
  <c r="M140" i="4" s="1"/>
  <c r="L925" i="4"/>
  <c r="K925" i="4"/>
  <c r="M925" i="4" s="1"/>
  <c r="N925" i="4" s="1"/>
  <c r="K127" i="4"/>
  <c r="M127" i="4" s="1"/>
  <c r="L127" i="4"/>
  <c r="K1144" i="4"/>
  <c r="M1144" i="4" s="1"/>
  <c r="N1144" i="4" s="1"/>
  <c r="L1144" i="4"/>
  <c r="L326" i="4"/>
  <c r="K326" i="4"/>
  <c r="M326" i="4" s="1"/>
  <c r="N326" i="4" s="1"/>
  <c r="K733" i="4"/>
  <c r="M733" i="4" s="1"/>
  <c r="N733" i="4" s="1"/>
  <c r="L733" i="4"/>
  <c r="L380" i="4"/>
  <c r="K380" i="4"/>
  <c r="M380" i="4" s="1"/>
  <c r="N380" i="4" s="1"/>
  <c r="L121" i="4"/>
  <c r="K121" i="4"/>
  <c r="M121" i="4" s="1"/>
  <c r="L133" i="4"/>
  <c r="K133" i="4"/>
  <c r="M133" i="4" s="1"/>
  <c r="L1141" i="4"/>
  <c r="K1141" i="4"/>
  <c r="M1141" i="4" s="1"/>
  <c r="N1141" i="4" s="1"/>
  <c r="L662" i="4"/>
  <c r="K662" i="4"/>
  <c r="M662" i="4" s="1"/>
  <c r="N662" i="4" s="1"/>
  <c r="L1041" i="4"/>
  <c r="K1041" i="4"/>
  <c r="M1041" i="4" s="1"/>
  <c r="N1041" i="4" s="1"/>
  <c r="L1027" i="4"/>
  <c r="K1027" i="4"/>
  <c r="M1027" i="4" s="1"/>
  <c r="N1027" i="4" s="1"/>
  <c r="L217" i="4"/>
  <c r="K217" i="4"/>
  <c r="M217" i="4" s="1"/>
  <c r="L892" i="4"/>
  <c r="K892" i="4"/>
  <c r="M892" i="4" s="1"/>
  <c r="N892" i="4" s="1"/>
  <c r="L769" i="4"/>
  <c r="K769" i="4"/>
  <c r="M769" i="4" s="1"/>
  <c r="N769" i="4" s="1"/>
  <c r="L1117" i="4"/>
  <c r="K1117" i="4"/>
  <c r="M1117" i="4" s="1"/>
  <c r="N1117" i="4" s="1"/>
  <c r="K875" i="4"/>
  <c r="M875" i="4" s="1"/>
  <c r="N875" i="4" s="1"/>
  <c r="L875" i="4"/>
  <c r="L922" i="4"/>
  <c r="K922" i="4"/>
  <c r="M922" i="4" s="1"/>
  <c r="N922" i="4" s="1"/>
  <c r="L434" i="4"/>
  <c r="K434" i="4"/>
  <c r="M434" i="4" s="1"/>
  <c r="N434" i="4" s="1"/>
  <c r="L1098" i="4"/>
  <c r="K1098" i="4"/>
  <c r="M1098" i="4" s="1"/>
  <c r="N1098" i="4" s="1"/>
  <c r="L697" i="4"/>
  <c r="K697" i="4"/>
  <c r="M697" i="4" s="1"/>
  <c r="N697" i="4" s="1"/>
  <c r="L1227" i="4"/>
  <c r="K1227" i="4"/>
  <c r="M1227" i="4" s="1"/>
  <c r="N1227" i="4" s="1"/>
  <c r="L700" i="4"/>
  <c r="K700" i="4"/>
  <c r="M700" i="4" s="1"/>
  <c r="N700" i="4" s="1"/>
  <c r="L968" i="4"/>
  <c r="K968" i="4"/>
  <c r="M968" i="4" s="1"/>
  <c r="N968" i="4" s="1"/>
  <c r="L463" i="4"/>
  <c r="K463" i="4"/>
  <c r="M463" i="4" s="1"/>
  <c r="N463" i="4" s="1"/>
  <c r="L26" i="4"/>
  <c r="K26" i="4"/>
  <c r="M26" i="4" s="1"/>
  <c r="L960" i="4"/>
  <c r="K960" i="4"/>
  <c r="M960" i="4" s="1"/>
  <c r="N960" i="4" s="1"/>
  <c r="L704" i="4"/>
  <c r="K704" i="4"/>
  <c r="M704" i="4" s="1"/>
  <c r="N704" i="4" s="1"/>
  <c r="L151" i="4"/>
  <c r="K151" i="4"/>
  <c r="M151" i="4" s="1"/>
  <c r="L1122" i="4"/>
  <c r="K1122" i="4"/>
  <c r="M1122" i="4" s="1"/>
  <c r="N1122" i="4" s="1"/>
  <c r="L177" i="4"/>
  <c r="K177" i="4"/>
  <c r="M177" i="4" s="1"/>
  <c r="L602" i="4"/>
  <c r="K602" i="4"/>
  <c r="M602" i="4" s="1"/>
  <c r="N602" i="4" s="1"/>
  <c r="L567" i="4"/>
  <c r="K567" i="4"/>
  <c r="M567" i="4" s="1"/>
  <c r="N567" i="4" s="1"/>
  <c r="L316" i="4"/>
  <c r="K316" i="4"/>
  <c r="M316" i="4" s="1"/>
  <c r="N316" i="4" s="1"/>
  <c r="L1307" i="4"/>
  <c r="K1307" i="4"/>
  <c r="M1307" i="4" s="1"/>
  <c r="N1307" i="4" s="1"/>
  <c r="L630" i="4"/>
  <c r="K630" i="4"/>
  <c r="M630" i="4" s="1"/>
  <c r="N630" i="4" s="1"/>
  <c r="L508" i="4"/>
  <c r="K508" i="4"/>
  <c r="M508" i="4" s="1"/>
  <c r="N508" i="4" s="1"/>
  <c r="L550" i="4"/>
  <c r="K550" i="4"/>
  <c r="M550" i="4" s="1"/>
  <c r="N550" i="4" s="1"/>
  <c r="L905" i="4"/>
  <c r="K905" i="4"/>
  <c r="M905" i="4" s="1"/>
  <c r="N905" i="4" s="1"/>
  <c r="L772" i="4"/>
  <c r="K772" i="4"/>
  <c r="M772" i="4" s="1"/>
  <c r="N772" i="4" s="1"/>
  <c r="K417" i="4"/>
  <c r="M417" i="4" s="1"/>
  <c r="N417" i="4" s="1"/>
  <c r="L417" i="4"/>
  <c r="L682" i="4"/>
  <c r="K682" i="4"/>
  <c r="M682" i="4" s="1"/>
  <c r="N682" i="4" s="1"/>
  <c r="L1013" i="4"/>
  <c r="K1013" i="4"/>
  <c r="M1013" i="4" s="1"/>
  <c r="N1013" i="4" s="1"/>
  <c r="K411" i="4"/>
  <c r="M411" i="4" s="1"/>
  <c r="N411" i="4" s="1"/>
  <c r="L411" i="4"/>
  <c r="L1157" i="4"/>
  <c r="K1157" i="4"/>
  <c r="M1157" i="4" s="1"/>
  <c r="N1157" i="4" s="1"/>
  <c r="K730" i="4"/>
  <c r="M730" i="4" s="1"/>
  <c r="N730" i="4" s="1"/>
  <c r="L730" i="4"/>
  <c r="K1212" i="4"/>
  <c r="M1212" i="4" s="1"/>
  <c r="N1212" i="4" s="1"/>
  <c r="L1212" i="4"/>
  <c r="L789" i="4"/>
  <c r="K789" i="4"/>
  <c r="M789" i="4" s="1"/>
  <c r="N789" i="4" s="1"/>
  <c r="K139" i="4"/>
  <c r="M139" i="4" s="1"/>
  <c r="L139" i="4"/>
  <c r="K748" i="4"/>
  <c r="M748" i="4" s="1"/>
  <c r="N748" i="4" s="1"/>
  <c r="L748" i="4"/>
  <c r="L157" i="4"/>
  <c r="K157" i="4"/>
  <c r="M157" i="4" s="1"/>
  <c r="K1001" i="4"/>
  <c r="M1001" i="4" s="1"/>
  <c r="N1001" i="4" s="1"/>
  <c r="L1001" i="4"/>
  <c r="L999" i="4"/>
  <c r="K999" i="4"/>
  <c r="M999" i="4" s="1"/>
  <c r="N999" i="4" s="1"/>
  <c r="L1019" i="4"/>
  <c r="K1019" i="4"/>
  <c r="M1019" i="4" s="1"/>
  <c r="N1019" i="4" s="1"/>
  <c r="L953" i="4"/>
  <c r="K953" i="4"/>
  <c r="M953" i="4" s="1"/>
  <c r="N953" i="4" s="1"/>
  <c r="K526" i="4"/>
  <c r="M526" i="4" s="1"/>
  <c r="N526" i="4" s="1"/>
  <c r="L526" i="4"/>
  <c r="L395" i="4"/>
  <c r="K395" i="4"/>
  <c r="M395" i="4" s="1"/>
  <c r="N395" i="4" s="1"/>
  <c r="L1252" i="4"/>
  <c r="K1252" i="4"/>
  <c r="M1252" i="4" s="1"/>
  <c r="N1252" i="4" s="1"/>
  <c r="L639" i="4"/>
  <c r="K639" i="4"/>
  <c r="M639" i="4" s="1"/>
  <c r="N639" i="4" s="1"/>
  <c r="K361" i="4"/>
  <c r="M361" i="4" s="1"/>
  <c r="N361" i="4" s="1"/>
  <c r="L361" i="4"/>
  <c r="L1223" i="4"/>
  <c r="K1223" i="4"/>
  <c r="M1223" i="4" s="1"/>
  <c r="N1223" i="4" s="1"/>
  <c r="L903" i="4"/>
  <c r="K903" i="4"/>
  <c r="M903" i="4" s="1"/>
  <c r="N903" i="4" s="1"/>
  <c r="L843" i="4"/>
  <c r="K843" i="4"/>
  <c r="M843" i="4" s="1"/>
  <c r="N843" i="4" s="1"/>
  <c r="L617" i="4"/>
  <c r="K617" i="4"/>
  <c r="M617" i="4" s="1"/>
  <c r="N617" i="4" s="1"/>
  <c r="L771" i="4"/>
  <c r="K771" i="4"/>
  <c r="M771" i="4" s="1"/>
  <c r="N771" i="4" s="1"/>
  <c r="L193" i="4"/>
  <c r="K193" i="4"/>
  <c r="M193" i="4" s="1"/>
  <c r="L37" i="4"/>
  <c r="K37" i="4"/>
  <c r="M37" i="4" s="1"/>
  <c r="L1024" i="4"/>
  <c r="K1024" i="4"/>
  <c r="M1024" i="4" s="1"/>
  <c r="N1024" i="4" s="1"/>
  <c r="L856" i="4"/>
  <c r="K856" i="4"/>
  <c r="M856" i="4" s="1"/>
  <c r="N856" i="4" s="1"/>
  <c r="L696" i="4"/>
  <c r="K696" i="4"/>
  <c r="M696" i="4" s="1"/>
  <c r="N696" i="4" s="1"/>
  <c r="L624" i="4"/>
  <c r="K624" i="4"/>
  <c r="M624" i="4" s="1"/>
  <c r="N624" i="4" s="1"/>
  <c r="L392" i="4"/>
  <c r="K392" i="4"/>
  <c r="M392" i="4" s="1"/>
  <c r="N392" i="4" s="1"/>
  <c r="L320" i="4"/>
  <c r="K320" i="4"/>
  <c r="M320" i="4" s="1"/>
  <c r="N320" i="4" s="1"/>
  <c r="L479" i="4"/>
  <c r="K479" i="4"/>
  <c r="M479" i="4" s="1"/>
  <c r="N479" i="4" s="1"/>
  <c r="L756" i="4"/>
  <c r="K756" i="4"/>
  <c r="M756" i="4" s="1"/>
  <c r="N756" i="4" s="1"/>
  <c r="L977" i="4"/>
  <c r="K977" i="4"/>
  <c r="M977" i="4" s="1"/>
  <c r="N977" i="4" s="1"/>
  <c r="K218" i="4"/>
  <c r="M218" i="4" s="1"/>
  <c r="L218" i="4"/>
  <c r="L823" i="4"/>
  <c r="K823" i="4"/>
  <c r="M823" i="4" s="1"/>
  <c r="N823" i="4" s="1"/>
  <c r="L541" i="4"/>
  <c r="K541" i="4"/>
  <c r="M541" i="4" s="1"/>
  <c r="N541" i="4" s="1"/>
  <c r="L331" i="4"/>
  <c r="K331" i="4"/>
  <c r="M331" i="4" s="1"/>
  <c r="N331" i="4" s="1"/>
  <c r="L11" i="4"/>
  <c r="K11" i="4"/>
  <c r="M11" i="4" s="1"/>
  <c r="K197" i="4"/>
  <c r="M197" i="4" s="1"/>
  <c r="L197" i="4"/>
  <c r="L907" i="4"/>
  <c r="K907" i="4"/>
  <c r="M907" i="4" s="1"/>
  <c r="N907" i="4" s="1"/>
  <c r="L815" i="4"/>
  <c r="K815" i="4"/>
  <c r="M815" i="4" s="1"/>
  <c r="N815" i="4" s="1"/>
  <c r="K276" i="4"/>
  <c r="M276" i="4" s="1"/>
  <c r="L276" i="4"/>
  <c r="L1278" i="4"/>
  <c r="K1278" i="4"/>
  <c r="M1278" i="4" s="1"/>
  <c r="N1278" i="4" s="1"/>
  <c r="L27" i="4"/>
  <c r="K27" i="4"/>
  <c r="M27" i="4" s="1"/>
  <c r="L1245" i="4"/>
  <c r="K1245" i="4"/>
  <c r="M1245" i="4" s="1"/>
  <c r="N1245" i="4" s="1"/>
  <c r="L429" i="4"/>
  <c r="K429" i="4"/>
  <c r="M429" i="4" s="1"/>
  <c r="N429" i="4" s="1"/>
  <c r="L1139" i="4"/>
  <c r="K1139" i="4"/>
  <c r="M1139" i="4" s="1"/>
  <c r="N1139" i="4" s="1"/>
  <c r="L1072" i="4"/>
  <c r="K1072" i="4"/>
  <c r="M1072" i="4" s="1"/>
  <c r="N1072" i="4" s="1"/>
  <c r="L628" i="4"/>
  <c r="K628" i="4"/>
  <c r="M628" i="4" s="1"/>
  <c r="N628" i="4" s="1"/>
  <c r="L681" i="4"/>
  <c r="K681" i="4"/>
  <c r="M681" i="4" s="1"/>
  <c r="N681" i="4" s="1"/>
  <c r="K117" i="4"/>
  <c r="M117" i="4" s="1"/>
  <c r="L117" i="4"/>
  <c r="L41" i="4"/>
  <c r="K41" i="4"/>
  <c r="M41" i="4" s="1"/>
  <c r="L404" i="4"/>
  <c r="K404" i="4"/>
  <c r="M404" i="4" s="1"/>
  <c r="N404" i="4" s="1"/>
  <c r="L487" i="4"/>
  <c r="K487" i="4"/>
  <c r="M487" i="4" s="1"/>
  <c r="N487" i="4" s="1"/>
  <c r="L994" i="4"/>
  <c r="K994" i="4"/>
  <c r="M994" i="4" s="1"/>
  <c r="N994" i="4" s="1"/>
  <c r="L969" i="4"/>
  <c r="K969" i="4"/>
  <c r="M969" i="4" s="1"/>
  <c r="N969" i="4" s="1"/>
  <c r="L549" i="4"/>
  <c r="K549" i="4"/>
  <c r="M549" i="4" s="1"/>
  <c r="N549" i="4" s="1"/>
  <c r="L202" i="4"/>
  <c r="K202" i="4"/>
  <c r="M202" i="4" s="1"/>
  <c r="K1228" i="4"/>
  <c r="M1228" i="4" s="1"/>
  <c r="N1228" i="4" s="1"/>
  <c r="L1228" i="4"/>
  <c r="L433" i="4"/>
  <c r="K433" i="4"/>
  <c r="M433" i="4" s="1"/>
  <c r="N433" i="4" s="1"/>
  <c r="L52" i="4"/>
  <c r="K52" i="4"/>
  <c r="M52" i="4" s="1"/>
  <c r="L1174" i="4"/>
  <c r="K1174" i="4"/>
  <c r="M1174" i="4" s="1"/>
  <c r="N1174" i="4" s="1"/>
  <c r="L1138" i="4"/>
  <c r="K1138" i="4"/>
  <c r="M1138" i="4" s="1"/>
  <c r="N1138" i="4" s="1"/>
  <c r="L801" i="4"/>
  <c r="K801" i="4"/>
  <c r="M801" i="4" s="1"/>
  <c r="N801" i="4" s="1"/>
  <c r="L746" i="4"/>
  <c r="K746" i="4"/>
  <c r="M746" i="4" s="1"/>
  <c r="N746" i="4" s="1"/>
  <c r="L25" i="4"/>
  <c r="K25" i="4"/>
  <c r="M25" i="4" s="1"/>
  <c r="L185" i="4"/>
  <c r="K185" i="4"/>
  <c r="M185" i="4" s="1"/>
  <c r="L752" i="4"/>
  <c r="K752" i="4"/>
  <c r="M752" i="4" s="1"/>
  <c r="N752" i="4" s="1"/>
  <c r="L608" i="4"/>
  <c r="K608" i="4"/>
  <c r="M608" i="4" s="1"/>
  <c r="N608" i="4" s="1"/>
  <c r="L456" i="4"/>
  <c r="K456" i="4"/>
  <c r="M456" i="4" s="1"/>
  <c r="N456" i="4" s="1"/>
  <c r="L377" i="4"/>
  <c r="K377" i="4"/>
  <c r="M377" i="4" s="1"/>
  <c r="N377" i="4" s="1"/>
  <c r="L162" i="4"/>
  <c r="K162" i="4"/>
  <c r="M162" i="4" s="1"/>
  <c r="L561" i="4"/>
  <c r="K561" i="4"/>
  <c r="M561" i="4" s="1"/>
  <c r="N561" i="4" s="1"/>
  <c r="L727" i="4"/>
  <c r="K727" i="4"/>
  <c r="M727" i="4" s="1"/>
  <c r="N727" i="4" s="1"/>
  <c r="L698" i="4"/>
  <c r="K698" i="4"/>
  <c r="M698" i="4" s="1"/>
  <c r="N698" i="4" s="1"/>
  <c r="L556" i="4"/>
  <c r="K556" i="4"/>
  <c r="M556" i="4" s="1"/>
  <c r="N556" i="4" s="1"/>
  <c r="L731" i="4"/>
  <c r="K731" i="4"/>
  <c r="M731" i="4" s="1"/>
  <c r="N731" i="4" s="1"/>
  <c r="K1084" i="4"/>
  <c r="M1084" i="4" s="1"/>
  <c r="N1084" i="4" s="1"/>
  <c r="L1084" i="4"/>
  <c r="L1251" i="4"/>
  <c r="K1251" i="4"/>
  <c r="M1251" i="4" s="1"/>
  <c r="N1251" i="4" s="1"/>
  <c r="L1010" i="4"/>
  <c r="K1010" i="4"/>
  <c r="M1010" i="4" s="1"/>
  <c r="N1010" i="4" s="1"/>
  <c r="K766" i="4"/>
  <c r="M766" i="4" s="1"/>
  <c r="N766" i="4" s="1"/>
  <c r="L766" i="4"/>
  <c r="L1283" i="4"/>
  <c r="K1283" i="4"/>
  <c r="M1283" i="4" s="1"/>
  <c r="N1283" i="4" s="1"/>
  <c r="L282" i="4"/>
  <c r="K282" i="4"/>
  <c r="M282" i="4" s="1"/>
  <c r="L1171" i="4"/>
  <c r="K1171" i="4"/>
  <c r="M1171" i="4" s="1"/>
  <c r="N1171" i="4" s="1"/>
  <c r="K780" i="4"/>
  <c r="M780" i="4" s="1"/>
  <c r="N780" i="4" s="1"/>
  <c r="L780" i="4"/>
  <c r="L978" i="4"/>
  <c r="K978" i="4"/>
  <c r="M978" i="4" s="1"/>
  <c r="N978" i="4" s="1"/>
  <c r="L1052" i="4"/>
  <c r="K1052" i="4"/>
  <c r="M1052" i="4" s="1"/>
  <c r="N1052" i="4" s="1"/>
  <c r="L749" i="4"/>
  <c r="K749" i="4"/>
  <c r="M749" i="4" s="1"/>
  <c r="N749" i="4" s="1"/>
  <c r="L337" i="4"/>
  <c r="K337" i="4"/>
  <c r="M337" i="4" s="1"/>
  <c r="N337" i="4" s="1"/>
  <c r="L123" i="4"/>
  <c r="K123" i="4"/>
  <c r="M123" i="4" s="1"/>
  <c r="K1235" i="4"/>
  <c r="M1235" i="4" s="1"/>
  <c r="N1235" i="4" s="1"/>
  <c r="L1235" i="4"/>
  <c r="L803" i="4"/>
  <c r="K803" i="4"/>
  <c r="M803" i="4" s="1"/>
  <c r="N803" i="4" s="1"/>
  <c r="L89" i="4"/>
  <c r="K89" i="4"/>
  <c r="M89" i="4" s="1"/>
  <c r="L1266" i="4"/>
  <c r="K1266" i="4"/>
  <c r="M1266" i="4" s="1"/>
  <c r="N1266" i="4" s="1"/>
  <c r="L1135" i="4"/>
  <c r="K1135" i="4"/>
  <c r="M1135" i="4" s="1"/>
  <c r="N1135" i="4" s="1"/>
  <c r="L611" i="4"/>
  <c r="K611" i="4"/>
  <c r="M611" i="4" s="1"/>
  <c r="N611" i="4" s="1"/>
  <c r="K629" i="4"/>
  <c r="M629" i="4" s="1"/>
  <c r="N629" i="4" s="1"/>
  <c r="L629" i="4"/>
  <c r="L588" i="4"/>
  <c r="K588" i="4"/>
  <c r="M588" i="4" s="1"/>
  <c r="N588" i="4" s="1"/>
  <c r="K1055" i="4"/>
  <c r="M1055" i="4" s="1"/>
  <c r="N1055" i="4" s="1"/>
  <c r="L1055" i="4"/>
  <c r="L791" i="4"/>
  <c r="K791" i="4"/>
  <c r="M791" i="4" s="1"/>
  <c r="N791" i="4" s="1"/>
  <c r="L1164" i="4"/>
  <c r="K1164" i="4"/>
  <c r="M1164" i="4" s="1"/>
  <c r="N1164" i="4" s="1"/>
  <c r="L295" i="4"/>
  <c r="K295" i="4"/>
  <c r="M295" i="4" s="1"/>
  <c r="L924" i="4"/>
  <c r="K924" i="4"/>
  <c r="M924" i="4" s="1"/>
  <c r="N924" i="4" s="1"/>
  <c r="L55" i="4"/>
  <c r="K55" i="4"/>
  <c r="M55" i="4" s="1"/>
  <c r="L1110" i="4"/>
  <c r="K1110" i="4"/>
  <c r="M1110" i="4" s="1"/>
  <c r="N1110" i="4" s="1"/>
  <c r="K754" i="4"/>
  <c r="M754" i="4" s="1"/>
  <c r="N754" i="4" s="1"/>
  <c r="L754" i="4"/>
  <c r="L20" i="4"/>
  <c r="K20" i="4"/>
  <c r="M20" i="4" s="1"/>
  <c r="L1268" i="4"/>
  <c r="K1268" i="4"/>
  <c r="M1268" i="4" s="1"/>
  <c r="N1268" i="4" s="1"/>
  <c r="K153" i="4"/>
  <c r="M153" i="4" s="1"/>
  <c r="L153" i="4"/>
  <c r="L840" i="4"/>
  <c r="K840" i="4"/>
  <c r="M840" i="4" s="1"/>
  <c r="N840" i="4" s="1"/>
  <c r="K600" i="4"/>
  <c r="M600" i="4" s="1"/>
  <c r="N600" i="4" s="1"/>
  <c r="L600" i="4"/>
  <c r="L376" i="4"/>
  <c r="K376" i="4"/>
  <c r="M376" i="4" s="1"/>
  <c r="N376" i="4" s="1"/>
  <c r="L1280" i="4"/>
  <c r="K1280" i="4"/>
  <c r="M1280" i="4" s="1"/>
  <c r="N1280" i="4" s="1"/>
  <c r="L53" i="4"/>
  <c r="K53" i="4"/>
  <c r="M53" i="4" s="1"/>
  <c r="L577" i="4"/>
  <c r="K577" i="4"/>
  <c r="M577" i="4" s="1"/>
  <c r="N577" i="4" s="1"/>
  <c r="L1043" i="4"/>
  <c r="K1043" i="4"/>
  <c r="M1043" i="4" s="1"/>
  <c r="N1043" i="4" s="1"/>
  <c r="L452" i="4"/>
  <c r="K452" i="4"/>
  <c r="M452" i="4" s="1"/>
  <c r="N452" i="4" s="1"/>
  <c r="L847" i="4"/>
  <c r="K847" i="4"/>
  <c r="M847" i="4" s="1"/>
  <c r="N847" i="4" s="1"/>
  <c r="L571" i="4"/>
  <c r="K571" i="4"/>
  <c r="M571" i="4" s="1"/>
  <c r="N571" i="4" s="1"/>
  <c r="L937" i="4"/>
  <c r="K937" i="4"/>
  <c r="M937" i="4" s="1"/>
  <c r="N937" i="4" s="1"/>
  <c r="L113" i="4"/>
  <c r="K113" i="4"/>
  <c r="M113" i="4" s="1"/>
  <c r="L108" i="4"/>
  <c r="K108" i="4"/>
  <c r="M108" i="4" s="1"/>
  <c r="L1146" i="4"/>
  <c r="K1146" i="4"/>
  <c r="M1146" i="4" s="1"/>
  <c r="N1146" i="4" s="1"/>
  <c r="L910" i="4"/>
  <c r="K910" i="4"/>
  <c r="M910" i="4" s="1"/>
  <c r="N910" i="4" s="1"/>
  <c r="L476" i="4"/>
  <c r="K476" i="4"/>
  <c r="M476" i="4" s="1"/>
  <c r="N476" i="4" s="1"/>
  <c r="L765" i="4"/>
  <c r="K765" i="4"/>
  <c r="M765" i="4" s="1"/>
  <c r="N765" i="4" s="1"/>
  <c r="L1160" i="4"/>
  <c r="K1160" i="4"/>
  <c r="M1160" i="4" s="1"/>
  <c r="N1160" i="4" s="1"/>
  <c r="L1012" i="4"/>
  <c r="K1012" i="4"/>
  <c r="M1012" i="4" s="1"/>
  <c r="N1012" i="4" s="1"/>
  <c r="L1121" i="4"/>
  <c r="K1121" i="4"/>
  <c r="M1121" i="4" s="1"/>
  <c r="N1121" i="4" s="1"/>
  <c r="K984" i="4"/>
  <c r="M984" i="4" s="1"/>
  <c r="N984" i="4" s="1"/>
  <c r="L984" i="4"/>
  <c r="L36" i="4"/>
  <c r="K36" i="4"/>
  <c r="M36" i="4" s="1"/>
  <c r="K459" i="4"/>
  <c r="M459" i="4" s="1"/>
  <c r="N459" i="4" s="1"/>
  <c r="L459" i="4"/>
  <c r="L667" i="4"/>
  <c r="K667" i="4"/>
  <c r="M667" i="4" s="1"/>
  <c r="N667" i="4" s="1"/>
  <c r="L447" i="4"/>
  <c r="K447" i="4"/>
  <c r="M447" i="4" s="1"/>
  <c r="N447" i="4" s="1"/>
  <c r="L1056" i="4"/>
  <c r="K1056" i="4"/>
  <c r="M1056" i="4" s="1"/>
  <c r="N1056" i="4" s="1"/>
  <c r="L499" i="4"/>
  <c r="K499" i="4"/>
  <c r="M499" i="4" s="1"/>
  <c r="N499" i="4" s="1"/>
  <c r="L906" i="4"/>
  <c r="K906" i="4"/>
  <c r="M906" i="4" s="1"/>
  <c r="N906" i="4" s="1"/>
  <c r="L818" i="4"/>
  <c r="K818" i="4"/>
  <c r="M818" i="4" s="1"/>
  <c r="N818" i="4" s="1"/>
  <c r="L1270" i="4"/>
  <c r="K1270" i="4"/>
  <c r="M1270" i="4" s="1"/>
  <c r="N1270" i="4" s="1"/>
  <c r="L546" i="4"/>
  <c r="K546" i="4"/>
  <c r="M546" i="4" s="1"/>
  <c r="N546" i="4" s="1"/>
  <c r="L813" i="4"/>
  <c r="K813" i="4"/>
  <c r="M813" i="4" s="1"/>
  <c r="N813" i="4" s="1"/>
  <c r="L204" i="4"/>
  <c r="K204" i="4"/>
  <c r="M204" i="4" s="1"/>
  <c r="K735" i="4"/>
  <c r="M735" i="4" s="1"/>
  <c r="N735" i="4" s="1"/>
  <c r="L735" i="4"/>
  <c r="L557" i="4"/>
  <c r="K557" i="4"/>
  <c r="M557" i="4" s="1"/>
  <c r="N557" i="4" s="1"/>
  <c r="L537" i="4"/>
  <c r="K537" i="4"/>
  <c r="M537" i="4" s="1"/>
  <c r="N537" i="4" s="1"/>
  <c r="L987" i="4"/>
  <c r="K987" i="4"/>
  <c r="M987" i="4" s="1"/>
  <c r="N987" i="4" s="1"/>
  <c r="L101" i="4"/>
  <c r="K101" i="4"/>
  <c r="M101" i="4" s="1"/>
  <c r="L1107" i="4"/>
  <c r="K1107" i="4"/>
  <c r="M1107" i="4" s="1"/>
  <c r="N1107" i="4" s="1"/>
  <c r="L1190" i="4"/>
  <c r="K1190" i="4"/>
  <c r="M1190" i="4" s="1"/>
  <c r="N1190" i="4" s="1"/>
  <c r="L386" i="4"/>
  <c r="K386" i="4"/>
  <c r="M386" i="4" s="1"/>
  <c r="N386" i="4" s="1"/>
  <c r="K284" i="4"/>
  <c r="M284" i="4" s="1"/>
  <c r="N284" i="4" s="1"/>
  <c r="L1102" i="4"/>
  <c r="K1102" i="4"/>
  <c r="M1102" i="4" s="1"/>
  <c r="N1102" i="4" s="1"/>
  <c r="L291" i="4"/>
  <c r="K291" i="4"/>
  <c r="M291" i="4" s="1"/>
  <c r="L820" i="4"/>
  <c r="K820" i="4"/>
  <c r="M820" i="4" s="1"/>
  <c r="N820" i="4" s="1"/>
  <c r="L35" i="4"/>
  <c r="K35" i="4"/>
  <c r="M35" i="4" s="1"/>
  <c r="K248" i="4"/>
  <c r="M248" i="4" s="1"/>
  <c r="N248" i="4" s="1"/>
  <c r="K192" i="4"/>
  <c r="M192" i="4" s="1"/>
  <c r="N192" i="4" s="1"/>
  <c r="L312" i="4"/>
  <c r="K536" i="4"/>
  <c r="M536" i="4" s="1"/>
  <c r="N536" i="4" s="1"/>
  <c r="K912" i="4"/>
  <c r="M912" i="4" s="1"/>
  <c r="N912" i="4" s="1"/>
  <c r="K632" i="4"/>
  <c r="M632" i="4" s="1"/>
  <c r="N632" i="4" s="1"/>
  <c r="L904" i="4"/>
  <c r="K904" i="4"/>
  <c r="M904" i="4" s="1"/>
  <c r="N904" i="4" s="1"/>
  <c r="L832" i="4"/>
  <c r="K832" i="4"/>
  <c r="M832" i="4" s="1"/>
  <c r="N832" i="4" s="1"/>
  <c r="L736" i="4"/>
  <c r="K736" i="4"/>
  <c r="M736" i="4" s="1"/>
  <c r="N736" i="4" s="1"/>
  <c r="L672" i="4"/>
  <c r="K672" i="4"/>
  <c r="M672" i="4" s="1"/>
  <c r="N672" i="4" s="1"/>
  <c r="K440" i="4"/>
  <c r="M440" i="4" s="1"/>
  <c r="N440" i="4" s="1"/>
  <c r="L440" i="4"/>
  <c r="L160" i="4"/>
  <c r="K160" i="4"/>
  <c r="M160" i="4" s="1"/>
  <c r="L509" i="4"/>
  <c r="K509" i="4"/>
  <c r="M509" i="4" s="1"/>
  <c r="N509" i="4" s="1"/>
  <c r="L410" i="4"/>
  <c r="K410" i="4"/>
  <c r="M410" i="4" s="1"/>
  <c r="N410" i="4" s="1"/>
  <c r="L742" i="4"/>
  <c r="K742" i="4"/>
  <c r="M742" i="4" s="1"/>
  <c r="N742" i="4" s="1"/>
  <c r="L927" i="4"/>
  <c r="K927" i="4"/>
  <c r="M927" i="4" s="1"/>
  <c r="N927" i="4" s="1"/>
  <c r="L1126" i="4"/>
  <c r="K1126" i="4"/>
  <c r="M1126" i="4" s="1"/>
  <c r="N1126" i="4" s="1"/>
  <c r="K945" i="4"/>
  <c r="M945" i="4" s="1"/>
  <c r="N945" i="4" s="1"/>
  <c r="L945" i="4"/>
  <c r="L78" i="4"/>
  <c r="K78" i="4"/>
  <c r="M78" i="4" s="1"/>
  <c r="L634" i="4"/>
  <c r="K634" i="4"/>
  <c r="M634" i="4" s="1"/>
  <c r="N634" i="4" s="1"/>
  <c r="L998" i="4"/>
  <c r="K998" i="4"/>
  <c r="M998" i="4" s="1"/>
  <c r="N998" i="4" s="1"/>
  <c r="K484" i="4"/>
  <c r="M484" i="4" s="1"/>
  <c r="N484" i="4" s="1"/>
  <c r="L484" i="4"/>
  <c r="L294" i="4"/>
  <c r="K294" i="4"/>
  <c r="M294" i="4" s="1"/>
  <c r="L619" i="4"/>
  <c r="K619" i="4"/>
  <c r="M619" i="4" s="1"/>
  <c r="N619" i="4" s="1"/>
  <c r="L215" i="4"/>
  <c r="K215" i="4"/>
  <c r="M215" i="4" s="1"/>
  <c r="L385" i="4"/>
  <c r="K385" i="4"/>
  <c r="M385" i="4" s="1"/>
  <c r="N385" i="4" s="1"/>
  <c r="L1211" i="4"/>
  <c r="K1211" i="4"/>
  <c r="M1211" i="4" s="1"/>
  <c r="N1211" i="4" s="1"/>
  <c r="L991" i="4"/>
  <c r="K991" i="4"/>
  <c r="M991" i="4" s="1"/>
  <c r="N991" i="4" s="1"/>
  <c r="L693" i="4"/>
  <c r="K693" i="4"/>
  <c r="M693" i="4" s="1"/>
  <c r="N693" i="4" s="1"/>
  <c r="K1159" i="4"/>
  <c r="M1159" i="4" s="1"/>
  <c r="N1159" i="4" s="1"/>
  <c r="L1159" i="4"/>
  <c r="L10" i="4"/>
  <c r="K10" i="4"/>
  <c r="M10" i="4" s="1"/>
  <c r="K1189" i="4"/>
  <c r="M1189" i="4" s="1"/>
  <c r="N1189" i="4" s="1"/>
  <c r="L1189" i="4"/>
  <c r="K1150" i="4"/>
  <c r="M1150" i="4" s="1"/>
  <c r="N1150" i="4" s="1"/>
  <c r="L1150" i="4"/>
  <c r="L50" i="4"/>
  <c r="K50" i="4"/>
  <c r="M50" i="4" s="1"/>
  <c r="L308" i="4"/>
  <c r="M308" i="4"/>
  <c r="N308" i="4" s="1"/>
  <c r="L491" i="4"/>
  <c r="K491" i="4"/>
  <c r="M491" i="4" s="1"/>
  <c r="N491" i="4" s="1"/>
  <c r="L605" i="4"/>
  <c r="K605" i="4"/>
  <c r="M605" i="4" s="1"/>
  <c r="N605" i="4" s="1"/>
  <c r="L98" i="4"/>
  <c r="K98" i="4"/>
  <c r="M98" i="4" s="1"/>
  <c r="L30" i="4"/>
  <c r="K30" i="4"/>
  <c r="M30" i="4" s="1"/>
  <c r="L475" i="4"/>
  <c r="K475" i="4"/>
  <c r="M475" i="4" s="1"/>
  <c r="N475" i="4" s="1"/>
  <c r="L1262" i="4"/>
  <c r="K1262" i="4"/>
  <c r="M1262" i="4" s="1"/>
  <c r="N1262" i="4" s="1"/>
  <c r="L222" i="4"/>
  <c r="K222" i="4"/>
  <c r="M222" i="4" s="1"/>
  <c r="K527" i="4"/>
  <c r="M527" i="4" s="1"/>
  <c r="N527" i="4" s="1"/>
  <c r="L527" i="4"/>
  <c r="L620" i="4"/>
  <c r="K620" i="4"/>
  <c r="M620" i="4" s="1"/>
  <c r="N620" i="4" s="1"/>
  <c r="K1046" i="4"/>
  <c r="M1046" i="4" s="1"/>
  <c r="N1046" i="4" s="1"/>
  <c r="L1046" i="4"/>
  <c r="L1274" i="4"/>
  <c r="K1274" i="4"/>
  <c r="M1274" i="4" s="1"/>
  <c r="N1274" i="4" s="1"/>
  <c r="L1256" i="4"/>
  <c r="K1256" i="4"/>
  <c r="M1256" i="4" s="1"/>
  <c r="N1256" i="4" s="1"/>
  <c r="L107" i="4"/>
  <c r="K107" i="4"/>
  <c r="M107" i="4" s="1"/>
  <c r="L95" i="4"/>
  <c r="K95" i="4"/>
  <c r="M95" i="4" s="1"/>
  <c r="L674" i="4"/>
  <c r="K674" i="4"/>
  <c r="M674" i="4" s="1"/>
  <c r="N674" i="4" s="1"/>
  <c r="L1221" i="4"/>
  <c r="K1221" i="4"/>
  <c r="M1221" i="4" s="1"/>
  <c r="N1221" i="4" s="1"/>
  <c r="L1250" i="4"/>
  <c r="K1250" i="4"/>
  <c r="M1250" i="4" s="1"/>
  <c r="N1250" i="4" s="1"/>
  <c r="L744" i="4"/>
  <c r="K744" i="4"/>
  <c r="M744" i="4" s="1"/>
  <c r="N744" i="4" s="1"/>
  <c r="K400" i="4"/>
  <c r="M400" i="4" s="1"/>
  <c r="N400" i="4" s="1"/>
  <c r="K928" i="4"/>
  <c r="M928" i="4" s="1"/>
  <c r="N928" i="4" s="1"/>
  <c r="K464" i="4"/>
  <c r="M464" i="4" s="1"/>
  <c r="N464" i="4" s="1"/>
  <c r="K328" i="4"/>
  <c r="M328" i="4" s="1"/>
  <c r="N328" i="4" s="1"/>
  <c r="L728" i="4"/>
  <c r="K728" i="4"/>
  <c r="M728" i="4" s="1"/>
  <c r="N728" i="4" s="1"/>
  <c r="L1213" i="4"/>
  <c r="K1213" i="4"/>
  <c r="M1213" i="4" s="1"/>
  <c r="N1213" i="4" s="1"/>
  <c r="L283" i="4"/>
  <c r="K283" i="4"/>
  <c r="M283" i="4" s="1"/>
  <c r="L1309" i="4"/>
  <c r="K1309" i="4"/>
  <c r="M1309" i="4" s="1"/>
  <c r="N1309" i="4" s="1"/>
  <c r="L1173" i="4"/>
  <c r="K1173" i="4"/>
  <c r="M1173" i="4" s="1"/>
  <c r="N1173" i="4" s="1"/>
  <c r="K68" i="4"/>
  <c r="M68" i="4" s="1"/>
  <c r="L68" i="4"/>
  <c r="K118" i="4"/>
  <c r="M118" i="4" s="1"/>
  <c r="L118" i="4"/>
  <c r="K981" i="4"/>
  <c r="M981" i="4" s="1"/>
  <c r="N981" i="4" s="1"/>
  <c r="L981" i="4"/>
  <c r="L473" i="4"/>
  <c r="K473" i="4"/>
  <c r="M473" i="4" s="1"/>
  <c r="N473" i="4" s="1"/>
  <c r="K758" i="4"/>
  <c r="M758" i="4" s="1"/>
  <c r="N758" i="4" s="1"/>
  <c r="L758" i="4"/>
  <c r="L182" i="4"/>
  <c r="K182" i="4"/>
  <c r="M182" i="4" s="1"/>
  <c r="L289" i="4"/>
  <c r="K289" i="4"/>
  <c r="M289" i="4" s="1"/>
  <c r="L1217" i="4"/>
  <c r="K1217" i="4"/>
  <c r="M1217" i="4" s="1"/>
  <c r="N1217" i="4" s="1"/>
  <c r="L579" i="4"/>
  <c r="K579" i="4"/>
  <c r="M579" i="4" s="1"/>
  <c r="N579" i="4" s="1"/>
  <c r="L43" i="4"/>
  <c r="K43" i="4"/>
  <c r="M43" i="4" s="1"/>
  <c r="L997" i="4"/>
  <c r="K997" i="4"/>
  <c r="M997" i="4" s="1"/>
  <c r="N997" i="4" s="1"/>
  <c r="K985" i="4"/>
  <c r="M985" i="4" s="1"/>
  <c r="N985" i="4" s="1"/>
  <c r="L985" i="4"/>
  <c r="L1058" i="4"/>
  <c r="K1058" i="4"/>
  <c r="M1058" i="4" s="1"/>
  <c r="N1058" i="4" s="1"/>
  <c r="L607" i="4"/>
  <c r="K607" i="4"/>
  <c r="M607" i="4" s="1"/>
  <c r="N607" i="4" s="1"/>
  <c r="L1075" i="4"/>
  <c r="K1075" i="4"/>
  <c r="M1075" i="4" s="1"/>
  <c r="N1075" i="4" s="1"/>
  <c r="L187" i="4"/>
  <c r="K187" i="4"/>
  <c r="M187" i="4" s="1"/>
  <c r="L1100" i="4"/>
  <c r="K1100" i="4"/>
  <c r="M1100" i="4" s="1"/>
  <c r="N1100" i="4" s="1"/>
  <c r="L311" i="4"/>
  <c r="K311" i="4"/>
  <c r="M311" i="4" s="1"/>
  <c r="N311" i="4" s="1"/>
  <c r="L1025" i="4"/>
  <c r="K1025" i="4"/>
  <c r="M1025" i="4" s="1"/>
  <c r="N1025" i="4" s="1"/>
  <c r="L387" i="4"/>
  <c r="K387" i="4"/>
  <c r="M387" i="4" s="1"/>
  <c r="N387" i="4" s="1"/>
  <c r="L234" i="4"/>
  <c r="K234" i="4"/>
  <c r="M234" i="4" s="1"/>
  <c r="L774" i="4"/>
  <c r="K774" i="4"/>
  <c r="M774" i="4" s="1"/>
  <c r="N774" i="4" s="1"/>
  <c r="L1096" i="4"/>
  <c r="K1096" i="4"/>
  <c r="M1096" i="4" s="1"/>
  <c r="N1096" i="4" s="1"/>
  <c r="L982" i="4"/>
  <c r="K982" i="4"/>
  <c r="M982" i="4" s="1"/>
  <c r="N982" i="4" s="1"/>
  <c r="L474" i="4"/>
  <c r="K474" i="4"/>
  <c r="M474" i="4" s="1"/>
  <c r="N474" i="4" s="1"/>
  <c r="L726" i="4"/>
  <c r="K726" i="4"/>
  <c r="M726" i="4" s="1"/>
  <c r="N726" i="4" s="1"/>
  <c r="K597" i="4"/>
  <c r="M597" i="4" s="1"/>
  <c r="N597" i="4" s="1"/>
  <c r="L597" i="4"/>
  <c r="L646" i="4"/>
  <c r="K646" i="4"/>
  <c r="M646" i="4" s="1"/>
  <c r="N646" i="4" s="1"/>
  <c r="L251" i="4"/>
  <c r="K251" i="4"/>
  <c r="M251" i="4" s="1"/>
  <c r="K365" i="4"/>
  <c r="M365" i="4" s="1"/>
  <c r="N365" i="4" s="1"/>
  <c r="L365" i="4"/>
  <c r="K762" i="4"/>
  <c r="M762" i="4" s="1"/>
  <c r="N762" i="4" s="1"/>
  <c r="L762" i="4"/>
  <c r="L796" i="4"/>
  <c r="K796" i="4"/>
  <c r="M796" i="4" s="1"/>
  <c r="N796" i="4" s="1"/>
  <c r="L426" i="4"/>
  <c r="K426" i="4"/>
  <c r="M426" i="4" s="1"/>
  <c r="N426" i="4" s="1"/>
  <c r="L1053" i="4"/>
  <c r="K1053" i="4"/>
  <c r="M1053" i="4" s="1"/>
  <c r="N1053" i="4" s="1"/>
  <c r="K354" i="4"/>
  <c r="M354" i="4" s="1"/>
  <c r="N354" i="4" s="1"/>
  <c r="L354" i="4"/>
  <c r="L750" i="4"/>
  <c r="K750" i="4"/>
  <c r="M750" i="4" s="1"/>
  <c r="N750" i="4" s="1"/>
  <c r="L930" i="4"/>
  <c r="K930" i="4"/>
  <c r="M930" i="4" s="1"/>
  <c r="N930" i="4" s="1"/>
  <c r="K680" i="4"/>
  <c r="M680" i="4" s="1"/>
  <c r="N680" i="4" s="1"/>
  <c r="L680" i="4"/>
  <c r="K184" i="4"/>
  <c r="M184" i="4" s="1"/>
  <c r="N184" i="4" s="1"/>
  <c r="K256" i="4"/>
  <c r="M256" i="4" s="1"/>
  <c r="N256" i="4" s="1"/>
  <c r="L1218" i="4"/>
  <c r="K408" i="4"/>
  <c r="M408" i="4" s="1"/>
  <c r="N408" i="4" s="1"/>
  <c r="L888" i="4"/>
  <c r="K888" i="4"/>
  <c r="M888" i="4" s="1"/>
  <c r="N888" i="4" s="1"/>
  <c r="L488" i="4"/>
  <c r="K488" i="4"/>
  <c r="M488" i="4" s="1"/>
  <c r="N488" i="4" s="1"/>
  <c r="L416" i="4"/>
  <c r="K416" i="4"/>
  <c r="M416" i="4" s="1"/>
  <c r="N416" i="4" s="1"/>
  <c r="L208" i="4"/>
  <c r="K208" i="4"/>
  <c r="M208" i="4" s="1"/>
  <c r="L973" i="4"/>
  <c r="K973" i="4"/>
  <c r="M973" i="4" s="1"/>
  <c r="N973" i="4" s="1"/>
  <c r="L76" i="4"/>
  <c r="K76" i="4"/>
  <c r="M76" i="4" s="1"/>
  <c r="L1230" i="4"/>
  <c r="K1230" i="4"/>
  <c r="M1230" i="4" s="1"/>
  <c r="N1230" i="4" s="1"/>
  <c r="L958" i="4"/>
  <c r="K958" i="4"/>
  <c r="M958" i="4" s="1"/>
  <c r="N958" i="4" s="1"/>
  <c r="K1297" i="4"/>
  <c r="M1297" i="4" s="1"/>
  <c r="N1297" i="4" s="1"/>
  <c r="L1297" i="4"/>
  <c r="L988" i="4"/>
  <c r="K988" i="4"/>
  <c r="M988" i="4" s="1"/>
  <c r="N988" i="4" s="1"/>
  <c r="L1087" i="4"/>
  <c r="K1087" i="4"/>
  <c r="M1087" i="4" s="1"/>
  <c r="N1087" i="4" s="1"/>
  <c r="L302" i="4"/>
  <c r="K302" i="4"/>
  <c r="M302" i="4" s="1"/>
  <c r="N302" i="4" s="1"/>
  <c r="L189" i="4"/>
  <c r="K189" i="4"/>
  <c r="M189" i="4" s="1"/>
  <c r="L870" i="4"/>
  <c r="K870" i="4"/>
  <c r="M870" i="4" s="1"/>
  <c r="N870" i="4" s="1"/>
  <c r="L642" i="4"/>
  <c r="K642" i="4"/>
  <c r="M642" i="4" s="1"/>
  <c r="N642" i="4" s="1"/>
  <c r="L1118" i="4"/>
  <c r="K1118" i="4"/>
  <c r="M1118" i="4" s="1"/>
  <c r="N1118" i="4" s="1"/>
  <c r="L29" i="4"/>
  <c r="K29" i="4"/>
  <c r="M29" i="4" s="1"/>
  <c r="L454" i="4"/>
  <c r="K454" i="4"/>
  <c r="M454" i="4" s="1"/>
  <c r="N454" i="4" s="1"/>
  <c r="L660" i="4"/>
  <c r="K660" i="4"/>
  <c r="M660" i="4" s="1"/>
  <c r="N660" i="4" s="1"/>
  <c r="L270" i="4"/>
  <c r="K270" i="4"/>
  <c r="M270" i="4" s="1"/>
  <c r="K616" i="4"/>
  <c r="M616" i="4" s="1"/>
  <c r="N616" i="4" s="1"/>
  <c r="L616" i="4"/>
  <c r="L520" i="4"/>
  <c r="K520" i="4"/>
  <c r="M520" i="4" s="1"/>
  <c r="N520" i="4" s="1"/>
  <c r="L713" i="4"/>
  <c r="K713" i="4"/>
  <c r="M713" i="4" s="1"/>
  <c r="N713" i="4" s="1"/>
  <c r="K1120" i="4"/>
  <c r="M1120" i="4" s="1"/>
  <c r="N1120" i="4" s="1"/>
  <c r="L1120" i="4"/>
  <c r="L747" i="4"/>
  <c r="K747" i="4"/>
  <c r="M747" i="4" s="1"/>
  <c r="N747" i="4" s="1"/>
  <c r="L466" i="4"/>
  <c r="K466" i="4"/>
  <c r="M466" i="4" s="1"/>
  <c r="N466" i="4" s="1"/>
  <c r="L514" i="4"/>
  <c r="K514" i="4"/>
  <c r="M514" i="4" s="1"/>
  <c r="N514" i="4" s="1"/>
  <c r="L581" i="4"/>
  <c r="K581" i="4"/>
  <c r="M581" i="4" s="1"/>
  <c r="N581" i="4" s="1"/>
  <c r="L1168" i="4"/>
  <c r="K1168" i="4"/>
  <c r="M1168" i="4" s="1"/>
  <c r="N1168" i="4" s="1"/>
  <c r="L333" i="4"/>
  <c r="K333" i="4"/>
  <c r="M333" i="4" s="1"/>
  <c r="N333" i="4" s="1"/>
  <c r="L585" i="4"/>
  <c r="K585" i="4"/>
  <c r="M585" i="4" s="1"/>
  <c r="N585" i="4" s="1"/>
  <c r="L301" i="4"/>
  <c r="K301" i="4"/>
  <c r="M301" i="4" s="1"/>
  <c r="L1152" i="4"/>
  <c r="K1152" i="4"/>
  <c r="M1152" i="4" s="1"/>
  <c r="N1152" i="4" s="1"/>
  <c r="L31" i="4"/>
  <c r="K31" i="4"/>
  <c r="M31" i="4" s="1"/>
  <c r="L1028" i="4"/>
  <c r="K1028" i="4"/>
  <c r="M1028" i="4" s="1"/>
  <c r="N1028" i="4" s="1"/>
  <c r="L1312" i="4"/>
  <c r="K1312" i="4"/>
  <c r="M1312" i="4" s="1"/>
  <c r="N1312" i="4" s="1"/>
  <c r="K964" i="4"/>
  <c r="M964" i="4" s="1"/>
  <c r="N964" i="4" s="1"/>
  <c r="L964" i="4"/>
  <c r="L100" i="4"/>
  <c r="K100" i="4"/>
  <c r="M100" i="4" s="1"/>
  <c r="L931" i="4"/>
  <c r="K931" i="4"/>
  <c r="M931" i="4" s="1"/>
  <c r="N931" i="4" s="1"/>
  <c r="L407" i="4"/>
  <c r="K407" i="4"/>
  <c r="M407" i="4" s="1"/>
  <c r="N407" i="4" s="1"/>
  <c r="L1288" i="4"/>
  <c r="K1288" i="4"/>
  <c r="M1288" i="4" s="1"/>
  <c r="N1288" i="4" s="1"/>
  <c r="L542" i="4"/>
  <c r="K542" i="4"/>
  <c r="M542" i="4" s="1"/>
  <c r="N542" i="4" s="1"/>
  <c r="L219" i="4"/>
  <c r="K219" i="4"/>
  <c r="M219" i="4" s="1"/>
  <c r="N280" i="4" l="1"/>
  <c r="N301" i="4"/>
  <c r="N281" i="4"/>
  <c r="N9" i="4"/>
  <c r="N295" i="4"/>
  <c r="N289" i="4"/>
  <c r="N291" i="4"/>
  <c r="N290" i="4"/>
  <c r="N294" i="4"/>
  <c r="N286" i="4"/>
  <c r="N111" i="4"/>
  <c r="N282" i="4"/>
  <c r="N283" i="4"/>
  <c r="N270" i="4"/>
  <c r="N279" i="4"/>
  <c r="N278" i="4"/>
  <c r="N276" i="4"/>
  <c r="N261" i="4"/>
  <c r="N258" i="4"/>
  <c r="N214" i="4"/>
  <c r="N269" i="4"/>
  <c r="N262" i="4"/>
  <c r="N263" i="4"/>
  <c r="N268" i="4"/>
  <c r="N253" i="4"/>
  <c r="N249" i="4"/>
  <c r="N250" i="4"/>
  <c r="N245" i="4"/>
  <c r="N251" i="4"/>
  <c r="T4" i="4"/>
  <c r="T3" i="4"/>
  <c r="N240" i="4"/>
  <c r="N235" i="4"/>
  <c r="N234" i="4"/>
  <c r="N238" i="4"/>
  <c r="N243" i="4"/>
  <c r="N233" i="4"/>
  <c r="N242" i="4"/>
  <c r="N244" i="4"/>
  <c r="N239" i="4"/>
  <c r="N237" i="4"/>
  <c r="N241" i="4"/>
  <c r="N232" i="4"/>
  <c r="N236" i="4"/>
  <c r="N2" i="4"/>
  <c r="N219" i="4"/>
  <c r="N64" i="4"/>
  <c r="N16" i="4"/>
  <c r="N86" i="4"/>
  <c r="N132" i="4"/>
  <c r="N89" i="4"/>
  <c r="N15" i="4"/>
  <c r="N158" i="4"/>
  <c r="N169" i="4"/>
  <c r="N28" i="4"/>
  <c r="N194" i="4"/>
  <c r="N25" i="4"/>
  <c r="N202" i="4"/>
  <c r="N11" i="4"/>
  <c r="N110" i="4"/>
  <c r="N90" i="4"/>
  <c r="N116" i="4"/>
  <c r="N13" i="4"/>
  <c r="N159" i="4"/>
  <c r="N7" i="4"/>
  <c r="N102" i="4"/>
  <c r="N121" i="4"/>
  <c r="N63" i="4"/>
  <c r="N166" i="4"/>
  <c r="N72" i="4"/>
  <c r="N6" i="4"/>
  <c r="N174" i="4"/>
  <c r="N199" i="4"/>
  <c r="N70" i="4"/>
  <c r="N65" i="4"/>
  <c r="N207" i="4"/>
  <c r="N12" i="4"/>
  <c r="N43" i="4"/>
  <c r="N182" i="4"/>
  <c r="N95" i="4"/>
  <c r="N215" i="4"/>
  <c r="N160" i="4"/>
  <c r="N35" i="4"/>
  <c r="N113" i="4"/>
  <c r="N123" i="4"/>
  <c r="N164" i="4"/>
  <c r="N94" i="4"/>
  <c r="N22" i="4"/>
  <c r="N175" i="4"/>
  <c r="N48" i="4"/>
  <c r="N209" i="4"/>
  <c r="N211" i="4"/>
  <c r="N36" i="4"/>
  <c r="N55" i="4"/>
  <c r="N170" i="4"/>
  <c r="N230" i="4"/>
  <c r="N180" i="4"/>
  <c r="N208" i="4"/>
  <c r="N222" i="4"/>
  <c r="N98" i="4"/>
  <c r="N50" i="4"/>
  <c r="N204" i="4"/>
  <c r="N108" i="4"/>
  <c r="N53" i="4"/>
  <c r="N20" i="4"/>
  <c r="N162" i="4"/>
  <c r="N117" i="4"/>
  <c r="N197" i="4"/>
  <c r="N193" i="4"/>
  <c r="N84" i="4"/>
  <c r="N73" i="4"/>
  <c r="N46" i="4"/>
  <c r="N130" i="4"/>
  <c r="N223" i="4"/>
  <c r="N126" i="4"/>
  <c r="N135" i="4"/>
  <c r="N154" i="4"/>
  <c r="N139" i="4"/>
  <c r="N127" i="4"/>
  <c r="N14" i="4"/>
  <c r="N145" i="4"/>
  <c r="N92" i="4"/>
  <c r="N71" i="4"/>
  <c r="N156" i="4"/>
  <c r="N181" i="4"/>
  <c r="N61" i="4"/>
  <c r="N201" i="4"/>
  <c r="N148" i="4"/>
  <c r="N88" i="4"/>
  <c r="N105" i="4"/>
  <c r="N125" i="4"/>
  <c r="N29" i="4"/>
  <c r="N189" i="4"/>
  <c r="N68" i="4"/>
  <c r="N153" i="4"/>
  <c r="N41" i="4"/>
  <c r="N27" i="4"/>
  <c r="N217" i="4"/>
  <c r="N142" i="4"/>
  <c r="N76" i="4"/>
  <c r="N187" i="4"/>
  <c r="N30" i="4"/>
  <c r="N10" i="4"/>
  <c r="N78" i="4"/>
  <c r="N101" i="4"/>
  <c r="N185" i="4"/>
  <c r="N37" i="4"/>
  <c r="N157" i="4"/>
  <c r="N177" i="4"/>
  <c r="N133" i="4"/>
  <c r="N140" i="4"/>
  <c r="N218" i="4"/>
  <c r="N100" i="4"/>
  <c r="N31" i="4"/>
  <c r="N118" i="4"/>
  <c r="N52" i="4"/>
  <c r="N151" i="4"/>
  <c r="N26" i="4"/>
  <c r="N107" i="4"/>
  <c r="T8" i="4" l="1"/>
  <c r="T5" i="4"/>
  <c r="T6" i="4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1B970B15-1E53-3945-BF42-213503DFD7AA}" keepAlive="1" name="Query - ml_predictions_log_scores" description="Connection to the 'ml_predictions_log_scores' query in the workbook." type="5" refreshedVersion="8" background="1" saveData="1">
    <dbPr connection="Provider=Microsoft.Mashup.OleDb.1;Data Source=$Workbook$;Location=ml_predictions_log_scores;Extended Properties=&quot;&quot;" command="SELECT * FROM [ml_predictions_log_scores]"/>
  </connection>
  <connection id="2" xr16:uid="{00000000-0015-0000-FFFF-FFFF00000000}" keepAlive="1" name="Query - NHL2025-26Results" description="Connection to the 'NHL2025-26Results' query in the workbook." type="5" refreshedVersion="8" background="1" saveData="1">
    <dbPr connection="Provider=Microsoft.Mashup.OleDb.1;Data Source=$Workbook$;Location=NHL2025-26Results;Extended Properties=&quot;&quot;" command="SELECT * FROM [NHL2025-26Results]"/>
  </connection>
</connections>
</file>

<file path=xl/sharedStrings.xml><?xml version="1.0" encoding="utf-8"?>
<sst xmlns="http://schemas.openxmlformats.org/spreadsheetml/2006/main" count="11937" uniqueCount="280">
  <si>
    <t>Date</t>
  </si>
  <si>
    <t>Time</t>
  </si>
  <si>
    <t>Visitor</t>
  </si>
  <si>
    <t>G</t>
  </si>
  <si>
    <t>Home</t>
  </si>
  <si>
    <t>G_1</t>
  </si>
  <si>
    <t>Winning Team</t>
  </si>
  <si>
    <t>Losing Team</t>
  </si>
  <si>
    <t>Winning_G</t>
  </si>
  <si>
    <t>Losing_G</t>
  </si>
  <si>
    <t>Chicago Blackhawks</t>
  </si>
  <si>
    <t>Florida Panthers</t>
  </si>
  <si>
    <t>Colorado Avalanche</t>
  </si>
  <si>
    <t>Los Angeles Kings</t>
  </si>
  <si>
    <t>Pittsburgh Penguins</t>
  </si>
  <si>
    <t>New York Rangers</t>
  </si>
  <si>
    <t>Calgary Flames</t>
  </si>
  <si>
    <t>Edmonton Oilers</t>
  </si>
  <si>
    <t>Montreal Canadiens</t>
  </si>
  <si>
    <t>Toronto Maple Leafs</t>
  </si>
  <si>
    <t>Vegas Golden Knights</t>
  </si>
  <si>
    <t>Boston Bruins</t>
  </si>
  <si>
    <t>Washington Capitals</t>
  </si>
  <si>
    <t>Buffalo Sabres</t>
  </si>
  <si>
    <t>New Jersey Devils</t>
  </si>
  <si>
    <t>Carolina Hurricanes</t>
  </si>
  <si>
    <t>Detroit Red Wings</t>
  </si>
  <si>
    <t>Philadelphia Flyers</t>
  </si>
  <si>
    <t>Columbus Blue Jackets</t>
  </si>
  <si>
    <t>Nashville Predators</t>
  </si>
  <si>
    <t>New York Islanders</t>
  </si>
  <si>
    <t>Anaheim Ducks</t>
  </si>
  <si>
    <t>Seattle Kraken</t>
  </si>
  <si>
    <t>San Jose Sharks</t>
  </si>
  <si>
    <t>Minnesota Wild</t>
  </si>
  <si>
    <t>St. Louis Blues</t>
  </si>
  <si>
    <t>Ottawa Senators</t>
  </si>
  <si>
    <t>Tampa Bay Lightning</t>
  </si>
  <si>
    <t>Vancouver Canucks</t>
  </si>
  <si>
    <t>Dallas Stars</t>
  </si>
  <si>
    <t>Winnipeg Jets</t>
  </si>
  <si>
    <t>HomeEdge</t>
  </si>
  <si>
    <t>Teams</t>
  </si>
  <si>
    <t>Rating</t>
  </si>
  <si>
    <t>Row Labels</t>
  </si>
  <si>
    <t>Grand Total</t>
  </si>
  <si>
    <t>HomeMargin</t>
  </si>
  <si>
    <t>HomeForecast</t>
  </si>
  <si>
    <t>Squared Difference</t>
  </si>
  <si>
    <t>SSE</t>
  </si>
  <si>
    <t>Home Differential</t>
  </si>
  <si>
    <t>Away Differential</t>
  </si>
  <si>
    <t>HomeIce Differential</t>
  </si>
  <si>
    <t>Predicted Winner</t>
  </si>
  <si>
    <t>Sum of Rating</t>
  </si>
  <si>
    <t>Utah Mammoth</t>
  </si>
  <si>
    <t>Team</t>
  </si>
  <si>
    <t>GP</t>
  </si>
  <si>
    <t>W</t>
  </si>
  <si>
    <t>L</t>
  </si>
  <si>
    <t/>
  </si>
  <si>
    <t>SO</t>
  </si>
  <si>
    <t>OT</t>
  </si>
  <si>
    <t>2025-12-13</t>
  </si>
  <si>
    <t>2025-12-14</t>
  </si>
  <si>
    <t>2025-12-15</t>
  </si>
  <si>
    <t>2025-12-16</t>
  </si>
  <si>
    <t>2025-12-17</t>
  </si>
  <si>
    <t>2025-12-18</t>
  </si>
  <si>
    <t>2025-12-19</t>
  </si>
  <si>
    <t>2025-12-20</t>
  </si>
  <si>
    <t>2025-12-21</t>
  </si>
  <si>
    <t>2025-12-22</t>
  </si>
  <si>
    <t>2025-12-23</t>
  </si>
  <si>
    <t>2025-12-27</t>
  </si>
  <si>
    <t>2025-12-28</t>
  </si>
  <si>
    <t>2025-12-29</t>
  </si>
  <si>
    <t>2025-12-30</t>
  </si>
  <si>
    <t>2025-12-31</t>
  </si>
  <si>
    <t>2026-01-01</t>
  </si>
  <si>
    <t>2026-01-02</t>
  </si>
  <si>
    <t>2026-01-03</t>
  </si>
  <si>
    <t>2026-01-04</t>
  </si>
  <si>
    <t>2026-01-05</t>
  </si>
  <si>
    <t>2026-01-06</t>
  </si>
  <si>
    <t>2026-01-07</t>
  </si>
  <si>
    <t>2026-01-08</t>
  </si>
  <si>
    <t>2026-01-09</t>
  </si>
  <si>
    <t>2026-01-10</t>
  </si>
  <si>
    <t>2026-01-11</t>
  </si>
  <si>
    <t>2026-01-12</t>
  </si>
  <si>
    <t>2026-01-13</t>
  </si>
  <si>
    <t>2026-01-14</t>
  </si>
  <si>
    <t>2026-01-15</t>
  </si>
  <si>
    <t>2026-01-16</t>
  </si>
  <si>
    <t>2026-01-17</t>
  </si>
  <si>
    <t>2026-01-18</t>
  </si>
  <si>
    <t>2026-01-19</t>
  </si>
  <si>
    <t>2026-01-20</t>
  </si>
  <si>
    <t>2026-01-21</t>
  </si>
  <si>
    <t>2026-01-22</t>
  </si>
  <si>
    <t>2026-01-23</t>
  </si>
  <si>
    <t>2026-01-24</t>
  </si>
  <si>
    <t>2026-01-25</t>
  </si>
  <si>
    <t>2026-01-26</t>
  </si>
  <si>
    <t>2026-01-27</t>
  </si>
  <si>
    <t>2026-01-28</t>
  </si>
  <si>
    <t>2026-01-29</t>
  </si>
  <si>
    <t>2026-01-30</t>
  </si>
  <si>
    <t>2026-01-31</t>
  </si>
  <si>
    <t>2026-02-01</t>
  </si>
  <si>
    <t>2026-02-02</t>
  </si>
  <si>
    <t>2026-02-03</t>
  </si>
  <si>
    <t>2026-02-04</t>
  </si>
  <si>
    <t>2026-02-05</t>
  </si>
  <si>
    <t>2026-02-25</t>
  </si>
  <si>
    <t>2026-02-26</t>
  </si>
  <si>
    <t>2026-02-27</t>
  </si>
  <si>
    <t>2026-02-28</t>
  </si>
  <si>
    <t>2026-03-01</t>
  </si>
  <si>
    <t>2026-03-02</t>
  </si>
  <si>
    <t>2026-03-03</t>
  </si>
  <si>
    <t>2026-03-04</t>
  </si>
  <si>
    <t>2026-03-05</t>
  </si>
  <si>
    <t>2026-03-06</t>
  </si>
  <si>
    <t>2026-03-07</t>
  </si>
  <si>
    <t>2026-03-08</t>
  </si>
  <si>
    <t>2026-03-09</t>
  </si>
  <si>
    <t>2026-03-10</t>
  </si>
  <si>
    <t>2026-03-11</t>
  </si>
  <si>
    <t>2026-03-12</t>
  </si>
  <si>
    <t>2026-03-13</t>
  </si>
  <si>
    <t>2026-03-14</t>
  </si>
  <si>
    <t>2026-03-15</t>
  </si>
  <si>
    <t>2026-03-16</t>
  </si>
  <si>
    <t>2026-03-17</t>
  </si>
  <si>
    <t>2026-03-18</t>
  </si>
  <si>
    <t>2026-03-19</t>
  </si>
  <si>
    <t>2026-03-20</t>
  </si>
  <si>
    <t>2026-03-21</t>
  </si>
  <si>
    <t>2026-03-22</t>
  </si>
  <si>
    <t>2026-03-23</t>
  </si>
  <si>
    <t>2026-03-24</t>
  </si>
  <si>
    <t>2026-03-25</t>
  </si>
  <si>
    <t>2026-03-26</t>
  </si>
  <si>
    <t>2026-03-27</t>
  </si>
  <si>
    <t>2026-03-28</t>
  </si>
  <si>
    <t>2026-03-29</t>
  </si>
  <si>
    <t>2026-03-30</t>
  </si>
  <si>
    <t>2026-03-31</t>
  </si>
  <si>
    <t>2026-04-01</t>
  </si>
  <si>
    <t>2026-04-02</t>
  </si>
  <si>
    <t>2026-04-03</t>
  </si>
  <si>
    <t>2026-04-04</t>
  </si>
  <si>
    <t>2026-04-05</t>
  </si>
  <si>
    <t>2026-04-06</t>
  </si>
  <si>
    <t>2026-04-07</t>
  </si>
  <si>
    <t>2026-04-08</t>
  </si>
  <si>
    <t>2026-04-09</t>
  </si>
  <si>
    <t>2026-04-11</t>
  </si>
  <si>
    <t>2026-04-12</t>
  </si>
  <si>
    <t>2026-04-13</t>
  </si>
  <si>
    <t>2026-04-14</t>
  </si>
  <si>
    <t>2026-04-15</t>
  </si>
  <si>
    <t>2026-04-16</t>
  </si>
  <si>
    <t>OTL</t>
  </si>
  <si>
    <t>PTS</t>
  </si>
  <si>
    <t>AwayWin%</t>
  </si>
  <si>
    <t>HomeWins</t>
  </si>
  <si>
    <t>AwayWins</t>
  </si>
  <si>
    <t>HomeLoss</t>
  </si>
  <si>
    <t>AwayLoss</t>
  </si>
  <si>
    <t>HomeOTL</t>
  </si>
  <si>
    <t>AwayOTL</t>
  </si>
  <si>
    <t>HomeWin%</t>
  </si>
  <si>
    <t>Column1</t>
  </si>
  <si>
    <t>2025-10-07</t>
  </si>
  <si>
    <t>2025-10-08</t>
  </si>
  <si>
    <t>2025-10-09</t>
  </si>
  <si>
    <t>2025-10-11</t>
  </si>
  <si>
    <t>2025-10-12</t>
  </si>
  <si>
    <t>2025-10-13</t>
  </si>
  <si>
    <t>2025-10-14</t>
  </si>
  <si>
    <t>2025-10-15</t>
  </si>
  <si>
    <t>2025-10-16</t>
  </si>
  <si>
    <t>2025-10-17</t>
  </si>
  <si>
    <t>2025-10-18</t>
  </si>
  <si>
    <t>2025-10-19</t>
  </si>
  <si>
    <t>2025-10-20</t>
  </si>
  <si>
    <t>2025-10-21</t>
  </si>
  <si>
    <t>2025-10-22</t>
  </si>
  <si>
    <t>2025-10-23</t>
  </si>
  <si>
    <t>2025-10-24</t>
  </si>
  <si>
    <t>2025-10-25</t>
  </si>
  <si>
    <t>2025-10-26</t>
  </si>
  <si>
    <t>2025-10-27</t>
  </si>
  <si>
    <t>2025-10-28</t>
  </si>
  <si>
    <t>2025-10-29</t>
  </si>
  <si>
    <t>2025-10-30</t>
  </si>
  <si>
    <t>2025-10-31</t>
  </si>
  <si>
    <t>2025-11-01</t>
  </si>
  <si>
    <t>2025-11-02</t>
  </si>
  <si>
    <t>2025-11-03</t>
  </si>
  <si>
    <t>2025-11-04</t>
  </si>
  <si>
    <t>2025-11-05</t>
  </si>
  <si>
    <t>2025-11-06</t>
  </si>
  <si>
    <t>2025-11-07</t>
  </si>
  <si>
    <t>2025-11-08</t>
  </si>
  <si>
    <t>2025-11-09</t>
  </si>
  <si>
    <t>2025-11-10</t>
  </si>
  <si>
    <t>2025-11-11</t>
  </si>
  <si>
    <t>2025-11-12</t>
  </si>
  <si>
    <t>2025-11-13</t>
  </si>
  <si>
    <t>2025-11-14</t>
  </si>
  <si>
    <t>2025-11-15</t>
  </si>
  <si>
    <t>2025-11-16</t>
  </si>
  <si>
    <t>2025-11-17</t>
  </si>
  <si>
    <t>2025-11-18</t>
  </si>
  <si>
    <t>2025-11-19</t>
  </si>
  <si>
    <t>2025-11-20</t>
  </si>
  <si>
    <t>2025-11-21</t>
  </si>
  <si>
    <t>2025-11-22</t>
  </si>
  <si>
    <t>2025-11-23</t>
  </si>
  <si>
    <t>2025-11-24</t>
  </si>
  <si>
    <t>2025-11-25</t>
  </si>
  <si>
    <t>2025-11-26</t>
  </si>
  <si>
    <t>2025-11-28</t>
  </si>
  <si>
    <t>2025-11-29</t>
  </si>
  <si>
    <t>2025-11-30</t>
  </si>
  <si>
    <t>2025-12-01</t>
  </si>
  <si>
    <t>2025-12-02</t>
  </si>
  <si>
    <t>2025-12-03</t>
  </si>
  <si>
    <t>2025-12-04</t>
  </si>
  <si>
    <t>2025-12-05</t>
  </si>
  <si>
    <t>2025-12-06</t>
  </si>
  <si>
    <t>2025-12-07</t>
  </si>
  <si>
    <t>2025-12-08</t>
  </si>
  <si>
    <t>2025-12-09</t>
  </si>
  <si>
    <t>2025-12-10</t>
  </si>
  <si>
    <t>2025-12-11</t>
  </si>
  <si>
    <t>2025-12-12</t>
  </si>
  <si>
    <t>Sum of HomeWin%</t>
  </si>
  <si>
    <t>Error</t>
  </si>
  <si>
    <t>Weight</t>
  </si>
  <si>
    <t>Strength of Win</t>
  </si>
  <si>
    <t>Locked Prediction</t>
  </si>
  <si>
    <t>Locked Correct</t>
  </si>
  <si>
    <t>Locked HomeIce Differential</t>
  </si>
  <si>
    <t>YES</t>
  </si>
  <si>
    <t>NO</t>
  </si>
  <si>
    <t>Mammoth</t>
  </si>
  <si>
    <t>Adjusted Correct</t>
  </si>
  <si>
    <t>Live Accuracy</t>
  </si>
  <si>
    <t>Locked Accuracy</t>
  </si>
  <si>
    <t>TEST Model</t>
  </si>
  <si>
    <t>Locked Strength of Win</t>
  </si>
  <si>
    <t>Home Goals per Game</t>
  </si>
  <si>
    <t>Away Goals per Game</t>
  </si>
  <si>
    <t>Home Goals Against</t>
  </si>
  <si>
    <t>Away Goals Against</t>
  </si>
  <si>
    <t>date</t>
  </si>
  <si>
    <t>game_time</t>
  </si>
  <si>
    <t>home_team</t>
  </si>
  <si>
    <t>away_team</t>
  </si>
  <si>
    <t>ml_predicted_winner</t>
  </si>
  <si>
    <t>ml_home_win_prob</t>
  </si>
  <si>
    <t>ml_away_win_prob</t>
  </si>
  <si>
    <t>ml_confidence</t>
  </si>
  <si>
    <t>ml_predicted_home_score</t>
  </si>
  <si>
    <t>ml_predicted_away_score</t>
  </si>
  <si>
    <t>excel_predicted_winner</t>
  </si>
  <si>
    <t>excel_confidence</t>
  </si>
  <si>
    <t>excel_homeice_diff</t>
  </si>
  <si>
    <t>actual_winner</t>
  </si>
  <si>
    <t>ml_correct</t>
  </si>
  <si>
    <t>excel_correct</t>
  </si>
  <si>
    <t>model_version</t>
  </si>
  <si>
    <t>notes</t>
  </si>
  <si>
    <t>random_forest</t>
  </si>
  <si>
    <t>Recorded before games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</si>
</sst>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[$-F400]h:mm:ss\ AM/PM"/>
    <numFmt numFmtId="165" formatCode="0.0%"/>
  </numFmts>
  <fonts count="8" x14ac:knownFonts="1">
    <font>
      <sz val="12"/>
      <color theme="1"/>
      <name val="Aptos Narrow"/>
      <family val="2"/>
      <scheme val="minor"/>
    </font>
    <font>
      <b/>
      <sz val="12"/>
      <color theme="0"/>
      <name val="Aptos Narrow"/>
      <family val="2"/>
      <scheme val="minor"/>
    </font>
    <font>
      <b/>
      <sz val="12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sz val="12"/>
      <color theme="1"/>
      <name val="Aptos Narrow"/>
      <family val="2"/>
      <scheme val="minor"/>
    </font>
    <font>
      <sz val="12"/>
      <color rgb="FF374151"/>
      <name val="Aptos Narrow"/>
      <scheme val="minor"/>
    </font>
    <font>
      <sz val="8"/>
      <name val="Aptos Narrow"/>
      <family val="2"/>
      <scheme val="minor"/>
    </font>
    <font>
      <sz val="12"/>
      <color theme="1"/>
      <name val="Aptos Narrow"/>
      <scheme val="minor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 style="thin">
        <color theme="9"/>
      </left>
      <right style="thin">
        <color theme="9"/>
      </right>
      <top/>
      <bottom style="thin">
        <color theme="9" tint="0.39997558519241921"/>
      </bottom>
      <diagonal/>
    </border>
    <border>
      <left/>
      <right style="thin">
        <color theme="9"/>
      </right>
      <top/>
      <bottom style="thin">
        <color theme="9" tint="0.39997558519241921"/>
      </bottom>
      <diagonal/>
    </border>
  </borders>
  <cellStyleXfs count="2">
    <xf numFmtId="0" fontId="0" fillId="0" borderId="0"/>
    <xf numFmtId="9" fontId="4" fillId="0" borderId="0" applyFont="0" applyFill="0" applyBorder="0" applyAlignment="0" applyProtection="0"/>
  </cellStyleXfs>
  <cellXfs count="19">
    <xf numFmtId="0" fontId="0" fillId="0" borderId="0" xfId="0"/>
    <xf numFmtId="14" fontId="0" fillId="0" borderId="0" xfId="0" applyNumberFormat="1"/>
    <xf numFmtId="164" fontId="0" fillId="0" borderId="0" xfId="0" applyNumberFormat="1"/>
    <xf numFmtId="0" fontId="3" fillId="0" borderId="0" xfId="0" applyFont="1"/>
    <xf numFmtId="0" fontId="0" fillId="0" borderId="0" xfId="0" applyAlignment="1">
      <alignment horizontal="left"/>
    </xf>
    <xf numFmtId="0" fontId="0" fillId="0" borderId="0" xfId="0" pivotButton="1"/>
    <xf numFmtId="0" fontId="2" fillId="0" borderId="1" xfId="0" applyFont="1" applyBorder="1"/>
    <xf numFmtId="0" fontId="2" fillId="0" borderId="2" xfId="0" applyFont="1" applyBorder="1"/>
    <xf numFmtId="0" fontId="1" fillId="0" borderId="0" xfId="0" applyFont="1"/>
    <xf numFmtId="0" fontId="2" fillId="0" borderId="0" xfId="0" applyFont="1"/>
    <xf numFmtId="0" fontId="5" fillId="0" borderId="0" xfId="0" applyFont="1"/>
    <xf numFmtId="9" fontId="0" fillId="0" borderId="0" xfId="1" applyFont="1"/>
    <xf numFmtId="10" fontId="0" fillId="0" borderId="0" xfId="0" applyNumberFormat="1"/>
    <xf numFmtId="165" fontId="0" fillId="0" borderId="0" xfId="1" applyNumberFormat="1" applyFont="1"/>
    <xf numFmtId="2" fontId="0" fillId="0" borderId="0" xfId="0" applyNumberFormat="1"/>
    <xf numFmtId="2" fontId="0" fillId="0" borderId="0" xfId="1" applyNumberFormat="1" applyFont="1"/>
    <xf numFmtId="9" fontId="7" fillId="0" borderId="0" xfId="0" applyNumberFormat="1" applyFont="1"/>
    <xf numFmtId="0" fontId="0" fillId="0" borderId="0" xfId="0" applyNumberFormat="1"/>
    <xf numFmtId="9" fontId="0" fillId="0" borderId="0" xfId="1" applyNumberFormat="1" applyFont="1"/>
  </cellXfs>
  <cellStyles count="2">
    <cellStyle name="Normal" xfId="0" builtinId="0"/>
    <cellStyle name="Percent" xfId="1" builtinId="5"/>
  </cellStyles>
  <dxfs count="65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64" formatCode="[$-F400]h:mm:ss\ AM/PM"/>
    </dxf>
    <dxf>
      <numFmt numFmtId="19" formatCode="m/d/yy"/>
    </dxf>
    <dxf>
      <numFmt numFmtId="0" formatCode="General"/>
      <fill>
        <patternFill patternType="none">
          <fgColor indexed="64"/>
          <bgColor auto="1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FF00"/>
        </patternFill>
      </fill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ont>
        <b/>
      </font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alignment horizontal="left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scheme val="minor"/>
      </font>
    </dxf>
    <dxf>
      <numFmt numFmtId="0" formatCode="General"/>
      <fill>
        <patternFill patternType="none">
          <fgColor indexed="64"/>
          <bgColor auto="1"/>
        </patternFill>
      </fill>
    </dxf>
    <dxf>
      <numFmt numFmtId="0" formatCode="General"/>
      <fill>
        <patternFill patternType="none">
          <fgColor indexed="64"/>
          <bgColor auto="1"/>
        </patternFill>
      </fill>
    </dxf>
    <dxf>
      <numFmt numFmtId="0" formatCode="General"/>
      <fill>
        <patternFill patternType="none">
          <fgColor indexed="64"/>
          <bgColor auto="1"/>
        </patternFill>
      </fill>
    </dxf>
    <dxf>
      <numFmt numFmtId="0" formatCode="General"/>
      <fill>
        <patternFill patternType="none">
          <fgColor indexed="64"/>
          <bgColor auto="1"/>
        </patternFill>
      </fill>
    </dxf>
    <dxf>
      <numFmt numFmtId="13" formatCode="0%"/>
    </dxf>
    <dxf>
      <numFmt numFmtId="0" formatCode="General"/>
      <fill>
        <patternFill patternType="none">
          <fgColor indexed="64"/>
          <bgColor auto="1"/>
        </patternFill>
      </fill>
    </dxf>
    <dxf>
      <numFmt numFmtId="0" formatCode="General"/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</dxf>
    <dxf>
      <numFmt numFmtId="0" formatCode="General"/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numFmt numFmtId="164" formatCode="[$-F400]h:mm:ss\ AM/PM"/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numFmt numFmtId="19" formatCode="m/d/yy"/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fill>
        <patternFill patternType="none">
          <fgColor indexed="64"/>
          <bgColor auto="1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</dxf>
    <dxf>
      <border outline="0">
        <top style="thin">
          <color theme="9" tint="0.39997558519241921"/>
        </top>
      </border>
    </dxf>
    <dxf>
      <border outline="0">
        <bottom style="thin">
          <color theme="9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border diagonalUp="0" diagonalDown="0" outline="0">
        <left style="thin">
          <color theme="9"/>
        </left>
        <right style="thin">
          <color theme="9"/>
        </right>
        <top/>
        <bottom/>
      </border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pivotCacheDefinition" Target="pivotCache/pivotCacheDefinition2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pivotCacheDefinition" Target="pivotCache/pivotCacheDefinition1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connections" Target="connections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idan Conte" refreshedDate="45970.392827083335" createdVersion="8" refreshedVersion="8" minRefreshableVersion="3" recordCount="32" xr:uid="{08FE906C-B966-1C47-96E4-36DEA2271602}">
  <cacheSource type="worksheet">
    <worksheetSource name="Table1"/>
  </cacheSource>
  <cacheFields count="14">
    <cacheField name="Team" numFmtId="0">
      <sharedItems count="32">
        <s v="Anaheim Ducks"/>
        <s v="Boston Bruins"/>
        <s v="Buffalo Sabres"/>
        <s v="Calgary Flames"/>
        <s v="Carolina Hurricanes"/>
        <s v="Chicago Blackhawks"/>
        <s v="Colorado Avalanche"/>
        <s v="Columbus Blue Jackets"/>
        <s v="Dallas Stars"/>
        <s v="Detroit Red Wings"/>
        <s v="Edmonton Oilers"/>
        <s v="Florida Panthers"/>
        <s v="Los Angeles Kings"/>
        <s v="Minnesota Wild"/>
        <s v="Montreal Canadiens"/>
        <s v="Nashville Predators"/>
        <s v="New Jersey Devils"/>
        <s v="New York Islanders"/>
        <s v="New York Rangers"/>
        <s v="Ottawa Senators"/>
        <s v="Philadelphia Flyers"/>
        <s v="Pittsburgh Penguins"/>
        <s v="San Jose Sharks"/>
        <s v="Seattle Kraken"/>
        <s v="St. Louis Blues"/>
        <s v="Tampa Bay Lightning"/>
        <s v="Toronto Maple Leafs"/>
        <s v="Utah Mammoth"/>
        <s v="Vancouver Canucks"/>
        <s v="Vegas Golden Knights"/>
        <s v="Washington Capitals"/>
        <s v="Winnipeg Jets"/>
      </sharedItems>
    </cacheField>
    <cacheField name="GP" numFmtId="0">
      <sharedItems containsSemiMixedTypes="0" containsString="0" containsNumber="1" containsInteger="1" minValue="13" maxValue="16"/>
    </cacheField>
    <cacheField name="W" numFmtId="0">
      <sharedItems containsSemiMixedTypes="0" containsString="0" containsNumber="1" containsInteger="1" minValue="4" maxValue="10"/>
    </cacheField>
    <cacheField name="L" numFmtId="0">
      <sharedItems containsSemiMixedTypes="0" containsString="0" containsNumber="1" containsInteger="1" minValue="1" maxValue="10"/>
    </cacheField>
    <cacheField name="OTL" numFmtId="0">
      <sharedItems containsSemiMixedTypes="0" containsString="0" containsNumber="1" containsInteger="1" minValue="0" maxValue="5"/>
    </cacheField>
    <cacheField name="PTS" numFmtId="0">
      <sharedItems containsSemiMixedTypes="0" containsString="0" containsNumber="1" containsInteger="1" minValue="10" maxValue="21"/>
    </cacheField>
    <cacheField name="HomeWins" numFmtId="0">
      <sharedItems containsSemiMixedTypes="0" containsString="0" containsNumber="1" containsInteger="1" minValue="0" maxValue="7"/>
    </cacheField>
    <cacheField name="HomeLoss" numFmtId="0">
      <sharedItems containsSemiMixedTypes="0" containsString="0" containsNumber="1" containsInteger="1" minValue="0" maxValue="5"/>
    </cacheField>
    <cacheField name="HomeOTL" numFmtId="0">
      <sharedItems containsSemiMixedTypes="0" containsString="0" containsNumber="1" containsInteger="1" minValue="0" maxValue="3"/>
    </cacheField>
    <cacheField name="AwayWins" numFmtId="0">
      <sharedItems containsSemiMixedTypes="0" containsString="0" containsNumber="1" containsInteger="1" minValue="0" maxValue="7"/>
    </cacheField>
    <cacheField name="AwayLoss" numFmtId="0">
      <sharedItems containsSemiMixedTypes="0" containsString="0" containsNumber="1" containsInteger="1" minValue="1" maxValue="6"/>
    </cacheField>
    <cacheField name="AwayOTL" numFmtId="0">
      <sharedItems containsSemiMixedTypes="0" containsString="0" containsNumber="1" containsInteger="1" minValue="0" maxValue="3"/>
    </cacheField>
    <cacheField name="HomeWin%" numFmtId="9">
      <sharedItems containsSemiMixedTypes="0" containsString="0" containsNumber="1" minValue="0" maxValue="1"/>
    </cacheField>
    <cacheField name="AwayWin%" numFmtId="9">
      <sharedItems containsSemiMixedTypes="0" containsString="0" containsNumber="1" minValue="0" maxValue="0.77777777777777779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idan Conte" refreshedDate="45978.574677430559" createdVersion="8" refreshedVersion="8" minRefreshableVersion="3" recordCount="32" xr:uid="{351FAC1D-E8D9-6C41-93C8-9C8200E5A023}">
  <cacheSource type="worksheet">
    <worksheetSource ref="A6:B38" sheet="NHL Model"/>
  </cacheSource>
  <cacheFields count="2">
    <cacheField name="Teams" numFmtId="0">
      <sharedItems count="32">
        <s v="Anaheim Ducks"/>
        <s v="Boston Bruins"/>
        <s v="Buffalo Sabres"/>
        <s v="Calgary Flames"/>
        <s v="Carolina Hurricanes"/>
        <s v="Chicago Blackhawks"/>
        <s v="Colorado Avalanche"/>
        <s v="Columbus Blue Jackets"/>
        <s v="Dallas Stars"/>
        <s v="Detroit Red Wings"/>
        <s v="Edmonton Oilers"/>
        <s v="Florida Panthers"/>
        <s v="Los Angeles Kings"/>
        <s v="Minnesota Wild"/>
        <s v="Montreal Canadiens"/>
        <s v="Nashville Predators"/>
        <s v="New Jersey Devils"/>
        <s v="New York Islanders"/>
        <s v="New York Rangers"/>
        <s v="Ottawa Senators"/>
        <s v="Philadelphia Flyers"/>
        <s v="Pittsburgh Penguins"/>
        <s v="San Jose Sharks"/>
        <s v="Seattle Kraken"/>
        <s v="St. Louis Blues"/>
        <s v="Tampa Bay Lightning"/>
        <s v="Toronto Maple Leafs"/>
        <s v="Utah Mammoth"/>
        <s v="Vancouver Canucks"/>
        <s v="Vegas Golden Knights"/>
        <s v="Washington Capitals"/>
        <s v="Winnipeg Jets"/>
      </sharedItems>
    </cacheField>
    <cacheField name="Rating" numFmtId="0">
      <sharedItems containsSemiMixedTypes="0" containsString="0" containsNumber="1" minValue="-1.6211574240381006" maxValue="1.5475013591489768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">
  <r>
    <x v="0"/>
    <n v="13"/>
    <n v="9"/>
    <n v="3"/>
    <n v="1"/>
    <n v="19"/>
    <n v="4"/>
    <n v="1"/>
    <n v="0"/>
    <n v="5"/>
    <n v="2"/>
    <n v="1"/>
    <n v="0.8"/>
    <n v="0.625"/>
  </r>
  <r>
    <x v="1"/>
    <n v="16"/>
    <n v="9"/>
    <n v="7"/>
    <n v="0"/>
    <n v="18"/>
    <n v="7"/>
    <n v="3"/>
    <n v="0"/>
    <n v="2"/>
    <n v="4"/>
    <n v="0"/>
    <n v="0.7"/>
    <n v="0.33333333333333331"/>
  </r>
  <r>
    <x v="2"/>
    <n v="14"/>
    <n v="5"/>
    <n v="5"/>
    <n v="4"/>
    <n v="14"/>
    <n v="5"/>
    <n v="3"/>
    <n v="2"/>
    <n v="0"/>
    <n v="2"/>
    <n v="2"/>
    <n v="0.5"/>
    <n v="0"/>
  </r>
  <r>
    <x v="3"/>
    <n v="16"/>
    <n v="4"/>
    <n v="10"/>
    <n v="2"/>
    <n v="10"/>
    <n v="2"/>
    <n v="4"/>
    <n v="1"/>
    <n v="2"/>
    <n v="6"/>
    <n v="1"/>
    <n v="0.2857142857142857"/>
    <n v="0.22222222222222221"/>
  </r>
  <r>
    <x v="4"/>
    <n v="13"/>
    <n v="9"/>
    <n v="4"/>
    <n v="0"/>
    <n v="18"/>
    <n v="4"/>
    <n v="1"/>
    <n v="0"/>
    <n v="5"/>
    <n v="3"/>
    <n v="0"/>
    <n v="0.8"/>
    <n v="0.625"/>
  </r>
  <r>
    <x v="5"/>
    <n v="15"/>
    <n v="7"/>
    <n v="5"/>
    <n v="3"/>
    <n v="17"/>
    <n v="3"/>
    <n v="2"/>
    <n v="1"/>
    <n v="4"/>
    <n v="3"/>
    <n v="2"/>
    <n v="0.5"/>
    <n v="0.44444444444444442"/>
  </r>
  <r>
    <x v="6"/>
    <n v="14"/>
    <n v="8"/>
    <n v="1"/>
    <n v="5"/>
    <n v="21"/>
    <n v="4"/>
    <n v="0"/>
    <n v="2"/>
    <n v="4"/>
    <n v="1"/>
    <n v="3"/>
    <n v="0.66666666666666663"/>
    <n v="0.5"/>
  </r>
  <r>
    <x v="7"/>
    <n v="13"/>
    <n v="7"/>
    <n v="6"/>
    <n v="0"/>
    <n v="14"/>
    <n v="3"/>
    <n v="3"/>
    <n v="0"/>
    <n v="4"/>
    <n v="3"/>
    <n v="0"/>
    <n v="0.5"/>
    <n v="0.5714285714285714"/>
  </r>
  <r>
    <x v="8"/>
    <n v="14"/>
    <n v="7"/>
    <n v="4"/>
    <n v="3"/>
    <n v="17"/>
    <n v="4"/>
    <n v="3"/>
    <n v="1"/>
    <n v="3"/>
    <n v="1"/>
    <n v="2"/>
    <n v="0.5"/>
    <n v="0.5"/>
  </r>
  <r>
    <x v="9"/>
    <n v="15"/>
    <n v="9"/>
    <n v="6"/>
    <n v="0"/>
    <n v="18"/>
    <n v="5"/>
    <n v="2"/>
    <n v="0"/>
    <n v="4"/>
    <n v="4"/>
    <n v="0"/>
    <n v="0.7142857142857143"/>
    <n v="0.5"/>
  </r>
  <r>
    <x v="10"/>
    <n v="15"/>
    <n v="6"/>
    <n v="5"/>
    <n v="4"/>
    <n v="16"/>
    <n v="4"/>
    <n v="0"/>
    <n v="2"/>
    <n v="2"/>
    <n v="5"/>
    <n v="2"/>
    <n v="0.66666666666666663"/>
    <n v="0.22222222222222221"/>
  </r>
  <r>
    <x v="11"/>
    <n v="14"/>
    <n v="7"/>
    <n v="6"/>
    <n v="1"/>
    <n v="15"/>
    <n v="5"/>
    <n v="1"/>
    <n v="1"/>
    <n v="2"/>
    <n v="5"/>
    <n v="0"/>
    <n v="0.7142857142857143"/>
    <n v="0.2857142857142857"/>
  </r>
  <r>
    <x v="12"/>
    <n v="15"/>
    <n v="6"/>
    <n v="5"/>
    <n v="4"/>
    <n v="16"/>
    <n v="1"/>
    <n v="4"/>
    <n v="2"/>
    <n v="5"/>
    <n v="1"/>
    <n v="2"/>
    <n v="0.14285714285714285"/>
    <n v="0.625"/>
  </r>
  <r>
    <x v="13"/>
    <n v="16"/>
    <n v="6"/>
    <n v="7"/>
    <n v="3"/>
    <n v="15"/>
    <n v="3"/>
    <n v="3"/>
    <n v="2"/>
    <n v="3"/>
    <n v="4"/>
    <n v="1"/>
    <n v="0.375"/>
    <n v="0.375"/>
  </r>
  <r>
    <x v="14"/>
    <n v="14"/>
    <n v="9"/>
    <n v="3"/>
    <n v="2"/>
    <n v="20"/>
    <n v="4"/>
    <n v="1"/>
    <n v="1"/>
    <n v="5"/>
    <n v="2"/>
    <n v="1"/>
    <n v="0.66666666666666663"/>
    <n v="0.625"/>
  </r>
  <r>
    <x v="15"/>
    <n v="16"/>
    <n v="5"/>
    <n v="7"/>
    <n v="4"/>
    <n v="14"/>
    <n v="4"/>
    <n v="4"/>
    <n v="2"/>
    <n v="1"/>
    <n v="3"/>
    <n v="2"/>
    <n v="0.4"/>
    <n v="0.16666666666666666"/>
  </r>
  <r>
    <x v="16"/>
    <n v="14"/>
    <n v="10"/>
    <n v="4"/>
    <n v="0"/>
    <n v="20"/>
    <n v="6"/>
    <n v="0"/>
    <n v="0"/>
    <n v="4"/>
    <n v="4"/>
    <n v="0"/>
    <n v="1"/>
    <n v="0.5"/>
  </r>
  <r>
    <x v="17"/>
    <n v="14"/>
    <n v="6"/>
    <n v="6"/>
    <n v="2"/>
    <n v="14"/>
    <n v="4"/>
    <n v="3"/>
    <n v="1"/>
    <n v="2"/>
    <n v="3"/>
    <n v="1"/>
    <n v="0.5"/>
    <n v="0.33333333333333331"/>
  </r>
  <r>
    <x v="18"/>
    <n v="15"/>
    <n v="7"/>
    <n v="6"/>
    <n v="2"/>
    <n v="16"/>
    <n v="0"/>
    <n v="5"/>
    <n v="1"/>
    <n v="7"/>
    <n v="1"/>
    <n v="1"/>
    <n v="0"/>
    <n v="0.77777777777777779"/>
  </r>
  <r>
    <x v="19"/>
    <n v="14"/>
    <n v="6"/>
    <n v="5"/>
    <n v="3"/>
    <n v="15"/>
    <n v="4"/>
    <n v="2"/>
    <n v="1"/>
    <n v="2"/>
    <n v="3"/>
    <n v="2"/>
    <n v="0.5714285714285714"/>
    <n v="0.2857142857142857"/>
  </r>
  <r>
    <x v="20"/>
    <n v="14"/>
    <n v="8"/>
    <n v="5"/>
    <n v="1"/>
    <n v="17"/>
    <n v="6"/>
    <n v="3"/>
    <n v="0"/>
    <n v="2"/>
    <n v="2"/>
    <n v="1"/>
    <n v="0.66666666666666663"/>
    <n v="0.4"/>
  </r>
  <r>
    <x v="21"/>
    <n v="15"/>
    <n v="9"/>
    <n v="4"/>
    <n v="2"/>
    <n v="20"/>
    <n v="4"/>
    <n v="1"/>
    <n v="1"/>
    <n v="5"/>
    <n v="3"/>
    <n v="1"/>
    <n v="0.66666666666666663"/>
    <n v="0.55555555555555558"/>
  </r>
  <r>
    <x v="22"/>
    <n v="15"/>
    <n v="6"/>
    <n v="6"/>
    <n v="3"/>
    <n v="15"/>
    <n v="3"/>
    <n v="3"/>
    <n v="3"/>
    <n v="3"/>
    <n v="3"/>
    <n v="0"/>
    <n v="0.33333333333333331"/>
    <n v="0.5"/>
  </r>
  <r>
    <x v="23"/>
    <n v="13"/>
    <n v="6"/>
    <n v="3"/>
    <n v="4"/>
    <n v="16"/>
    <n v="4"/>
    <n v="1"/>
    <n v="2"/>
    <n v="2"/>
    <n v="2"/>
    <n v="2"/>
    <n v="0.5714285714285714"/>
    <n v="0.33333333333333331"/>
  </r>
  <r>
    <x v="24"/>
    <n v="15"/>
    <n v="5"/>
    <n v="8"/>
    <n v="2"/>
    <n v="12"/>
    <n v="2"/>
    <n v="4"/>
    <n v="2"/>
    <n v="3"/>
    <n v="4"/>
    <n v="0"/>
    <n v="0.25"/>
    <n v="0.42857142857142855"/>
  </r>
  <r>
    <x v="25"/>
    <n v="14"/>
    <n v="7"/>
    <n v="5"/>
    <n v="2"/>
    <n v="16"/>
    <n v="3"/>
    <n v="3"/>
    <n v="0"/>
    <n v="4"/>
    <n v="2"/>
    <n v="2"/>
    <n v="0.5"/>
    <n v="0.5"/>
  </r>
  <r>
    <x v="26"/>
    <n v="14"/>
    <n v="8"/>
    <n v="5"/>
    <n v="1"/>
    <n v="17"/>
    <n v="7"/>
    <n v="2"/>
    <n v="1"/>
    <n v="1"/>
    <n v="3"/>
    <n v="0"/>
    <n v="0.7"/>
    <n v="0.25"/>
  </r>
  <r>
    <x v="27"/>
    <n v="14"/>
    <n v="9"/>
    <n v="5"/>
    <n v="0"/>
    <n v="18"/>
    <n v="4"/>
    <n v="1"/>
    <n v="0"/>
    <n v="5"/>
    <n v="4"/>
    <n v="0"/>
    <n v="0.8"/>
    <n v="0.55555555555555558"/>
  </r>
  <r>
    <x v="28"/>
    <n v="15"/>
    <n v="7"/>
    <n v="8"/>
    <n v="0"/>
    <n v="14"/>
    <n v="2"/>
    <n v="4"/>
    <n v="0"/>
    <n v="5"/>
    <n v="4"/>
    <n v="0"/>
    <n v="0.33333333333333331"/>
    <n v="0.55555555555555558"/>
  </r>
  <r>
    <x v="29"/>
    <n v="13"/>
    <n v="7"/>
    <n v="3"/>
    <n v="3"/>
    <n v="17"/>
    <n v="4"/>
    <n v="2"/>
    <n v="1"/>
    <n v="3"/>
    <n v="1"/>
    <n v="2"/>
    <n v="0.5714285714285714"/>
    <n v="0.5"/>
  </r>
  <r>
    <x v="30"/>
    <n v="14"/>
    <n v="7"/>
    <n v="6"/>
    <n v="1"/>
    <n v="15"/>
    <n v="4"/>
    <n v="4"/>
    <n v="0"/>
    <n v="3"/>
    <n v="2"/>
    <n v="1"/>
    <n v="0.5"/>
    <n v="0.5"/>
  </r>
  <r>
    <x v="31"/>
    <n v="14"/>
    <n v="9"/>
    <n v="5"/>
    <n v="0"/>
    <n v="18"/>
    <n v="5"/>
    <n v="3"/>
    <n v="0"/>
    <n v="4"/>
    <n v="2"/>
    <n v="0"/>
    <n v="0.625"/>
    <n v="0.66666666666666663"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">
  <r>
    <x v="0"/>
    <n v="0.51775546328552802"/>
  </r>
  <r>
    <x v="1"/>
    <n v="4.029141914856392E-2"/>
  </r>
  <r>
    <x v="2"/>
    <n v="-0.8683412362501769"/>
  </r>
  <r>
    <x v="3"/>
    <n v="-1.3903684122795328"/>
  </r>
  <r>
    <x v="4"/>
    <n v="0.67193921242367816"/>
  </r>
  <r>
    <x v="5"/>
    <n v="0.30570968833820172"/>
  </r>
  <r>
    <x v="6"/>
    <n v="1.5475013591489768"/>
  </r>
  <r>
    <x v="7"/>
    <n v="-0.40822279081308277"/>
  </r>
  <r>
    <x v="8"/>
    <n v="0.19809534061227302"/>
  </r>
  <r>
    <x v="9"/>
    <n v="-0.513643833119658"/>
  </r>
  <r>
    <x v="10"/>
    <n v="-0.61980804137564283"/>
  </r>
  <r>
    <x v="11"/>
    <n v="-0.28105923893144158"/>
  </r>
  <r>
    <x v="12"/>
    <n v="-7.5459708298993802E-2"/>
  </r>
  <r>
    <x v="13"/>
    <n v="-0.53650300840565446"/>
  </r>
  <r>
    <x v="14"/>
    <n v="-0.52437726201848234"/>
  </r>
  <r>
    <x v="15"/>
    <n v="-1.3516250707060606"/>
  </r>
  <r>
    <x v="16"/>
    <n v="0.559441163373953"/>
  </r>
  <r>
    <x v="17"/>
    <n v="-6.4729560818359025E-2"/>
  </r>
  <r>
    <x v="18"/>
    <n v="-0.30719665303039001"/>
  </r>
  <r>
    <x v="19"/>
    <n v="-0.40651947573390851"/>
  </r>
  <r>
    <x v="20"/>
    <n v="-0.51358590497437617"/>
  </r>
  <r>
    <x v="21"/>
    <n v="0.26289091192875702"/>
  </r>
  <r>
    <x v="22"/>
    <n v="-0.39418177254008485"/>
  </r>
  <r>
    <x v="23"/>
    <n v="-0.361361309178443"/>
  </r>
  <r>
    <x v="24"/>
    <n v="-1.6211574240381006"/>
  </r>
  <r>
    <x v="25"/>
    <n v="-0.11309445867623392"/>
  </r>
  <r>
    <x v="26"/>
    <n v="-0.635565543477981"/>
  </r>
  <r>
    <x v="27"/>
    <n v="-0.12212311954851815"/>
  </r>
  <r>
    <x v="28"/>
    <n v="-0.6902088310934803"/>
  </r>
  <r>
    <x v="29"/>
    <n v="-6.3745791019188943E-4"/>
  </r>
  <r>
    <x v="30"/>
    <n v="-6.1308839486784707E-2"/>
  </r>
  <r>
    <x v="31"/>
    <n v="0.105105258369765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B19AB3F2-F676-3143-9A31-CE2A61233843}" name="PivotTable3" cacheId="7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A3:B36" firstHeaderRow="1" firstDataRow="1" firstDataCol="1"/>
  <pivotFields count="2">
    <pivotField axis="axisRow" showAll="0">
      <items count="33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t="default"/>
      </items>
    </pivotField>
    <pivotField dataField="1" showAll="0"/>
  </pivotFields>
  <rowFields count="1">
    <field x="0"/>
  </rowFields>
  <rowItems count="33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>
      <x v="20"/>
    </i>
    <i>
      <x v="21"/>
    </i>
    <i>
      <x v="22"/>
    </i>
    <i>
      <x v="23"/>
    </i>
    <i>
      <x v="24"/>
    </i>
    <i>
      <x v="25"/>
    </i>
    <i>
      <x v="26"/>
    </i>
    <i>
      <x v="27"/>
    </i>
    <i>
      <x v="28"/>
    </i>
    <i>
      <x v="29"/>
    </i>
    <i>
      <x v="30"/>
    </i>
    <i>
      <x v="31"/>
    </i>
    <i t="grand">
      <x/>
    </i>
  </rowItems>
  <colItems count="1">
    <i/>
  </colItems>
  <dataFields count="1">
    <dataField name="Sum of Rating" fld="1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3B00C745-CAFA-E54D-921E-DF665E7200D5}" name="PivotTable2" cacheId="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A38:B71" firstHeaderRow="1" firstDataRow="1" firstDataCol="1"/>
  <pivotFields count="14">
    <pivotField axis="axisRow" showAll="0">
      <items count="33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dataField="1" numFmtId="9" showAll="0"/>
    <pivotField numFmtId="9" showAll="0"/>
  </pivotFields>
  <rowFields count="1">
    <field x="0"/>
  </rowFields>
  <rowItems count="33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>
      <x v="20"/>
    </i>
    <i>
      <x v="21"/>
    </i>
    <i>
      <x v="22"/>
    </i>
    <i>
      <x v="23"/>
    </i>
    <i>
      <x v="24"/>
    </i>
    <i>
      <x v="25"/>
    </i>
    <i>
      <x v="26"/>
    </i>
    <i>
      <x v="27"/>
    </i>
    <i>
      <x v="28"/>
    </i>
    <i>
      <x v="29"/>
    </i>
    <i>
      <x v="30"/>
    </i>
    <i>
      <x v="31"/>
    </i>
    <i t="grand">
      <x/>
    </i>
  </rowItems>
  <colItems count="1">
    <i/>
  </colItems>
  <dataFields count="1">
    <dataField name="Sum of HomeWin%" fld="12" baseField="0" baseItem="0" numFmtId="1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2" xr16:uid="{00000000-0016-0000-0000-000000000000}" autoFormatId="16" applyNumberFormats="0" applyBorderFormats="0" applyFontFormats="0" applyPatternFormats="0" applyAlignmentFormats="0" applyWidthHeightFormats="0">
  <queryTableRefresh nextId="13">
    <queryTableFields count="10">
      <queryTableField id="1" name="Date" tableColumnId="1"/>
      <queryTableField id="3" name="Visitor" tableColumnId="3"/>
      <queryTableField id="4" name="G" tableColumnId="4"/>
      <queryTableField id="5" name="Home" tableColumnId="5"/>
      <queryTableField id="6" name="G_1" tableColumnId="6"/>
      <queryTableField id="11" name="Column1" tableColumnId="11"/>
      <queryTableField id="7" name="Winning Team" tableColumnId="7"/>
      <queryTableField id="8" name="Losing Team" tableColumnId="8"/>
      <queryTableField id="9" name="Winning_G" tableColumnId="9"/>
      <queryTableField id="10" name="Losing_G" tableColumnId="10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" xr16:uid="{D6B9F69E-A55F-D04B-8D44-E4061B230055}" autoFormatId="16" applyNumberFormats="0" applyBorderFormats="0" applyFontFormats="0" applyPatternFormats="0" applyAlignmentFormats="0" applyWidthHeightFormats="0">
  <queryTableRefresh nextId="19">
    <queryTableFields count="18">
      <queryTableField id="1" name="date" tableColumnId="1"/>
      <queryTableField id="2" name="game_time" tableColumnId="2"/>
      <queryTableField id="3" name="home_team" tableColumnId="3"/>
      <queryTableField id="4" name="away_team" tableColumnId="4"/>
      <queryTableField id="5" name="ml_predicted_winner" tableColumnId="5"/>
      <queryTableField id="6" name="ml_home_win_prob" tableColumnId="6"/>
      <queryTableField id="7" name="ml_away_win_prob" tableColumnId="7"/>
      <queryTableField id="8" name="ml_confidence" tableColumnId="8"/>
      <queryTableField id="9" name="ml_predicted_home_score" tableColumnId="9"/>
      <queryTableField id="10" name="ml_predicted_away_score" tableColumnId="10"/>
      <queryTableField id="11" name="excel_predicted_winner" tableColumnId="11"/>
      <queryTableField id="12" name="excel_confidence" tableColumnId="12"/>
      <queryTableField id="13" name="excel_homeice_diff" tableColumnId="13"/>
      <queryTableField id="14" name="actual_winner" tableColumnId="14"/>
      <queryTableField id="15" name="ml_correct" tableColumnId="15"/>
      <queryTableField id="16" name="excel_correct" tableColumnId="16"/>
      <queryTableField id="17" name="model_version" tableColumnId="17"/>
      <queryTableField id="18" name="notes" tableColumnId="18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5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26FDC429-DCD2-7140-8F5E-09F03E80DD20}" name="NHL2025_26Results" displayName="NHL2025_26Results" ref="A1:J1313" tableType="queryTable" totalsRowShown="0">
  <autoFilter ref="A1:J1313" xr:uid="{26FDC429-DCD2-7140-8F5E-09F03E80DD20}"/>
  <tableColumns count="10">
    <tableColumn id="1" xr3:uid="{EF1E8A3C-57D7-6744-AF93-B5FF0761D75C}" uniqueName="1" name="Date" queryTableFieldId="1" dataDxfId="64"/>
    <tableColumn id="3" xr3:uid="{2C87C5E2-BA51-8A42-89C8-535F9675CB8F}" uniqueName="3" name="Visitor" queryTableFieldId="3" dataDxfId="63"/>
    <tableColumn id="4" xr3:uid="{CE6ABB56-546F-BB46-9A09-2A1A92669C31}" uniqueName="4" name="G" queryTableFieldId="4" dataDxfId="62"/>
    <tableColumn id="5" xr3:uid="{C1234731-C200-EA4C-B756-2CA67776A39C}" uniqueName="5" name="Home" queryTableFieldId="5" dataDxfId="61"/>
    <tableColumn id="6" xr3:uid="{339325E9-BBA1-9A48-8657-C4AC5A969A45}" uniqueName="6" name="G_1" queryTableFieldId="6" dataDxfId="60"/>
    <tableColumn id="11" xr3:uid="{D5C53254-CDEF-7A46-97BA-0F3F94C9C0F8}" uniqueName="11" name="Column1" queryTableFieldId="11" dataDxfId="59"/>
    <tableColumn id="7" xr3:uid="{B5B6FE11-231C-D94F-89B8-2EC8FCBF8D0D}" uniqueName="7" name="Winning Team" queryTableFieldId="7"/>
    <tableColumn id="8" xr3:uid="{D8BF0E56-89E6-944B-A3C4-3E0975A135C8}" uniqueName="8" name="Losing Team" queryTableFieldId="8"/>
    <tableColumn id="9" xr3:uid="{B7FF8836-2F9F-D24F-AF10-9EA85E443DB0}" uniqueName="9" name="Winning_G" queryTableFieldId="9" dataDxfId="58"/>
    <tableColumn id="10" xr3:uid="{D8B4237A-01AB-6648-9F38-4F24C83C2F02}" uniqueName="10" name="Losing_G" queryTableFieldId="10" dataDxfId="57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82AB263-30A0-9143-A4CB-E8E85CF645DA}" name="Table3" displayName="Table3" ref="D6:J1318" totalsRowShown="0" headerRowDxfId="56" headerRowBorderDxfId="55" tableBorderDxfId="54">
  <autoFilter ref="D6:J1318" xr:uid="{082AB263-30A0-9143-A4CB-E8E85CF645DA}"/>
  <tableColumns count="7">
    <tableColumn id="1" xr3:uid="{A2DA1977-C625-F248-8922-D45BEAE345E6}" name="Visitor" dataDxfId="53"/>
    <tableColumn id="2" xr3:uid="{7F142366-1AE0-5D45-A506-465FBF578C3A}" name="G" dataDxfId="52"/>
    <tableColumn id="3" xr3:uid="{F73B07A5-94FF-C843-900F-F37684899EAA}" name="Home" dataDxfId="51"/>
    <tableColumn id="4" xr3:uid="{7D6FADB5-28D9-9449-ADC0-599788BF0B16}" name="G_1" dataDxfId="50"/>
    <tableColumn id="5" xr3:uid="{98CF2B62-3F88-D44B-AF59-BE4BB5C0604E}" name="HomeMargin" dataDxfId="49">
      <calculatedColumnFormula>Table3[[#This Row],[G_1]]-Table3[[#This Row],[G]]</calculatedColumnFormula>
    </tableColumn>
    <tableColumn id="6" xr3:uid="{FD0EC919-55F2-CA43-8B92-CA3E6283FCFD}" name="HomeForecast" dataDxfId="48">
      <calculatedColumnFormula>HomeEdge+VLOOKUP(Table3[[#This Row],[Home]],$A$6:$B$38,2,FALSE)-VLOOKUP(Table3[[#This Row],[Visitor]],$A$6:$B$38,2,FALSE)</calculatedColumnFormula>
    </tableColumn>
    <tableColumn id="7" xr3:uid="{0900FDB9-09FA-6B40-889E-92B6F3122384}" name="Squared Difference" dataDxfId="47">
      <calculatedColumnFormula>(Table3[[#This Row],[HomeMargin]]-Table3[[#This Row],[HomeForecast]])^2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B940C27F-1AFD-1A45-A69A-42FED3D3591C}" name="Table4" displayName="Table4" ref="D1:R1313" totalsRowShown="0" headerRowDxfId="46" dataDxfId="45">
  <autoFilter ref="D1:R1313" xr:uid="{B940C27F-1AFD-1A45-A69A-42FED3D3591C}"/>
  <tableColumns count="15">
    <tableColumn id="1" xr3:uid="{27200A7D-FC6F-7D47-A38B-8116F873A9D8}" name="Date" dataDxfId="44"/>
    <tableColumn id="2" xr3:uid="{E6247AA5-111B-9544-9F6D-FFC524512888}" name="Time" dataDxfId="43"/>
    <tableColumn id="3" xr3:uid="{EDCD8AB3-2C72-284E-B537-7168C3C8687B}" name="Home" dataDxfId="42"/>
    <tableColumn id="4" xr3:uid="{EC6C1412-AAC2-6646-BF48-0D4526947D52}" name="Home Differential" dataDxfId="41">
      <calculatedColumnFormula>VLOOKUP(Table4[[#This Row],[Home]],'NHL Model'!$A$6:$B$38,2,FALSE)</calculatedColumnFormula>
    </tableColumn>
    <tableColumn id="5" xr3:uid="{67F5F1C4-5CC9-B648-BE7C-7E4EF3A85290}" name="Visitor" dataDxfId="40"/>
    <tableColumn id="6" xr3:uid="{84F489BE-33B4-0E4D-959D-E87A85C1D38D}" name="Away Differential" dataDxfId="39">
      <calculatedColumnFormula>VLOOKUP(Table4[[#This Row],[Visitor]],'NHL Model'!$A$6:$B$38,2,FALSE)</calculatedColumnFormula>
    </tableColumn>
    <tableColumn id="7" xr3:uid="{A6F9ABE3-1844-E54D-9016-325B538D2969}" name="HomeIce Differential" dataDxfId="11">
      <calculatedColumnFormula>($B$1+Table4[[#This Row],[Home Differential]])-Table4[[#This Row],[Away Differential]]</calculatedColumnFormula>
    </tableColumn>
    <tableColumn id="8" xr3:uid="{8FFD520F-0CF9-9D4A-93B6-B45373384612}" name="Predicted Winner" dataDxfId="38">
      <calculatedColumnFormula>IF(Table4[[#This Row],[HomeIce Differential]]&gt;0,Table4[[#This Row],[Home]],Table4[[#This Row],[Visitor]])</calculatedColumnFormula>
    </tableColumn>
    <tableColumn id="11" xr3:uid="{39F44459-E949-BE48-9326-B9627B452C7F}" name="Strength of Win" dataDxfId="37" dataCellStyle="Percent">
      <calculatedColumnFormula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calculatedColumnFormula>
    </tableColumn>
    <tableColumn id="9" xr3:uid="{769A6846-3396-5E42-B6FD-656B73BC81AC}" name="Adjusted Correct" dataDxfId="36">
      <calculatedColumnFormula>IF(OR((NHL2025_26Results[[#This Row],[Winning Team]]="")),"-",IF(Table4[[#This Row],[Predicted Winner]]=NHL2025_26Results[[#This Row],[Winning Team]],"YES","NO"))</calculatedColumnFormula>
    </tableColumn>
    <tableColumn id="12" xr3:uid="{23A5A109-349C-754F-A7EC-DED5841502F5}" name="Error" dataDxfId="35">
      <calculatedColumnFormula>IF(Table4[[#This Row],[Adjusted Correct]]="-", "",IF(Table4[[#This Row],[Adjusted Correct]]="YES",(Table4[[#This Row],[Strength of Win]]-1)^2,(Table4[[#This Row],[Strength of Win]]-0)^2))</calculatedColumnFormula>
    </tableColumn>
    <tableColumn id="14" xr3:uid="{A973287C-4E38-7E4F-B9CF-1E2830C528BF}" name="Locked HomeIce Differential"/>
    <tableColumn id="15" xr3:uid="{36F30536-F21A-F54E-86E5-C07F78FE2C90}" name="Locked Strength of Win" dataCellStyle="Percent"/>
    <tableColumn id="10" xr3:uid="{7C967E26-5EF3-D640-BF8C-C38117E19E9C}" name="Locked Prediction" dataDxfId="34"/>
    <tableColumn id="13" xr3:uid="{F50D85A3-D772-F247-BFBE-86E765FD0BF6}" name="Locked Correct" dataDxfId="33"/>
  </tableColumns>
  <tableStyleInfo name="TableStyleLight16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1B34B514-E1CC-0949-A7DD-8D37387465DD}" name="Table1" displayName="Table1" ref="A1:R33" totalsRowShown="0" headerRowDxfId="32">
  <autoFilter ref="A1:R33" xr:uid="{1B34B514-E1CC-0949-A7DD-8D37387465DD}"/>
  <tableColumns count="18">
    <tableColumn id="1" xr3:uid="{C9F77F0F-7B0D-CC44-9D34-395D1E3FA55B}" name="Team" dataDxfId="31"/>
    <tableColumn id="2" xr3:uid="{4080CFDD-7980-DD4D-A4DE-25DB03E50B7C}" name="GP" dataDxfId="30">
      <calculatedColumnFormula>SUM(Table1[[#This Row],[W]:[OTL]])</calculatedColumnFormula>
    </tableColumn>
    <tableColumn id="3" xr3:uid="{3C1AB986-0335-3D46-9153-E78ADBAE30F8}" name="W"/>
    <tableColumn id="4" xr3:uid="{4FEE9C55-064E-1147-A8FB-213CF7F16F8E}" name="L" dataDxfId="29">
      <calculatedColumnFormula>COUNTIFS('NHL2025-26Results'!$H:$H,A2,'NHL2025-26Results'!$F:$F,"")</calculatedColumnFormula>
    </tableColumn>
    <tableColumn id="5" xr3:uid="{5EA2DCC3-F71A-5A40-B3F3-8F2F8CB0A7CE}" name="OTL" dataDxfId="28">
      <calculatedColumnFormula>COUNTIFS('NHL2025-26Results'!$F:$F,"OT",'NHL2025-26Results'!$H:$H,A2) + COUNTIFS('NHL2025-26Results'!$F:$F,"SO",'NHL2025-26Results'!$H:$H,A2)</calculatedColumnFormula>
    </tableColumn>
    <tableColumn id="6" xr3:uid="{29726E8F-4315-9A45-99A9-C5F42D047761}" name="PTS" dataDxfId="27">
      <calculatedColumnFormula>(Table1[[#This Row],[W]]*2)+Table1[[#This Row],[OTL]]</calculatedColumnFormula>
    </tableColumn>
    <tableColumn id="7" xr3:uid="{40EA95E8-9958-E040-A5BE-EC17EEDC1CBD}" name="HomeWins" dataDxfId="26">
      <calculatedColumnFormula>COUNTIFS('NHL2025-26Results'!$D:$D,A2,'NHL2025-26Results'!$G:$G,A2)</calculatedColumnFormula>
    </tableColumn>
    <tableColumn id="9" xr3:uid="{F3FA5C24-502A-6446-A4B9-25DB670D2CB7}" name="HomeLoss" dataDxfId="25">
      <calculatedColumnFormula>COUNTIFS('NHL2025-26Results'!$D:$D,A2,'NHL2025-26Results'!$H:$H,A2,'NHL2025-26Results'!$F:$F,"")</calculatedColumnFormula>
    </tableColumn>
    <tableColumn id="8" xr3:uid="{999F1273-113E-7F4B-990E-AC7B23C4A496}" name="HomeOTL" dataDxfId="24">
      <calculatedColumnFormula>COUNTIFS('NHL2025-26Results'!$D:$D,A2,'NHL2025-26Results'!$H:$H,A2,'NHL2025-26Results'!$F:$F,"OT") + COUNTIFS('NHL2025-26Results'!$D:$D,A2,'NHL2025-26Results'!$H:$H,A2,'NHL2025-26Results'!$F:$F,"SO")</calculatedColumnFormula>
    </tableColumn>
    <tableColumn id="11" xr3:uid="{6CECAD97-17BB-4D4F-87FA-691F94F265F9}" name="AwayWins" dataDxfId="23">
      <calculatedColumnFormula>COUNTIFS('NHL2025-26Results'!$B:$B,A2,'NHL2025-26Results'!$G:$G,A2)</calculatedColumnFormula>
    </tableColumn>
    <tableColumn id="10" xr3:uid="{1A63BDD0-5CF0-0C48-B684-3675FC716427}" name="AwayLoss" dataDxfId="22">
      <calculatedColumnFormula>COUNTIFS('NHL2025-26Results'!$B:$B,A2,'NHL2025-26Results'!$H:$H,A2,'NHL2025-26Results'!$F:$F,"")</calculatedColumnFormula>
    </tableColumn>
    <tableColumn id="12" xr3:uid="{59628040-0BA7-5042-BB5A-1E9D40ABC469}" name="AwayOTL" dataDxfId="21">
      <calculatedColumnFormula>COUNTIFS('NHL2025-26Results'!$B:$B,A2,'NHL2025-26Results'!$H:$H,A2,'NHL2025-26Results'!$F:$F,"OT") + COUNTIFS('NHL2025-26Results'!$B:$B,A2,'NHL2025-26Results'!$H:$H,A2,'NHL2025-26Results'!$F:$F,"SO")</calculatedColumnFormula>
    </tableColumn>
    <tableColumn id="13" xr3:uid="{89A1A1C5-47FE-3145-A770-190DF841C5BD}" name="HomeWin%" dataCellStyle="Percent">
      <calculatedColumnFormula>Table1[[#This Row],[HomeWins]]/SUM(Table1[[#This Row],[HomeWins]:[HomeOTL]])</calculatedColumnFormula>
    </tableColumn>
    <tableColumn id="14" xr3:uid="{549944E4-F46B-CF42-BE7D-1E9DCCA03B7C}" name="AwayWin%" dataCellStyle="Percent">
      <calculatedColumnFormula>Table1[[#This Row],[AwayWins]]/SUM(Table1[[#This Row],[AwayWins]:[AwayOTL]])</calculatedColumnFormula>
    </tableColumn>
    <tableColumn id="15" xr3:uid="{F3DE1AB8-2119-EF46-A72D-1C4A7C8BC10E}" name="Home Goals per Game" dataDxfId="20">
      <calculatedColumnFormula>SUMIFS('NHL2025-26Results'!$E:$E,'NHL2025-26Results'!$D:$D,A2,'NHL2025-26Results'!$E:$E,"&gt;0")/COUNTIFS('NHL2025-26Results'!$D:$D,A2,'NHL2025-26Results'!$E:$E,"&gt;0")</calculatedColumnFormula>
    </tableColumn>
    <tableColumn id="16" xr3:uid="{4CF1F86B-09D8-BA40-A4FA-B851C5E9F7C2}" name="Away Goals per Game" dataDxfId="19">
      <calculatedColumnFormula>SUMIFS('NHL2025-26Results'!$C:$C,'NHL2025-26Results'!$B:$B,A2,'NHL2025-26Results'!$C:$C,"&gt;0")/COUNTIFS('NHL2025-26Results'!$B:$B,A2,'NHL2025-26Results'!$C:$C,"&gt;0")</calculatedColumnFormula>
    </tableColumn>
    <tableColumn id="17" xr3:uid="{E1815B79-AB22-3943-B69B-8FBDF5A76842}" name="Home Goals Against" dataDxfId="18">
      <calculatedColumnFormula>SUMIFS('NHL2025-26Results'!$C:$C,'NHL2025-26Results'!$D:$D,A2,'NHL2025-26Results'!$C:$C,"&gt;0")/COUNTIFS('NHL2025-26Results'!$D:$D,A2,'NHL2025-26Results'!$C:$C,"&gt;0")</calculatedColumnFormula>
    </tableColumn>
    <tableColumn id="18" xr3:uid="{45CF85AF-BBFE-AC45-BB4B-F990DB1CC608}" name="Away Goals Against" dataDxfId="17">
      <calculatedColumnFormula>SUMIFS('NHL2025-26Results'!$E:$E,'NHL2025-26Results'!$B:$B,A2,'NHL2025-26Results'!$E:$E,"&gt;0")/COUNTIFS('NHL2025-26Results'!$B:$B,A2,'NHL2025-26Results'!$E:$E,"&gt;0")</calculatedColumnFormula>
    </tableColumn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5651E9DB-D3B4-CA46-997F-655733A5071C}" name="ml_predictions_log_scores" displayName="ml_predictions_log_scores" ref="A1:R7" tableType="queryTable" totalsRowShown="0">
  <autoFilter ref="A1:R7" xr:uid="{5651E9DB-D3B4-CA46-997F-655733A5071C}"/>
  <tableColumns count="18">
    <tableColumn id="1" xr3:uid="{D7D2CFD4-F701-8D48-A3A2-7686526B3FE2}" uniqueName="1" name="date" queryTableFieldId="1" dataDxfId="10"/>
    <tableColumn id="2" xr3:uid="{8AB189CD-0773-F94B-BCE3-3755DA41914B}" uniqueName="2" name="game_time" queryTableFieldId="2" dataDxfId="9"/>
    <tableColumn id="3" xr3:uid="{95CCB897-F506-C84E-AA43-74357C00ABDC}" uniqueName="3" name="home_team" queryTableFieldId="3" dataDxfId="8"/>
    <tableColumn id="4" xr3:uid="{91D43264-DAB3-C648-A92A-CAD7FB4199F9}" uniqueName="4" name="away_team" queryTableFieldId="4" dataDxfId="7"/>
    <tableColumn id="5" xr3:uid="{11D5E007-B9C1-4543-914F-A699226E4708}" uniqueName="5" name="ml_predicted_winner" queryTableFieldId="5" dataDxfId="6"/>
    <tableColumn id="6" xr3:uid="{D42458AF-C5A9-7B4E-9212-B6667D0D7C34}" uniqueName="6" name="ml_home_win_prob" queryTableFieldId="6"/>
    <tableColumn id="7" xr3:uid="{EE5F7FF6-1E8F-7046-8660-715A2A1152A9}" uniqueName="7" name="ml_away_win_prob" queryTableFieldId="7"/>
    <tableColumn id="8" xr3:uid="{F0D6DF6B-F847-384A-A731-97006A0BCCE9}" uniqueName="8" name="ml_confidence" queryTableFieldId="8"/>
    <tableColumn id="9" xr3:uid="{7330D29F-9DB5-C04F-96FD-952EF8197879}" uniqueName="9" name="ml_predicted_home_score" queryTableFieldId="9"/>
    <tableColumn id="10" xr3:uid="{E4AE9E7D-0CC8-804C-9834-1B8B7A310D5B}" uniqueName="10" name="ml_predicted_away_score" queryTableFieldId="10"/>
    <tableColumn id="11" xr3:uid="{BD471F4B-27CE-6742-AF7D-60595628F745}" uniqueName="11" name="excel_predicted_winner" queryTableFieldId="11" dataDxfId="5"/>
    <tableColumn id="12" xr3:uid="{1CC0C713-58CB-2641-96A9-E3244F8765EC}" uniqueName="12" name="excel_confidence" queryTableFieldId="12"/>
    <tableColumn id="13" xr3:uid="{BB6A2994-CBA8-AF43-A93B-71560D9FE994}" uniqueName="13" name="excel_homeice_diff" queryTableFieldId="13"/>
    <tableColumn id="14" xr3:uid="{68022F89-A0E1-F941-B0CA-831E4377E07F}" uniqueName="14" name="actual_winner" queryTableFieldId="14" dataDxfId="4"/>
    <tableColumn id="15" xr3:uid="{43C328E0-2628-C646-A293-396F020532B3}" uniqueName="15" name="ml_correct" queryTableFieldId="15" dataDxfId="3"/>
    <tableColumn id="16" xr3:uid="{BF21B78A-4A3A-4445-A378-6C79106E6630}" uniqueName="16" name="excel_correct" queryTableFieldId="16" dataDxfId="2"/>
    <tableColumn id="17" xr3:uid="{83971C46-0F3E-5944-B6AB-A8F6ECD38F8B}" uniqueName="17" name="model_version" queryTableFieldId="17" dataDxfId="1"/>
    <tableColumn id="18" xr3:uid="{9833C29D-C212-D944-9B7D-2A8B6D2DA355}" uniqueName="18" name="notes" queryTableFieldId="18" dataDxfId="0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.xml"/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896007-C7B4-4944-91BA-66DCCD1435C9}">
  <sheetPr codeName="Sheet1"/>
  <dimension ref="A1:J1313"/>
  <sheetViews>
    <sheetView topLeftCell="A284" workbookViewId="0">
      <selection activeCell="G302" sqref="G302:H1313"/>
    </sheetView>
  </sheetViews>
  <sheetFormatPr baseColWidth="10" defaultColWidth="10.83203125" defaultRowHeight="16" x14ac:dyDescent="0.2"/>
  <cols>
    <col min="1" max="1" width="10.5" bestFit="1" customWidth="1"/>
    <col min="2" max="2" width="19.83203125" bestFit="1" customWidth="1"/>
    <col min="3" max="3" width="5" bestFit="1" customWidth="1"/>
    <col min="4" max="4" width="19.83203125" bestFit="1" customWidth="1"/>
    <col min="5" max="5" width="6.83203125" bestFit="1" customWidth="1"/>
    <col min="6" max="6" width="11.1640625" bestFit="1" customWidth="1"/>
    <col min="7" max="8" width="19.83203125" bestFit="1" customWidth="1"/>
    <col min="9" max="9" width="12.5" bestFit="1" customWidth="1"/>
    <col min="10" max="10" width="11.33203125" bestFit="1" customWidth="1"/>
    <col min="11" max="11" width="11.33203125" customWidth="1"/>
    <col min="16" max="16" width="19.83203125" bestFit="1" customWidth="1"/>
  </cols>
  <sheetData>
    <row r="1" spans="1:10" x14ac:dyDescent="0.2">
      <c r="A1" t="s">
        <v>0</v>
      </c>
      <c r="B1" t="s">
        <v>2</v>
      </c>
      <c r="C1" t="s">
        <v>3</v>
      </c>
      <c r="D1" t="s">
        <v>4</v>
      </c>
      <c r="E1" t="s">
        <v>5</v>
      </c>
      <c r="F1" t="s">
        <v>175</v>
      </c>
      <c r="G1" t="s">
        <v>6</v>
      </c>
      <c r="H1" t="s">
        <v>7</v>
      </c>
      <c r="I1" t="s">
        <v>8</v>
      </c>
      <c r="J1" t="s">
        <v>9</v>
      </c>
    </row>
    <row r="2" spans="1:10" x14ac:dyDescent="0.2">
      <c r="A2" s="1" t="s">
        <v>176</v>
      </c>
      <c r="B2" t="s">
        <v>10</v>
      </c>
      <c r="C2">
        <v>2</v>
      </c>
      <c r="D2" t="s">
        <v>11</v>
      </c>
      <c r="E2">
        <v>3</v>
      </c>
      <c r="F2" t="s">
        <v>60</v>
      </c>
      <c r="G2" t="s">
        <v>11</v>
      </c>
      <c r="H2" t="s">
        <v>10</v>
      </c>
      <c r="I2">
        <v>3</v>
      </c>
      <c r="J2">
        <v>2</v>
      </c>
    </row>
    <row r="3" spans="1:10" x14ac:dyDescent="0.2">
      <c r="A3" s="1" t="s">
        <v>176</v>
      </c>
      <c r="B3" t="s">
        <v>12</v>
      </c>
      <c r="C3">
        <v>4</v>
      </c>
      <c r="D3" t="s">
        <v>13</v>
      </c>
      <c r="E3">
        <v>1</v>
      </c>
      <c r="F3" t="s">
        <v>60</v>
      </c>
      <c r="G3" t="s">
        <v>12</v>
      </c>
      <c r="H3" t="s">
        <v>13</v>
      </c>
      <c r="I3">
        <v>4</v>
      </c>
      <c r="J3">
        <v>1</v>
      </c>
    </row>
    <row r="4" spans="1:10" x14ac:dyDescent="0.2">
      <c r="A4" s="1" t="s">
        <v>176</v>
      </c>
      <c r="B4" t="s">
        <v>14</v>
      </c>
      <c r="C4">
        <v>3</v>
      </c>
      <c r="D4" t="s">
        <v>15</v>
      </c>
      <c r="E4">
        <v>0</v>
      </c>
      <c r="F4" t="s">
        <v>60</v>
      </c>
      <c r="G4" t="s">
        <v>14</v>
      </c>
      <c r="H4" t="s">
        <v>15</v>
      </c>
      <c r="I4">
        <v>3</v>
      </c>
      <c r="J4">
        <v>0</v>
      </c>
    </row>
    <row r="5" spans="1:10" x14ac:dyDescent="0.2">
      <c r="A5" s="1" t="s">
        <v>177</v>
      </c>
      <c r="B5" t="s">
        <v>16</v>
      </c>
      <c r="C5">
        <v>4</v>
      </c>
      <c r="D5" t="s">
        <v>17</v>
      </c>
      <c r="E5">
        <v>3</v>
      </c>
      <c r="F5" t="s">
        <v>61</v>
      </c>
      <c r="G5" t="s">
        <v>16</v>
      </c>
      <c r="H5" t="s">
        <v>17</v>
      </c>
      <c r="I5">
        <v>4</v>
      </c>
      <c r="J5">
        <v>3</v>
      </c>
    </row>
    <row r="6" spans="1:10" x14ac:dyDescent="0.2">
      <c r="A6" s="1" t="s">
        <v>177</v>
      </c>
      <c r="B6" t="s">
        <v>18</v>
      </c>
      <c r="C6">
        <v>2</v>
      </c>
      <c r="D6" t="s">
        <v>19</v>
      </c>
      <c r="E6">
        <v>5</v>
      </c>
      <c r="F6" t="s">
        <v>60</v>
      </c>
      <c r="G6" t="s">
        <v>19</v>
      </c>
      <c r="H6" t="s">
        <v>18</v>
      </c>
      <c r="I6">
        <v>5</v>
      </c>
      <c r="J6">
        <v>2</v>
      </c>
    </row>
    <row r="7" spans="1:10" x14ac:dyDescent="0.2">
      <c r="A7" s="1" t="s">
        <v>177</v>
      </c>
      <c r="B7" t="s">
        <v>13</v>
      </c>
      <c r="C7">
        <v>6</v>
      </c>
      <c r="D7" t="s">
        <v>20</v>
      </c>
      <c r="E7">
        <v>5</v>
      </c>
      <c r="F7" t="s">
        <v>61</v>
      </c>
      <c r="G7" t="s">
        <v>13</v>
      </c>
      <c r="H7" t="s">
        <v>20</v>
      </c>
      <c r="I7">
        <v>6</v>
      </c>
      <c r="J7">
        <v>5</v>
      </c>
    </row>
    <row r="8" spans="1:10" x14ac:dyDescent="0.2">
      <c r="A8" s="1" t="s">
        <v>177</v>
      </c>
      <c r="B8" t="s">
        <v>21</v>
      </c>
      <c r="C8">
        <v>3</v>
      </c>
      <c r="D8" t="s">
        <v>22</v>
      </c>
      <c r="E8">
        <v>1</v>
      </c>
      <c r="F8" t="s">
        <v>60</v>
      </c>
      <c r="G8" t="s">
        <v>21</v>
      </c>
      <c r="H8" t="s">
        <v>22</v>
      </c>
      <c r="I8">
        <v>3</v>
      </c>
      <c r="J8">
        <v>1</v>
      </c>
    </row>
    <row r="9" spans="1:10" x14ac:dyDescent="0.2">
      <c r="A9" s="1" t="s">
        <v>178</v>
      </c>
      <c r="B9" t="s">
        <v>10</v>
      </c>
      <c r="C9">
        <v>3</v>
      </c>
      <c r="D9" t="s">
        <v>21</v>
      </c>
      <c r="E9">
        <v>4</v>
      </c>
      <c r="F9" t="s">
        <v>62</v>
      </c>
      <c r="G9" t="s">
        <v>21</v>
      </c>
      <c r="H9" t="s">
        <v>10</v>
      </c>
      <c r="I9">
        <v>4</v>
      </c>
      <c r="J9">
        <v>3</v>
      </c>
    </row>
    <row r="10" spans="1:10" x14ac:dyDescent="0.2">
      <c r="A10" s="1" t="s">
        <v>178</v>
      </c>
      <c r="B10" t="s">
        <v>15</v>
      </c>
      <c r="C10">
        <v>4</v>
      </c>
      <c r="D10" t="s">
        <v>23</v>
      </c>
      <c r="E10">
        <v>0</v>
      </c>
      <c r="F10" t="s">
        <v>60</v>
      </c>
      <c r="G10" t="s">
        <v>15</v>
      </c>
      <c r="H10" t="s">
        <v>23</v>
      </c>
      <c r="I10">
        <v>4</v>
      </c>
      <c r="J10">
        <v>0</v>
      </c>
    </row>
    <row r="11" spans="1:10" x14ac:dyDescent="0.2">
      <c r="A11" s="1" t="s">
        <v>178</v>
      </c>
      <c r="B11" t="s">
        <v>24</v>
      </c>
      <c r="C11">
        <v>3</v>
      </c>
      <c r="D11" t="s">
        <v>25</v>
      </c>
      <c r="E11">
        <v>6</v>
      </c>
      <c r="F11" t="s">
        <v>60</v>
      </c>
      <c r="G11" t="s">
        <v>25</v>
      </c>
      <c r="H11" t="s">
        <v>24</v>
      </c>
      <c r="I11">
        <v>6</v>
      </c>
      <c r="J11">
        <v>3</v>
      </c>
    </row>
    <row r="12" spans="1:10" x14ac:dyDescent="0.2">
      <c r="A12" s="1" t="s">
        <v>178</v>
      </c>
      <c r="B12" t="s">
        <v>55</v>
      </c>
      <c r="C12">
        <v>1</v>
      </c>
      <c r="D12" t="s">
        <v>12</v>
      </c>
      <c r="E12">
        <v>2</v>
      </c>
      <c r="F12" t="s">
        <v>60</v>
      </c>
      <c r="G12" t="s">
        <v>12</v>
      </c>
      <c r="H12" t="s">
        <v>55</v>
      </c>
      <c r="I12">
        <v>2</v>
      </c>
      <c r="J12">
        <v>1</v>
      </c>
    </row>
    <row r="13" spans="1:10" x14ac:dyDescent="0.2">
      <c r="A13" s="1" t="s">
        <v>178</v>
      </c>
      <c r="B13" t="s">
        <v>18</v>
      </c>
      <c r="C13">
        <v>5</v>
      </c>
      <c r="D13" t="s">
        <v>26</v>
      </c>
      <c r="E13">
        <v>1</v>
      </c>
      <c r="F13" t="s">
        <v>60</v>
      </c>
      <c r="G13" t="s">
        <v>18</v>
      </c>
      <c r="H13" t="s">
        <v>26</v>
      </c>
      <c r="I13">
        <v>5</v>
      </c>
      <c r="J13">
        <v>1</v>
      </c>
    </row>
    <row r="14" spans="1:10" x14ac:dyDescent="0.2">
      <c r="A14" s="1" t="s">
        <v>178</v>
      </c>
      <c r="B14" t="s">
        <v>27</v>
      </c>
      <c r="C14">
        <v>1</v>
      </c>
      <c r="D14" t="s">
        <v>11</v>
      </c>
      <c r="E14">
        <v>2</v>
      </c>
      <c r="F14" t="s">
        <v>60</v>
      </c>
      <c r="G14" t="s">
        <v>11</v>
      </c>
      <c r="H14" t="s">
        <v>27</v>
      </c>
      <c r="I14">
        <v>2</v>
      </c>
      <c r="J14">
        <v>1</v>
      </c>
    </row>
    <row r="15" spans="1:10" x14ac:dyDescent="0.2">
      <c r="A15" s="1" t="s">
        <v>178</v>
      </c>
      <c r="B15" t="s">
        <v>28</v>
      </c>
      <c r="C15">
        <v>1</v>
      </c>
      <c r="D15" t="s">
        <v>29</v>
      </c>
      <c r="E15">
        <v>2</v>
      </c>
      <c r="F15" t="s">
        <v>60</v>
      </c>
      <c r="G15" t="s">
        <v>29</v>
      </c>
      <c r="H15" t="s">
        <v>28</v>
      </c>
      <c r="I15">
        <v>2</v>
      </c>
      <c r="J15">
        <v>1</v>
      </c>
    </row>
    <row r="16" spans="1:10" x14ac:dyDescent="0.2">
      <c r="A16" s="1" t="s">
        <v>178</v>
      </c>
      <c r="B16" t="s">
        <v>30</v>
      </c>
      <c r="C16">
        <v>3</v>
      </c>
      <c r="D16" t="s">
        <v>14</v>
      </c>
      <c r="E16">
        <v>4</v>
      </c>
      <c r="F16" t="s">
        <v>60</v>
      </c>
      <c r="G16" t="s">
        <v>14</v>
      </c>
      <c r="H16" t="s">
        <v>30</v>
      </c>
      <c r="I16">
        <v>4</v>
      </c>
      <c r="J16">
        <v>3</v>
      </c>
    </row>
    <row r="17" spans="1:10" x14ac:dyDescent="0.2">
      <c r="A17" s="1" t="s">
        <v>178</v>
      </c>
      <c r="B17" t="s">
        <v>31</v>
      </c>
      <c r="C17">
        <v>1</v>
      </c>
      <c r="D17" t="s">
        <v>32</v>
      </c>
      <c r="E17">
        <v>3</v>
      </c>
      <c r="F17" t="s">
        <v>60</v>
      </c>
      <c r="G17" t="s">
        <v>32</v>
      </c>
      <c r="H17" t="s">
        <v>31</v>
      </c>
      <c r="I17">
        <v>3</v>
      </c>
      <c r="J17">
        <v>1</v>
      </c>
    </row>
    <row r="18" spans="1:10" x14ac:dyDescent="0.2">
      <c r="A18" s="1" t="s">
        <v>178</v>
      </c>
      <c r="B18" t="s">
        <v>20</v>
      </c>
      <c r="C18">
        <v>4</v>
      </c>
      <c r="D18" t="s">
        <v>33</v>
      </c>
      <c r="E18">
        <v>3</v>
      </c>
      <c r="F18" t="s">
        <v>62</v>
      </c>
      <c r="G18" t="s">
        <v>20</v>
      </c>
      <c r="H18" t="s">
        <v>33</v>
      </c>
      <c r="I18">
        <v>4</v>
      </c>
      <c r="J18">
        <v>3</v>
      </c>
    </row>
    <row r="19" spans="1:10" x14ac:dyDescent="0.2">
      <c r="A19" s="1" t="s">
        <v>178</v>
      </c>
      <c r="B19" t="s">
        <v>34</v>
      </c>
      <c r="C19">
        <v>5</v>
      </c>
      <c r="D19" t="s">
        <v>35</v>
      </c>
      <c r="E19">
        <v>0</v>
      </c>
      <c r="F19" t="s">
        <v>60</v>
      </c>
      <c r="G19" t="s">
        <v>34</v>
      </c>
      <c r="H19" t="s">
        <v>35</v>
      </c>
      <c r="I19">
        <v>5</v>
      </c>
      <c r="J19">
        <v>0</v>
      </c>
    </row>
    <row r="20" spans="1:10" x14ac:dyDescent="0.2">
      <c r="A20" s="1" t="s">
        <v>178</v>
      </c>
      <c r="B20" t="s">
        <v>36</v>
      </c>
      <c r="C20">
        <v>5</v>
      </c>
      <c r="D20" t="s">
        <v>37</v>
      </c>
      <c r="E20">
        <v>4</v>
      </c>
      <c r="F20" t="s">
        <v>60</v>
      </c>
      <c r="G20" t="s">
        <v>36</v>
      </c>
      <c r="H20" t="s">
        <v>37</v>
      </c>
      <c r="I20">
        <v>5</v>
      </c>
      <c r="J20">
        <v>4</v>
      </c>
    </row>
    <row r="21" spans="1:10" x14ac:dyDescent="0.2">
      <c r="A21" s="1" t="s">
        <v>178</v>
      </c>
      <c r="B21" t="s">
        <v>16</v>
      </c>
      <c r="C21">
        <v>1</v>
      </c>
      <c r="D21" t="s">
        <v>38</v>
      </c>
      <c r="E21">
        <v>5</v>
      </c>
      <c r="F21" t="s">
        <v>60</v>
      </c>
      <c r="G21" t="s">
        <v>38</v>
      </c>
      <c r="H21" t="s">
        <v>16</v>
      </c>
      <c r="I21">
        <v>5</v>
      </c>
      <c r="J21">
        <v>1</v>
      </c>
    </row>
    <row r="22" spans="1:10" x14ac:dyDescent="0.2">
      <c r="A22" s="1" t="s">
        <v>178</v>
      </c>
      <c r="B22" t="s">
        <v>39</v>
      </c>
      <c r="C22">
        <v>5</v>
      </c>
      <c r="D22" t="s">
        <v>40</v>
      </c>
      <c r="E22">
        <v>4</v>
      </c>
      <c r="F22" t="s">
        <v>60</v>
      </c>
      <c r="G22" t="s">
        <v>39</v>
      </c>
      <c r="H22" t="s">
        <v>40</v>
      </c>
      <c r="I22">
        <v>5</v>
      </c>
      <c r="J22">
        <v>4</v>
      </c>
    </row>
    <row r="23" spans="1:10" x14ac:dyDescent="0.2">
      <c r="A23" s="1" t="s">
        <v>179</v>
      </c>
      <c r="B23" t="s">
        <v>23</v>
      </c>
      <c r="C23">
        <v>1</v>
      </c>
      <c r="D23" t="s">
        <v>21</v>
      </c>
      <c r="E23">
        <v>3</v>
      </c>
      <c r="F23" t="s">
        <v>60</v>
      </c>
      <c r="G23" t="s">
        <v>21</v>
      </c>
      <c r="H23" t="s">
        <v>23</v>
      </c>
      <c r="I23">
        <v>3</v>
      </c>
      <c r="J23">
        <v>1</v>
      </c>
    </row>
    <row r="24" spans="1:10" x14ac:dyDescent="0.2">
      <c r="A24" s="1" t="s">
        <v>179</v>
      </c>
      <c r="B24" t="s">
        <v>27</v>
      </c>
      <c r="C24">
        <v>3</v>
      </c>
      <c r="D24" t="s">
        <v>25</v>
      </c>
      <c r="E24">
        <v>4</v>
      </c>
      <c r="F24" t="s">
        <v>62</v>
      </c>
      <c r="G24" t="s">
        <v>25</v>
      </c>
      <c r="H24" t="s">
        <v>27</v>
      </c>
      <c r="I24">
        <v>4</v>
      </c>
      <c r="J24">
        <v>3</v>
      </c>
    </row>
    <row r="25" spans="1:10" x14ac:dyDescent="0.2">
      <c r="A25" s="1" t="s">
        <v>179</v>
      </c>
      <c r="B25" t="s">
        <v>35</v>
      </c>
      <c r="C25">
        <v>4</v>
      </c>
      <c r="D25" t="s">
        <v>16</v>
      </c>
      <c r="E25">
        <v>2</v>
      </c>
      <c r="F25" t="s">
        <v>60</v>
      </c>
      <c r="G25" t="s">
        <v>35</v>
      </c>
      <c r="H25" t="s">
        <v>16</v>
      </c>
      <c r="I25">
        <v>4</v>
      </c>
      <c r="J25">
        <v>2</v>
      </c>
    </row>
    <row r="26" spans="1:10" x14ac:dyDescent="0.2">
      <c r="A26" s="1" t="s">
        <v>179</v>
      </c>
      <c r="B26" t="s">
        <v>18</v>
      </c>
      <c r="C26">
        <v>3</v>
      </c>
      <c r="D26" t="s">
        <v>10</v>
      </c>
      <c r="E26">
        <v>2</v>
      </c>
      <c r="F26" t="s">
        <v>60</v>
      </c>
      <c r="G26" t="s">
        <v>18</v>
      </c>
      <c r="H26" t="s">
        <v>10</v>
      </c>
      <c r="I26">
        <v>3</v>
      </c>
      <c r="J26">
        <v>2</v>
      </c>
    </row>
    <row r="27" spans="1:10" x14ac:dyDescent="0.2">
      <c r="A27" s="1" t="s">
        <v>179</v>
      </c>
      <c r="B27" t="s">
        <v>39</v>
      </c>
      <c r="C27">
        <v>5</v>
      </c>
      <c r="D27" t="s">
        <v>12</v>
      </c>
      <c r="E27">
        <v>4</v>
      </c>
      <c r="F27" t="s">
        <v>61</v>
      </c>
      <c r="G27" t="s">
        <v>39</v>
      </c>
      <c r="H27" t="s">
        <v>12</v>
      </c>
      <c r="I27">
        <v>5</v>
      </c>
      <c r="J27">
        <v>4</v>
      </c>
    </row>
    <row r="28" spans="1:10" x14ac:dyDescent="0.2">
      <c r="A28" s="1" t="s">
        <v>179</v>
      </c>
      <c r="B28" t="s">
        <v>19</v>
      </c>
      <c r="C28">
        <v>3</v>
      </c>
      <c r="D28" t="s">
        <v>26</v>
      </c>
      <c r="E28">
        <v>6</v>
      </c>
      <c r="F28" t="s">
        <v>60</v>
      </c>
      <c r="G28" t="s">
        <v>26</v>
      </c>
      <c r="H28" t="s">
        <v>19</v>
      </c>
      <c r="I28">
        <v>6</v>
      </c>
      <c r="J28">
        <v>3</v>
      </c>
    </row>
    <row r="29" spans="1:10" x14ac:dyDescent="0.2">
      <c r="A29" s="1" t="s">
        <v>179</v>
      </c>
      <c r="B29" t="s">
        <v>38</v>
      </c>
      <c r="C29">
        <v>1</v>
      </c>
      <c r="D29" t="s">
        <v>17</v>
      </c>
      <c r="E29">
        <v>3</v>
      </c>
      <c r="F29" t="s">
        <v>60</v>
      </c>
      <c r="G29" t="s">
        <v>17</v>
      </c>
      <c r="H29" t="s">
        <v>38</v>
      </c>
      <c r="I29">
        <v>3</v>
      </c>
      <c r="J29">
        <v>1</v>
      </c>
    </row>
    <row r="30" spans="1:10" x14ac:dyDescent="0.2">
      <c r="A30" s="1" t="s">
        <v>179</v>
      </c>
      <c r="B30" t="s">
        <v>36</v>
      </c>
      <c r="C30">
        <v>2</v>
      </c>
      <c r="D30" t="s">
        <v>11</v>
      </c>
      <c r="E30">
        <v>6</v>
      </c>
      <c r="F30" t="s">
        <v>60</v>
      </c>
      <c r="G30" t="s">
        <v>11</v>
      </c>
      <c r="H30" t="s">
        <v>36</v>
      </c>
      <c r="I30">
        <v>6</v>
      </c>
      <c r="J30">
        <v>2</v>
      </c>
    </row>
    <row r="31" spans="1:10" x14ac:dyDescent="0.2">
      <c r="A31" s="1" t="s">
        <v>179</v>
      </c>
      <c r="B31" t="s">
        <v>28</v>
      </c>
      <c r="C31">
        <v>7</v>
      </c>
      <c r="D31" t="s">
        <v>34</v>
      </c>
      <c r="E31">
        <v>4</v>
      </c>
      <c r="F31" t="s">
        <v>60</v>
      </c>
      <c r="G31" t="s">
        <v>28</v>
      </c>
      <c r="H31" t="s">
        <v>34</v>
      </c>
      <c r="I31">
        <v>7</v>
      </c>
      <c r="J31">
        <v>4</v>
      </c>
    </row>
    <row r="32" spans="1:10" x14ac:dyDescent="0.2">
      <c r="A32" s="1" t="s">
        <v>179</v>
      </c>
      <c r="B32" t="s">
        <v>55</v>
      </c>
      <c r="C32">
        <v>3</v>
      </c>
      <c r="D32" t="s">
        <v>29</v>
      </c>
      <c r="E32">
        <v>2</v>
      </c>
      <c r="F32" t="s">
        <v>62</v>
      </c>
      <c r="G32" t="s">
        <v>55</v>
      </c>
      <c r="H32" t="s">
        <v>29</v>
      </c>
      <c r="I32">
        <v>3</v>
      </c>
      <c r="J32">
        <v>2</v>
      </c>
    </row>
    <row r="33" spans="1:10" x14ac:dyDescent="0.2">
      <c r="A33" s="1" t="s">
        <v>179</v>
      </c>
      <c r="B33" t="s">
        <v>22</v>
      </c>
      <c r="C33">
        <v>4</v>
      </c>
      <c r="D33" t="s">
        <v>30</v>
      </c>
      <c r="E33">
        <v>2</v>
      </c>
      <c r="F33" t="s">
        <v>60</v>
      </c>
      <c r="G33" t="s">
        <v>22</v>
      </c>
      <c r="H33" t="s">
        <v>30</v>
      </c>
      <c r="I33">
        <v>4</v>
      </c>
      <c r="J33">
        <v>2</v>
      </c>
    </row>
    <row r="34" spans="1:10" x14ac:dyDescent="0.2">
      <c r="A34" s="1" t="s">
        <v>179</v>
      </c>
      <c r="B34" t="s">
        <v>15</v>
      </c>
      <c r="C34">
        <v>6</v>
      </c>
      <c r="D34" t="s">
        <v>14</v>
      </c>
      <c r="E34">
        <v>1</v>
      </c>
      <c r="F34" t="s">
        <v>60</v>
      </c>
      <c r="G34" t="s">
        <v>15</v>
      </c>
      <c r="H34" t="s">
        <v>14</v>
      </c>
      <c r="I34">
        <v>6</v>
      </c>
      <c r="J34">
        <v>1</v>
      </c>
    </row>
    <row r="35" spans="1:10" x14ac:dyDescent="0.2">
      <c r="A35" s="1" t="s">
        <v>179</v>
      </c>
      <c r="B35" t="s">
        <v>20</v>
      </c>
      <c r="C35">
        <v>1</v>
      </c>
      <c r="D35" t="s">
        <v>32</v>
      </c>
      <c r="E35">
        <v>2</v>
      </c>
      <c r="F35" t="s">
        <v>62</v>
      </c>
      <c r="G35" t="s">
        <v>32</v>
      </c>
      <c r="H35" t="s">
        <v>20</v>
      </c>
      <c r="I35">
        <v>2</v>
      </c>
      <c r="J35">
        <v>1</v>
      </c>
    </row>
    <row r="36" spans="1:10" x14ac:dyDescent="0.2">
      <c r="A36" s="1" t="s">
        <v>179</v>
      </c>
      <c r="B36" t="s">
        <v>31</v>
      </c>
      <c r="C36">
        <v>7</v>
      </c>
      <c r="D36" t="s">
        <v>33</v>
      </c>
      <c r="E36">
        <v>6</v>
      </c>
      <c r="F36" t="s">
        <v>62</v>
      </c>
      <c r="G36" t="s">
        <v>31</v>
      </c>
      <c r="H36" t="s">
        <v>33</v>
      </c>
      <c r="I36">
        <v>7</v>
      </c>
      <c r="J36">
        <v>6</v>
      </c>
    </row>
    <row r="37" spans="1:10" x14ac:dyDescent="0.2">
      <c r="A37" s="1" t="s">
        <v>179</v>
      </c>
      <c r="B37" t="s">
        <v>24</v>
      </c>
      <c r="C37">
        <v>5</v>
      </c>
      <c r="D37" t="s">
        <v>37</v>
      </c>
      <c r="E37">
        <v>3</v>
      </c>
      <c r="F37" t="s">
        <v>60</v>
      </c>
      <c r="G37" t="s">
        <v>24</v>
      </c>
      <c r="H37" t="s">
        <v>37</v>
      </c>
      <c r="I37">
        <v>5</v>
      </c>
      <c r="J37">
        <v>3</v>
      </c>
    </row>
    <row r="38" spans="1:10" x14ac:dyDescent="0.2">
      <c r="A38" s="1" t="s">
        <v>179</v>
      </c>
      <c r="B38" t="s">
        <v>13</v>
      </c>
      <c r="C38">
        <v>2</v>
      </c>
      <c r="D38" t="s">
        <v>40</v>
      </c>
      <c r="E38">
        <v>3</v>
      </c>
      <c r="F38" t="s">
        <v>60</v>
      </c>
      <c r="G38" t="s">
        <v>40</v>
      </c>
      <c r="H38" t="s">
        <v>13</v>
      </c>
      <c r="I38">
        <v>3</v>
      </c>
      <c r="J38">
        <v>2</v>
      </c>
    </row>
    <row r="39" spans="1:10" x14ac:dyDescent="0.2">
      <c r="A39" s="1" t="s">
        <v>180</v>
      </c>
      <c r="B39" t="s">
        <v>22</v>
      </c>
      <c r="C39">
        <v>1</v>
      </c>
      <c r="D39" t="s">
        <v>15</v>
      </c>
      <c r="E39">
        <v>0</v>
      </c>
      <c r="F39" t="s">
        <v>60</v>
      </c>
      <c r="G39" t="s">
        <v>22</v>
      </c>
      <c r="H39" t="s">
        <v>15</v>
      </c>
      <c r="I39">
        <v>1</v>
      </c>
      <c r="J39">
        <v>0</v>
      </c>
    </row>
    <row r="40" spans="1:10" x14ac:dyDescent="0.2">
      <c r="A40" s="1" t="s">
        <v>181</v>
      </c>
      <c r="B40" t="s">
        <v>37</v>
      </c>
      <c r="C40">
        <v>4</v>
      </c>
      <c r="D40" t="s">
        <v>21</v>
      </c>
      <c r="E40">
        <v>3</v>
      </c>
      <c r="F40" t="s">
        <v>60</v>
      </c>
      <c r="G40" t="s">
        <v>37</v>
      </c>
      <c r="H40" t="s">
        <v>21</v>
      </c>
      <c r="I40">
        <v>4</v>
      </c>
      <c r="J40">
        <v>3</v>
      </c>
    </row>
    <row r="41" spans="1:10" x14ac:dyDescent="0.2">
      <c r="A41" s="1" t="s">
        <v>181</v>
      </c>
      <c r="B41" t="s">
        <v>12</v>
      </c>
      <c r="C41">
        <v>3</v>
      </c>
      <c r="D41" t="s">
        <v>23</v>
      </c>
      <c r="E41">
        <v>1</v>
      </c>
      <c r="F41" t="s">
        <v>60</v>
      </c>
      <c r="G41" t="s">
        <v>12</v>
      </c>
      <c r="H41" t="s">
        <v>23</v>
      </c>
      <c r="I41">
        <v>3</v>
      </c>
      <c r="J41">
        <v>1</v>
      </c>
    </row>
    <row r="42" spans="1:10" x14ac:dyDescent="0.2">
      <c r="A42" s="1" t="s">
        <v>181</v>
      </c>
      <c r="B42" t="s">
        <v>24</v>
      </c>
      <c r="C42">
        <v>3</v>
      </c>
      <c r="D42" t="s">
        <v>28</v>
      </c>
      <c r="E42">
        <v>2</v>
      </c>
      <c r="F42" t="s">
        <v>60</v>
      </c>
      <c r="G42" t="s">
        <v>24</v>
      </c>
      <c r="H42" t="s">
        <v>28</v>
      </c>
      <c r="I42">
        <v>3</v>
      </c>
      <c r="J42">
        <v>2</v>
      </c>
    </row>
    <row r="43" spans="1:10" x14ac:dyDescent="0.2">
      <c r="A43" s="1" t="s">
        <v>181</v>
      </c>
      <c r="B43" t="s">
        <v>55</v>
      </c>
      <c r="C43">
        <v>1</v>
      </c>
      <c r="D43" t="s">
        <v>10</v>
      </c>
      <c r="E43">
        <v>3</v>
      </c>
      <c r="F43" t="s">
        <v>60</v>
      </c>
      <c r="G43" t="s">
        <v>10</v>
      </c>
      <c r="H43" t="s">
        <v>55</v>
      </c>
      <c r="I43">
        <v>3</v>
      </c>
      <c r="J43">
        <v>1</v>
      </c>
    </row>
    <row r="44" spans="1:10" x14ac:dyDescent="0.2">
      <c r="A44" s="1" t="s">
        <v>181</v>
      </c>
      <c r="B44" t="s">
        <v>13</v>
      </c>
      <c r="C44">
        <v>3</v>
      </c>
      <c r="D44" t="s">
        <v>34</v>
      </c>
      <c r="E44">
        <v>4</v>
      </c>
      <c r="F44" t="s">
        <v>61</v>
      </c>
      <c r="G44" t="s">
        <v>34</v>
      </c>
      <c r="H44" t="s">
        <v>13</v>
      </c>
      <c r="I44">
        <v>4</v>
      </c>
      <c r="J44">
        <v>3</v>
      </c>
    </row>
    <row r="45" spans="1:10" x14ac:dyDescent="0.2">
      <c r="A45" s="1" t="s">
        <v>181</v>
      </c>
      <c r="B45" t="s">
        <v>40</v>
      </c>
      <c r="C45">
        <v>5</v>
      </c>
      <c r="D45" t="s">
        <v>30</v>
      </c>
      <c r="E45">
        <v>2</v>
      </c>
      <c r="F45" t="s">
        <v>60</v>
      </c>
      <c r="G45" t="s">
        <v>40</v>
      </c>
      <c r="H45" t="s">
        <v>30</v>
      </c>
      <c r="I45">
        <v>5</v>
      </c>
      <c r="J45">
        <v>2</v>
      </c>
    </row>
    <row r="46" spans="1:10" x14ac:dyDescent="0.2">
      <c r="A46" s="1" t="s">
        <v>181</v>
      </c>
      <c r="B46" t="s">
        <v>29</v>
      </c>
      <c r="C46">
        <v>4</v>
      </c>
      <c r="D46" t="s">
        <v>36</v>
      </c>
      <c r="E46">
        <v>1</v>
      </c>
      <c r="F46" t="s">
        <v>60</v>
      </c>
      <c r="G46" t="s">
        <v>29</v>
      </c>
      <c r="H46" t="s">
        <v>36</v>
      </c>
      <c r="I46">
        <v>4</v>
      </c>
      <c r="J46">
        <v>1</v>
      </c>
    </row>
    <row r="47" spans="1:10" x14ac:dyDescent="0.2">
      <c r="A47" s="1" t="s">
        <v>181</v>
      </c>
      <c r="B47" t="s">
        <v>11</v>
      </c>
      <c r="C47">
        <v>2</v>
      </c>
      <c r="D47" t="s">
        <v>27</v>
      </c>
      <c r="E47">
        <v>5</v>
      </c>
      <c r="F47" t="s">
        <v>60</v>
      </c>
      <c r="G47" t="s">
        <v>27</v>
      </c>
      <c r="H47" t="s">
        <v>11</v>
      </c>
      <c r="I47">
        <v>5</v>
      </c>
      <c r="J47">
        <v>2</v>
      </c>
    </row>
    <row r="48" spans="1:10" x14ac:dyDescent="0.2">
      <c r="A48" s="1" t="s">
        <v>181</v>
      </c>
      <c r="B48" t="s">
        <v>26</v>
      </c>
      <c r="C48">
        <v>3</v>
      </c>
      <c r="D48" t="s">
        <v>19</v>
      </c>
      <c r="E48">
        <v>2</v>
      </c>
      <c r="F48" t="s">
        <v>60</v>
      </c>
      <c r="G48" t="s">
        <v>26</v>
      </c>
      <c r="H48" t="s">
        <v>19</v>
      </c>
      <c r="I48">
        <v>3</v>
      </c>
      <c r="J48">
        <v>2</v>
      </c>
    </row>
    <row r="49" spans="1:10" x14ac:dyDescent="0.2">
      <c r="A49" s="1" t="s">
        <v>181</v>
      </c>
      <c r="B49" t="s">
        <v>35</v>
      </c>
      <c r="C49">
        <v>5</v>
      </c>
      <c r="D49" t="s">
        <v>38</v>
      </c>
      <c r="E49">
        <v>2</v>
      </c>
      <c r="F49" t="s">
        <v>60</v>
      </c>
      <c r="G49" t="s">
        <v>35</v>
      </c>
      <c r="H49" t="s">
        <v>38</v>
      </c>
      <c r="I49">
        <v>5</v>
      </c>
      <c r="J49">
        <v>2</v>
      </c>
    </row>
    <row r="50" spans="1:10" x14ac:dyDescent="0.2">
      <c r="A50" s="1" t="s">
        <v>182</v>
      </c>
      <c r="B50" t="s">
        <v>14</v>
      </c>
      <c r="C50">
        <v>3</v>
      </c>
      <c r="D50" t="s">
        <v>31</v>
      </c>
      <c r="E50">
        <v>4</v>
      </c>
      <c r="F50" t="s">
        <v>60</v>
      </c>
      <c r="G50" t="s">
        <v>31</v>
      </c>
      <c r="H50" t="s">
        <v>14</v>
      </c>
      <c r="I50">
        <v>4</v>
      </c>
      <c r="J50">
        <v>3</v>
      </c>
    </row>
    <row r="51" spans="1:10" x14ac:dyDescent="0.2">
      <c r="A51" s="1" t="s">
        <v>182</v>
      </c>
      <c r="B51" t="s">
        <v>20</v>
      </c>
      <c r="C51">
        <v>4</v>
      </c>
      <c r="D51" t="s">
        <v>16</v>
      </c>
      <c r="E51">
        <v>2</v>
      </c>
      <c r="F51" t="s">
        <v>60</v>
      </c>
      <c r="G51" t="s">
        <v>20</v>
      </c>
      <c r="H51" t="s">
        <v>16</v>
      </c>
      <c r="I51">
        <v>4</v>
      </c>
      <c r="J51">
        <v>2</v>
      </c>
    </row>
    <row r="52" spans="1:10" x14ac:dyDescent="0.2">
      <c r="A52" s="1" t="s">
        <v>182</v>
      </c>
      <c r="B52" t="s">
        <v>34</v>
      </c>
      <c r="C52">
        <v>2</v>
      </c>
      <c r="D52" t="s">
        <v>39</v>
      </c>
      <c r="E52">
        <v>5</v>
      </c>
      <c r="F52" t="s">
        <v>60</v>
      </c>
      <c r="G52" t="s">
        <v>39</v>
      </c>
      <c r="H52" t="s">
        <v>34</v>
      </c>
      <c r="I52">
        <v>5</v>
      </c>
      <c r="J52">
        <v>2</v>
      </c>
    </row>
    <row r="53" spans="1:10" x14ac:dyDescent="0.2">
      <c r="A53" s="1" t="s">
        <v>182</v>
      </c>
      <c r="B53" t="s">
        <v>32</v>
      </c>
      <c r="C53">
        <v>4</v>
      </c>
      <c r="D53" t="s">
        <v>18</v>
      </c>
      <c r="E53">
        <v>5</v>
      </c>
      <c r="F53" t="s">
        <v>62</v>
      </c>
      <c r="G53" t="s">
        <v>18</v>
      </c>
      <c r="H53" t="s">
        <v>32</v>
      </c>
      <c r="I53">
        <v>5</v>
      </c>
      <c r="J53">
        <v>4</v>
      </c>
    </row>
    <row r="54" spans="1:10" x14ac:dyDescent="0.2">
      <c r="A54" s="1" t="s">
        <v>182</v>
      </c>
      <c r="B54" t="s">
        <v>17</v>
      </c>
      <c r="C54">
        <v>2</v>
      </c>
      <c r="D54" t="s">
        <v>15</v>
      </c>
      <c r="E54">
        <v>0</v>
      </c>
      <c r="F54" t="s">
        <v>60</v>
      </c>
      <c r="G54" t="s">
        <v>17</v>
      </c>
      <c r="H54" t="s">
        <v>15</v>
      </c>
      <c r="I54">
        <v>2</v>
      </c>
      <c r="J54">
        <v>0</v>
      </c>
    </row>
    <row r="55" spans="1:10" x14ac:dyDescent="0.2">
      <c r="A55" s="1" t="s">
        <v>182</v>
      </c>
      <c r="B55" t="s">
        <v>25</v>
      </c>
      <c r="C55">
        <v>5</v>
      </c>
      <c r="D55" t="s">
        <v>33</v>
      </c>
      <c r="E55">
        <v>1</v>
      </c>
      <c r="F55" t="s">
        <v>60</v>
      </c>
      <c r="G55" t="s">
        <v>25</v>
      </c>
      <c r="H55" t="s">
        <v>33</v>
      </c>
      <c r="I55">
        <v>5</v>
      </c>
      <c r="J55">
        <v>1</v>
      </c>
    </row>
    <row r="56" spans="1:10" x14ac:dyDescent="0.2">
      <c r="A56" s="1" t="s">
        <v>182</v>
      </c>
      <c r="B56" t="s">
        <v>29</v>
      </c>
      <c r="C56">
        <v>4</v>
      </c>
      <c r="D56" t="s">
        <v>19</v>
      </c>
      <c r="E56">
        <v>7</v>
      </c>
      <c r="F56" t="s">
        <v>60</v>
      </c>
      <c r="G56" t="s">
        <v>19</v>
      </c>
      <c r="H56" t="s">
        <v>29</v>
      </c>
      <c r="I56">
        <v>7</v>
      </c>
      <c r="J56">
        <v>4</v>
      </c>
    </row>
    <row r="57" spans="1:10" x14ac:dyDescent="0.2">
      <c r="A57" s="1" t="s">
        <v>182</v>
      </c>
      <c r="B57" t="s">
        <v>37</v>
      </c>
      <c r="C57">
        <v>2</v>
      </c>
      <c r="D57" t="s">
        <v>22</v>
      </c>
      <c r="E57">
        <v>3</v>
      </c>
      <c r="F57" t="s">
        <v>62</v>
      </c>
      <c r="G57" t="s">
        <v>22</v>
      </c>
      <c r="H57" t="s">
        <v>37</v>
      </c>
      <c r="I57">
        <v>3</v>
      </c>
      <c r="J57">
        <v>2</v>
      </c>
    </row>
    <row r="58" spans="1:10" x14ac:dyDescent="0.2">
      <c r="A58" s="1" t="s">
        <v>183</v>
      </c>
      <c r="B58" t="s">
        <v>36</v>
      </c>
      <c r="C58">
        <v>4</v>
      </c>
      <c r="D58" t="s">
        <v>23</v>
      </c>
      <c r="E58">
        <v>8</v>
      </c>
      <c r="F58" t="s">
        <v>60</v>
      </c>
      <c r="G58" t="s">
        <v>23</v>
      </c>
      <c r="H58" t="s">
        <v>36</v>
      </c>
      <c r="I58">
        <v>8</v>
      </c>
      <c r="J58">
        <v>4</v>
      </c>
    </row>
    <row r="59" spans="1:10" x14ac:dyDescent="0.2">
      <c r="A59" s="1" t="s">
        <v>183</v>
      </c>
      <c r="B59" t="s">
        <v>11</v>
      </c>
      <c r="C59">
        <v>1</v>
      </c>
      <c r="D59" t="s">
        <v>26</v>
      </c>
      <c r="E59">
        <v>4</v>
      </c>
      <c r="F59" t="s">
        <v>60</v>
      </c>
      <c r="G59" t="s">
        <v>26</v>
      </c>
      <c r="H59" t="s">
        <v>11</v>
      </c>
      <c r="I59">
        <v>4</v>
      </c>
      <c r="J59">
        <v>1</v>
      </c>
    </row>
    <row r="60" spans="1:10" x14ac:dyDescent="0.2">
      <c r="A60" s="1" t="s">
        <v>183</v>
      </c>
      <c r="B60" t="s">
        <v>10</v>
      </c>
      <c r="C60">
        <v>8</v>
      </c>
      <c r="D60" t="s">
        <v>35</v>
      </c>
      <c r="E60">
        <v>3</v>
      </c>
      <c r="F60" t="s">
        <v>60</v>
      </c>
      <c r="G60" t="s">
        <v>10</v>
      </c>
      <c r="H60" t="s">
        <v>35</v>
      </c>
      <c r="I60">
        <v>8</v>
      </c>
      <c r="J60">
        <v>3</v>
      </c>
    </row>
    <row r="61" spans="1:10" x14ac:dyDescent="0.2">
      <c r="A61" s="1" t="s">
        <v>183</v>
      </c>
      <c r="B61" t="s">
        <v>16</v>
      </c>
      <c r="C61">
        <v>1</v>
      </c>
      <c r="D61" t="s">
        <v>55</v>
      </c>
      <c r="E61">
        <v>3</v>
      </c>
      <c r="F61" t="s">
        <v>60</v>
      </c>
      <c r="G61" t="s">
        <v>55</v>
      </c>
      <c r="H61" t="s">
        <v>16</v>
      </c>
      <c r="I61">
        <v>3</v>
      </c>
      <c r="J61">
        <v>1</v>
      </c>
    </row>
    <row r="62" spans="1:10" x14ac:dyDescent="0.2">
      <c r="A62" s="1" t="s">
        <v>184</v>
      </c>
      <c r="B62" t="s">
        <v>25</v>
      </c>
      <c r="C62">
        <v>4</v>
      </c>
      <c r="D62" t="s">
        <v>31</v>
      </c>
      <c r="E62">
        <v>1</v>
      </c>
      <c r="F62" t="s">
        <v>60</v>
      </c>
      <c r="G62" t="s">
        <v>25</v>
      </c>
      <c r="H62" t="s">
        <v>31</v>
      </c>
      <c r="I62">
        <v>4</v>
      </c>
      <c r="J62">
        <v>1</v>
      </c>
    </row>
    <row r="63" spans="1:10" x14ac:dyDescent="0.2">
      <c r="A63" s="1" t="s">
        <v>184</v>
      </c>
      <c r="B63" t="s">
        <v>12</v>
      </c>
      <c r="C63">
        <v>4</v>
      </c>
      <c r="D63" t="s">
        <v>28</v>
      </c>
      <c r="E63">
        <v>1</v>
      </c>
      <c r="F63" t="s">
        <v>60</v>
      </c>
      <c r="G63" t="s">
        <v>12</v>
      </c>
      <c r="H63" t="s">
        <v>28</v>
      </c>
      <c r="I63">
        <v>4</v>
      </c>
      <c r="J63">
        <v>1</v>
      </c>
    </row>
    <row r="64" spans="1:10" x14ac:dyDescent="0.2">
      <c r="A64" s="1" t="s">
        <v>184</v>
      </c>
      <c r="B64" t="s">
        <v>38</v>
      </c>
      <c r="C64">
        <v>5</v>
      </c>
      <c r="D64" t="s">
        <v>39</v>
      </c>
      <c r="E64">
        <v>3</v>
      </c>
      <c r="F64" t="s">
        <v>60</v>
      </c>
      <c r="G64" t="s">
        <v>38</v>
      </c>
      <c r="H64" t="s">
        <v>39</v>
      </c>
      <c r="I64">
        <v>5</v>
      </c>
      <c r="J64">
        <v>3</v>
      </c>
    </row>
    <row r="65" spans="1:10" x14ac:dyDescent="0.2">
      <c r="A65" s="1" t="s">
        <v>184</v>
      </c>
      <c r="B65" t="s">
        <v>14</v>
      </c>
      <c r="C65">
        <v>4</v>
      </c>
      <c r="D65" t="s">
        <v>13</v>
      </c>
      <c r="E65">
        <v>2</v>
      </c>
      <c r="F65" t="s">
        <v>60</v>
      </c>
      <c r="G65" t="s">
        <v>14</v>
      </c>
      <c r="H65" t="s">
        <v>13</v>
      </c>
      <c r="I65">
        <v>4</v>
      </c>
      <c r="J65">
        <v>2</v>
      </c>
    </row>
    <row r="66" spans="1:10" x14ac:dyDescent="0.2">
      <c r="A66" s="1" t="s">
        <v>184</v>
      </c>
      <c r="B66" t="s">
        <v>29</v>
      </c>
      <c r="C66">
        <v>2</v>
      </c>
      <c r="D66" t="s">
        <v>18</v>
      </c>
      <c r="E66">
        <v>3</v>
      </c>
      <c r="F66" t="s">
        <v>62</v>
      </c>
      <c r="G66" t="s">
        <v>18</v>
      </c>
      <c r="H66" t="s">
        <v>29</v>
      </c>
      <c r="I66">
        <v>3</v>
      </c>
      <c r="J66">
        <v>2</v>
      </c>
    </row>
    <row r="67" spans="1:10" x14ac:dyDescent="0.2">
      <c r="A67" s="1" t="s">
        <v>184</v>
      </c>
      <c r="B67" t="s">
        <v>11</v>
      </c>
      <c r="C67">
        <v>1</v>
      </c>
      <c r="D67" t="s">
        <v>24</v>
      </c>
      <c r="E67">
        <v>3</v>
      </c>
      <c r="F67" t="s">
        <v>60</v>
      </c>
      <c r="G67" t="s">
        <v>24</v>
      </c>
      <c r="H67" t="s">
        <v>11</v>
      </c>
      <c r="I67">
        <v>3</v>
      </c>
      <c r="J67">
        <v>1</v>
      </c>
    </row>
    <row r="68" spans="1:10" x14ac:dyDescent="0.2">
      <c r="A68" s="1" t="s">
        <v>184</v>
      </c>
      <c r="B68" t="s">
        <v>17</v>
      </c>
      <c r="C68">
        <v>2</v>
      </c>
      <c r="D68" t="s">
        <v>30</v>
      </c>
      <c r="E68">
        <v>4</v>
      </c>
      <c r="F68" t="s">
        <v>60</v>
      </c>
      <c r="G68" t="s">
        <v>30</v>
      </c>
      <c r="H68" t="s">
        <v>17</v>
      </c>
      <c r="I68">
        <v>4</v>
      </c>
      <c r="J68">
        <v>2</v>
      </c>
    </row>
    <row r="69" spans="1:10" x14ac:dyDescent="0.2">
      <c r="A69" s="1" t="s">
        <v>184</v>
      </c>
      <c r="B69" t="s">
        <v>32</v>
      </c>
      <c r="C69">
        <v>3</v>
      </c>
      <c r="D69" t="s">
        <v>36</v>
      </c>
      <c r="E69">
        <v>4</v>
      </c>
      <c r="F69" t="s">
        <v>61</v>
      </c>
      <c r="G69" t="s">
        <v>36</v>
      </c>
      <c r="H69" t="s">
        <v>32</v>
      </c>
      <c r="I69">
        <v>4</v>
      </c>
      <c r="J69">
        <v>3</v>
      </c>
    </row>
    <row r="70" spans="1:10" x14ac:dyDescent="0.2">
      <c r="A70" s="1" t="s">
        <v>184</v>
      </c>
      <c r="B70" t="s">
        <v>40</v>
      </c>
      <c r="C70">
        <v>5</v>
      </c>
      <c r="D70" t="s">
        <v>27</v>
      </c>
      <c r="E70">
        <v>2</v>
      </c>
      <c r="F70" t="s">
        <v>60</v>
      </c>
      <c r="G70" t="s">
        <v>40</v>
      </c>
      <c r="H70" t="s">
        <v>27</v>
      </c>
      <c r="I70">
        <v>5</v>
      </c>
      <c r="J70">
        <v>2</v>
      </c>
    </row>
    <row r="71" spans="1:10" x14ac:dyDescent="0.2">
      <c r="A71" s="1" t="s">
        <v>184</v>
      </c>
      <c r="B71" t="s">
        <v>15</v>
      </c>
      <c r="C71">
        <v>1</v>
      </c>
      <c r="D71" t="s">
        <v>19</v>
      </c>
      <c r="E71">
        <v>2</v>
      </c>
      <c r="F71" t="s">
        <v>62</v>
      </c>
      <c r="G71" t="s">
        <v>19</v>
      </c>
      <c r="H71" t="s">
        <v>15</v>
      </c>
      <c r="I71">
        <v>2</v>
      </c>
      <c r="J71">
        <v>1</v>
      </c>
    </row>
    <row r="72" spans="1:10" x14ac:dyDescent="0.2">
      <c r="A72" s="1" t="s">
        <v>184</v>
      </c>
      <c r="B72" t="s">
        <v>21</v>
      </c>
      <c r="C72">
        <v>5</v>
      </c>
      <c r="D72" t="s">
        <v>20</v>
      </c>
      <c r="E72">
        <v>6</v>
      </c>
      <c r="F72" t="s">
        <v>60</v>
      </c>
      <c r="G72" t="s">
        <v>20</v>
      </c>
      <c r="H72" t="s">
        <v>21</v>
      </c>
      <c r="I72">
        <v>6</v>
      </c>
      <c r="J72">
        <v>5</v>
      </c>
    </row>
    <row r="73" spans="1:10" x14ac:dyDescent="0.2">
      <c r="A73" s="1" t="s">
        <v>185</v>
      </c>
      <c r="B73" t="s">
        <v>38</v>
      </c>
      <c r="C73">
        <v>3</v>
      </c>
      <c r="D73" t="s">
        <v>10</v>
      </c>
      <c r="E73">
        <v>2</v>
      </c>
      <c r="F73" t="s">
        <v>61</v>
      </c>
      <c r="G73" t="s">
        <v>38</v>
      </c>
      <c r="H73" t="s">
        <v>10</v>
      </c>
      <c r="I73">
        <v>3</v>
      </c>
      <c r="J73">
        <v>2</v>
      </c>
    </row>
    <row r="74" spans="1:10" x14ac:dyDescent="0.2">
      <c r="A74" s="1" t="s">
        <v>185</v>
      </c>
      <c r="B74" t="s">
        <v>37</v>
      </c>
      <c r="C74">
        <v>1</v>
      </c>
      <c r="D74" t="s">
        <v>26</v>
      </c>
      <c r="E74">
        <v>2</v>
      </c>
      <c r="F74" t="s">
        <v>62</v>
      </c>
      <c r="G74" t="s">
        <v>26</v>
      </c>
      <c r="H74" t="s">
        <v>37</v>
      </c>
      <c r="I74">
        <v>2</v>
      </c>
      <c r="J74">
        <v>1</v>
      </c>
    </row>
    <row r="75" spans="1:10" x14ac:dyDescent="0.2">
      <c r="A75" s="1" t="s">
        <v>185</v>
      </c>
      <c r="B75" t="s">
        <v>33</v>
      </c>
      <c r="C75">
        <v>3</v>
      </c>
      <c r="D75" t="s">
        <v>55</v>
      </c>
      <c r="E75">
        <v>6</v>
      </c>
      <c r="F75" t="s">
        <v>60</v>
      </c>
      <c r="G75" t="s">
        <v>55</v>
      </c>
      <c r="H75" t="s">
        <v>33</v>
      </c>
      <c r="I75">
        <v>6</v>
      </c>
      <c r="J75">
        <v>3</v>
      </c>
    </row>
    <row r="76" spans="1:10" x14ac:dyDescent="0.2">
      <c r="A76" s="1" t="s">
        <v>185</v>
      </c>
      <c r="B76" t="s">
        <v>34</v>
      </c>
      <c r="C76">
        <v>1</v>
      </c>
      <c r="D76" t="s">
        <v>22</v>
      </c>
      <c r="E76">
        <v>5</v>
      </c>
      <c r="F76" t="s">
        <v>60</v>
      </c>
      <c r="G76" t="s">
        <v>22</v>
      </c>
      <c r="H76" t="s">
        <v>34</v>
      </c>
      <c r="I76">
        <v>5</v>
      </c>
      <c r="J76">
        <v>1</v>
      </c>
    </row>
    <row r="77" spans="1:10" x14ac:dyDescent="0.2">
      <c r="A77" s="1" t="s">
        <v>186</v>
      </c>
      <c r="B77" t="s">
        <v>11</v>
      </c>
      <c r="C77">
        <v>0</v>
      </c>
      <c r="D77" t="s">
        <v>23</v>
      </c>
      <c r="E77">
        <v>3</v>
      </c>
      <c r="F77" t="s">
        <v>60</v>
      </c>
      <c r="G77" t="s">
        <v>23</v>
      </c>
      <c r="H77" t="s">
        <v>11</v>
      </c>
      <c r="I77">
        <v>3</v>
      </c>
      <c r="J77">
        <v>0</v>
      </c>
    </row>
    <row r="78" spans="1:10" x14ac:dyDescent="0.2">
      <c r="A78" s="1" t="s">
        <v>186</v>
      </c>
      <c r="B78" t="s">
        <v>37</v>
      </c>
      <c r="C78">
        <v>2</v>
      </c>
      <c r="D78" t="s">
        <v>28</v>
      </c>
      <c r="E78">
        <v>3</v>
      </c>
      <c r="F78" t="s">
        <v>60</v>
      </c>
      <c r="G78" t="s">
        <v>28</v>
      </c>
      <c r="H78" t="s">
        <v>37</v>
      </c>
      <c r="I78">
        <v>3</v>
      </c>
      <c r="J78">
        <v>2</v>
      </c>
    </row>
    <row r="79" spans="1:10" x14ac:dyDescent="0.2">
      <c r="A79" s="1" t="s">
        <v>186</v>
      </c>
      <c r="B79" t="s">
        <v>21</v>
      </c>
      <c r="C79">
        <v>1</v>
      </c>
      <c r="D79" t="s">
        <v>12</v>
      </c>
      <c r="E79">
        <v>4</v>
      </c>
      <c r="F79" t="s">
        <v>60</v>
      </c>
      <c r="G79" t="s">
        <v>12</v>
      </c>
      <c r="H79" t="s">
        <v>21</v>
      </c>
      <c r="I79">
        <v>4</v>
      </c>
      <c r="J79">
        <v>1</v>
      </c>
    </row>
    <row r="80" spans="1:10" x14ac:dyDescent="0.2">
      <c r="A80" s="1" t="s">
        <v>186</v>
      </c>
      <c r="B80" t="s">
        <v>25</v>
      </c>
      <c r="C80">
        <v>4</v>
      </c>
      <c r="D80" t="s">
        <v>13</v>
      </c>
      <c r="E80">
        <v>3</v>
      </c>
      <c r="F80" t="s">
        <v>62</v>
      </c>
      <c r="G80" t="s">
        <v>25</v>
      </c>
      <c r="H80" t="s">
        <v>13</v>
      </c>
      <c r="I80">
        <v>4</v>
      </c>
      <c r="J80">
        <v>3</v>
      </c>
    </row>
    <row r="81" spans="1:10" x14ac:dyDescent="0.2">
      <c r="A81" s="1" t="s">
        <v>186</v>
      </c>
      <c r="B81" t="s">
        <v>15</v>
      </c>
      <c r="C81">
        <v>4</v>
      </c>
      <c r="D81" t="s">
        <v>18</v>
      </c>
      <c r="E81">
        <v>3</v>
      </c>
      <c r="F81" t="s">
        <v>60</v>
      </c>
      <c r="G81" t="s">
        <v>15</v>
      </c>
      <c r="H81" t="s">
        <v>18</v>
      </c>
      <c r="I81">
        <v>4</v>
      </c>
      <c r="J81">
        <v>3</v>
      </c>
    </row>
    <row r="82" spans="1:10" x14ac:dyDescent="0.2">
      <c r="A82" s="1" t="s">
        <v>186</v>
      </c>
      <c r="B82" t="s">
        <v>17</v>
      </c>
      <c r="C82">
        <v>3</v>
      </c>
      <c r="D82" t="s">
        <v>24</v>
      </c>
      <c r="E82">
        <v>5</v>
      </c>
      <c r="F82" t="s">
        <v>60</v>
      </c>
      <c r="G82" t="s">
        <v>24</v>
      </c>
      <c r="H82" t="s">
        <v>17</v>
      </c>
      <c r="I82">
        <v>5</v>
      </c>
      <c r="J82">
        <v>3</v>
      </c>
    </row>
    <row r="83" spans="1:10" x14ac:dyDescent="0.2">
      <c r="A83" s="1" t="s">
        <v>186</v>
      </c>
      <c r="B83" t="s">
        <v>30</v>
      </c>
      <c r="C83">
        <v>5</v>
      </c>
      <c r="D83" t="s">
        <v>36</v>
      </c>
      <c r="E83">
        <v>4</v>
      </c>
      <c r="F83" t="s">
        <v>60</v>
      </c>
      <c r="G83" t="s">
        <v>30</v>
      </c>
      <c r="H83" t="s">
        <v>36</v>
      </c>
      <c r="I83">
        <v>5</v>
      </c>
      <c r="J83">
        <v>4</v>
      </c>
    </row>
    <row r="84" spans="1:10" x14ac:dyDescent="0.2">
      <c r="A84" s="1" t="s">
        <v>186</v>
      </c>
      <c r="B84" t="s">
        <v>34</v>
      </c>
      <c r="C84">
        <v>1</v>
      </c>
      <c r="D84" t="s">
        <v>27</v>
      </c>
      <c r="E84">
        <v>2</v>
      </c>
      <c r="F84" t="s">
        <v>62</v>
      </c>
      <c r="G84" t="s">
        <v>27</v>
      </c>
      <c r="H84" t="s">
        <v>34</v>
      </c>
      <c r="I84">
        <v>2</v>
      </c>
      <c r="J84">
        <v>1</v>
      </c>
    </row>
    <row r="85" spans="1:10" x14ac:dyDescent="0.2">
      <c r="A85" s="1" t="s">
        <v>186</v>
      </c>
      <c r="B85" t="s">
        <v>14</v>
      </c>
      <c r="C85">
        <v>3</v>
      </c>
      <c r="D85" t="s">
        <v>33</v>
      </c>
      <c r="E85">
        <v>0</v>
      </c>
      <c r="F85" t="s">
        <v>60</v>
      </c>
      <c r="G85" t="s">
        <v>14</v>
      </c>
      <c r="H85" t="s">
        <v>33</v>
      </c>
      <c r="I85">
        <v>3</v>
      </c>
      <c r="J85">
        <v>0</v>
      </c>
    </row>
    <row r="86" spans="1:10" x14ac:dyDescent="0.2">
      <c r="A86" s="1" t="s">
        <v>186</v>
      </c>
      <c r="B86" t="s">
        <v>39</v>
      </c>
      <c r="C86">
        <v>1</v>
      </c>
      <c r="D86" t="s">
        <v>35</v>
      </c>
      <c r="E86">
        <v>3</v>
      </c>
      <c r="F86" t="s">
        <v>60</v>
      </c>
      <c r="G86" t="s">
        <v>35</v>
      </c>
      <c r="H86" t="s">
        <v>39</v>
      </c>
      <c r="I86">
        <v>3</v>
      </c>
      <c r="J86">
        <v>1</v>
      </c>
    </row>
    <row r="87" spans="1:10" x14ac:dyDescent="0.2">
      <c r="A87" s="1" t="s">
        <v>186</v>
      </c>
      <c r="B87" t="s">
        <v>32</v>
      </c>
      <c r="C87">
        <v>4</v>
      </c>
      <c r="D87" t="s">
        <v>19</v>
      </c>
      <c r="E87">
        <v>3</v>
      </c>
      <c r="F87" t="s">
        <v>62</v>
      </c>
      <c r="G87" t="s">
        <v>32</v>
      </c>
      <c r="H87" t="s">
        <v>19</v>
      </c>
      <c r="I87">
        <v>4</v>
      </c>
      <c r="J87">
        <v>3</v>
      </c>
    </row>
    <row r="88" spans="1:10" x14ac:dyDescent="0.2">
      <c r="A88" s="1" t="s">
        <v>186</v>
      </c>
      <c r="B88" t="s">
        <v>16</v>
      </c>
      <c r="C88">
        <v>1</v>
      </c>
      <c r="D88" t="s">
        <v>20</v>
      </c>
      <c r="E88">
        <v>6</v>
      </c>
      <c r="F88" t="s">
        <v>60</v>
      </c>
      <c r="G88" t="s">
        <v>20</v>
      </c>
      <c r="H88" t="s">
        <v>16</v>
      </c>
      <c r="I88">
        <v>6</v>
      </c>
      <c r="J88">
        <v>1</v>
      </c>
    </row>
    <row r="89" spans="1:10" x14ac:dyDescent="0.2">
      <c r="A89" s="1" t="s">
        <v>186</v>
      </c>
      <c r="B89" t="s">
        <v>29</v>
      </c>
      <c r="C89">
        <v>1</v>
      </c>
      <c r="D89" t="s">
        <v>40</v>
      </c>
      <c r="E89">
        <v>4</v>
      </c>
      <c r="F89" t="s">
        <v>60</v>
      </c>
      <c r="G89" t="s">
        <v>40</v>
      </c>
      <c r="H89" t="s">
        <v>29</v>
      </c>
      <c r="I89">
        <v>4</v>
      </c>
      <c r="J89">
        <v>1</v>
      </c>
    </row>
    <row r="90" spans="1:10" x14ac:dyDescent="0.2">
      <c r="A90" s="1" t="s">
        <v>187</v>
      </c>
      <c r="B90" t="s">
        <v>31</v>
      </c>
      <c r="C90">
        <v>1</v>
      </c>
      <c r="D90" t="s">
        <v>10</v>
      </c>
      <c r="E90">
        <v>2</v>
      </c>
      <c r="F90" t="s">
        <v>62</v>
      </c>
      <c r="G90" t="s">
        <v>10</v>
      </c>
      <c r="H90" t="s">
        <v>31</v>
      </c>
      <c r="I90">
        <v>2</v>
      </c>
      <c r="J90">
        <v>1</v>
      </c>
    </row>
    <row r="91" spans="1:10" x14ac:dyDescent="0.2">
      <c r="A91" s="1" t="s">
        <v>187</v>
      </c>
      <c r="B91" t="s">
        <v>17</v>
      </c>
      <c r="C91">
        <v>2</v>
      </c>
      <c r="D91" t="s">
        <v>26</v>
      </c>
      <c r="E91">
        <v>4</v>
      </c>
      <c r="F91" t="s">
        <v>60</v>
      </c>
      <c r="G91" t="s">
        <v>26</v>
      </c>
      <c r="H91" t="s">
        <v>17</v>
      </c>
      <c r="I91">
        <v>4</v>
      </c>
      <c r="J91">
        <v>2</v>
      </c>
    </row>
    <row r="92" spans="1:10" x14ac:dyDescent="0.2">
      <c r="A92" s="1" t="s">
        <v>187</v>
      </c>
      <c r="B92" t="s">
        <v>21</v>
      </c>
      <c r="C92">
        <v>2</v>
      </c>
      <c r="D92" t="s">
        <v>55</v>
      </c>
      <c r="E92">
        <v>3</v>
      </c>
      <c r="F92" t="s">
        <v>60</v>
      </c>
      <c r="G92" t="s">
        <v>55</v>
      </c>
      <c r="H92" t="s">
        <v>21</v>
      </c>
      <c r="I92">
        <v>3</v>
      </c>
      <c r="J92">
        <v>2</v>
      </c>
    </row>
    <row r="93" spans="1:10" x14ac:dyDescent="0.2">
      <c r="A93" s="1" t="s">
        <v>187</v>
      </c>
      <c r="B93" t="s">
        <v>38</v>
      </c>
      <c r="C93">
        <v>4</v>
      </c>
      <c r="D93" t="s">
        <v>22</v>
      </c>
      <c r="E93">
        <v>3</v>
      </c>
      <c r="F93" t="s">
        <v>60</v>
      </c>
      <c r="G93" t="s">
        <v>38</v>
      </c>
      <c r="H93" t="s">
        <v>22</v>
      </c>
      <c r="I93">
        <v>4</v>
      </c>
      <c r="J93">
        <v>3</v>
      </c>
    </row>
    <row r="94" spans="1:10" x14ac:dyDescent="0.2">
      <c r="A94" s="1" t="s">
        <v>188</v>
      </c>
      <c r="B94" t="s">
        <v>40</v>
      </c>
      <c r="C94">
        <v>2</v>
      </c>
      <c r="D94" t="s">
        <v>16</v>
      </c>
      <c r="E94">
        <v>1</v>
      </c>
      <c r="F94" t="s">
        <v>60</v>
      </c>
      <c r="G94" t="s">
        <v>40</v>
      </c>
      <c r="H94" t="s">
        <v>16</v>
      </c>
      <c r="I94">
        <v>2</v>
      </c>
      <c r="J94">
        <v>1</v>
      </c>
    </row>
    <row r="95" spans="1:10" x14ac:dyDescent="0.2">
      <c r="A95" s="1" t="s">
        <v>188</v>
      </c>
      <c r="B95" t="s">
        <v>23</v>
      </c>
      <c r="C95">
        <v>2</v>
      </c>
      <c r="D95" t="s">
        <v>18</v>
      </c>
      <c r="E95">
        <v>4</v>
      </c>
      <c r="F95" t="s">
        <v>60</v>
      </c>
      <c r="G95" t="s">
        <v>18</v>
      </c>
      <c r="H95" t="s">
        <v>23</v>
      </c>
      <c r="I95">
        <v>4</v>
      </c>
      <c r="J95">
        <v>2</v>
      </c>
    </row>
    <row r="96" spans="1:10" x14ac:dyDescent="0.2">
      <c r="A96" s="1" t="s">
        <v>188</v>
      </c>
      <c r="B96" t="s">
        <v>34</v>
      </c>
      <c r="C96">
        <v>3</v>
      </c>
      <c r="D96" t="s">
        <v>15</v>
      </c>
      <c r="E96">
        <v>1</v>
      </c>
      <c r="F96" t="s">
        <v>60</v>
      </c>
      <c r="G96" t="s">
        <v>34</v>
      </c>
      <c r="H96" t="s">
        <v>15</v>
      </c>
      <c r="I96">
        <v>3</v>
      </c>
      <c r="J96">
        <v>1</v>
      </c>
    </row>
    <row r="97" spans="1:10" x14ac:dyDescent="0.2">
      <c r="A97" s="1" t="s">
        <v>188</v>
      </c>
      <c r="B97" t="s">
        <v>32</v>
      </c>
      <c r="C97">
        <v>2</v>
      </c>
      <c r="D97" t="s">
        <v>27</v>
      </c>
      <c r="E97">
        <v>5</v>
      </c>
      <c r="F97" t="s">
        <v>60</v>
      </c>
      <c r="G97" t="s">
        <v>27</v>
      </c>
      <c r="H97" t="s">
        <v>32</v>
      </c>
      <c r="I97">
        <v>5</v>
      </c>
      <c r="J97">
        <v>2</v>
      </c>
    </row>
    <row r="98" spans="1:10" x14ac:dyDescent="0.2">
      <c r="A98" s="1" t="s">
        <v>188</v>
      </c>
      <c r="B98" t="s">
        <v>25</v>
      </c>
      <c r="C98">
        <v>1</v>
      </c>
      <c r="D98" t="s">
        <v>20</v>
      </c>
      <c r="E98">
        <v>4</v>
      </c>
      <c r="F98" t="s">
        <v>60</v>
      </c>
      <c r="G98" t="s">
        <v>20</v>
      </c>
      <c r="H98" t="s">
        <v>25</v>
      </c>
      <c r="I98">
        <v>4</v>
      </c>
      <c r="J98">
        <v>1</v>
      </c>
    </row>
    <row r="99" spans="1:10" x14ac:dyDescent="0.2">
      <c r="A99" s="1" t="s">
        <v>189</v>
      </c>
      <c r="B99" t="s">
        <v>11</v>
      </c>
      <c r="C99">
        <v>4</v>
      </c>
      <c r="D99" t="s">
        <v>21</v>
      </c>
      <c r="E99">
        <v>3</v>
      </c>
      <c r="F99" t="s">
        <v>60</v>
      </c>
      <c r="G99" t="s">
        <v>11</v>
      </c>
      <c r="H99" t="s">
        <v>21</v>
      </c>
      <c r="I99">
        <v>4</v>
      </c>
      <c r="J99">
        <v>3</v>
      </c>
    </row>
    <row r="100" spans="1:10" x14ac:dyDescent="0.2">
      <c r="A100" s="1" t="s">
        <v>189</v>
      </c>
      <c r="B100" t="s">
        <v>28</v>
      </c>
      <c r="C100">
        <v>5</v>
      </c>
      <c r="D100" t="s">
        <v>39</v>
      </c>
      <c r="E100">
        <v>1</v>
      </c>
      <c r="F100" t="s">
        <v>60</v>
      </c>
      <c r="G100" t="s">
        <v>28</v>
      </c>
      <c r="H100" t="s">
        <v>39</v>
      </c>
      <c r="I100">
        <v>5</v>
      </c>
      <c r="J100">
        <v>1</v>
      </c>
    </row>
    <row r="101" spans="1:10" x14ac:dyDescent="0.2">
      <c r="A101" s="1" t="s">
        <v>189</v>
      </c>
      <c r="B101" t="s">
        <v>31</v>
      </c>
      <c r="C101">
        <v>5</v>
      </c>
      <c r="D101" t="s">
        <v>29</v>
      </c>
      <c r="E101">
        <v>2</v>
      </c>
      <c r="F101" t="s">
        <v>60</v>
      </c>
      <c r="G101" t="s">
        <v>31</v>
      </c>
      <c r="H101" t="s">
        <v>29</v>
      </c>
      <c r="I101">
        <v>5</v>
      </c>
      <c r="J101">
        <v>2</v>
      </c>
    </row>
    <row r="102" spans="1:10" x14ac:dyDescent="0.2">
      <c r="A102" s="1" t="s">
        <v>189</v>
      </c>
      <c r="B102" t="s">
        <v>33</v>
      </c>
      <c r="C102">
        <v>3</v>
      </c>
      <c r="D102" t="s">
        <v>30</v>
      </c>
      <c r="E102">
        <v>4</v>
      </c>
      <c r="F102" t="s">
        <v>60</v>
      </c>
      <c r="G102" t="s">
        <v>30</v>
      </c>
      <c r="H102" t="s">
        <v>33</v>
      </c>
      <c r="I102">
        <v>4</v>
      </c>
      <c r="J102">
        <v>3</v>
      </c>
    </row>
    <row r="103" spans="1:10" x14ac:dyDescent="0.2">
      <c r="A103" s="1" t="s">
        <v>189</v>
      </c>
      <c r="B103" t="s">
        <v>17</v>
      </c>
      <c r="C103">
        <v>3</v>
      </c>
      <c r="D103" t="s">
        <v>36</v>
      </c>
      <c r="E103">
        <v>2</v>
      </c>
      <c r="F103" t="s">
        <v>62</v>
      </c>
      <c r="G103" t="s">
        <v>17</v>
      </c>
      <c r="H103" t="s">
        <v>36</v>
      </c>
      <c r="I103">
        <v>3</v>
      </c>
      <c r="J103">
        <v>2</v>
      </c>
    </row>
    <row r="104" spans="1:10" x14ac:dyDescent="0.2">
      <c r="A104" s="1" t="s">
        <v>189</v>
      </c>
      <c r="B104" t="s">
        <v>38</v>
      </c>
      <c r="C104">
        <v>1</v>
      </c>
      <c r="D104" t="s">
        <v>14</v>
      </c>
      <c r="E104">
        <v>5</v>
      </c>
      <c r="F104" t="s">
        <v>60</v>
      </c>
      <c r="G104" t="s">
        <v>14</v>
      </c>
      <c r="H104" t="s">
        <v>38</v>
      </c>
      <c r="I104">
        <v>5</v>
      </c>
      <c r="J104">
        <v>1</v>
      </c>
    </row>
    <row r="105" spans="1:10" x14ac:dyDescent="0.2">
      <c r="A105" s="1" t="s">
        <v>189</v>
      </c>
      <c r="B105" t="s">
        <v>13</v>
      </c>
      <c r="C105">
        <v>2</v>
      </c>
      <c r="D105" t="s">
        <v>35</v>
      </c>
      <c r="E105">
        <v>1</v>
      </c>
      <c r="F105" t="s">
        <v>62</v>
      </c>
      <c r="G105" t="s">
        <v>13</v>
      </c>
      <c r="H105" t="s">
        <v>35</v>
      </c>
      <c r="I105">
        <v>2</v>
      </c>
      <c r="J105">
        <v>1</v>
      </c>
    </row>
    <row r="106" spans="1:10" x14ac:dyDescent="0.2">
      <c r="A106" s="1" t="s">
        <v>189</v>
      </c>
      <c r="B106" t="s">
        <v>24</v>
      </c>
      <c r="C106">
        <v>5</v>
      </c>
      <c r="D106" t="s">
        <v>19</v>
      </c>
      <c r="E106">
        <v>2</v>
      </c>
      <c r="F106" t="s">
        <v>60</v>
      </c>
      <c r="G106" t="s">
        <v>24</v>
      </c>
      <c r="H106" t="s">
        <v>19</v>
      </c>
      <c r="I106">
        <v>5</v>
      </c>
      <c r="J106">
        <v>2</v>
      </c>
    </row>
    <row r="107" spans="1:10" x14ac:dyDescent="0.2">
      <c r="A107" s="1" t="s">
        <v>189</v>
      </c>
      <c r="B107" t="s">
        <v>12</v>
      </c>
      <c r="C107">
        <v>3</v>
      </c>
      <c r="D107" t="s">
        <v>55</v>
      </c>
      <c r="E107">
        <v>4</v>
      </c>
      <c r="F107" t="s">
        <v>62</v>
      </c>
      <c r="G107" t="s">
        <v>55</v>
      </c>
      <c r="H107" t="s">
        <v>12</v>
      </c>
      <c r="I107">
        <v>4</v>
      </c>
      <c r="J107">
        <v>3</v>
      </c>
    </row>
    <row r="108" spans="1:10" x14ac:dyDescent="0.2">
      <c r="A108" s="1" t="s">
        <v>189</v>
      </c>
      <c r="B108" t="s">
        <v>32</v>
      </c>
      <c r="C108">
        <v>1</v>
      </c>
      <c r="D108" t="s">
        <v>22</v>
      </c>
      <c r="E108">
        <v>4</v>
      </c>
      <c r="F108" t="s">
        <v>60</v>
      </c>
      <c r="G108" t="s">
        <v>22</v>
      </c>
      <c r="H108" t="s">
        <v>32</v>
      </c>
      <c r="I108">
        <v>4</v>
      </c>
      <c r="J108">
        <v>1</v>
      </c>
    </row>
    <row r="109" spans="1:10" x14ac:dyDescent="0.2">
      <c r="A109" s="1" t="s">
        <v>190</v>
      </c>
      <c r="B109" t="s">
        <v>26</v>
      </c>
      <c r="C109">
        <v>2</v>
      </c>
      <c r="D109" t="s">
        <v>23</v>
      </c>
      <c r="E109">
        <v>4</v>
      </c>
      <c r="F109" t="s">
        <v>60</v>
      </c>
      <c r="G109" t="s">
        <v>23</v>
      </c>
      <c r="H109" t="s">
        <v>26</v>
      </c>
      <c r="I109">
        <v>4</v>
      </c>
      <c r="J109">
        <v>2</v>
      </c>
    </row>
    <row r="110" spans="1:10" x14ac:dyDescent="0.2">
      <c r="A110" s="1" t="s">
        <v>190</v>
      </c>
      <c r="B110" t="s">
        <v>18</v>
      </c>
      <c r="C110">
        <v>2</v>
      </c>
      <c r="D110" t="s">
        <v>16</v>
      </c>
      <c r="E110">
        <v>1</v>
      </c>
      <c r="F110" t="s">
        <v>62</v>
      </c>
      <c r="G110" t="s">
        <v>18</v>
      </c>
      <c r="H110" t="s">
        <v>16</v>
      </c>
      <c r="I110">
        <v>2</v>
      </c>
      <c r="J110">
        <v>1</v>
      </c>
    </row>
    <row r="111" spans="1:10" x14ac:dyDescent="0.2">
      <c r="A111" s="1" t="s">
        <v>190</v>
      </c>
      <c r="B111" t="s">
        <v>34</v>
      </c>
      <c r="C111">
        <v>1</v>
      </c>
      <c r="D111" t="s">
        <v>24</v>
      </c>
      <c r="E111">
        <v>4</v>
      </c>
      <c r="F111" t="s">
        <v>60</v>
      </c>
      <c r="G111" t="s">
        <v>24</v>
      </c>
      <c r="H111" t="s">
        <v>34</v>
      </c>
      <c r="I111">
        <v>4</v>
      </c>
      <c r="J111">
        <v>1</v>
      </c>
    </row>
    <row r="112" spans="1:10" x14ac:dyDescent="0.2">
      <c r="A112" s="1" t="s">
        <v>191</v>
      </c>
      <c r="B112" t="s">
        <v>31</v>
      </c>
      <c r="C112">
        <v>7</v>
      </c>
      <c r="D112" t="s">
        <v>21</v>
      </c>
      <c r="E112">
        <v>5</v>
      </c>
      <c r="F112" t="s">
        <v>60</v>
      </c>
      <c r="G112" t="s">
        <v>31</v>
      </c>
      <c r="H112" t="s">
        <v>21</v>
      </c>
      <c r="I112">
        <v>7</v>
      </c>
      <c r="J112">
        <v>5</v>
      </c>
    </row>
    <row r="113" spans="1:10" x14ac:dyDescent="0.2">
      <c r="A113" s="1" t="s">
        <v>191</v>
      </c>
      <c r="B113" t="s">
        <v>25</v>
      </c>
      <c r="C113">
        <v>5</v>
      </c>
      <c r="D113" t="s">
        <v>12</v>
      </c>
      <c r="E113">
        <v>4</v>
      </c>
      <c r="F113" t="s">
        <v>61</v>
      </c>
      <c r="G113" t="s">
        <v>25</v>
      </c>
      <c r="H113" t="s">
        <v>12</v>
      </c>
      <c r="I113">
        <v>5</v>
      </c>
      <c r="J113">
        <v>4</v>
      </c>
    </row>
    <row r="114" spans="1:10" x14ac:dyDescent="0.2">
      <c r="A114" s="1" t="s">
        <v>191</v>
      </c>
      <c r="B114" t="s">
        <v>13</v>
      </c>
      <c r="C114">
        <v>3</v>
      </c>
      <c r="D114" t="s">
        <v>39</v>
      </c>
      <c r="E114">
        <v>2</v>
      </c>
      <c r="F114" t="s">
        <v>62</v>
      </c>
      <c r="G114" t="s">
        <v>13</v>
      </c>
      <c r="H114" t="s">
        <v>39</v>
      </c>
      <c r="I114">
        <v>3</v>
      </c>
      <c r="J114">
        <v>2</v>
      </c>
    </row>
    <row r="115" spans="1:10" x14ac:dyDescent="0.2">
      <c r="A115" s="1" t="s">
        <v>191</v>
      </c>
      <c r="B115" t="s">
        <v>18</v>
      </c>
      <c r="C115">
        <v>5</v>
      </c>
      <c r="D115" t="s">
        <v>17</v>
      </c>
      <c r="E115">
        <v>6</v>
      </c>
      <c r="F115" t="s">
        <v>60</v>
      </c>
      <c r="G115" t="s">
        <v>17</v>
      </c>
      <c r="H115" t="s">
        <v>18</v>
      </c>
      <c r="I115">
        <v>6</v>
      </c>
      <c r="J115">
        <v>5</v>
      </c>
    </row>
    <row r="116" spans="1:10" x14ac:dyDescent="0.2">
      <c r="A116" s="1" t="s">
        <v>191</v>
      </c>
      <c r="B116" t="s">
        <v>14</v>
      </c>
      <c r="C116">
        <v>5</v>
      </c>
      <c r="D116" t="s">
        <v>11</v>
      </c>
      <c r="E116">
        <v>3</v>
      </c>
      <c r="F116" t="s">
        <v>60</v>
      </c>
      <c r="G116" t="s">
        <v>14</v>
      </c>
      <c r="H116" t="s">
        <v>11</v>
      </c>
      <c r="I116">
        <v>5</v>
      </c>
      <c r="J116">
        <v>3</v>
      </c>
    </row>
    <row r="117" spans="1:10" x14ac:dyDescent="0.2">
      <c r="A117" s="1" t="s">
        <v>191</v>
      </c>
      <c r="B117" t="s">
        <v>38</v>
      </c>
      <c r="C117">
        <v>1</v>
      </c>
      <c r="D117" t="s">
        <v>29</v>
      </c>
      <c r="E117">
        <v>2</v>
      </c>
      <c r="F117" t="s">
        <v>60</v>
      </c>
      <c r="G117" t="s">
        <v>29</v>
      </c>
      <c r="H117" t="s">
        <v>38</v>
      </c>
      <c r="I117">
        <v>2</v>
      </c>
      <c r="J117">
        <v>1</v>
      </c>
    </row>
    <row r="118" spans="1:10" x14ac:dyDescent="0.2">
      <c r="A118" s="1" t="s">
        <v>191</v>
      </c>
      <c r="B118" t="s">
        <v>26</v>
      </c>
      <c r="C118">
        <v>2</v>
      </c>
      <c r="D118" t="s">
        <v>30</v>
      </c>
      <c r="E118">
        <v>7</v>
      </c>
      <c r="F118" t="s">
        <v>60</v>
      </c>
      <c r="G118" t="s">
        <v>30</v>
      </c>
      <c r="H118" t="s">
        <v>26</v>
      </c>
      <c r="I118">
        <v>7</v>
      </c>
      <c r="J118">
        <v>2</v>
      </c>
    </row>
    <row r="119" spans="1:10" x14ac:dyDescent="0.2">
      <c r="A119" s="1" t="s">
        <v>191</v>
      </c>
      <c r="B119" t="s">
        <v>33</v>
      </c>
      <c r="C119">
        <v>6</v>
      </c>
      <c r="D119" t="s">
        <v>15</v>
      </c>
      <c r="E119">
        <v>5</v>
      </c>
      <c r="F119" t="s">
        <v>62</v>
      </c>
      <c r="G119" t="s">
        <v>33</v>
      </c>
      <c r="H119" t="s">
        <v>15</v>
      </c>
      <c r="I119">
        <v>6</v>
      </c>
      <c r="J119">
        <v>5</v>
      </c>
    </row>
    <row r="120" spans="1:10" x14ac:dyDescent="0.2">
      <c r="A120" s="1" t="s">
        <v>191</v>
      </c>
      <c r="B120" t="s">
        <v>27</v>
      </c>
      <c r="C120">
        <v>1</v>
      </c>
      <c r="D120" t="s">
        <v>36</v>
      </c>
      <c r="E120">
        <v>2</v>
      </c>
      <c r="F120" t="s">
        <v>60</v>
      </c>
      <c r="G120" t="s">
        <v>36</v>
      </c>
      <c r="H120" t="s">
        <v>27</v>
      </c>
      <c r="I120">
        <v>2</v>
      </c>
      <c r="J120">
        <v>1</v>
      </c>
    </row>
    <row r="121" spans="1:10" x14ac:dyDescent="0.2">
      <c r="A121" s="1" t="s">
        <v>191</v>
      </c>
      <c r="B121" t="s">
        <v>55</v>
      </c>
      <c r="C121">
        <v>7</v>
      </c>
      <c r="D121" t="s">
        <v>35</v>
      </c>
      <c r="E121">
        <v>4</v>
      </c>
      <c r="F121" t="s">
        <v>60</v>
      </c>
      <c r="G121" t="s">
        <v>55</v>
      </c>
      <c r="H121" t="s">
        <v>35</v>
      </c>
      <c r="I121">
        <v>7</v>
      </c>
      <c r="J121">
        <v>4</v>
      </c>
    </row>
    <row r="122" spans="1:10" x14ac:dyDescent="0.2">
      <c r="A122" s="1" t="s">
        <v>191</v>
      </c>
      <c r="B122" t="s">
        <v>10</v>
      </c>
      <c r="C122">
        <v>3</v>
      </c>
      <c r="D122" t="s">
        <v>37</v>
      </c>
      <c r="E122">
        <v>2</v>
      </c>
      <c r="F122" t="s">
        <v>60</v>
      </c>
      <c r="G122" t="s">
        <v>10</v>
      </c>
      <c r="H122" t="s">
        <v>37</v>
      </c>
      <c r="I122">
        <v>3</v>
      </c>
      <c r="J122">
        <v>2</v>
      </c>
    </row>
    <row r="123" spans="1:10" x14ac:dyDescent="0.2">
      <c r="A123" s="1" t="s">
        <v>191</v>
      </c>
      <c r="B123" t="s">
        <v>32</v>
      </c>
      <c r="C123">
        <v>3</v>
      </c>
      <c r="D123" t="s">
        <v>40</v>
      </c>
      <c r="E123">
        <v>0</v>
      </c>
      <c r="F123" t="s">
        <v>60</v>
      </c>
      <c r="G123" t="s">
        <v>32</v>
      </c>
      <c r="H123" t="s">
        <v>40</v>
      </c>
      <c r="I123">
        <v>3</v>
      </c>
      <c r="J123">
        <v>0</v>
      </c>
    </row>
    <row r="124" spans="1:10" x14ac:dyDescent="0.2">
      <c r="A124" s="1" t="s">
        <v>192</v>
      </c>
      <c r="B124" t="s">
        <v>19</v>
      </c>
      <c r="C124">
        <v>3</v>
      </c>
      <c r="D124" t="s">
        <v>23</v>
      </c>
      <c r="E124">
        <v>5</v>
      </c>
      <c r="F124" t="s">
        <v>60</v>
      </c>
      <c r="G124" t="s">
        <v>23</v>
      </c>
      <c r="H124" t="s">
        <v>19</v>
      </c>
      <c r="I124">
        <v>5</v>
      </c>
      <c r="J124">
        <v>3</v>
      </c>
    </row>
    <row r="125" spans="1:10" x14ac:dyDescent="0.2">
      <c r="A125" s="1" t="s">
        <v>192</v>
      </c>
      <c r="B125" t="s">
        <v>22</v>
      </c>
      <c r="C125">
        <v>5</v>
      </c>
      <c r="D125" t="s">
        <v>28</v>
      </c>
      <c r="E125">
        <v>1</v>
      </c>
      <c r="F125" t="s">
        <v>60</v>
      </c>
      <c r="G125" t="s">
        <v>22</v>
      </c>
      <c r="H125" t="s">
        <v>28</v>
      </c>
      <c r="I125">
        <v>5</v>
      </c>
      <c r="J125">
        <v>1</v>
      </c>
    </row>
    <row r="126" spans="1:10" x14ac:dyDescent="0.2">
      <c r="A126" s="1" t="s">
        <v>192</v>
      </c>
      <c r="B126" t="s">
        <v>33</v>
      </c>
      <c r="C126">
        <v>1</v>
      </c>
      <c r="D126" t="s">
        <v>24</v>
      </c>
      <c r="E126">
        <v>3</v>
      </c>
      <c r="F126" t="s">
        <v>60</v>
      </c>
      <c r="G126" t="s">
        <v>24</v>
      </c>
      <c r="H126" t="s">
        <v>33</v>
      </c>
      <c r="I126">
        <v>3</v>
      </c>
      <c r="J126">
        <v>1</v>
      </c>
    </row>
    <row r="127" spans="1:10" x14ac:dyDescent="0.2">
      <c r="A127" s="1" t="s">
        <v>192</v>
      </c>
      <c r="B127" t="s">
        <v>16</v>
      </c>
      <c r="C127">
        <v>3</v>
      </c>
      <c r="D127" t="s">
        <v>40</v>
      </c>
      <c r="E127">
        <v>5</v>
      </c>
      <c r="F127" t="s">
        <v>60</v>
      </c>
      <c r="G127" t="s">
        <v>40</v>
      </c>
      <c r="H127" t="s">
        <v>16</v>
      </c>
      <c r="I127">
        <v>5</v>
      </c>
      <c r="J127">
        <v>3</v>
      </c>
    </row>
    <row r="128" spans="1:10" x14ac:dyDescent="0.2">
      <c r="A128" s="1" t="s">
        <v>193</v>
      </c>
      <c r="B128" t="s">
        <v>12</v>
      </c>
      <c r="C128">
        <v>2</v>
      </c>
      <c r="D128" t="s">
        <v>21</v>
      </c>
      <c r="E128">
        <v>3</v>
      </c>
      <c r="F128" t="s">
        <v>60</v>
      </c>
      <c r="G128" t="s">
        <v>21</v>
      </c>
      <c r="H128" t="s">
        <v>12</v>
      </c>
      <c r="I128">
        <v>3</v>
      </c>
      <c r="J128">
        <v>2</v>
      </c>
    </row>
    <row r="129" spans="1:10" x14ac:dyDescent="0.2">
      <c r="A129" s="1" t="s">
        <v>193</v>
      </c>
      <c r="B129" t="s">
        <v>25</v>
      </c>
      <c r="C129">
        <v>2</v>
      </c>
      <c r="D129" t="s">
        <v>39</v>
      </c>
      <c r="E129">
        <v>3</v>
      </c>
      <c r="F129" t="s">
        <v>60</v>
      </c>
      <c r="G129" t="s">
        <v>39</v>
      </c>
      <c r="H129" t="s">
        <v>25</v>
      </c>
      <c r="I129">
        <v>3</v>
      </c>
      <c r="J129">
        <v>2</v>
      </c>
    </row>
    <row r="130" spans="1:10" x14ac:dyDescent="0.2">
      <c r="A130" s="1" t="s">
        <v>193</v>
      </c>
      <c r="B130" t="s">
        <v>35</v>
      </c>
      <c r="C130">
        <v>4</v>
      </c>
      <c r="D130" t="s">
        <v>26</v>
      </c>
      <c r="E130">
        <v>6</v>
      </c>
      <c r="F130" t="s">
        <v>60</v>
      </c>
      <c r="G130" t="s">
        <v>26</v>
      </c>
      <c r="H130" t="s">
        <v>35</v>
      </c>
      <c r="I130">
        <v>6</v>
      </c>
      <c r="J130">
        <v>4</v>
      </c>
    </row>
    <row r="131" spans="1:10" x14ac:dyDescent="0.2">
      <c r="A131" s="1" t="s">
        <v>193</v>
      </c>
      <c r="B131" t="s">
        <v>20</v>
      </c>
      <c r="C131">
        <v>0</v>
      </c>
      <c r="D131" t="s">
        <v>11</v>
      </c>
      <c r="E131">
        <v>3</v>
      </c>
      <c r="F131" t="s">
        <v>60</v>
      </c>
      <c r="G131" t="s">
        <v>11</v>
      </c>
      <c r="H131" t="s">
        <v>20</v>
      </c>
      <c r="I131">
        <v>3</v>
      </c>
      <c r="J131">
        <v>0</v>
      </c>
    </row>
    <row r="132" spans="1:10" x14ac:dyDescent="0.2">
      <c r="A132" s="1" t="s">
        <v>193</v>
      </c>
      <c r="B132" t="s">
        <v>55</v>
      </c>
      <c r="C132">
        <v>6</v>
      </c>
      <c r="D132" t="s">
        <v>34</v>
      </c>
      <c r="E132">
        <v>2</v>
      </c>
      <c r="F132" t="s">
        <v>60</v>
      </c>
      <c r="G132" t="s">
        <v>55</v>
      </c>
      <c r="H132" t="s">
        <v>34</v>
      </c>
      <c r="I132">
        <v>6</v>
      </c>
      <c r="J132">
        <v>2</v>
      </c>
    </row>
    <row r="133" spans="1:10" x14ac:dyDescent="0.2">
      <c r="A133" s="1" t="s">
        <v>193</v>
      </c>
      <c r="B133" t="s">
        <v>13</v>
      </c>
      <c r="C133">
        <v>4</v>
      </c>
      <c r="D133" t="s">
        <v>29</v>
      </c>
      <c r="E133">
        <v>5</v>
      </c>
      <c r="F133" t="s">
        <v>61</v>
      </c>
      <c r="G133" t="s">
        <v>29</v>
      </c>
      <c r="H133" t="s">
        <v>13</v>
      </c>
      <c r="I133">
        <v>5</v>
      </c>
      <c r="J133">
        <v>4</v>
      </c>
    </row>
    <row r="134" spans="1:10" x14ac:dyDescent="0.2">
      <c r="A134" s="1" t="s">
        <v>193</v>
      </c>
      <c r="B134" t="s">
        <v>30</v>
      </c>
      <c r="C134">
        <v>3</v>
      </c>
      <c r="D134" t="s">
        <v>27</v>
      </c>
      <c r="E134">
        <v>4</v>
      </c>
      <c r="F134" t="s">
        <v>61</v>
      </c>
      <c r="G134" t="s">
        <v>27</v>
      </c>
      <c r="H134" t="s">
        <v>30</v>
      </c>
      <c r="I134">
        <v>4</v>
      </c>
      <c r="J134">
        <v>3</v>
      </c>
    </row>
    <row r="135" spans="1:10" x14ac:dyDescent="0.2">
      <c r="A135" s="1" t="s">
        <v>193</v>
      </c>
      <c r="B135" t="s">
        <v>28</v>
      </c>
      <c r="C135">
        <v>5</v>
      </c>
      <c r="D135" t="s">
        <v>14</v>
      </c>
      <c r="E135">
        <v>4</v>
      </c>
      <c r="F135" t="s">
        <v>61</v>
      </c>
      <c r="G135" t="s">
        <v>28</v>
      </c>
      <c r="H135" t="s">
        <v>14</v>
      </c>
      <c r="I135">
        <v>5</v>
      </c>
      <c r="J135">
        <v>4</v>
      </c>
    </row>
    <row r="136" spans="1:10" x14ac:dyDescent="0.2">
      <c r="A136" s="1" t="s">
        <v>193</v>
      </c>
      <c r="B136" t="s">
        <v>17</v>
      </c>
      <c r="C136">
        <v>2</v>
      </c>
      <c r="D136" t="s">
        <v>32</v>
      </c>
      <c r="E136">
        <v>3</v>
      </c>
      <c r="F136" t="s">
        <v>60</v>
      </c>
      <c r="G136" t="s">
        <v>32</v>
      </c>
      <c r="H136" t="s">
        <v>17</v>
      </c>
      <c r="I136">
        <v>3</v>
      </c>
      <c r="J136">
        <v>2</v>
      </c>
    </row>
    <row r="137" spans="1:10" x14ac:dyDescent="0.2">
      <c r="A137" s="1" t="s">
        <v>193</v>
      </c>
      <c r="B137" t="s">
        <v>31</v>
      </c>
      <c r="C137">
        <v>3</v>
      </c>
      <c r="D137" t="s">
        <v>37</v>
      </c>
      <c r="E137">
        <v>4</v>
      </c>
      <c r="F137" t="s">
        <v>60</v>
      </c>
      <c r="G137" t="s">
        <v>37</v>
      </c>
      <c r="H137" t="s">
        <v>31</v>
      </c>
      <c r="I137">
        <v>4</v>
      </c>
      <c r="J137">
        <v>3</v>
      </c>
    </row>
    <row r="138" spans="1:10" x14ac:dyDescent="0.2">
      <c r="A138" s="1" t="s">
        <v>193</v>
      </c>
      <c r="B138" t="s">
        <v>23</v>
      </c>
      <c r="C138">
        <v>3</v>
      </c>
      <c r="D138" t="s">
        <v>19</v>
      </c>
      <c r="E138">
        <v>4</v>
      </c>
      <c r="F138" t="s">
        <v>62</v>
      </c>
      <c r="G138" t="s">
        <v>19</v>
      </c>
      <c r="H138" t="s">
        <v>23</v>
      </c>
      <c r="I138">
        <v>4</v>
      </c>
      <c r="J138">
        <v>3</v>
      </c>
    </row>
    <row r="139" spans="1:10" x14ac:dyDescent="0.2">
      <c r="A139" s="1" t="s">
        <v>193</v>
      </c>
      <c r="B139" t="s">
        <v>18</v>
      </c>
      <c r="C139">
        <v>4</v>
      </c>
      <c r="D139" t="s">
        <v>38</v>
      </c>
      <c r="E139">
        <v>3</v>
      </c>
      <c r="F139" t="s">
        <v>60</v>
      </c>
      <c r="G139" t="s">
        <v>18</v>
      </c>
      <c r="H139" t="s">
        <v>38</v>
      </c>
      <c r="I139">
        <v>4</v>
      </c>
      <c r="J139">
        <v>3</v>
      </c>
    </row>
    <row r="140" spans="1:10" x14ac:dyDescent="0.2">
      <c r="A140" s="1" t="s">
        <v>193</v>
      </c>
      <c r="B140" t="s">
        <v>36</v>
      </c>
      <c r="C140">
        <v>7</v>
      </c>
      <c r="D140" t="s">
        <v>22</v>
      </c>
      <c r="E140">
        <v>1</v>
      </c>
      <c r="F140" t="s">
        <v>60</v>
      </c>
      <c r="G140" t="s">
        <v>36</v>
      </c>
      <c r="H140" t="s">
        <v>22</v>
      </c>
      <c r="I140">
        <v>7</v>
      </c>
      <c r="J140">
        <v>1</v>
      </c>
    </row>
    <row r="141" spans="1:10" x14ac:dyDescent="0.2">
      <c r="A141" s="1" t="s">
        <v>194</v>
      </c>
      <c r="B141" t="s">
        <v>15</v>
      </c>
      <c r="C141">
        <v>1</v>
      </c>
      <c r="D141" t="s">
        <v>16</v>
      </c>
      <c r="E141">
        <v>5</v>
      </c>
      <c r="F141" t="s">
        <v>60</v>
      </c>
      <c r="G141" t="s">
        <v>16</v>
      </c>
      <c r="H141" t="s">
        <v>15</v>
      </c>
      <c r="I141">
        <v>5</v>
      </c>
      <c r="J141">
        <v>1</v>
      </c>
    </row>
    <row r="142" spans="1:10" x14ac:dyDescent="0.2">
      <c r="A142" s="1" t="s">
        <v>194</v>
      </c>
      <c r="B142" t="s">
        <v>13</v>
      </c>
      <c r="C142">
        <v>3</v>
      </c>
      <c r="D142" t="s">
        <v>10</v>
      </c>
      <c r="E142">
        <v>1</v>
      </c>
      <c r="F142" t="s">
        <v>60</v>
      </c>
      <c r="G142" t="s">
        <v>13</v>
      </c>
      <c r="H142" t="s">
        <v>10</v>
      </c>
      <c r="I142">
        <v>3</v>
      </c>
      <c r="J142">
        <v>1</v>
      </c>
    </row>
    <row r="143" spans="1:10" x14ac:dyDescent="0.2">
      <c r="A143" s="1" t="s">
        <v>194</v>
      </c>
      <c r="B143" t="s">
        <v>33</v>
      </c>
      <c r="C143">
        <v>6</v>
      </c>
      <c r="D143" t="s">
        <v>34</v>
      </c>
      <c r="E143">
        <v>5</v>
      </c>
      <c r="F143" t="s">
        <v>62</v>
      </c>
      <c r="G143" t="s">
        <v>33</v>
      </c>
      <c r="H143" t="s">
        <v>34</v>
      </c>
      <c r="I143">
        <v>6</v>
      </c>
      <c r="J143">
        <v>5</v>
      </c>
    </row>
    <row r="144" spans="1:10" x14ac:dyDescent="0.2">
      <c r="A144" s="1" t="s">
        <v>194</v>
      </c>
      <c r="B144" t="s">
        <v>12</v>
      </c>
      <c r="C144">
        <v>3</v>
      </c>
      <c r="D144" t="s">
        <v>24</v>
      </c>
      <c r="E144">
        <v>4</v>
      </c>
      <c r="F144" t="s">
        <v>62</v>
      </c>
      <c r="G144" t="s">
        <v>24</v>
      </c>
      <c r="H144" t="s">
        <v>12</v>
      </c>
      <c r="I144">
        <v>4</v>
      </c>
      <c r="J144">
        <v>3</v>
      </c>
    </row>
    <row r="145" spans="1:10" x14ac:dyDescent="0.2">
      <c r="A145" s="1" t="s">
        <v>194</v>
      </c>
      <c r="B145" t="s">
        <v>39</v>
      </c>
      <c r="C145">
        <v>3</v>
      </c>
      <c r="D145" t="s">
        <v>29</v>
      </c>
      <c r="E145">
        <v>2</v>
      </c>
      <c r="F145" t="s">
        <v>60</v>
      </c>
      <c r="G145" t="s">
        <v>39</v>
      </c>
      <c r="H145" t="s">
        <v>29</v>
      </c>
      <c r="I145">
        <v>3</v>
      </c>
      <c r="J145">
        <v>2</v>
      </c>
    </row>
    <row r="146" spans="1:10" x14ac:dyDescent="0.2">
      <c r="A146" s="1" t="s">
        <v>194</v>
      </c>
      <c r="B146" t="s">
        <v>20</v>
      </c>
      <c r="C146">
        <v>1</v>
      </c>
      <c r="D146" t="s">
        <v>37</v>
      </c>
      <c r="E146">
        <v>2</v>
      </c>
      <c r="F146" t="s">
        <v>62</v>
      </c>
      <c r="G146" t="s">
        <v>37</v>
      </c>
      <c r="H146" t="s">
        <v>20</v>
      </c>
      <c r="I146">
        <v>2</v>
      </c>
      <c r="J146">
        <v>1</v>
      </c>
    </row>
    <row r="147" spans="1:10" x14ac:dyDescent="0.2">
      <c r="A147" s="1" t="s">
        <v>194</v>
      </c>
      <c r="B147" t="s">
        <v>17</v>
      </c>
      <c r="C147">
        <v>3</v>
      </c>
      <c r="D147" t="s">
        <v>38</v>
      </c>
      <c r="E147">
        <v>4</v>
      </c>
      <c r="F147" t="s">
        <v>62</v>
      </c>
      <c r="G147" t="s">
        <v>38</v>
      </c>
      <c r="H147" t="s">
        <v>17</v>
      </c>
      <c r="I147">
        <v>4</v>
      </c>
      <c r="J147">
        <v>3</v>
      </c>
    </row>
    <row r="148" spans="1:10" x14ac:dyDescent="0.2">
      <c r="A148" s="1" t="s">
        <v>194</v>
      </c>
      <c r="B148" t="s">
        <v>55</v>
      </c>
      <c r="C148">
        <v>3</v>
      </c>
      <c r="D148" t="s">
        <v>40</v>
      </c>
      <c r="E148">
        <v>2</v>
      </c>
      <c r="F148" t="s">
        <v>60</v>
      </c>
      <c r="G148" t="s">
        <v>55</v>
      </c>
      <c r="H148" t="s">
        <v>40</v>
      </c>
      <c r="I148">
        <v>3</v>
      </c>
      <c r="J148">
        <v>2</v>
      </c>
    </row>
    <row r="149" spans="1:10" x14ac:dyDescent="0.2">
      <c r="A149" s="1" t="s">
        <v>195</v>
      </c>
      <c r="B149" t="s">
        <v>21</v>
      </c>
      <c r="C149">
        <v>2</v>
      </c>
      <c r="D149" t="s">
        <v>36</v>
      </c>
      <c r="E149">
        <v>7</v>
      </c>
      <c r="F149" t="s">
        <v>60</v>
      </c>
      <c r="G149" t="s">
        <v>36</v>
      </c>
      <c r="H149" t="s">
        <v>21</v>
      </c>
      <c r="I149">
        <v>7</v>
      </c>
      <c r="J149">
        <v>2</v>
      </c>
    </row>
    <row r="150" spans="1:10" x14ac:dyDescent="0.2">
      <c r="A150" s="1" t="s">
        <v>195</v>
      </c>
      <c r="B150" t="s">
        <v>35</v>
      </c>
      <c r="C150">
        <v>3</v>
      </c>
      <c r="D150" t="s">
        <v>14</v>
      </c>
      <c r="E150">
        <v>6</v>
      </c>
      <c r="F150" t="s">
        <v>60</v>
      </c>
      <c r="G150" t="s">
        <v>14</v>
      </c>
      <c r="H150" t="s">
        <v>35</v>
      </c>
      <c r="I150">
        <v>6</v>
      </c>
      <c r="J150">
        <v>3</v>
      </c>
    </row>
    <row r="151" spans="1:10" x14ac:dyDescent="0.2">
      <c r="A151" s="1" t="s">
        <v>196</v>
      </c>
      <c r="B151" t="s">
        <v>30</v>
      </c>
      <c r="C151">
        <v>2</v>
      </c>
      <c r="D151" t="s">
        <v>21</v>
      </c>
      <c r="E151">
        <v>5</v>
      </c>
      <c r="F151" t="s">
        <v>60</v>
      </c>
      <c r="G151" t="s">
        <v>21</v>
      </c>
      <c r="H151" t="s">
        <v>30</v>
      </c>
      <c r="I151">
        <v>5</v>
      </c>
      <c r="J151">
        <v>2</v>
      </c>
    </row>
    <row r="152" spans="1:10" x14ac:dyDescent="0.2">
      <c r="A152" s="1" t="s">
        <v>196</v>
      </c>
      <c r="B152" t="s">
        <v>28</v>
      </c>
      <c r="C152">
        <v>4</v>
      </c>
      <c r="D152" t="s">
        <v>23</v>
      </c>
      <c r="E152">
        <v>3</v>
      </c>
      <c r="F152" t="s">
        <v>62</v>
      </c>
      <c r="G152" t="s">
        <v>28</v>
      </c>
      <c r="H152" t="s">
        <v>23</v>
      </c>
      <c r="I152">
        <v>4</v>
      </c>
      <c r="J152">
        <v>3</v>
      </c>
    </row>
    <row r="153" spans="1:10" x14ac:dyDescent="0.2">
      <c r="A153" s="1" t="s">
        <v>196</v>
      </c>
      <c r="B153" t="s">
        <v>20</v>
      </c>
      <c r="C153">
        <v>6</v>
      </c>
      <c r="D153" t="s">
        <v>25</v>
      </c>
      <c r="E153">
        <v>3</v>
      </c>
      <c r="F153" t="s">
        <v>60</v>
      </c>
      <c r="G153" t="s">
        <v>20</v>
      </c>
      <c r="H153" t="s">
        <v>25</v>
      </c>
      <c r="I153">
        <v>6</v>
      </c>
      <c r="J153">
        <v>3</v>
      </c>
    </row>
    <row r="154" spans="1:10" x14ac:dyDescent="0.2">
      <c r="A154" s="1" t="s">
        <v>196</v>
      </c>
      <c r="B154" t="s">
        <v>36</v>
      </c>
      <c r="C154">
        <v>3</v>
      </c>
      <c r="D154" t="s">
        <v>10</v>
      </c>
      <c r="E154">
        <v>7</v>
      </c>
      <c r="F154" t="s">
        <v>60</v>
      </c>
      <c r="G154" t="s">
        <v>10</v>
      </c>
      <c r="H154" t="s">
        <v>36</v>
      </c>
      <c r="I154">
        <v>7</v>
      </c>
      <c r="J154">
        <v>3</v>
      </c>
    </row>
    <row r="155" spans="1:10" x14ac:dyDescent="0.2">
      <c r="A155" s="1" t="s">
        <v>196</v>
      </c>
      <c r="B155" t="s">
        <v>24</v>
      </c>
      <c r="C155">
        <v>4</v>
      </c>
      <c r="D155" t="s">
        <v>12</v>
      </c>
      <c r="E155">
        <v>8</v>
      </c>
      <c r="F155" t="s">
        <v>60</v>
      </c>
      <c r="G155" t="s">
        <v>12</v>
      </c>
      <c r="H155" t="s">
        <v>24</v>
      </c>
      <c r="I155">
        <v>8</v>
      </c>
      <c r="J155">
        <v>4</v>
      </c>
    </row>
    <row r="156" spans="1:10" x14ac:dyDescent="0.2">
      <c r="A156" s="1" t="s">
        <v>196</v>
      </c>
      <c r="B156" t="s">
        <v>22</v>
      </c>
      <c r="C156">
        <v>0</v>
      </c>
      <c r="D156" t="s">
        <v>39</v>
      </c>
      <c r="E156">
        <v>1</v>
      </c>
      <c r="F156" t="s">
        <v>60</v>
      </c>
      <c r="G156" t="s">
        <v>39</v>
      </c>
      <c r="H156" t="s">
        <v>22</v>
      </c>
      <c r="I156">
        <v>1</v>
      </c>
      <c r="J156">
        <v>0</v>
      </c>
    </row>
    <row r="157" spans="1:10" x14ac:dyDescent="0.2">
      <c r="A157" s="1" t="s">
        <v>196</v>
      </c>
      <c r="B157" t="s">
        <v>55</v>
      </c>
      <c r="C157">
        <v>3</v>
      </c>
      <c r="D157" t="s">
        <v>17</v>
      </c>
      <c r="E157">
        <v>6</v>
      </c>
      <c r="F157" t="s">
        <v>60</v>
      </c>
      <c r="G157" t="s">
        <v>17</v>
      </c>
      <c r="H157" t="s">
        <v>55</v>
      </c>
      <c r="I157">
        <v>6</v>
      </c>
      <c r="J157">
        <v>3</v>
      </c>
    </row>
    <row r="158" spans="1:10" x14ac:dyDescent="0.2">
      <c r="A158" s="1" t="s">
        <v>196</v>
      </c>
      <c r="B158" t="s">
        <v>31</v>
      </c>
      <c r="C158">
        <v>3</v>
      </c>
      <c r="D158" t="s">
        <v>11</v>
      </c>
      <c r="E158">
        <v>2</v>
      </c>
      <c r="F158" t="s">
        <v>61</v>
      </c>
      <c r="G158" t="s">
        <v>31</v>
      </c>
      <c r="H158" t="s">
        <v>11</v>
      </c>
      <c r="I158">
        <v>3</v>
      </c>
      <c r="J158">
        <v>2</v>
      </c>
    </row>
    <row r="159" spans="1:10" x14ac:dyDescent="0.2">
      <c r="A159" s="1" t="s">
        <v>196</v>
      </c>
      <c r="B159" t="s">
        <v>40</v>
      </c>
      <c r="C159">
        <v>4</v>
      </c>
      <c r="D159" t="s">
        <v>34</v>
      </c>
      <c r="E159">
        <v>3</v>
      </c>
      <c r="F159" t="s">
        <v>62</v>
      </c>
      <c r="G159" t="s">
        <v>40</v>
      </c>
      <c r="H159" t="s">
        <v>34</v>
      </c>
      <c r="I159">
        <v>4</v>
      </c>
      <c r="J159">
        <v>3</v>
      </c>
    </row>
    <row r="160" spans="1:10" x14ac:dyDescent="0.2">
      <c r="A160" s="1" t="s">
        <v>196</v>
      </c>
      <c r="B160" t="s">
        <v>37</v>
      </c>
      <c r="C160">
        <v>5</v>
      </c>
      <c r="D160" t="s">
        <v>29</v>
      </c>
      <c r="E160">
        <v>2</v>
      </c>
      <c r="F160" t="s">
        <v>60</v>
      </c>
      <c r="G160" t="s">
        <v>37</v>
      </c>
      <c r="H160" t="s">
        <v>29</v>
      </c>
      <c r="I160">
        <v>5</v>
      </c>
      <c r="J160">
        <v>2</v>
      </c>
    </row>
    <row r="161" spans="1:10" x14ac:dyDescent="0.2">
      <c r="A161" s="1" t="s">
        <v>196</v>
      </c>
      <c r="B161" t="s">
        <v>14</v>
      </c>
      <c r="C161">
        <v>2</v>
      </c>
      <c r="D161" t="s">
        <v>27</v>
      </c>
      <c r="E161">
        <v>3</v>
      </c>
      <c r="F161" t="s">
        <v>61</v>
      </c>
      <c r="G161" t="s">
        <v>27</v>
      </c>
      <c r="H161" t="s">
        <v>14</v>
      </c>
      <c r="I161">
        <v>3</v>
      </c>
      <c r="J161">
        <v>2</v>
      </c>
    </row>
    <row r="162" spans="1:10" x14ac:dyDescent="0.2">
      <c r="A162" s="1" t="s">
        <v>196</v>
      </c>
      <c r="B162" t="s">
        <v>18</v>
      </c>
      <c r="C162">
        <v>4</v>
      </c>
      <c r="D162" t="s">
        <v>32</v>
      </c>
      <c r="E162">
        <v>3</v>
      </c>
      <c r="F162" t="s">
        <v>62</v>
      </c>
      <c r="G162" t="s">
        <v>18</v>
      </c>
      <c r="H162" t="s">
        <v>32</v>
      </c>
      <c r="I162">
        <v>4</v>
      </c>
      <c r="J162">
        <v>3</v>
      </c>
    </row>
    <row r="163" spans="1:10" x14ac:dyDescent="0.2">
      <c r="A163" s="1" t="s">
        <v>196</v>
      </c>
      <c r="B163" t="s">
        <v>13</v>
      </c>
      <c r="C163">
        <v>4</v>
      </c>
      <c r="D163" t="s">
        <v>33</v>
      </c>
      <c r="E163">
        <v>3</v>
      </c>
      <c r="F163" t="s">
        <v>60</v>
      </c>
      <c r="G163" t="s">
        <v>13</v>
      </c>
      <c r="H163" t="s">
        <v>33</v>
      </c>
      <c r="I163">
        <v>4</v>
      </c>
      <c r="J163">
        <v>3</v>
      </c>
    </row>
    <row r="164" spans="1:10" x14ac:dyDescent="0.2">
      <c r="A164" s="1" t="s">
        <v>196</v>
      </c>
      <c r="B164" t="s">
        <v>26</v>
      </c>
      <c r="C164">
        <v>5</v>
      </c>
      <c r="D164" t="s">
        <v>35</v>
      </c>
      <c r="E164">
        <v>2</v>
      </c>
      <c r="F164" t="s">
        <v>60</v>
      </c>
      <c r="G164" t="s">
        <v>26</v>
      </c>
      <c r="H164" t="s">
        <v>35</v>
      </c>
      <c r="I164">
        <v>5</v>
      </c>
      <c r="J164">
        <v>2</v>
      </c>
    </row>
    <row r="165" spans="1:10" x14ac:dyDescent="0.2">
      <c r="A165" s="1" t="s">
        <v>196</v>
      </c>
      <c r="B165" t="s">
        <v>16</v>
      </c>
      <c r="C165">
        <v>3</v>
      </c>
      <c r="D165" t="s">
        <v>19</v>
      </c>
      <c r="E165">
        <v>4</v>
      </c>
      <c r="F165" t="s">
        <v>60</v>
      </c>
      <c r="G165" t="s">
        <v>19</v>
      </c>
      <c r="H165" t="s">
        <v>16</v>
      </c>
      <c r="I165">
        <v>4</v>
      </c>
      <c r="J165">
        <v>3</v>
      </c>
    </row>
    <row r="166" spans="1:10" x14ac:dyDescent="0.2">
      <c r="A166" s="1" t="s">
        <v>196</v>
      </c>
      <c r="B166" t="s">
        <v>15</v>
      </c>
      <c r="C166">
        <v>2</v>
      </c>
      <c r="D166" t="s">
        <v>38</v>
      </c>
      <c r="E166">
        <v>0</v>
      </c>
      <c r="F166" t="s">
        <v>60</v>
      </c>
      <c r="G166" t="s">
        <v>15</v>
      </c>
      <c r="H166" t="s">
        <v>38</v>
      </c>
      <c r="I166">
        <v>2</v>
      </c>
      <c r="J166">
        <v>0</v>
      </c>
    </row>
    <row r="167" spans="1:10" x14ac:dyDescent="0.2">
      <c r="A167" s="1" t="s">
        <v>197</v>
      </c>
      <c r="B167" t="s">
        <v>19</v>
      </c>
      <c r="C167">
        <v>3</v>
      </c>
      <c r="D167" t="s">
        <v>28</v>
      </c>
      <c r="E167">
        <v>6</v>
      </c>
      <c r="F167" t="s">
        <v>60</v>
      </c>
      <c r="G167" t="s">
        <v>28</v>
      </c>
      <c r="H167" t="s">
        <v>19</v>
      </c>
      <c r="I167">
        <v>6</v>
      </c>
      <c r="J167">
        <v>3</v>
      </c>
    </row>
    <row r="168" spans="1:10" x14ac:dyDescent="0.2">
      <c r="A168" s="1" t="s">
        <v>198</v>
      </c>
      <c r="B168" t="s">
        <v>23</v>
      </c>
      <c r="C168">
        <v>3</v>
      </c>
      <c r="D168" t="s">
        <v>21</v>
      </c>
      <c r="E168">
        <v>4</v>
      </c>
      <c r="F168" t="s">
        <v>62</v>
      </c>
      <c r="G168" t="s">
        <v>21</v>
      </c>
      <c r="H168" t="s">
        <v>23</v>
      </c>
      <c r="I168">
        <v>4</v>
      </c>
      <c r="J168">
        <v>3</v>
      </c>
    </row>
    <row r="169" spans="1:10" x14ac:dyDescent="0.2">
      <c r="A169" s="1" t="s">
        <v>198</v>
      </c>
      <c r="B169" t="s">
        <v>30</v>
      </c>
      <c r="C169">
        <v>2</v>
      </c>
      <c r="D169" t="s">
        <v>25</v>
      </c>
      <c r="E169">
        <v>6</v>
      </c>
      <c r="F169" t="s">
        <v>60</v>
      </c>
      <c r="G169" t="s">
        <v>25</v>
      </c>
      <c r="H169" t="s">
        <v>30</v>
      </c>
      <c r="I169">
        <v>6</v>
      </c>
      <c r="J169">
        <v>2</v>
      </c>
    </row>
    <row r="170" spans="1:10" x14ac:dyDescent="0.2">
      <c r="A170" s="1" t="s">
        <v>198</v>
      </c>
      <c r="B170" t="s">
        <v>15</v>
      </c>
      <c r="C170">
        <v>4</v>
      </c>
      <c r="D170" t="s">
        <v>17</v>
      </c>
      <c r="E170">
        <v>3</v>
      </c>
      <c r="F170" t="s">
        <v>62</v>
      </c>
      <c r="G170" t="s">
        <v>15</v>
      </c>
      <c r="H170" t="s">
        <v>17</v>
      </c>
      <c r="I170">
        <v>4</v>
      </c>
      <c r="J170">
        <v>3</v>
      </c>
    </row>
    <row r="171" spans="1:10" x14ac:dyDescent="0.2">
      <c r="A171" s="1" t="s">
        <v>198</v>
      </c>
      <c r="B171" t="s">
        <v>26</v>
      </c>
      <c r="C171">
        <v>4</v>
      </c>
      <c r="D171" t="s">
        <v>13</v>
      </c>
      <c r="E171">
        <v>3</v>
      </c>
      <c r="F171" t="s">
        <v>61</v>
      </c>
      <c r="G171" t="s">
        <v>26</v>
      </c>
      <c r="H171" t="s">
        <v>13</v>
      </c>
      <c r="I171">
        <v>4</v>
      </c>
      <c r="J171">
        <v>3</v>
      </c>
    </row>
    <row r="172" spans="1:10" x14ac:dyDescent="0.2">
      <c r="A172" s="1" t="s">
        <v>198</v>
      </c>
      <c r="B172" t="s">
        <v>14</v>
      </c>
      <c r="C172">
        <v>4</v>
      </c>
      <c r="D172" t="s">
        <v>34</v>
      </c>
      <c r="E172">
        <v>1</v>
      </c>
      <c r="F172" t="s">
        <v>60</v>
      </c>
      <c r="G172" t="s">
        <v>14</v>
      </c>
      <c r="H172" t="s">
        <v>34</v>
      </c>
      <c r="I172">
        <v>4</v>
      </c>
      <c r="J172">
        <v>1</v>
      </c>
    </row>
    <row r="173" spans="1:10" x14ac:dyDescent="0.2">
      <c r="A173" s="1" t="s">
        <v>198</v>
      </c>
      <c r="B173" t="s">
        <v>16</v>
      </c>
      <c r="C173">
        <v>3</v>
      </c>
      <c r="D173" t="s">
        <v>36</v>
      </c>
      <c r="E173">
        <v>4</v>
      </c>
      <c r="F173" t="s">
        <v>61</v>
      </c>
      <c r="G173" t="s">
        <v>36</v>
      </c>
      <c r="H173" t="s">
        <v>16</v>
      </c>
      <c r="I173">
        <v>4</v>
      </c>
      <c r="J173">
        <v>3</v>
      </c>
    </row>
    <row r="174" spans="1:10" x14ac:dyDescent="0.2">
      <c r="A174" s="1" t="s">
        <v>198</v>
      </c>
      <c r="B174" t="s">
        <v>29</v>
      </c>
      <c r="C174">
        <v>1</v>
      </c>
      <c r="D174" t="s">
        <v>27</v>
      </c>
      <c r="E174">
        <v>4</v>
      </c>
      <c r="F174" t="s">
        <v>60</v>
      </c>
      <c r="G174" t="s">
        <v>27</v>
      </c>
      <c r="H174" t="s">
        <v>29</v>
      </c>
      <c r="I174">
        <v>4</v>
      </c>
      <c r="J174">
        <v>1</v>
      </c>
    </row>
    <row r="175" spans="1:10" x14ac:dyDescent="0.2">
      <c r="A175" s="1" t="s">
        <v>198</v>
      </c>
      <c r="B175" t="s">
        <v>24</v>
      </c>
      <c r="C175">
        <v>2</v>
      </c>
      <c r="D175" t="s">
        <v>33</v>
      </c>
      <c r="E175">
        <v>5</v>
      </c>
      <c r="F175" t="s">
        <v>60</v>
      </c>
      <c r="G175" t="s">
        <v>33</v>
      </c>
      <c r="H175" t="s">
        <v>24</v>
      </c>
      <c r="I175">
        <v>5</v>
      </c>
      <c r="J175">
        <v>2</v>
      </c>
    </row>
    <row r="176" spans="1:10" x14ac:dyDescent="0.2">
      <c r="A176" s="1" t="s">
        <v>198</v>
      </c>
      <c r="B176" t="s">
        <v>38</v>
      </c>
      <c r="C176">
        <v>4</v>
      </c>
      <c r="D176" t="s">
        <v>35</v>
      </c>
      <c r="E176">
        <v>3</v>
      </c>
      <c r="F176" t="s">
        <v>61</v>
      </c>
      <c r="G176" t="s">
        <v>38</v>
      </c>
      <c r="H176" t="s">
        <v>35</v>
      </c>
      <c r="I176">
        <v>4</v>
      </c>
      <c r="J176">
        <v>3</v>
      </c>
    </row>
    <row r="177" spans="1:10" x14ac:dyDescent="0.2">
      <c r="A177" s="1" t="s">
        <v>198</v>
      </c>
      <c r="B177" t="s">
        <v>39</v>
      </c>
      <c r="C177">
        <v>1</v>
      </c>
      <c r="D177" t="s">
        <v>37</v>
      </c>
      <c r="E177">
        <v>2</v>
      </c>
      <c r="F177" t="s">
        <v>62</v>
      </c>
      <c r="G177" t="s">
        <v>37</v>
      </c>
      <c r="H177" t="s">
        <v>39</v>
      </c>
      <c r="I177">
        <v>2</v>
      </c>
      <c r="J177">
        <v>1</v>
      </c>
    </row>
    <row r="178" spans="1:10" x14ac:dyDescent="0.2">
      <c r="A178" s="1" t="s">
        <v>198</v>
      </c>
      <c r="B178" t="s">
        <v>10</v>
      </c>
      <c r="C178">
        <v>3</v>
      </c>
      <c r="D178" t="s">
        <v>40</v>
      </c>
      <c r="E178">
        <v>6</v>
      </c>
      <c r="F178" t="s">
        <v>60</v>
      </c>
      <c r="G178" t="s">
        <v>40</v>
      </c>
      <c r="H178" t="s">
        <v>10</v>
      </c>
      <c r="I178">
        <v>6</v>
      </c>
      <c r="J178">
        <v>3</v>
      </c>
    </row>
    <row r="179" spans="1:10" x14ac:dyDescent="0.2">
      <c r="A179" s="1" t="s">
        <v>199</v>
      </c>
      <c r="B179" t="s">
        <v>26</v>
      </c>
      <c r="C179">
        <v>2</v>
      </c>
      <c r="D179" t="s">
        <v>31</v>
      </c>
      <c r="E179">
        <v>5</v>
      </c>
      <c r="F179" t="s">
        <v>60</v>
      </c>
      <c r="G179" t="s">
        <v>31</v>
      </c>
      <c r="H179" t="s">
        <v>26</v>
      </c>
      <c r="I179">
        <v>5</v>
      </c>
      <c r="J179">
        <v>2</v>
      </c>
    </row>
    <row r="180" spans="1:10" x14ac:dyDescent="0.2">
      <c r="A180" s="1" t="s">
        <v>199</v>
      </c>
      <c r="B180" t="s">
        <v>12</v>
      </c>
      <c r="C180">
        <v>4</v>
      </c>
      <c r="D180" t="s">
        <v>20</v>
      </c>
      <c r="E180">
        <v>2</v>
      </c>
      <c r="F180" t="s">
        <v>60</v>
      </c>
      <c r="G180" t="s">
        <v>12</v>
      </c>
      <c r="H180" t="s">
        <v>20</v>
      </c>
      <c r="I180">
        <v>4</v>
      </c>
      <c r="J180">
        <v>2</v>
      </c>
    </row>
    <row r="181" spans="1:10" x14ac:dyDescent="0.2">
      <c r="A181" s="1" t="s">
        <v>199</v>
      </c>
      <c r="B181" t="s">
        <v>30</v>
      </c>
      <c r="C181">
        <v>3</v>
      </c>
      <c r="D181" t="s">
        <v>22</v>
      </c>
      <c r="E181">
        <v>1</v>
      </c>
      <c r="F181" t="s">
        <v>60</v>
      </c>
      <c r="G181" t="s">
        <v>30</v>
      </c>
      <c r="H181" t="s">
        <v>22</v>
      </c>
      <c r="I181">
        <v>3</v>
      </c>
      <c r="J181">
        <v>1</v>
      </c>
    </row>
    <row r="182" spans="1:10" x14ac:dyDescent="0.2">
      <c r="A182" s="1" t="s">
        <v>200</v>
      </c>
      <c r="B182" t="s">
        <v>25</v>
      </c>
      <c r="C182">
        <v>1</v>
      </c>
      <c r="D182" t="s">
        <v>21</v>
      </c>
      <c r="E182">
        <v>2</v>
      </c>
      <c r="F182" t="s">
        <v>60</v>
      </c>
      <c r="G182" t="s">
        <v>21</v>
      </c>
      <c r="H182" t="s">
        <v>25</v>
      </c>
      <c r="I182">
        <v>2</v>
      </c>
      <c r="J182">
        <v>1</v>
      </c>
    </row>
    <row r="183" spans="1:10" x14ac:dyDescent="0.2">
      <c r="A183" s="1" t="s">
        <v>200</v>
      </c>
      <c r="B183" t="s">
        <v>22</v>
      </c>
      <c r="C183">
        <v>3</v>
      </c>
      <c r="D183" t="s">
        <v>23</v>
      </c>
      <c r="E183">
        <v>4</v>
      </c>
      <c r="F183" t="s">
        <v>61</v>
      </c>
      <c r="G183" t="s">
        <v>23</v>
      </c>
      <c r="H183" t="s">
        <v>22</v>
      </c>
      <c r="I183">
        <v>4</v>
      </c>
      <c r="J183">
        <v>3</v>
      </c>
    </row>
    <row r="184" spans="1:10" x14ac:dyDescent="0.2">
      <c r="A184" s="1" t="s">
        <v>200</v>
      </c>
      <c r="B184" t="s">
        <v>35</v>
      </c>
      <c r="C184">
        <v>2</v>
      </c>
      <c r="D184" t="s">
        <v>28</v>
      </c>
      <c r="E184">
        <v>3</v>
      </c>
      <c r="F184" t="s">
        <v>60</v>
      </c>
      <c r="G184" t="s">
        <v>28</v>
      </c>
      <c r="H184" t="s">
        <v>35</v>
      </c>
      <c r="I184">
        <v>3</v>
      </c>
      <c r="J184">
        <v>2</v>
      </c>
    </row>
    <row r="185" spans="1:10" x14ac:dyDescent="0.2">
      <c r="A185" s="1" t="s">
        <v>200</v>
      </c>
      <c r="B185" t="s">
        <v>10</v>
      </c>
      <c r="C185">
        <v>2</v>
      </c>
      <c r="D185" t="s">
        <v>17</v>
      </c>
      <c r="E185">
        <v>3</v>
      </c>
      <c r="F185" t="s">
        <v>62</v>
      </c>
      <c r="G185" t="s">
        <v>17</v>
      </c>
      <c r="H185" t="s">
        <v>10</v>
      </c>
      <c r="I185">
        <v>3</v>
      </c>
      <c r="J185">
        <v>2</v>
      </c>
    </row>
    <row r="186" spans="1:10" x14ac:dyDescent="0.2">
      <c r="A186" s="1" t="s">
        <v>200</v>
      </c>
      <c r="B186" t="s">
        <v>39</v>
      </c>
      <c r="C186">
        <v>3</v>
      </c>
      <c r="D186" t="s">
        <v>11</v>
      </c>
      <c r="E186">
        <v>4</v>
      </c>
      <c r="F186" t="s">
        <v>61</v>
      </c>
      <c r="G186" t="s">
        <v>11</v>
      </c>
      <c r="H186" t="s">
        <v>39</v>
      </c>
      <c r="I186">
        <v>4</v>
      </c>
      <c r="J186">
        <v>3</v>
      </c>
    </row>
    <row r="187" spans="1:10" x14ac:dyDescent="0.2">
      <c r="A187" s="1" t="s">
        <v>200</v>
      </c>
      <c r="B187" t="s">
        <v>24</v>
      </c>
      <c r="C187">
        <v>4</v>
      </c>
      <c r="D187" t="s">
        <v>13</v>
      </c>
      <c r="E187">
        <v>1</v>
      </c>
      <c r="F187" t="s">
        <v>60</v>
      </c>
      <c r="G187" t="s">
        <v>24</v>
      </c>
      <c r="H187" t="s">
        <v>13</v>
      </c>
      <c r="I187">
        <v>4</v>
      </c>
      <c r="J187">
        <v>1</v>
      </c>
    </row>
    <row r="188" spans="1:10" x14ac:dyDescent="0.2">
      <c r="A188" s="1" t="s">
        <v>200</v>
      </c>
      <c r="B188" t="s">
        <v>38</v>
      </c>
      <c r="C188">
        <v>2</v>
      </c>
      <c r="D188" t="s">
        <v>34</v>
      </c>
      <c r="E188">
        <v>5</v>
      </c>
      <c r="F188" t="s">
        <v>60</v>
      </c>
      <c r="G188" t="s">
        <v>34</v>
      </c>
      <c r="H188" t="s">
        <v>38</v>
      </c>
      <c r="I188">
        <v>5</v>
      </c>
      <c r="J188">
        <v>2</v>
      </c>
    </row>
    <row r="189" spans="1:10" x14ac:dyDescent="0.2">
      <c r="A189" s="1" t="s">
        <v>200</v>
      </c>
      <c r="B189" t="s">
        <v>36</v>
      </c>
      <c r="C189">
        <v>3</v>
      </c>
      <c r="D189" t="s">
        <v>18</v>
      </c>
      <c r="E189">
        <v>4</v>
      </c>
      <c r="F189" t="s">
        <v>62</v>
      </c>
      <c r="G189" t="s">
        <v>18</v>
      </c>
      <c r="H189" t="s">
        <v>36</v>
      </c>
      <c r="I189">
        <v>4</v>
      </c>
      <c r="J189">
        <v>3</v>
      </c>
    </row>
    <row r="190" spans="1:10" x14ac:dyDescent="0.2">
      <c r="A190" s="1" t="s">
        <v>200</v>
      </c>
      <c r="B190" t="s">
        <v>16</v>
      </c>
      <c r="C190">
        <v>2</v>
      </c>
      <c r="D190" t="s">
        <v>29</v>
      </c>
      <c r="E190">
        <v>4</v>
      </c>
      <c r="F190" t="s">
        <v>60</v>
      </c>
      <c r="G190" t="s">
        <v>29</v>
      </c>
      <c r="H190" t="s">
        <v>16</v>
      </c>
      <c r="I190">
        <v>4</v>
      </c>
      <c r="J190">
        <v>2</v>
      </c>
    </row>
    <row r="191" spans="1:10" x14ac:dyDescent="0.2">
      <c r="A191" s="1" t="s">
        <v>200</v>
      </c>
      <c r="B191" t="s">
        <v>19</v>
      </c>
      <c r="C191">
        <v>5</v>
      </c>
      <c r="D191" t="s">
        <v>27</v>
      </c>
      <c r="E191">
        <v>2</v>
      </c>
      <c r="F191" t="s">
        <v>60</v>
      </c>
      <c r="G191" t="s">
        <v>19</v>
      </c>
      <c r="H191" t="s">
        <v>27</v>
      </c>
      <c r="I191">
        <v>5</v>
      </c>
      <c r="J191">
        <v>2</v>
      </c>
    </row>
    <row r="192" spans="1:10" x14ac:dyDescent="0.2">
      <c r="A192" s="1" t="s">
        <v>200</v>
      </c>
      <c r="B192" t="s">
        <v>15</v>
      </c>
      <c r="C192">
        <v>3</v>
      </c>
      <c r="D192" t="s">
        <v>32</v>
      </c>
      <c r="E192">
        <v>2</v>
      </c>
      <c r="F192" t="s">
        <v>62</v>
      </c>
      <c r="G192" t="s">
        <v>15</v>
      </c>
      <c r="H192" t="s">
        <v>32</v>
      </c>
      <c r="I192">
        <v>3</v>
      </c>
      <c r="J192">
        <v>2</v>
      </c>
    </row>
    <row r="193" spans="1:10" x14ac:dyDescent="0.2">
      <c r="A193" s="1" t="s">
        <v>200</v>
      </c>
      <c r="B193" t="s">
        <v>12</v>
      </c>
      <c r="C193">
        <v>2</v>
      </c>
      <c r="D193" t="s">
        <v>33</v>
      </c>
      <c r="E193">
        <v>3</v>
      </c>
      <c r="F193" t="s">
        <v>62</v>
      </c>
      <c r="G193" t="s">
        <v>33</v>
      </c>
      <c r="H193" t="s">
        <v>12</v>
      </c>
      <c r="I193">
        <v>3</v>
      </c>
      <c r="J193">
        <v>2</v>
      </c>
    </row>
    <row r="194" spans="1:10" x14ac:dyDescent="0.2">
      <c r="A194" s="1" t="s">
        <v>200</v>
      </c>
      <c r="B194" t="s">
        <v>14</v>
      </c>
      <c r="C194">
        <v>2</v>
      </c>
      <c r="D194" t="s">
        <v>40</v>
      </c>
      <c r="E194">
        <v>5</v>
      </c>
      <c r="F194" t="s">
        <v>60</v>
      </c>
      <c r="G194" t="s">
        <v>40</v>
      </c>
      <c r="H194" t="s">
        <v>14</v>
      </c>
      <c r="I194">
        <v>5</v>
      </c>
      <c r="J194">
        <v>2</v>
      </c>
    </row>
    <row r="195" spans="1:10" x14ac:dyDescent="0.2">
      <c r="A195" s="1" t="s">
        <v>201</v>
      </c>
      <c r="B195" t="s">
        <v>24</v>
      </c>
      <c r="C195">
        <v>1</v>
      </c>
      <c r="D195" t="s">
        <v>31</v>
      </c>
      <c r="E195">
        <v>4</v>
      </c>
      <c r="F195" t="s">
        <v>60</v>
      </c>
      <c r="G195" t="s">
        <v>31</v>
      </c>
      <c r="H195" t="s">
        <v>24</v>
      </c>
      <c r="I195">
        <v>4</v>
      </c>
      <c r="J195">
        <v>1</v>
      </c>
    </row>
    <row r="196" spans="1:10" x14ac:dyDescent="0.2">
      <c r="A196" s="1" t="s">
        <v>201</v>
      </c>
      <c r="B196" t="s">
        <v>28</v>
      </c>
      <c r="C196">
        <v>2</v>
      </c>
      <c r="D196" t="s">
        <v>30</v>
      </c>
      <c r="E196">
        <v>3</v>
      </c>
      <c r="F196" t="s">
        <v>60</v>
      </c>
      <c r="G196" t="s">
        <v>30</v>
      </c>
      <c r="H196" t="s">
        <v>28</v>
      </c>
      <c r="I196">
        <v>3</v>
      </c>
      <c r="J196">
        <v>2</v>
      </c>
    </row>
    <row r="197" spans="1:10" x14ac:dyDescent="0.2">
      <c r="A197" s="1" t="s">
        <v>201</v>
      </c>
      <c r="B197" t="s">
        <v>16</v>
      </c>
      <c r="C197">
        <v>2</v>
      </c>
      <c r="D197" t="s">
        <v>27</v>
      </c>
      <c r="E197">
        <v>1</v>
      </c>
      <c r="F197" t="s">
        <v>60</v>
      </c>
      <c r="G197" t="s">
        <v>16</v>
      </c>
      <c r="H197" t="s">
        <v>27</v>
      </c>
      <c r="I197">
        <v>2</v>
      </c>
      <c r="J197">
        <v>1</v>
      </c>
    </row>
    <row r="198" spans="1:10" x14ac:dyDescent="0.2">
      <c r="A198" s="1" t="s">
        <v>201</v>
      </c>
      <c r="B198" t="s">
        <v>26</v>
      </c>
      <c r="C198">
        <v>3</v>
      </c>
      <c r="D198" t="s">
        <v>33</v>
      </c>
      <c r="E198">
        <v>2</v>
      </c>
      <c r="F198" t="s">
        <v>61</v>
      </c>
      <c r="G198" t="s">
        <v>26</v>
      </c>
      <c r="H198" t="s">
        <v>33</v>
      </c>
      <c r="I198">
        <v>3</v>
      </c>
      <c r="J198">
        <v>2</v>
      </c>
    </row>
    <row r="199" spans="1:10" x14ac:dyDescent="0.2">
      <c r="A199" s="1" t="s">
        <v>201</v>
      </c>
      <c r="B199" t="s">
        <v>37</v>
      </c>
      <c r="C199">
        <v>4</v>
      </c>
      <c r="D199" t="s">
        <v>55</v>
      </c>
      <c r="E199">
        <v>2</v>
      </c>
      <c r="F199" t="s">
        <v>60</v>
      </c>
      <c r="G199" t="s">
        <v>37</v>
      </c>
      <c r="H199" t="s">
        <v>55</v>
      </c>
      <c r="I199">
        <v>4</v>
      </c>
      <c r="J199">
        <v>2</v>
      </c>
    </row>
    <row r="200" spans="1:10" x14ac:dyDescent="0.2">
      <c r="A200" s="1" t="s">
        <v>202</v>
      </c>
      <c r="B200" t="s">
        <v>38</v>
      </c>
      <c r="C200">
        <v>5</v>
      </c>
      <c r="D200" t="s">
        <v>29</v>
      </c>
      <c r="E200">
        <v>4</v>
      </c>
      <c r="F200" t="s">
        <v>62</v>
      </c>
      <c r="G200" t="s">
        <v>38</v>
      </c>
      <c r="H200" t="s">
        <v>29</v>
      </c>
      <c r="I200">
        <v>5</v>
      </c>
      <c r="J200">
        <v>4</v>
      </c>
    </row>
    <row r="201" spans="1:10" x14ac:dyDescent="0.2">
      <c r="A201" s="1" t="s">
        <v>202</v>
      </c>
      <c r="B201" t="s">
        <v>10</v>
      </c>
      <c r="C201">
        <v>1</v>
      </c>
      <c r="D201" t="s">
        <v>32</v>
      </c>
      <c r="E201">
        <v>3</v>
      </c>
      <c r="F201" t="s">
        <v>60</v>
      </c>
      <c r="G201" t="s">
        <v>32</v>
      </c>
      <c r="H201" t="s">
        <v>10</v>
      </c>
      <c r="I201">
        <v>3</v>
      </c>
      <c r="J201">
        <v>1</v>
      </c>
    </row>
    <row r="202" spans="1:10" x14ac:dyDescent="0.2">
      <c r="A202" s="1" t="s">
        <v>202</v>
      </c>
      <c r="B202" t="s">
        <v>17</v>
      </c>
      <c r="C202">
        <v>2</v>
      </c>
      <c r="D202" t="s">
        <v>35</v>
      </c>
      <c r="E202">
        <v>3</v>
      </c>
      <c r="F202" t="s">
        <v>60</v>
      </c>
      <c r="G202" t="s">
        <v>35</v>
      </c>
      <c r="H202" t="s">
        <v>17</v>
      </c>
      <c r="I202">
        <v>3</v>
      </c>
      <c r="J202">
        <v>2</v>
      </c>
    </row>
    <row r="203" spans="1:10" x14ac:dyDescent="0.2">
      <c r="A203" s="1" t="s">
        <v>202</v>
      </c>
      <c r="B203" t="s">
        <v>14</v>
      </c>
      <c r="C203">
        <v>3</v>
      </c>
      <c r="D203" t="s">
        <v>19</v>
      </c>
      <c r="E203">
        <v>4</v>
      </c>
      <c r="F203" t="s">
        <v>60</v>
      </c>
      <c r="G203" t="s">
        <v>19</v>
      </c>
      <c r="H203" t="s">
        <v>14</v>
      </c>
      <c r="I203">
        <v>4</v>
      </c>
      <c r="J203">
        <v>3</v>
      </c>
    </row>
    <row r="204" spans="1:10" x14ac:dyDescent="0.2">
      <c r="A204" s="1" t="s">
        <v>203</v>
      </c>
      <c r="B204" t="s">
        <v>11</v>
      </c>
      <c r="C204">
        <v>3</v>
      </c>
      <c r="D204" t="s">
        <v>31</v>
      </c>
      <c r="E204">
        <v>7</v>
      </c>
      <c r="F204" t="s">
        <v>60</v>
      </c>
      <c r="G204" t="s">
        <v>31</v>
      </c>
      <c r="H204" t="s">
        <v>11</v>
      </c>
      <c r="I204">
        <v>7</v>
      </c>
      <c r="J204">
        <v>3</v>
      </c>
    </row>
    <row r="205" spans="1:10" x14ac:dyDescent="0.2">
      <c r="A205" s="1" t="s">
        <v>203</v>
      </c>
      <c r="B205" t="s">
        <v>55</v>
      </c>
      <c r="C205">
        <v>2</v>
      </c>
      <c r="D205" t="s">
        <v>23</v>
      </c>
      <c r="E205">
        <v>1</v>
      </c>
      <c r="F205" t="s">
        <v>62</v>
      </c>
      <c r="G205" t="s">
        <v>55</v>
      </c>
      <c r="H205" t="s">
        <v>23</v>
      </c>
      <c r="I205">
        <v>2</v>
      </c>
      <c r="J205">
        <v>1</v>
      </c>
    </row>
    <row r="206" spans="1:10" x14ac:dyDescent="0.2">
      <c r="A206" s="1" t="s">
        <v>203</v>
      </c>
      <c r="B206" t="s">
        <v>37</v>
      </c>
      <c r="C206">
        <v>2</v>
      </c>
      <c r="D206" t="s">
        <v>12</v>
      </c>
      <c r="E206">
        <v>3</v>
      </c>
      <c r="F206" t="s">
        <v>60</v>
      </c>
      <c r="G206" t="s">
        <v>12</v>
      </c>
      <c r="H206" t="s">
        <v>37</v>
      </c>
      <c r="I206">
        <v>3</v>
      </c>
      <c r="J206">
        <v>2</v>
      </c>
    </row>
    <row r="207" spans="1:10" x14ac:dyDescent="0.2">
      <c r="A207" s="1" t="s">
        <v>203</v>
      </c>
      <c r="B207" t="s">
        <v>17</v>
      </c>
      <c r="C207">
        <v>3</v>
      </c>
      <c r="D207" t="s">
        <v>39</v>
      </c>
      <c r="E207">
        <v>4</v>
      </c>
      <c r="F207" t="s">
        <v>61</v>
      </c>
      <c r="G207" t="s">
        <v>39</v>
      </c>
      <c r="H207" t="s">
        <v>17</v>
      </c>
      <c r="I207">
        <v>4</v>
      </c>
      <c r="J207">
        <v>3</v>
      </c>
    </row>
    <row r="208" spans="1:10" x14ac:dyDescent="0.2">
      <c r="A208" s="1" t="s">
        <v>203</v>
      </c>
      <c r="B208" t="s">
        <v>40</v>
      </c>
      <c r="C208">
        <v>0</v>
      </c>
      <c r="D208" t="s">
        <v>13</v>
      </c>
      <c r="E208">
        <v>3</v>
      </c>
      <c r="F208" t="s">
        <v>60</v>
      </c>
      <c r="G208" t="s">
        <v>13</v>
      </c>
      <c r="H208" t="s">
        <v>40</v>
      </c>
      <c r="I208">
        <v>3</v>
      </c>
      <c r="J208">
        <v>0</v>
      </c>
    </row>
    <row r="209" spans="1:10" x14ac:dyDescent="0.2">
      <c r="A209" s="1" t="s">
        <v>203</v>
      </c>
      <c r="B209" t="s">
        <v>29</v>
      </c>
      <c r="C209">
        <v>2</v>
      </c>
      <c r="D209" t="s">
        <v>34</v>
      </c>
      <c r="E209">
        <v>3</v>
      </c>
      <c r="F209" t="s">
        <v>62</v>
      </c>
      <c r="G209" t="s">
        <v>34</v>
      </c>
      <c r="H209" t="s">
        <v>29</v>
      </c>
      <c r="I209">
        <v>3</v>
      </c>
      <c r="J209">
        <v>2</v>
      </c>
    </row>
    <row r="210" spans="1:10" x14ac:dyDescent="0.2">
      <c r="A210" s="1" t="s">
        <v>203</v>
      </c>
      <c r="B210" t="s">
        <v>27</v>
      </c>
      <c r="C210">
        <v>5</v>
      </c>
      <c r="D210" t="s">
        <v>18</v>
      </c>
      <c r="E210">
        <v>4</v>
      </c>
      <c r="F210" t="s">
        <v>61</v>
      </c>
      <c r="G210" t="s">
        <v>27</v>
      </c>
      <c r="H210" t="s">
        <v>18</v>
      </c>
      <c r="I210">
        <v>5</v>
      </c>
      <c r="J210">
        <v>4</v>
      </c>
    </row>
    <row r="211" spans="1:10" x14ac:dyDescent="0.2">
      <c r="A211" s="1" t="s">
        <v>203</v>
      </c>
      <c r="B211" t="s">
        <v>21</v>
      </c>
      <c r="C211">
        <v>4</v>
      </c>
      <c r="D211" t="s">
        <v>30</v>
      </c>
      <c r="E211">
        <v>3</v>
      </c>
      <c r="F211" t="s">
        <v>61</v>
      </c>
      <c r="G211" t="s">
        <v>21</v>
      </c>
      <c r="H211" t="s">
        <v>30</v>
      </c>
      <c r="I211">
        <v>4</v>
      </c>
      <c r="J211">
        <v>3</v>
      </c>
    </row>
    <row r="212" spans="1:10" x14ac:dyDescent="0.2">
      <c r="A212" s="1" t="s">
        <v>203</v>
      </c>
      <c r="B212" t="s">
        <v>25</v>
      </c>
      <c r="C212">
        <v>3</v>
      </c>
      <c r="D212" t="s">
        <v>15</v>
      </c>
      <c r="E212">
        <v>0</v>
      </c>
      <c r="F212" t="s">
        <v>60</v>
      </c>
      <c r="G212" t="s">
        <v>25</v>
      </c>
      <c r="H212" t="s">
        <v>15</v>
      </c>
      <c r="I212">
        <v>3</v>
      </c>
      <c r="J212">
        <v>0</v>
      </c>
    </row>
    <row r="213" spans="1:10" x14ac:dyDescent="0.2">
      <c r="A213" s="1" t="s">
        <v>203</v>
      </c>
      <c r="B213" t="s">
        <v>26</v>
      </c>
      <c r="C213">
        <v>0</v>
      </c>
      <c r="D213" t="s">
        <v>20</v>
      </c>
      <c r="E213">
        <v>1</v>
      </c>
      <c r="F213" t="s">
        <v>60</v>
      </c>
      <c r="G213" t="s">
        <v>20</v>
      </c>
      <c r="H213" t="s">
        <v>26</v>
      </c>
      <c r="I213">
        <v>1</v>
      </c>
      <c r="J213">
        <v>0</v>
      </c>
    </row>
    <row r="214" spans="1:10" x14ac:dyDescent="0.2">
      <c r="A214" s="1" t="s">
        <v>204</v>
      </c>
      <c r="B214" t="s">
        <v>28</v>
      </c>
      <c r="C214">
        <v>1</v>
      </c>
      <c r="D214" t="s">
        <v>16</v>
      </c>
      <c r="E214">
        <v>5</v>
      </c>
      <c r="F214" t="s">
        <v>60</v>
      </c>
      <c r="G214" t="s">
        <v>16</v>
      </c>
      <c r="H214" t="s">
        <v>28</v>
      </c>
      <c r="I214">
        <v>5</v>
      </c>
      <c r="J214">
        <v>1</v>
      </c>
    </row>
    <row r="215" spans="1:10" x14ac:dyDescent="0.2">
      <c r="A215" s="1" t="s">
        <v>204</v>
      </c>
      <c r="B215" t="s">
        <v>33</v>
      </c>
      <c r="C215">
        <v>6</v>
      </c>
      <c r="D215" t="s">
        <v>32</v>
      </c>
      <c r="E215">
        <v>1</v>
      </c>
      <c r="F215" t="s">
        <v>60</v>
      </c>
      <c r="G215" t="s">
        <v>33</v>
      </c>
      <c r="H215" t="s">
        <v>32</v>
      </c>
      <c r="I215">
        <v>6</v>
      </c>
      <c r="J215">
        <v>1</v>
      </c>
    </row>
    <row r="216" spans="1:10" x14ac:dyDescent="0.2">
      <c r="A216" s="1" t="s">
        <v>204</v>
      </c>
      <c r="B216" t="s">
        <v>55</v>
      </c>
      <c r="C216">
        <v>3</v>
      </c>
      <c r="D216" t="s">
        <v>19</v>
      </c>
      <c r="E216">
        <v>5</v>
      </c>
      <c r="F216" t="s">
        <v>60</v>
      </c>
      <c r="G216" t="s">
        <v>19</v>
      </c>
      <c r="H216" t="s">
        <v>55</v>
      </c>
      <c r="I216">
        <v>5</v>
      </c>
      <c r="J216">
        <v>3</v>
      </c>
    </row>
    <row r="217" spans="1:10" x14ac:dyDescent="0.2">
      <c r="A217" s="1" t="s">
        <v>204</v>
      </c>
      <c r="B217" t="s">
        <v>10</v>
      </c>
      <c r="C217">
        <v>5</v>
      </c>
      <c r="D217" t="s">
        <v>38</v>
      </c>
      <c r="E217">
        <v>2</v>
      </c>
      <c r="F217" t="s">
        <v>60</v>
      </c>
      <c r="G217" t="s">
        <v>10</v>
      </c>
      <c r="H217" t="s">
        <v>38</v>
      </c>
      <c r="I217">
        <v>5</v>
      </c>
      <c r="J217">
        <v>2</v>
      </c>
    </row>
    <row r="218" spans="1:10" x14ac:dyDescent="0.2">
      <c r="A218" s="1" t="s">
        <v>204</v>
      </c>
      <c r="B218" t="s">
        <v>35</v>
      </c>
      <c r="C218">
        <v>1</v>
      </c>
      <c r="D218" t="s">
        <v>22</v>
      </c>
      <c r="E218">
        <v>6</v>
      </c>
      <c r="F218" t="s">
        <v>60</v>
      </c>
      <c r="G218" t="s">
        <v>22</v>
      </c>
      <c r="H218" t="s">
        <v>35</v>
      </c>
      <c r="I218">
        <v>6</v>
      </c>
      <c r="J218">
        <v>1</v>
      </c>
    </row>
    <row r="219" spans="1:10" x14ac:dyDescent="0.2">
      <c r="A219" s="1" t="s">
        <v>205</v>
      </c>
      <c r="B219" t="s">
        <v>36</v>
      </c>
      <c r="C219">
        <v>2</v>
      </c>
      <c r="D219" t="s">
        <v>21</v>
      </c>
      <c r="E219">
        <v>3</v>
      </c>
      <c r="F219" t="s">
        <v>62</v>
      </c>
      <c r="G219" t="s">
        <v>21</v>
      </c>
      <c r="H219" t="s">
        <v>36</v>
      </c>
      <c r="I219">
        <v>3</v>
      </c>
      <c r="J219">
        <v>2</v>
      </c>
    </row>
    <row r="220" spans="1:10" x14ac:dyDescent="0.2">
      <c r="A220" s="1" t="s">
        <v>205</v>
      </c>
      <c r="B220" t="s">
        <v>35</v>
      </c>
      <c r="C220">
        <v>3</v>
      </c>
      <c r="D220" t="s">
        <v>23</v>
      </c>
      <c r="E220">
        <v>0</v>
      </c>
      <c r="F220" t="s">
        <v>60</v>
      </c>
      <c r="G220" t="s">
        <v>35</v>
      </c>
      <c r="H220" t="s">
        <v>23</v>
      </c>
      <c r="I220">
        <v>3</v>
      </c>
      <c r="J220">
        <v>0</v>
      </c>
    </row>
    <row r="221" spans="1:10" x14ac:dyDescent="0.2">
      <c r="A221" s="1" t="s">
        <v>205</v>
      </c>
      <c r="B221" t="s">
        <v>34</v>
      </c>
      <c r="C221">
        <v>3</v>
      </c>
      <c r="D221" t="s">
        <v>25</v>
      </c>
      <c r="E221">
        <v>4</v>
      </c>
      <c r="F221" t="s">
        <v>60</v>
      </c>
      <c r="G221" t="s">
        <v>25</v>
      </c>
      <c r="H221" t="s">
        <v>34</v>
      </c>
      <c r="I221">
        <v>4</v>
      </c>
      <c r="J221">
        <v>3</v>
      </c>
    </row>
    <row r="222" spans="1:10" x14ac:dyDescent="0.2">
      <c r="A222" s="1" t="s">
        <v>205</v>
      </c>
      <c r="B222" t="s">
        <v>31</v>
      </c>
      <c r="C222">
        <v>7</v>
      </c>
      <c r="D222" t="s">
        <v>39</v>
      </c>
      <c r="E222">
        <v>5</v>
      </c>
      <c r="F222" t="s">
        <v>60</v>
      </c>
      <c r="G222" t="s">
        <v>31</v>
      </c>
      <c r="H222" t="s">
        <v>39</v>
      </c>
      <c r="I222">
        <v>7</v>
      </c>
      <c r="J222">
        <v>5</v>
      </c>
    </row>
    <row r="223" spans="1:10" x14ac:dyDescent="0.2">
      <c r="A223" s="1" t="s">
        <v>205</v>
      </c>
      <c r="B223" t="s">
        <v>11</v>
      </c>
      <c r="C223">
        <v>5</v>
      </c>
      <c r="D223" t="s">
        <v>13</v>
      </c>
      <c r="E223">
        <v>2</v>
      </c>
      <c r="F223" t="s">
        <v>60</v>
      </c>
      <c r="G223" t="s">
        <v>11</v>
      </c>
      <c r="H223" t="s">
        <v>13</v>
      </c>
      <c r="I223">
        <v>5</v>
      </c>
      <c r="J223">
        <v>2</v>
      </c>
    </row>
    <row r="224" spans="1:10" x14ac:dyDescent="0.2">
      <c r="A224" s="1" t="s">
        <v>205</v>
      </c>
      <c r="B224" t="s">
        <v>18</v>
      </c>
      <c r="C224">
        <v>3</v>
      </c>
      <c r="D224" t="s">
        <v>24</v>
      </c>
      <c r="E224">
        <v>4</v>
      </c>
      <c r="F224" t="s">
        <v>62</v>
      </c>
      <c r="G224" t="s">
        <v>24</v>
      </c>
      <c r="H224" t="s">
        <v>18</v>
      </c>
      <c r="I224">
        <v>4</v>
      </c>
      <c r="J224">
        <v>3</v>
      </c>
    </row>
    <row r="225" spans="1:10" x14ac:dyDescent="0.2">
      <c r="A225" s="1" t="s">
        <v>205</v>
      </c>
      <c r="B225" t="s">
        <v>27</v>
      </c>
      <c r="C225">
        <v>3</v>
      </c>
      <c r="D225" t="s">
        <v>29</v>
      </c>
      <c r="E225">
        <v>1</v>
      </c>
      <c r="F225" t="s">
        <v>60</v>
      </c>
      <c r="G225" t="s">
        <v>27</v>
      </c>
      <c r="H225" t="s">
        <v>29</v>
      </c>
      <c r="I225">
        <v>3</v>
      </c>
      <c r="J225">
        <v>1</v>
      </c>
    </row>
    <row r="226" spans="1:10" x14ac:dyDescent="0.2">
      <c r="A226" s="1" t="s">
        <v>205</v>
      </c>
      <c r="B226" t="s">
        <v>22</v>
      </c>
      <c r="C226">
        <v>3</v>
      </c>
      <c r="D226" t="s">
        <v>14</v>
      </c>
      <c r="E226">
        <v>5</v>
      </c>
      <c r="F226" t="s">
        <v>60</v>
      </c>
      <c r="G226" t="s">
        <v>14</v>
      </c>
      <c r="H226" t="s">
        <v>22</v>
      </c>
      <c r="I226">
        <v>5</v>
      </c>
      <c r="J226">
        <v>3</v>
      </c>
    </row>
    <row r="227" spans="1:10" x14ac:dyDescent="0.2">
      <c r="A227" s="1" t="s">
        <v>205</v>
      </c>
      <c r="B227" t="s">
        <v>37</v>
      </c>
      <c r="C227">
        <v>6</v>
      </c>
      <c r="D227" t="s">
        <v>20</v>
      </c>
      <c r="E227">
        <v>3</v>
      </c>
      <c r="F227" t="s">
        <v>60</v>
      </c>
      <c r="G227" t="s">
        <v>37</v>
      </c>
      <c r="H227" t="s">
        <v>20</v>
      </c>
      <c r="I227">
        <v>6</v>
      </c>
      <c r="J227">
        <v>3</v>
      </c>
    </row>
    <row r="228" spans="1:10" x14ac:dyDescent="0.2">
      <c r="A228" s="1" t="s">
        <v>206</v>
      </c>
      <c r="B228" t="s">
        <v>10</v>
      </c>
      <c r="C228">
        <v>4</v>
      </c>
      <c r="D228" t="s">
        <v>16</v>
      </c>
      <c r="E228">
        <v>0</v>
      </c>
      <c r="F228" t="s">
        <v>60</v>
      </c>
      <c r="G228" t="s">
        <v>10</v>
      </c>
      <c r="H228" t="s">
        <v>16</v>
      </c>
      <c r="I228">
        <v>4</v>
      </c>
      <c r="J228">
        <v>0</v>
      </c>
    </row>
    <row r="229" spans="1:10" x14ac:dyDescent="0.2">
      <c r="A229" s="1" t="s">
        <v>206</v>
      </c>
      <c r="B229" t="s">
        <v>15</v>
      </c>
      <c r="C229">
        <v>4</v>
      </c>
      <c r="D229" t="s">
        <v>26</v>
      </c>
      <c r="E229">
        <v>1</v>
      </c>
      <c r="F229" t="s">
        <v>60</v>
      </c>
      <c r="G229" t="s">
        <v>15</v>
      </c>
      <c r="H229" t="s">
        <v>26</v>
      </c>
      <c r="I229">
        <v>4</v>
      </c>
      <c r="J229">
        <v>1</v>
      </c>
    </row>
    <row r="230" spans="1:10" x14ac:dyDescent="0.2">
      <c r="A230" s="1" t="s">
        <v>206</v>
      </c>
      <c r="B230" t="s">
        <v>34</v>
      </c>
      <c r="C230">
        <v>5</v>
      </c>
      <c r="D230" t="s">
        <v>30</v>
      </c>
      <c r="E230">
        <v>2</v>
      </c>
      <c r="F230" t="s">
        <v>60</v>
      </c>
      <c r="G230" t="s">
        <v>34</v>
      </c>
      <c r="H230" t="s">
        <v>30</v>
      </c>
      <c r="I230">
        <v>5</v>
      </c>
      <c r="J230">
        <v>2</v>
      </c>
    </row>
    <row r="231" spans="1:10" x14ac:dyDescent="0.2">
      <c r="A231" s="1" t="s">
        <v>206</v>
      </c>
      <c r="B231" t="s">
        <v>40</v>
      </c>
      <c r="C231">
        <v>1</v>
      </c>
      <c r="D231" t="s">
        <v>33</v>
      </c>
      <c r="E231">
        <v>2</v>
      </c>
      <c r="F231" t="s">
        <v>60</v>
      </c>
      <c r="G231" t="s">
        <v>33</v>
      </c>
      <c r="H231" t="s">
        <v>40</v>
      </c>
      <c r="I231">
        <v>2</v>
      </c>
      <c r="J231">
        <v>1</v>
      </c>
    </row>
    <row r="232" spans="1:10" x14ac:dyDescent="0.2">
      <c r="A232" s="1" t="s">
        <v>207</v>
      </c>
      <c r="B232" t="s">
        <v>23</v>
      </c>
      <c r="C232">
        <v>3</v>
      </c>
      <c r="D232" t="s">
        <v>25</v>
      </c>
      <c r="E232">
        <v>6</v>
      </c>
      <c r="F232" t="s">
        <v>60</v>
      </c>
      <c r="G232" t="s">
        <v>25</v>
      </c>
      <c r="H232" t="s">
        <v>23</v>
      </c>
      <c r="I232">
        <v>6</v>
      </c>
      <c r="J232">
        <v>3</v>
      </c>
    </row>
    <row r="233" spans="1:10" x14ac:dyDescent="0.2">
      <c r="A233" s="1" t="s">
        <v>207</v>
      </c>
      <c r="B233" t="s">
        <v>12</v>
      </c>
      <c r="C233">
        <v>9</v>
      </c>
      <c r="D233" t="s">
        <v>17</v>
      </c>
      <c r="E233">
        <v>1</v>
      </c>
      <c r="F233" t="s">
        <v>60</v>
      </c>
      <c r="G233" t="s">
        <v>12</v>
      </c>
      <c r="H233" t="s">
        <v>17</v>
      </c>
      <c r="I233">
        <v>9</v>
      </c>
      <c r="J233">
        <v>1</v>
      </c>
    </row>
    <row r="234" spans="1:10" x14ac:dyDescent="0.2">
      <c r="A234" s="1" t="s">
        <v>207</v>
      </c>
      <c r="B234" t="s">
        <v>55</v>
      </c>
      <c r="C234">
        <v>2</v>
      </c>
      <c r="D234" t="s">
        <v>18</v>
      </c>
      <c r="E234">
        <v>6</v>
      </c>
      <c r="F234" t="s">
        <v>60</v>
      </c>
      <c r="G234" t="s">
        <v>18</v>
      </c>
      <c r="H234" t="s">
        <v>55</v>
      </c>
      <c r="I234">
        <v>6</v>
      </c>
      <c r="J234">
        <v>2</v>
      </c>
    </row>
    <row r="235" spans="1:10" x14ac:dyDescent="0.2">
      <c r="A235" s="1" t="s">
        <v>207</v>
      </c>
      <c r="B235" t="s">
        <v>14</v>
      </c>
      <c r="C235">
        <v>1</v>
      </c>
      <c r="D235" t="s">
        <v>24</v>
      </c>
      <c r="E235">
        <v>2</v>
      </c>
      <c r="F235" t="s">
        <v>61</v>
      </c>
      <c r="G235" t="s">
        <v>24</v>
      </c>
      <c r="H235" t="s">
        <v>14</v>
      </c>
      <c r="I235">
        <v>2</v>
      </c>
      <c r="J235">
        <v>1</v>
      </c>
    </row>
    <row r="236" spans="1:10" x14ac:dyDescent="0.2">
      <c r="A236" s="1" t="s">
        <v>207</v>
      </c>
      <c r="B236" t="s">
        <v>39</v>
      </c>
      <c r="C236">
        <v>5</v>
      </c>
      <c r="D236" t="s">
        <v>29</v>
      </c>
      <c r="E236">
        <v>4</v>
      </c>
      <c r="F236" t="s">
        <v>60</v>
      </c>
      <c r="G236" t="s">
        <v>39</v>
      </c>
      <c r="H236" t="s">
        <v>29</v>
      </c>
      <c r="I236">
        <v>5</v>
      </c>
      <c r="J236">
        <v>4</v>
      </c>
    </row>
    <row r="237" spans="1:10" x14ac:dyDescent="0.2">
      <c r="A237" s="1" t="s">
        <v>207</v>
      </c>
      <c r="B237" t="s">
        <v>30</v>
      </c>
      <c r="C237">
        <v>5</v>
      </c>
      <c r="D237" t="s">
        <v>15</v>
      </c>
      <c r="E237">
        <v>0</v>
      </c>
      <c r="F237" t="s">
        <v>60</v>
      </c>
      <c r="G237" t="s">
        <v>30</v>
      </c>
      <c r="H237" t="s">
        <v>15</v>
      </c>
      <c r="I237">
        <v>5</v>
      </c>
      <c r="J237">
        <v>0</v>
      </c>
    </row>
    <row r="238" spans="1:10" x14ac:dyDescent="0.2">
      <c r="A238" s="1" t="s">
        <v>207</v>
      </c>
      <c r="B238" t="s">
        <v>36</v>
      </c>
      <c r="C238">
        <v>3</v>
      </c>
      <c r="D238" t="s">
        <v>27</v>
      </c>
      <c r="E238">
        <v>2</v>
      </c>
      <c r="F238" t="s">
        <v>62</v>
      </c>
      <c r="G238" t="s">
        <v>36</v>
      </c>
      <c r="H238" t="s">
        <v>27</v>
      </c>
      <c r="I238">
        <v>3</v>
      </c>
      <c r="J238">
        <v>2</v>
      </c>
    </row>
    <row r="239" spans="1:10" x14ac:dyDescent="0.2">
      <c r="A239" s="1" t="s">
        <v>207</v>
      </c>
      <c r="B239" t="s">
        <v>11</v>
      </c>
      <c r="C239">
        <v>1</v>
      </c>
      <c r="D239" t="s">
        <v>33</v>
      </c>
      <c r="E239">
        <v>3</v>
      </c>
      <c r="F239" t="s">
        <v>60</v>
      </c>
      <c r="G239" t="s">
        <v>33</v>
      </c>
      <c r="H239" t="s">
        <v>11</v>
      </c>
      <c r="I239">
        <v>3</v>
      </c>
      <c r="J239">
        <v>1</v>
      </c>
    </row>
    <row r="240" spans="1:10" x14ac:dyDescent="0.2">
      <c r="A240" s="1" t="s">
        <v>207</v>
      </c>
      <c r="B240" t="s">
        <v>32</v>
      </c>
      <c r="C240">
        <v>4</v>
      </c>
      <c r="D240" t="s">
        <v>35</v>
      </c>
      <c r="E240">
        <v>3</v>
      </c>
      <c r="F240" t="s">
        <v>62</v>
      </c>
      <c r="G240" t="s">
        <v>32</v>
      </c>
      <c r="H240" t="s">
        <v>35</v>
      </c>
      <c r="I240">
        <v>4</v>
      </c>
      <c r="J240">
        <v>3</v>
      </c>
    </row>
    <row r="241" spans="1:10" x14ac:dyDescent="0.2">
      <c r="A241" s="1" t="s">
        <v>207</v>
      </c>
      <c r="B241" t="s">
        <v>22</v>
      </c>
      <c r="C241">
        <v>2</v>
      </c>
      <c r="D241" t="s">
        <v>37</v>
      </c>
      <c r="E241">
        <v>3</v>
      </c>
      <c r="F241" t="s">
        <v>60</v>
      </c>
      <c r="G241" t="s">
        <v>37</v>
      </c>
      <c r="H241" t="s">
        <v>22</v>
      </c>
      <c r="I241">
        <v>3</v>
      </c>
      <c r="J241">
        <v>2</v>
      </c>
    </row>
    <row r="242" spans="1:10" x14ac:dyDescent="0.2">
      <c r="A242" s="1" t="s">
        <v>207</v>
      </c>
      <c r="B242" t="s">
        <v>21</v>
      </c>
      <c r="C242">
        <v>5</v>
      </c>
      <c r="D242" t="s">
        <v>19</v>
      </c>
      <c r="E242">
        <v>3</v>
      </c>
      <c r="F242" t="s">
        <v>60</v>
      </c>
      <c r="G242" t="s">
        <v>21</v>
      </c>
      <c r="H242" t="s">
        <v>19</v>
      </c>
      <c r="I242">
        <v>5</v>
      </c>
      <c r="J242">
        <v>3</v>
      </c>
    </row>
    <row r="243" spans="1:10" x14ac:dyDescent="0.2">
      <c r="A243" s="1" t="s">
        <v>207</v>
      </c>
      <c r="B243" t="s">
        <v>28</v>
      </c>
      <c r="C243">
        <v>3</v>
      </c>
      <c r="D243" t="s">
        <v>38</v>
      </c>
      <c r="E243">
        <v>4</v>
      </c>
      <c r="F243" t="s">
        <v>60</v>
      </c>
      <c r="G243" t="s">
        <v>38</v>
      </c>
      <c r="H243" t="s">
        <v>28</v>
      </c>
      <c r="I243">
        <v>4</v>
      </c>
      <c r="J243">
        <v>3</v>
      </c>
    </row>
    <row r="244" spans="1:10" x14ac:dyDescent="0.2">
      <c r="A244" s="1" t="s">
        <v>207</v>
      </c>
      <c r="B244" t="s">
        <v>31</v>
      </c>
      <c r="C244">
        <v>4</v>
      </c>
      <c r="D244" t="s">
        <v>20</v>
      </c>
      <c r="E244">
        <v>3</v>
      </c>
      <c r="F244" t="s">
        <v>62</v>
      </c>
      <c r="G244" t="s">
        <v>31</v>
      </c>
      <c r="H244" t="s">
        <v>20</v>
      </c>
      <c r="I244">
        <v>4</v>
      </c>
      <c r="J244">
        <v>3</v>
      </c>
    </row>
    <row r="245" spans="1:10" x14ac:dyDescent="0.2">
      <c r="A245" s="1" t="s">
        <v>208</v>
      </c>
      <c r="B245" t="s">
        <v>40</v>
      </c>
      <c r="C245">
        <v>1</v>
      </c>
      <c r="D245" t="s">
        <v>31</v>
      </c>
      <c r="E245">
        <v>4</v>
      </c>
      <c r="F245" t="s">
        <v>60</v>
      </c>
      <c r="G245" t="s">
        <v>31</v>
      </c>
      <c r="H245" t="s">
        <v>40</v>
      </c>
      <c r="I245">
        <v>4</v>
      </c>
      <c r="J245">
        <v>1</v>
      </c>
    </row>
    <row r="246" spans="1:10" x14ac:dyDescent="0.2">
      <c r="A246" s="1" t="s">
        <v>208</v>
      </c>
      <c r="B246" t="s">
        <v>32</v>
      </c>
      <c r="C246">
        <v>1</v>
      </c>
      <c r="D246" t="s">
        <v>39</v>
      </c>
      <c r="E246">
        <v>2</v>
      </c>
      <c r="F246" t="s">
        <v>60</v>
      </c>
      <c r="G246" t="s">
        <v>39</v>
      </c>
      <c r="H246" t="s">
        <v>32</v>
      </c>
      <c r="I246">
        <v>2</v>
      </c>
      <c r="J246">
        <v>1</v>
      </c>
    </row>
    <row r="247" spans="1:10" x14ac:dyDescent="0.2">
      <c r="A247" s="1" t="s">
        <v>208</v>
      </c>
      <c r="B247" t="s">
        <v>10</v>
      </c>
      <c r="C247">
        <v>5</v>
      </c>
      <c r="D247" t="s">
        <v>26</v>
      </c>
      <c r="E247">
        <v>1</v>
      </c>
      <c r="F247" t="s">
        <v>60</v>
      </c>
      <c r="G247" t="s">
        <v>10</v>
      </c>
      <c r="H247" t="s">
        <v>26</v>
      </c>
      <c r="I247">
        <v>5</v>
      </c>
      <c r="J247">
        <v>1</v>
      </c>
    </row>
    <row r="248" spans="1:10" x14ac:dyDescent="0.2">
      <c r="A248" s="1" t="s">
        <v>208</v>
      </c>
      <c r="B248" t="s">
        <v>16</v>
      </c>
      <c r="C248">
        <v>0</v>
      </c>
      <c r="D248" t="s">
        <v>34</v>
      </c>
      <c r="E248">
        <v>2</v>
      </c>
      <c r="F248" t="s">
        <v>60</v>
      </c>
      <c r="G248" t="s">
        <v>34</v>
      </c>
      <c r="H248" t="s">
        <v>16</v>
      </c>
      <c r="I248">
        <v>2</v>
      </c>
      <c r="J248">
        <v>0</v>
      </c>
    </row>
    <row r="249" spans="1:10" x14ac:dyDescent="0.2">
      <c r="A249" s="1" t="s">
        <v>208</v>
      </c>
      <c r="B249" t="s">
        <v>55</v>
      </c>
      <c r="C249">
        <v>2</v>
      </c>
      <c r="D249" t="s">
        <v>36</v>
      </c>
      <c r="E249">
        <v>4</v>
      </c>
      <c r="F249" t="s">
        <v>60</v>
      </c>
      <c r="G249" t="s">
        <v>36</v>
      </c>
      <c r="H249" t="s">
        <v>55</v>
      </c>
      <c r="I249">
        <v>4</v>
      </c>
      <c r="J249">
        <v>2</v>
      </c>
    </row>
    <row r="250" spans="1:10" x14ac:dyDescent="0.2">
      <c r="A250" s="1" t="s">
        <v>208</v>
      </c>
      <c r="B250" t="s">
        <v>13</v>
      </c>
      <c r="C250">
        <v>3</v>
      </c>
      <c r="D250" t="s">
        <v>14</v>
      </c>
      <c r="E250">
        <v>2</v>
      </c>
      <c r="F250" t="s">
        <v>60</v>
      </c>
      <c r="G250" t="s">
        <v>13</v>
      </c>
      <c r="H250" t="s">
        <v>14</v>
      </c>
      <c r="I250">
        <v>3</v>
      </c>
      <c r="J250">
        <v>2</v>
      </c>
    </row>
    <row r="251" spans="1:10" x14ac:dyDescent="0.2">
      <c r="A251" s="1" t="s">
        <v>208</v>
      </c>
      <c r="B251" t="s">
        <v>25</v>
      </c>
      <c r="C251">
        <v>5</v>
      </c>
      <c r="D251" t="s">
        <v>19</v>
      </c>
      <c r="E251">
        <v>4</v>
      </c>
      <c r="F251" t="s">
        <v>60</v>
      </c>
      <c r="G251" t="s">
        <v>25</v>
      </c>
      <c r="H251" t="s">
        <v>19</v>
      </c>
      <c r="I251">
        <v>5</v>
      </c>
      <c r="J251">
        <v>4</v>
      </c>
    </row>
    <row r="252" spans="1:10" x14ac:dyDescent="0.2">
      <c r="A252" s="1" t="s">
        <v>208</v>
      </c>
      <c r="B252" t="s">
        <v>12</v>
      </c>
      <c r="C252">
        <v>5</v>
      </c>
      <c r="D252" t="s">
        <v>38</v>
      </c>
      <c r="E252">
        <v>4</v>
      </c>
      <c r="F252" t="s">
        <v>62</v>
      </c>
      <c r="G252" t="s">
        <v>12</v>
      </c>
      <c r="H252" t="s">
        <v>38</v>
      </c>
      <c r="I252">
        <v>5</v>
      </c>
      <c r="J252">
        <v>4</v>
      </c>
    </row>
    <row r="253" spans="1:10" x14ac:dyDescent="0.2">
      <c r="A253" s="1" t="s">
        <v>209</v>
      </c>
      <c r="B253" t="s">
        <v>28</v>
      </c>
      <c r="C253">
        <v>4</v>
      </c>
      <c r="D253" t="s">
        <v>17</v>
      </c>
      <c r="E253">
        <v>5</v>
      </c>
      <c r="F253" t="s">
        <v>62</v>
      </c>
      <c r="G253" t="s">
        <v>17</v>
      </c>
      <c r="H253" t="s">
        <v>28</v>
      </c>
      <c r="I253">
        <v>5</v>
      </c>
      <c r="J253">
        <v>4</v>
      </c>
    </row>
    <row r="254" spans="1:10" x14ac:dyDescent="0.2">
      <c r="A254" s="1" t="s">
        <v>209</v>
      </c>
      <c r="B254" t="s">
        <v>30</v>
      </c>
      <c r="C254">
        <v>3</v>
      </c>
      <c r="D254" t="s">
        <v>24</v>
      </c>
      <c r="E254">
        <v>2</v>
      </c>
      <c r="F254" t="s">
        <v>62</v>
      </c>
      <c r="G254" t="s">
        <v>30</v>
      </c>
      <c r="H254" t="s">
        <v>24</v>
      </c>
      <c r="I254">
        <v>3</v>
      </c>
      <c r="J254">
        <v>2</v>
      </c>
    </row>
    <row r="255" spans="1:10" x14ac:dyDescent="0.2">
      <c r="A255" s="1" t="s">
        <v>209</v>
      </c>
      <c r="B255" t="s">
        <v>29</v>
      </c>
      <c r="C255">
        <v>3</v>
      </c>
      <c r="D255" t="s">
        <v>15</v>
      </c>
      <c r="E255">
        <v>6</v>
      </c>
      <c r="F255" t="s">
        <v>60</v>
      </c>
      <c r="G255" t="s">
        <v>15</v>
      </c>
      <c r="H255" t="s">
        <v>29</v>
      </c>
      <c r="I255">
        <v>6</v>
      </c>
      <c r="J255">
        <v>3</v>
      </c>
    </row>
    <row r="256" spans="1:10" x14ac:dyDescent="0.2">
      <c r="A256" s="1" t="s">
        <v>209</v>
      </c>
      <c r="B256" t="s">
        <v>11</v>
      </c>
      <c r="C256">
        <v>3</v>
      </c>
      <c r="D256" t="s">
        <v>20</v>
      </c>
      <c r="E256">
        <v>2</v>
      </c>
      <c r="F256" t="s">
        <v>60</v>
      </c>
      <c r="G256" t="s">
        <v>11</v>
      </c>
      <c r="H256" t="s">
        <v>20</v>
      </c>
      <c r="I256">
        <v>3</v>
      </c>
      <c r="J256">
        <v>2</v>
      </c>
    </row>
    <row r="257" spans="1:10" x14ac:dyDescent="0.2">
      <c r="A257" s="1" t="s">
        <v>210</v>
      </c>
      <c r="B257" t="s">
        <v>19</v>
      </c>
      <c r="C257">
        <v>3</v>
      </c>
      <c r="D257" t="s">
        <v>21</v>
      </c>
      <c r="E257">
        <v>5</v>
      </c>
      <c r="F257" t="s">
        <v>60</v>
      </c>
      <c r="G257" t="s">
        <v>21</v>
      </c>
      <c r="H257" t="s">
        <v>19</v>
      </c>
      <c r="I257">
        <v>5</v>
      </c>
      <c r="J257">
        <v>3</v>
      </c>
    </row>
    <row r="258" spans="1:10" x14ac:dyDescent="0.2">
      <c r="A258" s="1" t="s">
        <v>210</v>
      </c>
      <c r="B258" t="s">
        <v>22</v>
      </c>
      <c r="C258">
        <v>4</v>
      </c>
      <c r="D258" t="s">
        <v>25</v>
      </c>
      <c r="E258">
        <v>1</v>
      </c>
      <c r="F258" t="s">
        <v>60</v>
      </c>
      <c r="G258" t="s">
        <v>22</v>
      </c>
      <c r="H258" t="s">
        <v>25</v>
      </c>
      <c r="I258">
        <v>4</v>
      </c>
      <c r="J258">
        <v>1</v>
      </c>
    </row>
    <row r="259" spans="1:10" x14ac:dyDescent="0.2">
      <c r="A259" s="1" t="s">
        <v>210</v>
      </c>
      <c r="B259" t="s">
        <v>31</v>
      </c>
      <c r="C259">
        <v>1</v>
      </c>
      <c r="D259" t="s">
        <v>12</v>
      </c>
      <c r="E259">
        <v>4</v>
      </c>
      <c r="F259" t="s">
        <v>60</v>
      </c>
      <c r="G259" t="s">
        <v>12</v>
      </c>
      <c r="H259" t="s">
        <v>31</v>
      </c>
      <c r="I259">
        <v>4</v>
      </c>
      <c r="J259">
        <v>1</v>
      </c>
    </row>
    <row r="260" spans="1:10" x14ac:dyDescent="0.2">
      <c r="A260" s="1" t="s">
        <v>210</v>
      </c>
      <c r="B260" t="s">
        <v>33</v>
      </c>
      <c r="C260">
        <v>2</v>
      </c>
      <c r="D260" t="s">
        <v>34</v>
      </c>
      <c r="E260">
        <v>1</v>
      </c>
      <c r="F260" t="s">
        <v>62</v>
      </c>
      <c r="G260" t="s">
        <v>33</v>
      </c>
      <c r="H260" t="s">
        <v>34</v>
      </c>
      <c r="I260">
        <v>2</v>
      </c>
      <c r="J260">
        <v>1</v>
      </c>
    </row>
    <row r="261" spans="1:10" x14ac:dyDescent="0.2">
      <c r="A261" s="1" t="s">
        <v>210</v>
      </c>
      <c r="B261" t="s">
        <v>13</v>
      </c>
      <c r="C261">
        <v>5</v>
      </c>
      <c r="D261" t="s">
        <v>18</v>
      </c>
      <c r="E261">
        <v>1</v>
      </c>
      <c r="F261" t="s">
        <v>60</v>
      </c>
      <c r="G261" t="s">
        <v>13</v>
      </c>
      <c r="H261" t="s">
        <v>18</v>
      </c>
      <c r="I261">
        <v>5</v>
      </c>
      <c r="J261">
        <v>1</v>
      </c>
    </row>
    <row r="262" spans="1:10" x14ac:dyDescent="0.2">
      <c r="A262" s="1" t="s">
        <v>210</v>
      </c>
      <c r="B262" t="s">
        <v>39</v>
      </c>
      <c r="C262">
        <v>3</v>
      </c>
      <c r="D262" t="s">
        <v>36</v>
      </c>
      <c r="E262">
        <v>2</v>
      </c>
      <c r="F262" t="s">
        <v>62</v>
      </c>
      <c r="G262" t="s">
        <v>39</v>
      </c>
      <c r="H262" t="s">
        <v>36</v>
      </c>
      <c r="I262">
        <v>3</v>
      </c>
      <c r="J262">
        <v>2</v>
      </c>
    </row>
    <row r="263" spans="1:10" x14ac:dyDescent="0.2">
      <c r="A263" s="1" t="s">
        <v>210</v>
      </c>
      <c r="B263" t="s">
        <v>28</v>
      </c>
      <c r="C263">
        <v>2</v>
      </c>
      <c r="D263" t="s">
        <v>32</v>
      </c>
      <c r="E263">
        <v>1</v>
      </c>
      <c r="F263" t="s">
        <v>61</v>
      </c>
      <c r="G263" t="s">
        <v>28</v>
      </c>
      <c r="H263" t="s">
        <v>32</v>
      </c>
      <c r="I263">
        <v>2</v>
      </c>
      <c r="J263">
        <v>1</v>
      </c>
    </row>
    <row r="264" spans="1:10" x14ac:dyDescent="0.2">
      <c r="A264" s="1" t="s">
        <v>210</v>
      </c>
      <c r="B264" t="s">
        <v>16</v>
      </c>
      <c r="C264">
        <v>2</v>
      </c>
      <c r="D264" t="s">
        <v>35</v>
      </c>
      <c r="E264">
        <v>3</v>
      </c>
      <c r="F264" t="s">
        <v>60</v>
      </c>
      <c r="G264" t="s">
        <v>35</v>
      </c>
      <c r="H264" t="s">
        <v>16</v>
      </c>
      <c r="I264">
        <v>3</v>
      </c>
      <c r="J264">
        <v>2</v>
      </c>
    </row>
    <row r="265" spans="1:10" x14ac:dyDescent="0.2">
      <c r="A265" s="1" t="s">
        <v>210</v>
      </c>
      <c r="B265" t="s">
        <v>40</v>
      </c>
      <c r="C265">
        <v>5</v>
      </c>
      <c r="D265" t="s">
        <v>38</v>
      </c>
      <c r="E265">
        <v>3</v>
      </c>
      <c r="F265" t="s">
        <v>60</v>
      </c>
      <c r="G265" t="s">
        <v>40</v>
      </c>
      <c r="H265" t="s">
        <v>38</v>
      </c>
      <c r="I265">
        <v>5</v>
      </c>
      <c r="J265">
        <v>3</v>
      </c>
    </row>
    <row r="266" spans="1:10" x14ac:dyDescent="0.2">
      <c r="A266" s="1" t="s">
        <v>211</v>
      </c>
      <c r="B266" t="s">
        <v>24</v>
      </c>
      <c r="C266">
        <v>4</v>
      </c>
      <c r="D266" t="s">
        <v>10</v>
      </c>
      <c r="E266">
        <v>3</v>
      </c>
      <c r="F266" t="s">
        <v>62</v>
      </c>
      <c r="G266" t="s">
        <v>24</v>
      </c>
      <c r="H266" t="s">
        <v>10</v>
      </c>
      <c r="I266">
        <v>4</v>
      </c>
      <c r="J266">
        <v>3</v>
      </c>
    </row>
    <row r="267" spans="1:10" x14ac:dyDescent="0.2">
      <c r="A267" s="1" t="s">
        <v>211</v>
      </c>
      <c r="B267" t="s">
        <v>17</v>
      </c>
      <c r="C267">
        <v>2</v>
      </c>
      <c r="D267" t="s">
        <v>27</v>
      </c>
      <c r="E267">
        <v>1</v>
      </c>
      <c r="F267" t="s">
        <v>62</v>
      </c>
      <c r="G267" t="s">
        <v>17</v>
      </c>
      <c r="H267" t="s">
        <v>27</v>
      </c>
      <c r="I267">
        <v>2</v>
      </c>
      <c r="J267">
        <v>1</v>
      </c>
    </row>
    <row r="268" spans="1:10" x14ac:dyDescent="0.2">
      <c r="A268" s="1" t="s">
        <v>211</v>
      </c>
      <c r="B268" t="s">
        <v>15</v>
      </c>
      <c r="C268">
        <v>7</v>
      </c>
      <c r="D268" t="s">
        <v>37</v>
      </c>
      <c r="E268">
        <v>3</v>
      </c>
      <c r="F268" t="s">
        <v>60</v>
      </c>
      <c r="G268" t="s">
        <v>15</v>
      </c>
      <c r="H268" t="s">
        <v>37</v>
      </c>
      <c r="I268">
        <v>7</v>
      </c>
      <c r="J268">
        <v>3</v>
      </c>
    </row>
    <row r="269" spans="1:10" x14ac:dyDescent="0.2">
      <c r="A269" s="1" t="s">
        <v>211</v>
      </c>
      <c r="B269" t="s">
        <v>23</v>
      </c>
      <c r="C269">
        <v>2</v>
      </c>
      <c r="D269" t="s">
        <v>55</v>
      </c>
      <c r="E269">
        <v>5</v>
      </c>
      <c r="F269" t="s">
        <v>60</v>
      </c>
      <c r="G269" t="s">
        <v>55</v>
      </c>
      <c r="H269" t="s">
        <v>23</v>
      </c>
      <c r="I269">
        <v>5</v>
      </c>
      <c r="J269">
        <v>2</v>
      </c>
    </row>
    <row r="270" spans="1:10" x14ac:dyDescent="0.2">
      <c r="A270" s="1" t="s">
        <v>212</v>
      </c>
      <c r="B270" t="s">
        <v>17</v>
      </c>
      <c r="C270">
        <v>4</v>
      </c>
      <c r="D270" t="s">
        <v>28</v>
      </c>
      <c r="E270">
        <v>5</v>
      </c>
      <c r="F270" t="s">
        <v>60</v>
      </c>
      <c r="G270" t="s">
        <v>28</v>
      </c>
      <c r="H270" t="s">
        <v>17</v>
      </c>
      <c r="I270">
        <v>5</v>
      </c>
      <c r="J270">
        <v>4</v>
      </c>
    </row>
    <row r="271" spans="1:10" x14ac:dyDescent="0.2">
      <c r="A271" s="1" t="s">
        <v>212</v>
      </c>
      <c r="B271" t="s">
        <v>33</v>
      </c>
      <c r="C271">
        <v>0</v>
      </c>
      <c r="D271" t="s">
        <v>16</v>
      </c>
      <c r="E271">
        <v>2</v>
      </c>
      <c r="F271" t="s">
        <v>60</v>
      </c>
      <c r="G271" t="s">
        <v>16</v>
      </c>
      <c r="H271" t="s">
        <v>33</v>
      </c>
      <c r="I271">
        <v>2</v>
      </c>
      <c r="J271">
        <v>0</v>
      </c>
    </row>
    <row r="272" spans="1:10" x14ac:dyDescent="0.2">
      <c r="A272" s="1" t="s">
        <v>212</v>
      </c>
      <c r="B272" t="s">
        <v>23</v>
      </c>
      <c r="C272">
        <v>3</v>
      </c>
      <c r="D272" t="s">
        <v>12</v>
      </c>
      <c r="E272">
        <v>6</v>
      </c>
      <c r="F272" t="s">
        <v>60</v>
      </c>
      <c r="G272" t="s">
        <v>12</v>
      </c>
      <c r="H272" t="s">
        <v>23</v>
      </c>
      <c r="I272">
        <v>6</v>
      </c>
      <c r="J272">
        <v>3</v>
      </c>
    </row>
    <row r="273" spans="1:10" x14ac:dyDescent="0.2">
      <c r="A273" s="1" t="s">
        <v>212</v>
      </c>
      <c r="B273" t="s">
        <v>31</v>
      </c>
      <c r="C273">
        <v>3</v>
      </c>
      <c r="D273" t="s">
        <v>26</v>
      </c>
      <c r="E273">
        <v>6</v>
      </c>
      <c r="F273" t="s">
        <v>60</v>
      </c>
      <c r="G273" t="s">
        <v>26</v>
      </c>
      <c r="H273" t="s">
        <v>31</v>
      </c>
      <c r="I273">
        <v>6</v>
      </c>
      <c r="J273">
        <v>3</v>
      </c>
    </row>
    <row r="274" spans="1:10" x14ac:dyDescent="0.2">
      <c r="A274" s="1" t="s">
        <v>212</v>
      </c>
      <c r="B274" t="s">
        <v>22</v>
      </c>
      <c r="C274">
        <v>3</v>
      </c>
      <c r="D274" t="s">
        <v>11</v>
      </c>
      <c r="E274">
        <v>6</v>
      </c>
      <c r="F274" t="s">
        <v>60</v>
      </c>
      <c r="G274" t="s">
        <v>11</v>
      </c>
      <c r="H274" t="s">
        <v>22</v>
      </c>
      <c r="I274">
        <v>6</v>
      </c>
      <c r="J274">
        <v>3</v>
      </c>
    </row>
    <row r="275" spans="1:10" x14ac:dyDescent="0.2">
      <c r="A275" s="1" t="s">
        <v>212</v>
      </c>
      <c r="B275" t="s">
        <v>39</v>
      </c>
      <c r="C275">
        <v>7</v>
      </c>
      <c r="D275" t="s">
        <v>18</v>
      </c>
      <c r="E275">
        <v>0</v>
      </c>
      <c r="F275" t="s">
        <v>60</v>
      </c>
      <c r="G275" t="s">
        <v>39</v>
      </c>
      <c r="H275" t="s">
        <v>18</v>
      </c>
      <c r="I275">
        <v>7</v>
      </c>
      <c r="J275">
        <v>0</v>
      </c>
    </row>
    <row r="276" spans="1:10" x14ac:dyDescent="0.2">
      <c r="A276" s="1" t="s">
        <v>212</v>
      </c>
      <c r="B276" t="s">
        <v>21</v>
      </c>
      <c r="C276">
        <v>3</v>
      </c>
      <c r="D276" t="s">
        <v>36</v>
      </c>
      <c r="E276">
        <v>5</v>
      </c>
      <c r="F276" t="s">
        <v>60</v>
      </c>
      <c r="G276" t="s">
        <v>36</v>
      </c>
      <c r="H276" t="s">
        <v>21</v>
      </c>
      <c r="I276">
        <v>5</v>
      </c>
      <c r="J276">
        <v>3</v>
      </c>
    </row>
    <row r="277" spans="1:10" x14ac:dyDescent="0.2">
      <c r="A277" s="1" t="s">
        <v>212</v>
      </c>
      <c r="B277" t="s">
        <v>40</v>
      </c>
      <c r="C277">
        <v>3</v>
      </c>
      <c r="D277" t="s">
        <v>32</v>
      </c>
      <c r="E277">
        <v>5</v>
      </c>
      <c r="F277" t="s">
        <v>60</v>
      </c>
      <c r="G277" t="s">
        <v>32</v>
      </c>
      <c r="H277" t="s">
        <v>40</v>
      </c>
      <c r="I277">
        <v>5</v>
      </c>
      <c r="J277">
        <v>3</v>
      </c>
    </row>
    <row r="278" spans="1:10" x14ac:dyDescent="0.2">
      <c r="A278" s="1" t="s">
        <v>212</v>
      </c>
      <c r="B278" t="s">
        <v>13</v>
      </c>
      <c r="C278">
        <v>4</v>
      </c>
      <c r="D278" t="s">
        <v>19</v>
      </c>
      <c r="E278">
        <v>3</v>
      </c>
      <c r="F278" t="s">
        <v>62</v>
      </c>
      <c r="G278" t="s">
        <v>13</v>
      </c>
      <c r="H278" t="s">
        <v>19</v>
      </c>
      <c r="I278">
        <v>4</v>
      </c>
      <c r="J278">
        <v>3</v>
      </c>
    </row>
    <row r="279" spans="1:10" x14ac:dyDescent="0.2">
      <c r="A279" s="1" t="s">
        <v>212</v>
      </c>
      <c r="B279" t="s">
        <v>30</v>
      </c>
      <c r="C279">
        <v>4</v>
      </c>
      <c r="D279" t="s">
        <v>20</v>
      </c>
      <c r="E279">
        <v>3</v>
      </c>
      <c r="F279" t="s">
        <v>62</v>
      </c>
      <c r="G279" t="s">
        <v>30</v>
      </c>
      <c r="H279" t="s">
        <v>20</v>
      </c>
      <c r="I279">
        <v>4</v>
      </c>
      <c r="J279">
        <v>3</v>
      </c>
    </row>
    <row r="280" spans="1:10" x14ac:dyDescent="0.2">
      <c r="A280" s="1" t="s">
        <v>213</v>
      </c>
      <c r="B280" t="s">
        <v>38</v>
      </c>
      <c r="C280">
        <v>3</v>
      </c>
      <c r="D280" t="s">
        <v>25</v>
      </c>
      <c r="E280">
        <v>4</v>
      </c>
      <c r="F280" t="s">
        <v>62</v>
      </c>
      <c r="G280" t="s">
        <v>25</v>
      </c>
      <c r="H280" t="s">
        <v>38</v>
      </c>
      <c r="I280">
        <v>4</v>
      </c>
      <c r="J280">
        <v>3</v>
      </c>
    </row>
    <row r="281" spans="1:10" x14ac:dyDescent="0.2">
      <c r="A281" s="1" t="s">
        <v>213</v>
      </c>
      <c r="B281" t="s">
        <v>14</v>
      </c>
      <c r="C281">
        <v>1</v>
      </c>
      <c r="D281" t="s">
        <v>29</v>
      </c>
      <c r="E281">
        <v>2</v>
      </c>
      <c r="F281" t="s">
        <v>62</v>
      </c>
      <c r="G281" t="s">
        <v>29</v>
      </c>
      <c r="H281" t="s">
        <v>14</v>
      </c>
      <c r="I281">
        <v>2</v>
      </c>
      <c r="J281">
        <v>1</v>
      </c>
    </row>
    <row r="282" spans="1:10" x14ac:dyDescent="0.2">
      <c r="A282" s="1" t="s">
        <v>213</v>
      </c>
      <c r="B282" t="s">
        <v>27</v>
      </c>
      <c r="C282">
        <v>6</v>
      </c>
      <c r="D282" t="s">
        <v>35</v>
      </c>
      <c r="E282">
        <v>5</v>
      </c>
      <c r="F282" t="s">
        <v>61</v>
      </c>
      <c r="G282" t="s">
        <v>27</v>
      </c>
      <c r="H282" t="s">
        <v>35</v>
      </c>
      <c r="I282">
        <v>6</v>
      </c>
      <c r="J282">
        <v>5</v>
      </c>
    </row>
    <row r="283" spans="1:10" x14ac:dyDescent="0.2">
      <c r="A283" s="1" t="s">
        <v>213</v>
      </c>
      <c r="B283" t="s">
        <v>30</v>
      </c>
      <c r="C283">
        <v>3</v>
      </c>
      <c r="D283" t="s">
        <v>55</v>
      </c>
      <c r="E283">
        <v>2</v>
      </c>
      <c r="F283" t="s">
        <v>62</v>
      </c>
      <c r="G283" t="s">
        <v>30</v>
      </c>
      <c r="H283" t="s">
        <v>55</v>
      </c>
      <c r="I283">
        <v>3</v>
      </c>
      <c r="J283">
        <v>2</v>
      </c>
    </row>
    <row r="284" spans="1:10" x14ac:dyDescent="0.2">
      <c r="A284" s="1" t="s">
        <v>214</v>
      </c>
      <c r="B284" t="s">
        <v>17</v>
      </c>
      <c r="C284">
        <v>4</v>
      </c>
      <c r="D284" t="s">
        <v>25</v>
      </c>
      <c r="E284">
        <v>3</v>
      </c>
      <c r="F284" t="s">
        <v>62</v>
      </c>
      <c r="G284" t="s">
        <v>17</v>
      </c>
      <c r="H284" t="s">
        <v>25</v>
      </c>
      <c r="I284">
        <v>4</v>
      </c>
      <c r="J284">
        <v>3</v>
      </c>
    </row>
    <row r="285" spans="1:10" x14ac:dyDescent="0.2">
      <c r="A285" s="1" t="s">
        <v>214</v>
      </c>
      <c r="B285" t="s">
        <v>15</v>
      </c>
      <c r="C285">
        <v>2</v>
      </c>
      <c r="D285" t="s">
        <v>28</v>
      </c>
      <c r="E285">
        <v>1</v>
      </c>
      <c r="F285" t="s">
        <v>61</v>
      </c>
      <c r="G285" t="s">
        <v>15</v>
      </c>
      <c r="H285" t="s">
        <v>28</v>
      </c>
      <c r="I285">
        <v>2</v>
      </c>
      <c r="J285">
        <v>1</v>
      </c>
    </row>
    <row r="286" spans="1:10" x14ac:dyDescent="0.2">
      <c r="A286" s="1" t="s">
        <v>214</v>
      </c>
      <c r="B286" t="s">
        <v>40</v>
      </c>
      <c r="C286">
        <v>4</v>
      </c>
      <c r="D286" t="s">
        <v>16</v>
      </c>
      <c r="E286">
        <v>3</v>
      </c>
      <c r="F286" t="s">
        <v>61</v>
      </c>
      <c r="G286" t="s">
        <v>40</v>
      </c>
      <c r="H286" t="s">
        <v>16</v>
      </c>
      <c r="I286">
        <v>4</v>
      </c>
      <c r="J286">
        <v>3</v>
      </c>
    </row>
    <row r="287" spans="1:10" x14ac:dyDescent="0.2">
      <c r="A287" s="1" t="s">
        <v>214</v>
      </c>
      <c r="B287" t="s">
        <v>19</v>
      </c>
      <c r="C287">
        <v>2</v>
      </c>
      <c r="D287" t="s">
        <v>10</v>
      </c>
      <c r="E287">
        <v>3</v>
      </c>
      <c r="F287" t="s">
        <v>60</v>
      </c>
      <c r="G287" t="s">
        <v>10</v>
      </c>
      <c r="H287" t="s">
        <v>19</v>
      </c>
      <c r="I287">
        <v>3</v>
      </c>
      <c r="J287">
        <v>2</v>
      </c>
    </row>
    <row r="288" spans="1:10" x14ac:dyDescent="0.2">
      <c r="A288" s="1" t="s">
        <v>214</v>
      </c>
      <c r="B288" t="s">
        <v>27</v>
      </c>
      <c r="C288">
        <v>1</v>
      </c>
      <c r="D288" t="s">
        <v>39</v>
      </c>
      <c r="E288">
        <v>5</v>
      </c>
      <c r="F288" t="s">
        <v>60</v>
      </c>
      <c r="G288" t="s">
        <v>39</v>
      </c>
      <c r="H288" t="s">
        <v>27</v>
      </c>
      <c r="I288">
        <v>5</v>
      </c>
      <c r="J288">
        <v>1</v>
      </c>
    </row>
    <row r="289" spans="1:10" x14ac:dyDescent="0.2">
      <c r="A289" s="1" t="s">
        <v>214</v>
      </c>
      <c r="B289" t="s">
        <v>23</v>
      </c>
      <c r="C289">
        <v>5</v>
      </c>
      <c r="D289" t="s">
        <v>26</v>
      </c>
      <c r="E289">
        <v>4</v>
      </c>
      <c r="F289" t="s">
        <v>62</v>
      </c>
      <c r="G289" t="s">
        <v>23</v>
      </c>
      <c r="H289" t="s">
        <v>26</v>
      </c>
      <c r="I289">
        <v>5</v>
      </c>
      <c r="J289">
        <v>4</v>
      </c>
    </row>
    <row r="290" spans="1:10" x14ac:dyDescent="0.2">
      <c r="A290" s="1" t="s">
        <v>214</v>
      </c>
      <c r="B290" t="s">
        <v>37</v>
      </c>
      <c r="C290">
        <v>3</v>
      </c>
      <c r="D290" t="s">
        <v>11</v>
      </c>
      <c r="E290">
        <v>1</v>
      </c>
      <c r="F290" t="s">
        <v>60</v>
      </c>
      <c r="G290" t="s">
        <v>37</v>
      </c>
      <c r="H290" t="s">
        <v>11</v>
      </c>
      <c r="I290">
        <v>3</v>
      </c>
      <c r="J290">
        <v>1</v>
      </c>
    </row>
    <row r="291" spans="1:10" x14ac:dyDescent="0.2">
      <c r="A291" s="1" t="s">
        <v>214</v>
      </c>
      <c r="B291" t="s">
        <v>31</v>
      </c>
      <c r="C291">
        <v>0</v>
      </c>
      <c r="D291" t="s">
        <v>34</v>
      </c>
      <c r="E291">
        <v>2</v>
      </c>
      <c r="F291" t="s">
        <v>60</v>
      </c>
      <c r="G291" t="s">
        <v>34</v>
      </c>
      <c r="H291" t="s">
        <v>31</v>
      </c>
      <c r="I291">
        <v>2</v>
      </c>
      <c r="J291">
        <v>0</v>
      </c>
    </row>
    <row r="292" spans="1:10" x14ac:dyDescent="0.2">
      <c r="A292" s="1" t="s">
        <v>214</v>
      </c>
      <c r="B292" t="s">
        <v>21</v>
      </c>
      <c r="C292">
        <v>3</v>
      </c>
      <c r="D292" t="s">
        <v>18</v>
      </c>
      <c r="E292">
        <v>2</v>
      </c>
      <c r="F292" t="s">
        <v>60</v>
      </c>
      <c r="G292" t="s">
        <v>21</v>
      </c>
      <c r="H292" t="s">
        <v>18</v>
      </c>
      <c r="I292">
        <v>3</v>
      </c>
      <c r="J292">
        <v>2</v>
      </c>
    </row>
    <row r="293" spans="1:10" x14ac:dyDescent="0.2">
      <c r="A293" s="1" t="s">
        <v>214</v>
      </c>
      <c r="B293" t="s">
        <v>13</v>
      </c>
      <c r="C293">
        <v>1</v>
      </c>
      <c r="D293" t="s">
        <v>36</v>
      </c>
      <c r="E293">
        <v>0</v>
      </c>
      <c r="F293" t="s">
        <v>60</v>
      </c>
      <c r="G293" t="s">
        <v>13</v>
      </c>
      <c r="H293" t="s">
        <v>36</v>
      </c>
      <c r="I293">
        <v>1</v>
      </c>
      <c r="J293">
        <v>0</v>
      </c>
    </row>
    <row r="294" spans="1:10" x14ac:dyDescent="0.2">
      <c r="A294" s="1" t="s">
        <v>214</v>
      </c>
      <c r="B294" t="s">
        <v>33</v>
      </c>
      <c r="C294">
        <v>1</v>
      </c>
      <c r="D294" t="s">
        <v>32</v>
      </c>
      <c r="E294">
        <v>4</v>
      </c>
      <c r="F294" t="s">
        <v>60</v>
      </c>
      <c r="G294" t="s">
        <v>32</v>
      </c>
      <c r="H294" t="s">
        <v>33</v>
      </c>
      <c r="I294">
        <v>4</v>
      </c>
      <c r="J294">
        <v>1</v>
      </c>
    </row>
    <row r="295" spans="1:10" x14ac:dyDescent="0.2">
      <c r="A295" s="1" t="s">
        <v>214</v>
      </c>
      <c r="B295" t="s">
        <v>20</v>
      </c>
      <c r="C295">
        <v>4</v>
      </c>
      <c r="D295" t="s">
        <v>35</v>
      </c>
      <c r="E295">
        <v>1</v>
      </c>
      <c r="F295" t="s">
        <v>60</v>
      </c>
      <c r="G295" t="s">
        <v>20</v>
      </c>
      <c r="H295" t="s">
        <v>35</v>
      </c>
      <c r="I295">
        <v>4</v>
      </c>
      <c r="J295">
        <v>1</v>
      </c>
    </row>
    <row r="296" spans="1:10" x14ac:dyDescent="0.2">
      <c r="A296" s="1" t="s">
        <v>214</v>
      </c>
      <c r="B296" t="s">
        <v>24</v>
      </c>
      <c r="C296">
        <v>3</v>
      </c>
      <c r="D296" t="s">
        <v>22</v>
      </c>
      <c r="E296">
        <v>2</v>
      </c>
      <c r="F296" t="s">
        <v>61</v>
      </c>
      <c r="G296" t="s">
        <v>24</v>
      </c>
      <c r="H296" t="s">
        <v>22</v>
      </c>
      <c r="I296">
        <v>3</v>
      </c>
      <c r="J296">
        <v>2</v>
      </c>
    </row>
    <row r="297" spans="1:10" x14ac:dyDescent="0.2">
      <c r="A297" s="1" t="s">
        <v>215</v>
      </c>
      <c r="B297" t="s">
        <v>30</v>
      </c>
      <c r="C297">
        <v>1</v>
      </c>
      <c r="D297" t="s">
        <v>12</v>
      </c>
      <c r="E297">
        <v>4</v>
      </c>
      <c r="F297" t="s">
        <v>60</v>
      </c>
      <c r="G297" t="s">
        <v>12</v>
      </c>
      <c r="H297" t="s">
        <v>30</v>
      </c>
      <c r="I297">
        <v>4</v>
      </c>
      <c r="J297">
        <v>1</v>
      </c>
    </row>
    <row r="298" spans="1:10" x14ac:dyDescent="0.2">
      <c r="A298" s="1" t="s">
        <v>215</v>
      </c>
      <c r="B298" t="s">
        <v>20</v>
      </c>
      <c r="C298">
        <v>2</v>
      </c>
      <c r="D298" t="s">
        <v>34</v>
      </c>
      <c r="E298">
        <v>3</v>
      </c>
      <c r="F298" t="s">
        <v>62</v>
      </c>
      <c r="G298" t="s">
        <v>34</v>
      </c>
      <c r="H298" t="s">
        <v>20</v>
      </c>
      <c r="I298">
        <v>3</v>
      </c>
      <c r="J298">
        <v>2</v>
      </c>
    </row>
    <row r="299" spans="1:10" x14ac:dyDescent="0.2">
      <c r="A299" s="1" t="s">
        <v>215</v>
      </c>
      <c r="B299" t="s">
        <v>26</v>
      </c>
      <c r="C299">
        <v>2</v>
      </c>
      <c r="D299" t="s">
        <v>15</v>
      </c>
      <c r="E299">
        <v>1</v>
      </c>
      <c r="F299" t="s">
        <v>60</v>
      </c>
      <c r="G299" t="s">
        <v>26</v>
      </c>
      <c r="H299" t="s">
        <v>15</v>
      </c>
      <c r="I299">
        <v>2</v>
      </c>
      <c r="J299">
        <v>1</v>
      </c>
    </row>
    <row r="300" spans="1:10" x14ac:dyDescent="0.2">
      <c r="A300" s="1" t="s">
        <v>215</v>
      </c>
      <c r="B300" t="s">
        <v>29</v>
      </c>
      <c r="C300">
        <v>0</v>
      </c>
      <c r="D300" t="s">
        <v>14</v>
      </c>
      <c r="E300">
        <v>4</v>
      </c>
      <c r="F300" t="s">
        <v>60</v>
      </c>
      <c r="G300" t="s">
        <v>14</v>
      </c>
      <c r="H300" t="s">
        <v>29</v>
      </c>
      <c r="I300">
        <v>4</v>
      </c>
      <c r="J300">
        <v>0</v>
      </c>
    </row>
    <row r="301" spans="1:10" x14ac:dyDescent="0.2">
      <c r="A301" s="1" t="s">
        <v>215</v>
      </c>
      <c r="B301" t="s">
        <v>38</v>
      </c>
      <c r="C301">
        <v>6</v>
      </c>
      <c r="D301" t="s">
        <v>37</v>
      </c>
      <c r="E301">
        <v>2</v>
      </c>
      <c r="F301" t="s">
        <v>60</v>
      </c>
      <c r="G301" t="s">
        <v>38</v>
      </c>
      <c r="H301" t="s">
        <v>37</v>
      </c>
      <c r="I301">
        <v>6</v>
      </c>
      <c r="J301">
        <v>2</v>
      </c>
    </row>
    <row r="302" spans="1:10" x14ac:dyDescent="0.2">
      <c r="A302" s="1" t="s">
        <v>216</v>
      </c>
      <c r="B302" t="s">
        <v>55</v>
      </c>
      <c r="D302" t="s">
        <v>31</v>
      </c>
      <c r="F302" t="s">
        <v>60</v>
      </c>
    </row>
    <row r="303" spans="1:10" x14ac:dyDescent="0.2">
      <c r="A303" s="1" t="s">
        <v>216</v>
      </c>
      <c r="B303" t="s">
        <v>25</v>
      </c>
      <c r="D303" t="s">
        <v>21</v>
      </c>
      <c r="F303" t="s">
        <v>60</v>
      </c>
    </row>
    <row r="304" spans="1:10" x14ac:dyDescent="0.2">
      <c r="A304" s="1" t="s">
        <v>216</v>
      </c>
      <c r="B304" t="s">
        <v>17</v>
      </c>
      <c r="D304" t="s">
        <v>23</v>
      </c>
      <c r="F304" t="s">
        <v>60</v>
      </c>
    </row>
    <row r="305" spans="1:6" x14ac:dyDescent="0.2">
      <c r="A305" s="1" t="s">
        <v>216</v>
      </c>
      <c r="B305" t="s">
        <v>18</v>
      </c>
      <c r="D305" t="s">
        <v>28</v>
      </c>
      <c r="F305" t="s">
        <v>60</v>
      </c>
    </row>
    <row r="306" spans="1:6" x14ac:dyDescent="0.2">
      <c r="A306" s="1" t="s">
        <v>216</v>
      </c>
      <c r="B306" t="s">
        <v>38</v>
      </c>
      <c r="D306" t="s">
        <v>11</v>
      </c>
      <c r="F306" t="s">
        <v>60</v>
      </c>
    </row>
    <row r="307" spans="1:6" x14ac:dyDescent="0.2">
      <c r="A307" s="1" t="s">
        <v>216</v>
      </c>
      <c r="B307" t="s">
        <v>13</v>
      </c>
      <c r="D307" t="s">
        <v>22</v>
      </c>
      <c r="F307" t="s">
        <v>60</v>
      </c>
    </row>
    <row r="308" spans="1:6" x14ac:dyDescent="0.2">
      <c r="A308" s="1" t="s">
        <v>217</v>
      </c>
      <c r="B308" t="s">
        <v>16</v>
      </c>
      <c r="D308" t="s">
        <v>10</v>
      </c>
      <c r="F308" t="s">
        <v>60</v>
      </c>
    </row>
    <row r="309" spans="1:6" x14ac:dyDescent="0.2">
      <c r="A309" s="1" t="s">
        <v>217</v>
      </c>
      <c r="B309" t="s">
        <v>30</v>
      </c>
      <c r="D309" t="s">
        <v>39</v>
      </c>
      <c r="F309" t="s">
        <v>60</v>
      </c>
    </row>
    <row r="310" spans="1:6" x14ac:dyDescent="0.2">
      <c r="A310" s="1" t="s">
        <v>217</v>
      </c>
      <c r="B310" t="s">
        <v>32</v>
      </c>
      <c r="D310" t="s">
        <v>26</v>
      </c>
      <c r="F310" t="s">
        <v>60</v>
      </c>
    </row>
    <row r="311" spans="1:6" x14ac:dyDescent="0.2">
      <c r="A311" s="1" t="s">
        <v>217</v>
      </c>
      <c r="B311" t="s">
        <v>55</v>
      </c>
      <c r="D311" t="s">
        <v>33</v>
      </c>
      <c r="F311" t="s">
        <v>60</v>
      </c>
    </row>
    <row r="312" spans="1:6" x14ac:dyDescent="0.2">
      <c r="A312" s="1" t="s">
        <v>217</v>
      </c>
      <c r="B312" t="s">
        <v>24</v>
      </c>
      <c r="D312" t="s">
        <v>37</v>
      </c>
      <c r="F312" t="s">
        <v>60</v>
      </c>
    </row>
    <row r="313" spans="1:6" x14ac:dyDescent="0.2">
      <c r="A313" s="1" t="s">
        <v>217</v>
      </c>
      <c r="B313" t="s">
        <v>35</v>
      </c>
      <c r="D313" t="s">
        <v>19</v>
      </c>
      <c r="F313" t="s">
        <v>60</v>
      </c>
    </row>
    <row r="314" spans="1:6" x14ac:dyDescent="0.2">
      <c r="A314" s="1" t="s">
        <v>217</v>
      </c>
      <c r="B314" t="s">
        <v>15</v>
      </c>
      <c r="D314" t="s">
        <v>20</v>
      </c>
      <c r="F314" t="s">
        <v>60</v>
      </c>
    </row>
    <row r="315" spans="1:6" x14ac:dyDescent="0.2">
      <c r="A315" s="1" t="s">
        <v>217</v>
      </c>
      <c r="B315" t="s">
        <v>28</v>
      </c>
      <c r="D315" t="s">
        <v>40</v>
      </c>
      <c r="F315" t="s">
        <v>60</v>
      </c>
    </row>
    <row r="316" spans="1:6" x14ac:dyDescent="0.2">
      <c r="A316" s="1" t="s">
        <v>218</v>
      </c>
      <c r="B316" t="s">
        <v>21</v>
      </c>
      <c r="D316" t="s">
        <v>31</v>
      </c>
      <c r="F316" t="s">
        <v>60</v>
      </c>
    </row>
    <row r="317" spans="1:6" x14ac:dyDescent="0.2">
      <c r="A317" s="1" t="s">
        <v>218</v>
      </c>
      <c r="B317" t="s">
        <v>16</v>
      </c>
      <c r="D317" t="s">
        <v>23</v>
      </c>
      <c r="F317" t="s">
        <v>60</v>
      </c>
    </row>
    <row r="318" spans="1:6" x14ac:dyDescent="0.2">
      <c r="A318" s="1" t="s">
        <v>218</v>
      </c>
      <c r="B318" t="s">
        <v>25</v>
      </c>
      <c r="D318" t="s">
        <v>34</v>
      </c>
      <c r="F318" t="s">
        <v>60</v>
      </c>
    </row>
    <row r="319" spans="1:6" x14ac:dyDescent="0.2">
      <c r="A319" s="1" t="s">
        <v>218</v>
      </c>
      <c r="B319" t="s">
        <v>17</v>
      </c>
      <c r="D319" t="s">
        <v>22</v>
      </c>
      <c r="F319" t="s">
        <v>60</v>
      </c>
    </row>
    <row r="320" spans="1:6" x14ac:dyDescent="0.2">
      <c r="A320" s="1" t="s">
        <v>219</v>
      </c>
      <c r="B320" t="s">
        <v>36</v>
      </c>
      <c r="D320" t="s">
        <v>31</v>
      </c>
      <c r="F320" t="s">
        <v>60</v>
      </c>
    </row>
    <row r="321" spans="1:6" x14ac:dyDescent="0.2">
      <c r="A321" s="1" t="s">
        <v>219</v>
      </c>
      <c r="B321" t="s">
        <v>32</v>
      </c>
      <c r="D321" t="s">
        <v>10</v>
      </c>
      <c r="F321" t="s">
        <v>60</v>
      </c>
    </row>
    <row r="322" spans="1:6" x14ac:dyDescent="0.2">
      <c r="A322" s="1" t="s">
        <v>219</v>
      </c>
      <c r="B322" t="s">
        <v>15</v>
      </c>
      <c r="D322" t="s">
        <v>12</v>
      </c>
      <c r="F322" t="s">
        <v>60</v>
      </c>
    </row>
    <row r="323" spans="1:6" x14ac:dyDescent="0.2">
      <c r="A323" s="1" t="s">
        <v>219</v>
      </c>
      <c r="B323" t="s">
        <v>30</v>
      </c>
      <c r="D323" t="s">
        <v>26</v>
      </c>
      <c r="F323" t="s">
        <v>60</v>
      </c>
    </row>
    <row r="324" spans="1:6" x14ac:dyDescent="0.2">
      <c r="A324" s="1" t="s">
        <v>219</v>
      </c>
      <c r="B324" t="s">
        <v>24</v>
      </c>
      <c r="D324" t="s">
        <v>11</v>
      </c>
      <c r="F324" t="s">
        <v>60</v>
      </c>
    </row>
    <row r="325" spans="1:6" x14ac:dyDescent="0.2">
      <c r="A325" s="1" t="s">
        <v>219</v>
      </c>
      <c r="B325" t="s">
        <v>22</v>
      </c>
      <c r="D325" t="s">
        <v>18</v>
      </c>
      <c r="F325" t="s">
        <v>60</v>
      </c>
    </row>
    <row r="326" spans="1:6" x14ac:dyDescent="0.2">
      <c r="A326" s="1" t="s">
        <v>219</v>
      </c>
      <c r="B326" t="s">
        <v>35</v>
      </c>
      <c r="D326" t="s">
        <v>27</v>
      </c>
      <c r="F326" t="s">
        <v>60</v>
      </c>
    </row>
    <row r="327" spans="1:6" x14ac:dyDescent="0.2">
      <c r="A327" s="1" t="s">
        <v>219</v>
      </c>
      <c r="B327" t="s">
        <v>13</v>
      </c>
      <c r="D327" t="s">
        <v>33</v>
      </c>
      <c r="F327" t="s">
        <v>60</v>
      </c>
    </row>
    <row r="328" spans="1:6" x14ac:dyDescent="0.2">
      <c r="A328" s="1" t="s">
        <v>219</v>
      </c>
      <c r="B328" t="s">
        <v>17</v>
      </c>
      <c r="D328" t="s">
        <v>37</v>
      </c>
      <c r="F328" t="s">
        <v>60</v>
      </c>
    </row>
    <row r="329" spans="1:6" x14ac:dyDescent="0.2">
      <c r="A329" s="1" t="s">
        <v>219</v>
      </c>
      <c r="B329" t="s">
        <v>28</v>
      </c>
      <c r="D329" t="s">
        <v>19</v>
      </c>
      <c r="F329" t="s">
        <v>60</v>
      </c>
    </row>
    <row r="330" spans="1:6" x14ac:dyDescent="0.2">
      <c r="A330" s="1" t="s">
        <v>219</v>
      </c>
      <c r="B330" t="s">
        <v>20</v>
      </c>
      <c r="D330" t="s">
        <v>55</v>
      </c>
      <c r="F330" t="s">
        <v>60</v>
      </c>
    </row>
    <row r="331" spans="1:6" x14ac:dyDescent="0.2">
      <c r="A331" s="1" t="s">
        <v>219</v>
      </c>
      <c r="B331" t="s">
        <v>39</v>
      </c>
      <c r="D331" t="s">
        <v>38</v>
      </c>
      <c r="F331" t="s">
        <v>60</v>
      </c>
    </row>
    <row r="332" spans="1:6" x14ac:dyDescent="0.2">
      <c r="A332" s="1" t="s">
        <v>220</v>
      </c>
      <c r="B332" t="s">
        <v>10</v>
      </c>
      <c r="D332" t="s">
        <v>23</v>
      </c>
      <c r="F332" t="s">
        <v>60</v>
      </c>
    </row>
    <row r="333" spans="1:6" x14ac:dyDescent="0.2">
      <c r="A333" s="1" t="s">
        <v>220</v>
      </c>
      <c r="B333" t="s">
        <v>21</v>
      </c>
      <c r="D333" t="s">
        <v>13</v>
      </c>
      <c r="F333" t="s">
        <v>60</v>
      </c>
    </row>
    <row r="334" spans="1:6" x14ac:dyDescent="0.2">
      <c r="A334" s="1" t="s">
        <v>220</v>
      </c>
      <c r="B334" t="s">
        <v>34</v>
      </c>
      <c r="D334" t="s">
        <v>14</v>
      </c>
      <c r="F334" t="s">
        <v>60</v>
      </c>
    </row>
    <row r="335" spans="1:6" x14ac:dyDescent="0.2">
      <c r="A335" s="1" t="s">
        <v>220</v>
      </c>
      <c r="B335" t="s">
        <v>25</v>
      </c>
      <c r="D335" t="s">
        <v>40</v>
      </c>
      <c r="F335" t="s">
        <v>60</v>
      </c>
    </row>
    <row r="336" spans="1:6" x14ac:dyDescent="0.2">
      <c r="A336" s="1" t="s">
        <v>221</v>
      </c>
      <c r="B336" t="s">
        <v>20</v>
      </c>
      <c r="D336" t="s">
        <v>31</v>
      </c>
      <c r="F336" t="s">
        <v>60</v>
      </c>
    </row>
    <row r="337" spans="1:6" x14ac:dyDescent="0.2">
      <c r="A337" s="1" t="s">
        <v>221</v>
      </c>
      <c r="B337" t="s">
        <v>39</v>
      </c>
      <c r="D337" t="s">
        <v>16</v>
      </c>
      <c r="F337" t="s">
        <v>60</v>
      </c>
    </row>
    <row r="338" spans="1:6" x14ac:dyDescent="0.2">
      <c r="A338" s="1" t="s">
        <v>221</v>
      </c>
      <c r="B338" t="s">
        <v>28</v>
      </c>
      <c r="D338" t="s">
        <v>26</v>
      </c>
      <c r="F338" t="s">
        <v>60</v>
      </c>
    </row>
    <row r="339" spans="1:6" x14ac:dyDescent="0.2">
      <c r="A339" s="1" t="s">
        <v>221</v>
      </c>
      <c r="B339" t="s">
        <v>17</v>
      </c>
      <c r="D339" t="s">
        <v>11</v>
      </c>
      <c r="F339" t="s">
        <v>60</v>
      </c>
    </row>
    <row r="340" spans="1:6" x14ac:dyDescent="0.2">
      <c r="A340" s="1" t="s">
        <v>221</v>
      </c>
      <c r="B340" t="s">
        <v>19</v>
      </c>
      <c r="D340" t="s">
        <v>18</v>
      </c>
      <c r="F340" t="s">
        <v>60</v>
      </c>
    </row>
    <row r="341" spans="1:6" x14ac:dyDescent="0.2">
      <c r="A341" s="1" t="s">
        <v>221</v>
      </c>
      <c r="B341" t="s">
        <v>12</v>
      </c>
      <c r="D341" t="s">
        <v>29</v>
      </c>
      <c r="F341" t="s">
        <v>60</v>
      </c>
    </row>
    <row r="342" spans="1:6" x14ac:dyDescent="0.2">
      <c r="A342" s="1" t="s">
        <v>221</v>
      </c>
      <c r="B342" t="s">
        <v>35</v>
      </c>
      <c r="D342" t="s">
        <v>30</v>
      </c>
      <c r="F342" t="s">
        <v>60</v>
      </c>
    </row>
    <row r="343" spans="1:6" x14ac:dyDescent="0.2">
      <c r="A343" s="1" t="s">
        <v>221</v>
      </c>
      <c r="B343" t="s">
        <v>24</v>
      </c>
      <c r="D343" t="s">
        <v>27</v>
      </c>
      <c r="F343" t="s">
        <v>60</v>
      </c>
    </row>
    <row r="344" spans="1:6" x14ac:dyDescent="0.2">
      <c r="A344" s="1" t="s">
        <v>221</v>
      </c>
      <c r="B344" t="s">
        <v>32</v>
      </c>
      <c r="D344" t="s">
        <v>14</v>
      </c>
      <c r="F344" t="s">
        <v>60</v>
      </c>
    </row>
    <row r="345" spans="1:6" x14ac:dyDescent="0.2">
      <c r="A345" s="1" t="s">
        <v>221</v>
      </c>
      <c r="B345" t="s">
        <v>36</v>
      </c>
      <c r="D345" t="s">
        <v>33</v>
      </c>
      <c r="F345" t="s">
        <v>60</v>
      </c>
    </row>
    <row r="346" spans="1:6" x14ac:dyDescent="0.2">
      <c r="A346" s="1" t="s">
        <v>221</v>
      </c>
      <c r="B346" t="s">
        <v>15</v>
      </c>
      <c r="D346" t="s">
        <v>55</v>
      </c>
      <c r="F346" t="s">
        <v>60</v>
      </c>
    </row>
    <row r="347" spans="1:6" x14ac:dyDescent="0.2">
      <c r="A347" s="1" t="s">
        <v>221</v>
      </c>
      <c r="B347" t="s">
        <v>37</v>
      </c>
      <c r="D347" t="s">
        <v>22</v>
      </c>
      <c r="F347" t="s">
        <v>60</v>
      </c>
    </row>
    <row r="348" spans="1:6" x14ac:dyDescent="0.2">
      <c r="A348" s="1" t="s">
        <v>222</v>
      </c>
      <c r="B348" t="s">
        <v>25</v>
      </c>
      <c r="D348" t="s">
        <v>23</v>
      </c>
      <c r="F348" t="s">
        <v>60</v>
      </c>
    </row>
    <row r="349" spans="1:6" x14ac:dyDescent="0.2">
      <c r="A349" s="1" t="s">
        <v>222</v>
      </c>
      <c r="B349" t="s">
        <v>12</v>
      </c>
      <c r="D349" t="s">
        <v>10</v>
      </c>
      <c r="F349" t="s">
        <v>60</v>
      </c>
    </row>
    <row r="350" spans="1:6" x14ac:dyDescent="0.2">
      <c r="A350" s="1" t="s">
        <v>222</v>
      </c>
      <c r="B350" t="s">
        <v>32</v>
      </c>
      <c r="D350" t="s">
        <v>30</v>
      </c>
      <c r="F350" t="s">
        <v>60</v>
      </c>
    </row>
    <row r="351" spans="1:6" x14ac:dyDescent="0.2">
      <c r="A351" s="1" t="s">
        <v>222</v>
      </c>
      <c r="B351" t="s">
        <v>21</v>
      </c>
      <c r="D351" t="s">
        <v>33</v>
      </c>
      <c r="F351" t="s">
        <v>60</v>
      </c>
    </row>
    <row r="352" spans="1:6" x14ac:dyDescent="0.2">
      <c r="A352" s="1" t="s">
        <v>222</v>
      </c>
      <c r="B352" t="s">
        <v>16</v>
      </c>
      <c r="D352" t="s">
        <v>38</v>
      </c>
      <c r="F352" t="s">
        <v>60</v>
      </c>
    </row>
    <row r="353" spans="1:6" x14ac:dyDescent="0.2">
      <c r="A353" s="1" t="s">
        <v>222</v>
      </c>
      <c r="B353" t="s">
        <v>34</v>
      </c>
      <c r="D353" t="s">
        <v>40</v>
      </c>
      <c r="F353" t="s">
        <v>60</v>
      </c>
    </row>
    <row r="354" spans="1:6" x14ac:dyDescent="0.2">
      <c r="A354" s="1" t="s">
        <v>223</v>
      </c>
      <c r="B354" t="s">
        <v>36</v>
      </c>
      <c r="D354" t="s">
        <v>13</v>
      </c>
      <c r="F354" t="s">
        <v>60</v>
      </c>
    </row>
    <row r="355" spans="1:6" x14ac:dyDescent="0.2">
      <c r="A355" s="1" t="s">
        <v>223</v>
      </c>
      <c r="B355" t="s">
        <v>26</v>
      </c>
      <c r="D355" t="s">
        <v>24</v>
      </c>
      <c r="F355" t="s">
        <v>60</v>
      </c>
    </row>
    <row r="356" spans="1:6" x14ac:dyDescent="0.2">
      <c r="A356" s="1" t="s">
        <v>223</v>
      </c>
      <c r="B356" t="s">
        <v>11</v>
      </c>
      <c r="D356" t="s">
        <v>29</v>
      </c>
      <c r="F356" t="s">
        <v>60</v>
      </c>
    </row>
    <row r="357" spans="1:6" x14ac:dyDescent="0.2">
      <c r="A357" s="1" t="s">
        <v>223</v>
      </c>
      <c r="B357" t="s">
        <v>35</v>
      </c>
      <c r="D357" t="s">
        <v>15</v>
      </c>
      <c r="F357" t="s">
        <v>60</v>
      </c>
    </row>
    <row r="358" spans="1:6" x14ac:dyDescent="0.2">
      <c r="A358" s="1" t="s">
        <v>223</v>
      </c>
      <c r="B358" t="s">
        <v>27</v>
      </c>
      <c r="D358" t="s">
        <v>37</v>
      </c>
      <c r="F358" t="s">
        <v>60</v>
      </c>
    </row>
    <row r="359" spans="1:6" x14ac:dyDescent="0.2">
      <c r="A359" s="1" t="s">
        <v>223</v>
      </c>
      <c r="B359" t="s">
        <v>20</v>
      </c>
      <c r="D359" t="s">
        <v>55</v>
      </c>
      <c r="F359" t="s">
        <v>60</v>
      </c>
    </row>
    <row r="360" spans="1:6" x14ac:dyDescent="0.2">
      <c r="A360" s="1" t="s">
        <v>223</v>
      </c>
      <c r="B360" t="s">
        <v>28</v>
      </c>
      <c r="D360" t="s">
        <v>22</v>
      </c>
      <c r="F360" t="s">
        <v>60</v>
      </c>
    </row>
    <row r="361" spans="1:6" x14ac:dyDescent="0.2">
      <c r="A361" s="1" t="s">
        <v>224</v>
      </c>
      <c r="B361" t="s">
        <v>39</v>
      </c>
      <c r="D361" t="s">
        <v>17</v>
      </c>
      <c r="F361" t="s">
        <v>60</v>
      </c>
    </row>
    <row r="362" spans="1:6" x14ac:dyDescent="0.2">
      <c r="A362" s="1" t="s">
        <v>225</v>
      </c>
      <c r="B362" t="s">
        <v>38</v>
      </c>
      <c r="D362" t="s">
        <v>31</v>
      </c>
      <c r="F362" t="s">
        <v>60</v>
      </c>
    </row>
    <row r="363" spans="1:6" x14ac:dyDescent="0.2">
      <c r="A363" s="1" t="s">
        <v>225</v>
      </c>
      <c r="B363" t="s">
        <v>15</v>
      </c>
      <c r="D363" t="s">
        <v>25</v>
      </c>
      <c r="F363" t="s">
        <v>60</v>
      </c>
    </row>
    <row r="364" spans="1:6" x14ac:dyDescent="0.2">
      <c r="A364" s="1" t="s">
        <v>225</v>
      </c>
      <c r="B364" t="s">
        <v>19</v>
      </c>
      <c r="D364" t="s">
        <v>28</v>
      </c>
      <c r="F364" t="s">
        <v>60</v>
      </c>
    </row>
    <row r="365" spans="1:6" x14ac:dyDescent="0.2">
      <c r="A365" s="1" t="s">
        <v>225</v>
      </c>
      <c r="B365" t="s">
        <v>34</v>
      </c>
      <c r="D365" t="s">
        <v>10</v>
      </c>
      <c r="F365" t="s">
        <v>60</v>
      </c>
    </row>
    <row r="366" spans="1:6" x14ac:dyDescent="0.2">
      <c r="A366" s="1" t="s">
        <v>225</v>
      </c>
      <c r="B366" t="s">
        <v>33</v>
      </c>
      <c r="D366" t="s">
        <v>12</v>
      </c>
      <c r="F366" t="s">
        <v>60</v>
      </c>
    </row>
    <row r="367" spans="1:6" x14ac:dyDescent="0.2">
      <c r="A367" s="1" t="s">
        <v>225</v>
      </c>
      <c r="B367" t="s">
        <v>29</v>
      </c>
      <c r="D367" t="s">
        <v>26</v>
      </c>
      <c r="F367" t="s">
        <v>60</v>
      </c>
    </row>
    <row r="368" spans="1:6" x14ac:dyDescent="0.2">
      <c r="A368" s="1" t="s">
        <v>225</v>
      </c>
      <c r="B368" t="s">
        <v>27</v>
      </c>
      <c r="D368" t="s">
        <v>11</v>
      </c>
      <c r="F368" t="s">
        <v>60</v>
      </c>
    </row>
    <row r="369" spans="1:6" x14ac:dyDescent="0.2">
      <c r="A369" s="1" t="s">
        <v>225</v>
      </c>
      <c r="B369" t="s">
        <v>35</v>
      </c>
      <c r="D369" t="s">
        <v>24</v>
      </c>
      <c r="F369" t="s">
        <v>60</v>
      </c>
    </row>
    <row r="370" spans="1:6" x14ac:dyDescent="0.2">
      <c r="A370" s="1" t="s">
        <v>225</v>
      </c>
      <c r="B370" t="s">
        <v>21</v>
      </c>
      <c r="D370" t="s">
        <v>30</v>
      </c>
      <c r="F370" t="s">
        <v>60</v>
      </c>
    </row>
    <row r="371" spans="1:6" x14ac:dyDescent="0.2">
      <c r="A371" s="1" t="s">
        <v>225</v>
      </c>
      <c r="B371" t="s">
        <v>23</v>
      </c>
      <c r="D371" t="s">
        <v>14</v>
      </c>
      <c r="F371" t="s">
        <v>60</v>
      </c>
    </row>
    <row r="372" spans="1:6" x14ac:dyDescent="0.2">
      <c r="A372" s="1" t="s">
        <v>225</v>
      </c>
      <c r="B372" t="s">
        <v>39</v>
      </c>
      <c r="D372" t="s">
        <v>32</v>
      </c>
      <c r="F372" t="s">
        <v>60</v>
      </c>
    </row>
    <row r="373" spans="1:6" x14ac:dyDescent="0.2">
      <c r="A373" s="1" t="s">
        <v>225</v>
      </c>
      <c r="B373" t="s">
        <v>16</v>
      </c>
      <c r="D373" t="s">
        <v>37</v>
      </c>
      <c r="F373" t="s">
        <v>60</v>
      </c>
    </row>
    <row r="374" spans="1:6" x14ac:dyDescent="0.2">
      <c r="A374" s="1" t="s">
        <v>225</v>
      </c>
      <c r="B374" t="s">
        <v>18</v>
      </c>
      <c r="D374" t="s">
        <v>55</v>
      </c>
      <c r="F374" t="s">
        <v>60</v>
      </c>
    </row>
    <row r="375" spans="1:6" x14ac:dyDescent="0.2">
      <c r="A375" s="1" t="s">
        <v>225</v>
      </c>
      <c r="B375" t="s">
        <v>36</v>
      </c>
      <c r="D375" t="s">
        <v>20</v>
      </c>
      <c r="F375" t="s">
        <v>60</v>
      </c>
    </row>
    <row r="376" spans="1:6" x14ac:dyDescent="0.2">
      <c r="A376" s="1" t="s">
        <v>225</v>
      </c>
      <c r="B376" t="s">
        <v>40</v>
      </c>
      <c r="D376" t="s">
        <v>22</v>
      </c>
      <c r="F376" t="s">
        <v>60</v>
      </c>
    </row>
    <row r="377" spans="1:6" x14ac:dyDescent="0.2">
      <c r="A377" s="1" t="s">
        <v>226</v>
      </c>
      <c r="B377" t="s">
        <v>13</v>
      </c>
      <c r="D377" t="s">
        <v>31</v>
      </c>
      <c r="F377" t="s">
        <v>60</v>
      </c>
    </row>
    <row r="378" spans="1:6" x14ac:dyDescent="0.2">
      <c r="A378" s="1" t="s">
        <v>226</v>
      </c>
      <c r="B378" t="s">
        <v>15</v>
      </c>
      <c r="D378" t="s">
        <v>21</v>
      </c>
      <c r="F378" t="s">
        <v>60</v>
      </c>
    </row>
    <row r="379" spans="1:6" x14ac:dyDescent="0.2">
      <c r="A379" s="1" t="s">
        <v>226</v>
      </c>
      <c r="B379" t="s">
        <v>24</v>
      </c>
      <c r="D379" t="s">
        <v>23</v>
      </c>
      <c r="F379" t="s">
        <v>60</v>
      </c>
    </row>
    <row r="380" spans="1:6" x14ac:dyDescent="0.2">
      <c r="A380" s="1" t="s">
        <v>226</v>
      </c>
      <c r="B380" t="s">
        <v>40</v>
      </c>
      <c r="D380" t="s">
        <v>25</v>
      </c>
      <c r="F380" t="s">
        <v>60</v>
      </c>
    </row>
    <row r="381" spans="1:6" x14ac:dyDescent="0.2">
      <c r="A381" s="1" t="s">
        <v>226</v>
      </c>
      <c r="B381" t="s">
        <v>14</v>
      </c>
      <c r="D381" t="s">
        <v>28</v>
      </c>
      <c r="F381" t="s">
        <v>60</v>
      </c>
    </row>
    <row r="382" spans="1:6" x14ac:dyDescent="0.2">
      <c r="A382" s="1" t="s">
        <v>226</v>
      </c>
      <c r="B382" t="s">
        <v>29</v>
      </c>
      <c r="D382" t="s">
        <v>10</v>
      </c>
      <c r="F382" t="s">
        <v>60</v>
      </c>
    </row>
    <row r="383" spans="1:6" x14ac:dyDescent="0.2">
      <c r="A383" s="1" t="s">
        <v>226</v>
      </c>
      <c r="B383" t="s">
        <v>55</v>
      </c>
      <c r="D383" t="s">
        <v>39</v>
      </c>
      <c r="F383" t="s">
        <v>60</v>
      </c>
    </row>
    <row r="384" spans="1:6" x14ac:dyDescent="0.2">
      <c r="A384" s="1" t="s">
        <v>226</v>
      </c>
      <c r="B384" t="s">
        <v>37</v>
      </c>
      <c r="D384" t="s">
        <v>26</v>
      </c>
      <c r="F384" t="s">
        <v>60</v>
      </c>
    </row>
    <row r="385" spans="1:6" x14ac:dyDescent="0.2">
      <c r="A385" s="1" t="s">
        <v>226</v>
      </c>
      <c r="B385" t="s">
        <v>16</v>
      </c>
      <c r="D385" t="s">
        <v>11</v>
      </c>
      <c r="F385" t="s">
        <v>60</v>
      </c>
    </row>
    <row r="386" spans="1:6" x14ac:dyDescent="0.2">
      <c r="A386" s="1" t="s">
        <v>226</v>
      </c>
      <c r="B386" t="s">
        <v>12</v>
      </c>
      <c r="D386" t="s">
        <v>34</v>
      </c>
      <c r="F386" t="s">
        <v>60</v>
      </c>
    </row>
    <row r="387" spans="1:6" x14ac:dyDescent="0.2">
      <c r="A387" s="1" t="s">
        <v>226</v>
      </c>
      <c r="B387" t="s">
        <v>27</v>
      </c>
      <c r="D387" t="s">
        <v>30</v>
      </c>
      <c r="F387" t="s">
        <v>60</v>
      </c>
    </row>
    <row r="388" spans="1:6" x14ac:dyDescent="0.2">
      <c r="A388" s="1" t="s">
        <v>226</v>
      </c>
      <c r="B388" t="s">
        <v>38</v>
      </c>
      <c r="D388" t="s">
        <v>33</v>
      </c>
      <c r="F388" t="s">
        <v>60</v>
      </c>
    </row>
    <row r="389" spans="1:6" x14ac:dyDescent="0.2">
      <c r="A389" s="1" t="s">
        <v>226</v>
      </c>
      <c r="B389" t="s">
        <v>36</v>
      </c>
      <c r="D389" t="s">
        <v>35</v>
      </c>
      <c r="F389" t="s">
        <v>60</v>
      </c>
    </row>
    <row r="390" spans="1:6" x14ac:dyDescent="0.2">
      <c r="A390" s="1" t="s">
        <v>226</v>
      </c>
      <c r="B390" t="s">
        <v>18</v>
      </c>
      <c r="D390" t="s">
        <v>20</v>
      </c>
      <c r="F390" t="s">
        <v>60</v>
      </c>
    </row>
    <row r="391" spans="1:6" x14ac:dyDescent="0.2">
      <c r="A391" s="1" t="s">
        <v>226</v>
      </c>
      <c r="B391" t="s">
        <v>19</v>
      </c>
      <c r="D391" t="s">
        <v>22</v>
      </c>
      <c r="F391" t="s">
        <v>60</v>
      </c>
    </row>
    <row r="392" spans="1:6" x14ac:dyDescent="0.2">
      <c r="A392" s="1" t="s">
        <v>227</v>
      </c>
      <c r="B392" t="s">
        <v>26</v>
      </c>
      <c r="D392" t="s">
        <v>21</v>
      </c>
      <c r="F392" t="s">
        <v>60</v>
      </c>
    </row>
    <row r="393" spans="1:6" x14ac:dyDescent="0.2">
      <c r="A393" s="1" t="s">
        <v>227</v>
      </c>
      <c r="B393" t="s">
        <v>18</v>
      </c>
      <c r="D393" t="s">
        <v>12</v>
      </c>
      <c r="F393" t="s">
        <v>60</v>
      </c>
    </row>
    <row r="394" spans="1:6" x14ac:dyDescent="0.2">
      <c r="A394" s="1" t="s">
        <v>227</v>
      </c>
      <c r="B394" t="s">
        <v>38</v>
      </c>
      <c r="D394" t="s">
        <v>13</v>
      </c>
      <c r="F394" t="s">
        <v>60</v>
      </c>
    </row>
    <row r="395" spans="1:6" x14ac:dyDescent="0.2">
      <c r="A395" s="1" t="s">
        <v>227</v>
      </c>
      <c r="B395" t="s">
        <v>23</v>
      </c>
      <c r="D395" t="s">
        <v>34</v>
      </c>
      <c r="F395" t="s">
        <v>60</v>
      </c>
    </row>
    <row r="396" spans="1:6" x14ac:dyDescent="0.2">
      <c r="A396" s="1" t="s">
        <v>227</v>
      </c>
      <c r="B396" t="s">
        <v>27</v>
      </c>
      <c r="D396" t="s">
        <v>24</v>
      </c>
      <c r="F396" t="s">
        <v>60</v>
      </c>
    </row>
    <row r="397" spans="1:6" x14ac:dyDescent="0.2">
      <c r="A397" s="1" t="s">
        <v>227</v>
      </c>
      <c r="B397" t="s">
        <v>40</v>
      </c>
      <c r="D397" t="s">
        <v>29</v>
      </c>
      <c r="F397" t="s">
        <v>60</v>
      </c>
    </row>
    <row r="398" spans="1:6" x14ac:dyDescent="0.2">
      <c r="A398" s="1" t="s">
        <v>227</v>
      </c>
      <c r="B398" t="s">
        <v>37</v>
      </c>
      <c r="D398" t="s">
        <v>15</v>
      </c>
      <c r="F398" t="s">
        <v>60</v>
      </c>
    </row>
    <row r="399" spans="1:6" x14ac:dyDescent="0.2">
      <c r="A399" s="1" t="s">
        <v>227</v>
      </c>
      <c r="B399" t="s">
        <v>19</v>
      </c>
      <c r="D399" t="s">
        <v>14</v>
      </c>
      <c r="F399" t="s">
        <v>60</v>
      </c>
    </row>
    <row r="400" spans="1:6" x14ac:dyDescent="0.2">
      <c r="A400" s="1" t="s">
        <v>227</v>
      </c>
      <c r="B400" t="s">
        <v>17</v>
      </c>
      <c r="D400" t="s">
        <v>32</v>
      </c>
      <c r="F400" t="s">
        <v>60</v>
      </c>
    </row>
    <row r="401" spans="1:6" x14ac:dyDescent="0.2">
      <c r="A401" s="1" t="s">
        <v>227</v>
      </c>
      <c r="B401" t="s">
        <v>55</v>
      </c>
      <c r="D401" t="s">
        <v>35</v>
      </c>
      <c r="F401" t="s">
        <v>60</v>
      </c>
    </row>
    <row r="402" spans="1:6" x14ac:dyDescent="0.2">
      <c r="A402" s="1" t="s">
        <v>227</v>
      </c>
      <c r="B402" t="s">
        <v>33</v>
      </c>
      <c r="D402" t="s">
        <v>20</v>
      </c>
      <c r="F402" t="s">
        <v>60</v>
      </c>
    </row>
    <row r="403" spans="1:6" x14ac:dyDescent="0.2">
      <c r="A403" s="1" t="s">
        <v>228</v>
      </c>
      <c r="B403" t="s">
        <v>16</v>
      </c>
      <c r="D403" t="s">
        <v>25</v>
      </c>
      <c r="F403" t="s">
        <v>60</v>
      </c>
    </row>
    <row r="404" spans="1:6" x14ac:dyDescent="0.2">
      <c r="A404" s="1" t="s">
        <v>228</v>
      </c>
      <c r="B404" t="s">
        <v>31</v>
      </c>
      <c r="D404" t="s">
        <v>10</v>
      </c>
      <c r="F404" t="s">
        <v>60</v>
      </c>
    </row>
    <row r="405" spans="1:6" x14ac:dyDescent="0.2">
      <c r="A405" s="1" t="s">
        <v>228</v>
      </c>
      <c r="B405" t="s">
        <v>36</v>
      </c>
      <c r="D405" t="s">
        <v>39</v>
      </c>
      <c r="F405" t="s">
        <v>60</v>
      </c>
    </row>
    <row r="406" spans="1:6" x14ac:dyDescent="0.2">
      <c r="A406" s="1" t="s">
        <v>228</v>
      </c>
      <c r="B406" t="s">
        <v>22</v>
      </c>
      <c r="D406" t="s">
        <v>30</v>
      </c>
      <c r="F406" t="s">
        <v>60</v>
      </c>
    </row>
    <row r="407" spans="1:6" x14ac:dyDescent="0.2">
      <c r="A407" s="1" t="s">
        <v>229</v>
      </c>
      <c r="B407" t="s">
        <v>40</v>
      </c>
      <c r="D407" t="s">
        <v>23</v>
      </c>
      <c r="F407" t="s">
        <v>60</v>
      </c>
    </row>
    <row r="408" spans="1:6" x14ac:dyDescent="0.2">
      <c r="A408" s="1" t="s">
        <v>229</v>
      </c>
      <c r="B408" t="s">
        <v>28</v>
      </c>
      <c r="D408" t="s">
        <v>24</v>
      </c>
      <c r="F408" t="s">
        <v>60</v>
      </c>
    </row>
    <row r="409" spans="1:6" x14ac:dyDescent="0.2">
      <c r="A409" s="1" t="s">
        <v>229</v>
      </c>
      <c r="B409" t="s">
        <v>14</v>
      </c>
      <c r="D409" t="s">
        <v>27</v>
      </c>
      <c r="F409" t="s">
        <v>60</v>
      </c>
    </row>
    <row r="410" spans="1:6" x14ac:dyDescent="0.2">
      <c r="A410" s="1" t="s">
        <v>229</v>
      </c>
      <c r="B410" t="s">
        <v>55</v>
      </c>
      <c r="D410" t="s">
        <v>33</v>
      </c>
      <c r="F410" t="s">
        <v>60</v>
      </c>
    </row>
    <row r="411" spans="1:6" x14ac:dyDescent="0.2">
      <c r="A411" s="1" t="s">
        <v>229</v>
      </c>
      <c r="B411" t="s">
        <v>31</v>
      </c>
      <c r="D411" t="s">
        <v>35</v>
      </c>
      <c r="F411" t="s">
        <v>60</v>
      </c>
    </row>
    <row r="412" spans="1:6" x14ac:dyDescent="0.2">
      <c r="A412" s="1" t="s">
        <v>230</v>
      </c>
      <c r="B412" t="s">
        <v>38</v>
      </c>
      <c r="D412" t="s">
        <v>12</v>
      </c>
      <c r="F412" t="s">
        <v>60</v>
      </c>
    </row>
    <row r="413" spans="1:6" x14ac:dyDescent="0.2">
      <c r="A413" s="1" t="s">
        <v>230</v>
      </c>
      <c r="B413" t="s">
        <v>21</v>
      </c>
      <c r="D413" t="s">
        <v>26</v>
      </c>
      <c r="F413" t="s">
        <v>60</v>
      </c>
    </row>
    <row r="414" spans="1:6" x14ac:dyDescent="0.2">
      <c r="A414" s="1" t="s">
        <v>230</v>
      </c>
      <c r="B414" t="s">
        <v>34</v>
      </c>
      <c r="D414" t="s">
        <v>17</v>
      </c>
      <c r="F414" t="s">
        <v>60</v>
      </c>
    </row>
    <row r="415" spans="1:6" x14ac:dyDescent="0.2">
      <c r="A415" s="1" t="s">
        <v>230</v>
      </c>
      <c r="B415" t="s">
        <v>19</v>
      </c>
      <c r="D415" t="s">
        <v>11</v>
      </c>
      <c r="F415" t="s">
        <v>60</v>
      </c>
    </row>
    <row r="416" spans="1:6" x14ac:dyDescent="0.2">
      <c r="A416" s="1" t="s">
        <v>230</v>
      </c>
      <c r="B416" t="s">
        <v>22</v>
      </c>
      <c r="D416" t="s">
        <v>13</v>
      </c>
      <c r="F416" t="s">
        <v>60</v>
      </c>
    </row>
    <row r="417" spans="1:6" x14ac:dyDescent="0.2">
      <c r="A417" s="1" t="s">
        <v>230</v>
      </c>
      <c r="B417" t="s">
        <v>36</v>
      </c>
      <c r="D417" t="s">
        <v>18</v>
      </c>
      <c r="F417" t="s">
        <v>60</v>
      </c>
    </row>
    <row r="418" spans="1:6" x14ac:dyDescent="0.2">
      <c r="A418" s="1" t="s">
        <v>230</v>
      </c>
      <c r="B418" t="s">
        <v>16</v>
      </c>
      <c r="D418" t="s">
        <v>29</v>
      </c>
      <c r="F418" t="s">
        <v>60</v>
      </c>
    </row>
    <row r="419" spans="1:6" x14ac:dyDescent="0.2">
      <c r="A419" s="1" t="s">
        <v>230</v>
      </c>
      <c r="B419" t="s">
        <v>37</v>
      </c>
      <c r="D419" t="s">
        <v>30</v>
      </c>
      <c r="F419" t="s">
        <v>60</v>
      </c>
    </row>
    <row r="420" spans="1:6" x14ac:dyDescent="0.2">
      <c r="A420" s="1" t="s">
        <v>230</v>
      </c>
      <c r="B420" t="s">
        <v>39</v>
      </c>
      <c r="D420" t="s">
        <v>15</v>
      </c>
      <c r="F420" t="s">
        <v>60</v>
      </c>
    </row>
    <row r="421" spans="1:6" x14ac:dyDescent="0.2">
      <c r="A421" s="1" t="s">
        <v>230</v>
      </c>
      <c r="B421" t="s">
        <v>10</v>
      </c>
      <c r="D421" t="s">
        <v>20</v>
      </c>
      <c r="F421" t="s">
        <v>60</v>
      </c>
    </row>
    <row r="422" spans="1:6" x14ac:dyDescent="0.2">
      <c r="A422" s="1" t="s">
        <v>231</v>
      </c>
      <c r="B422" t="s">
        <v>55</v>
      </c>
      <c r="D422" t="s">
        <v>31</v>
      </c>
      <c r="F422" t="s">
        <v>60</v>
      </c>
    </row>
    <row r="423" spans="1:6" x14ac:dyDescent="0.2">
      <c r="A423" s="1" t="s">
        <v>231</v>
      </c>
      <c r="B423" t="s">
        <v>40</v>
      </c>
      <c r="D423" t="s">
        <v>18</v>
      </c>
      <c r="F423" t="s">
        <v>60</v>
      </c>
    </row>
    <row r="424" spans="1:6" x14ac:dyDescent="0.2">
      <c r="A424" s="1" t="s">
        <v>231</v>
      </c>
      <c r="B424" t="s">
        <v>39</v>
      </c>
      <c r="D424" t="s">
        <v>24</v>
      </c>
      <c r="F424" t="s">
        <v>60</v>
      </c>
    </row>
    <row r="425" spans="1:6" x14ac:dyDescent="0.2">
      <c r="A425" s="1" t="s">
        <v>231</v>
      </c>
      <c r="B425" t="s">
        <v>23</v>
      </c>
      <c r="D425" t="s">
        <v>27</v>
      </c>
      <c r="F425" t="s">
        <v>60</v>
      </c>
    </row>
    <row r="426" spans="1:6" x14ac:dyDescent="0.2">
      <c r="A426" s="1" t="s">
        <v>231</v>
      </c>
      <c r="B426" t="s">
        <v>22</v>
      </c>
      <c r="D426" t="s">
        <v>33</v>
      </c>
      <c r="F426" t="s">
        <v>60</v>
      </c>
    </row>
    <row r="427" spans="1:6" x14ac:dyDescent="0.2">
      <c r="A427" s="1" t="s">
        <v>232</v>
      </c>
      <c r="B427" t="s">
        <v>35</v>
      </c>
      <c r="D427" t="s">
        <v>21</v>
      </c>
      <c r="F427" t="s">
        <v>60</v>
      </c>
    </row>
    <row r="428" spans="1:6" x14ac:dyDescent="0.2">
      <c r="A428" s="1" t="s">
        <v>232</v>
      </c>
      <c r="B428" t="s">
        <v>19</v>
      </c>
      <c r="D428" t="s">
        <v>25</v>
      </c>
      <c r="F428" t="s">
        <v>60</v>
      </c>
    </row>
    <row r="429" spans="1:6" x14ac:dyDescent="0.2">
      <c r="A429" s="1" t="s">
        <v>232</v>
      </c>
      <c r="B429" t="s">
        <v>26</v>
      </c>
      <c r="D429" t="s">
        <v>28</v>
      </c>
      <c r="F429" t="s">
        <v>60</v>
      </c>
    </row>
    <row r="430" spans="1:6" x14ac:dyDescent="0.2">
      <c r="A430" s="1" t="s">
        <v>232</v>
      </c>
      <c r="B430" t="s">
        <v>34</v>
      </c>
      <c r="D430" t="s">
        <v>16</v>
      </c>
      <c r="F430" t="s">
        <v>60</v>
      </c>
    </row>
    <row r="431" spans="1:6" x14ac:dyDescent="0.2">
      <c r="A431" s="1" t="s">
        <v>232</v>
      </c>
      <c r="B431" t="s">
        <v>32</v>
      </c>
      <c r="D431" t="s">
        <v>17</v>
      </c>
      <c r="F431" t="s">
        <v>60</v>
      </c>
    </row>
    <row r="432" spans="1:6" x14ac:dyDescent="0.2">
      <c r="A432" s="1" t="s">
        <v>232</v>
      </c>
      <c r="B432" t="s">
        <v>29</v>
      </c>
      <c r="D432" t="s">
        <v>11</v>
      </c>
      <c r="F432" t="s">
        <v>60</v>
      </c>
    </row>
    <row r="433" spans="1:6" x14ac:dyDescent="0.2">
      <c r="A433" s="1" t="s">
        <v>232</v>
      </c>
      <c r="B433" t="s">
        <v>10</v>
      </c>
      <c r="D433" t="s">
        <v>13</v>
      </c>
      <c r="F433" t="s">
        <v>60</v>
      </c>
    </row>
    <row r="434" spans="1:6" x14ac:dyDescent="0.2">
      <c r="A434" s="1" t="s">
        <v>232</v>
      </c>
      <c r="B434" t="s">
        <v>12</v>
      </c>
      <c r="D434" t="s">
        <v>30</v>
      </c>
      <c r="F434" t="s">
        <v>60</v>
      </c>
    </row>
    <row r="435" spans="1:6" x14ac:dyDescent="0.2">
      <c r="A435" s="1" t="s">
        <v>232</v>
      </c>
      <c r="B435" t="s">
        <v>15</v>
      </c>
      <c r="D435" t="s">
        <v>36</v>
      </c>
      <c r="F435" t="s">
        <v>60</v>
      </c>
    </row>
    <row r="436" spans="1:6" x14ac:dyDescent="0.2">
      <c r="A436" s="1" t="s">
        <v>232</v>
      </c>
      <c r="B436" t="s">
        <v>14</v>
      </c>
      <c r="D436" t="s">
        <v>37</v>
      </c>
      <c r="F436" t="s">
        <v>60</v>
      </c>
    </row>
    <row r="437" spans="1:6" x14ac:dyDescent="0.2">
      <c r="A437" s="1" t="s">
        <v>233</v>
      </c>
      <c r="B437" t="s">
        <v>22</v>
      </c>
      <c r="D437" t="s">
        <v>31</v>
      </c>
      <c r="F437" t="s">
        <v>60</v>
      </c>
    </row>
    <row r="438" spans="1:6" x14ac:dyDescent="0.2">
      <c r="A438" s="1" t="s">
        <v>233</v>
      </c>
      <c r="B438" t="s">
        <v>33</v>
      </c>
      <c r="D438" t="s">
        <v>39</v>
      </c>
      <c r="F438" t="s">
        <v>60</v>
      </c>
    </row>
    <row r="439" spans="1:6" x14ac:dyDescent="0.2">
      <c r="A439" s="1" t="s">
        <v>233</v>
      </c>
      <c r="B439" t="s">
        <v>20</v>
      </c>
      <c r="D439" t="s">
        <v>24</v>
      </c>
      <c r="F439" t="s">
        <v>60</v>
      </c>
    </row>
    <row r="440" spans="1:6" x14ac:dyDescent="0.2">
      <c r="A440" s="1" t="s">
        <v>233</v>
      </c>
      <c r="B440" t="s">
        <v>55</v>
      </c>
      <c r="D440" t="s">
        <v>38</v>
      </c>
      <c r="F440" t="s">
        <v>60</v>
      </c>
    </row>
    <row r="441" spans="1:6" x14ac:dyDescent="0.2">
      <c r="A441" s="1" t="s">
        <v>233</v>
      </c>
      <c r="B441" t="s">
        <v>23</v>
      </c>
      <c r="D441" t="s">
        <v>40</v>
      </c>
      <c r="F441" t="s">
        <v>60</v>
      </c>
    </row>
    <row r="442" spans="1:6" x14ac:dyDescent="0.2">
      <c r="A442" s="1" t="s">
        <v>234</v>
      </c>
      <c r="B442" t="s">
        <v>24</v>
      </c>
      <c r="D442" t="s">
        <v>21</v>
      </c>
      <c r="F442" t="s">
        <v>60</v>
      </c>
    </row>
    <row r="443" spans="1:6" x14ac:dyDescent="0.2">
      <c r="A443" s="1" t="s">
        <v>234</v>
      </c>
      <c r="B443" t="s">
        <v>29</v>
      </c>
      <c r="D443" t="s">
        <v>25</v>
      </c>
      <c r="F443" t="s">
        <v>60</v>
      </c>
    </row>
    <row r="444" spans="1:6" x14ac:dyDescent="0.2">
      <c r="A444" s="1" t="s">
        <v>234</v>
      </c>
      <c r="B444" t="s">
        <v>55</v>
      </c>
      <c r="D444" t="s">
        <v>16</v>
      </c>
      <c r="F444" t="s">
        <v>60</v>
      </c>
    </row>
    <row r="445" spans="1:6" x14ac:dyDescent="0.2">
      <c r="A445" s="1" t="s">
        <v>234</v>
      </c>
      <c r="B445" t="s">
        <v>40</v>
      </c>
      <c r="D445" t="s">
        <v>17</v>
      </c>
      <c r="F445" t="s">
        <v>60</v>
      </c>
    </row>
    <row r="446" spans="1:6" x14ac:dyDescent="0.2">
      <c r="A446" s="1" t="s">
        <v>234</v>
      </c>
      <c r="B446" t="s">
        <v>28</v>
      </c>
      <c r="D446" t="s">
        <v>11</v>
      </c>
      <c r="F446" t="s">
        <v>60</v>
      </c>
    </row>
    <row r="447" spans="1:6" x14ac:dyDescent="0.2">
      <c r="A447" s="1" t="s">
        <v>234</v>
      </c>
      <c r="B447" t="s">
        <v>10</v>
      </c>
      <c r="D447" t="s">
        <v>13</v>
      </c>
      <c r="F447" t="s">
        <v>60</v>
      </c>
    </row>
    <row r="448" spans="1:6" x14ac:dyDescent="0.2">
      <c r="A448" s="1" t="s">
        <v>234</v>
      </c>
      <c r="B448" t="s">
        <v>12</v>
      </c>
      <c r="D448" t="s">
        <v>15</v>
      </c>
      <c r="F448" t="s">
        <v>60</v>
      </c>
    </row>
    <row r="449" spans="1:6" x14ac:dyDescent="0.2">
      <c r="A449" s="1" t="s">
        <v>234</v>
      </c>
      <c r="B449" t="s">
        <v>35</v>
      </c>
      <c r="D449" t="s">
        <v>36</v>
      </c>
      <c r="F449" t="s">
        <v>60</v>
      </c>
    </row>
    <row r="450" spans="1:6" x14ac:dyDescent="0.2">
      <c r="A450" s="1" t="s">
        <v>234</v>
      </c>
      <c r="B450" t="s">
        <v>26</v>
      </c>
      <c r="D450" t="s">
        <v>32</v>
      </c>
      <c r="F450" t="s">
        <v>60</v>
      </c>
    </row>
    <row r="451" spans="1:6" x14ac:dyDescent="0.2">
      <c r="A451" s="1" t="s">
        <v>234</v>
      </c>
      <c r="B451" t="s">
        <v>30</v>
      </c>
      <c r="D451" t="s">
        <v>37</v>
      </c>
      <c r="F451" t="s">
        <v>60</v>
      </c>
    </row>
    <row r="452" spans="1:6" x14ac:dyDescent="0.2">
      <c r="A452" s="1" t="s">
        <v>234</v>
      </c>
      <c r="B452" t="s">
        <v>18</v>
      </c>
      <c r="D452" t="s">
        <v>19</v>
      </c>
      <c r="F452" t="s">
        <v>60</v>
      </c>
    </row>
    <row r="453" spans="1:6" x14ac:dyDescent="0.2">
      <c r="A453" s="1" t="s">
        <v>234</v>
      </c>
      <c r="B453" t="s">
        <v>34</v>
      </c>
      <c r="D453" t="s">
        <v>38</v>
      </c>
      <c r="F453" t="s">
        <v>60</v>
      </c>
    </row>
    <row r="454" spans="1:6" x14ac:dyDescent="0.2">
      <c r="A454" s="1" t="s">
        <v>235</v>
      </c>
      <c r="B454" t="s">
        <v>10</v>
      </c>
      <c r="D454" t="s">
        <v>31</v>
      </c>
      <c r="F454" t="s">
        <v>60</v>
      </c>
    </row>
    <row r="455" spans="1:6" x14ac:dyDescent="0.2">
      <c r="A455" s="1" t="s">
        <v>235</v>
      </c>
      <c r="B455" t="s">
        <v>33</v>
      </c>
      <c r="D455" t="s">
        <v>25</v>
      </c>
      <c r="F455" t="s">
        <v>60</v>
      </c>
    </row>
    <row r="456" spans="1:6" x14ac:dyDescent="0.2">
      <c r="A456" s="1" t="s">
        <v>235</v>
      </c>
      <c r="B456" t="s">
        <v>14</v>
      </c>
      <c r="D456" t="s">
        <v>39</v>
      </c>
      <c r="F456" t="s">
        <v>60</v>
      </c>
    </row>
    <row r="457" spans="1:6" x14ac:dyDescent="0.2">
      <c r="A457" s="1" t="s">
        <v>235</v>
      </c>
      <c r="B457" t="s">
        <v>30</v>
      </c>
      <c r="D457" t="s">
        <v>11</v>
      </c>
      <c r="F457" t="s">
        <v>60</v>
      </c>
    </row>
    <row r="458" spans="1:6" x14ac:dyDescent="0.2">
      <c r="A458" s="1" t="s">
        <v>235</v>
      </c>
      <c r="B458" t="s">
        <v>35</v>
      </c>
      <c r="D458" t="s">
        <v>18</v>
      </c>
      <c r="F458" t="s">
        <v>60</v>
      </c>
    </row>
    <row r="459" spans="1:6" x14ac:dyDescent="0.2">
      <c r="A459" s="1" t="s">
        <v>235</v>
      </c>
      <c r="B459" t="s">
        <v>20</v>
      </c>
      <c r="D459" t="s">
        <v>15</v>
      </c>
      <c r="F459" t="s">
        <v>60</v>
      </c>
    </row>
    <row r="460" spans="1:6" x14ac:dyDescent="0.2">
      <c r="A460" s="1" t="s">
        <v>235</v>
      </c>
      <c r="B460" t="s">
        <v>12</v>
      </c>
      <c r="D460" t="s">
        <v>27</v>
      </c>
      <c r="F460" t="s">
        <v>60</v>
      </c>
    </row>
    <row r="461" spans="1:6" x14ac:dyDescent="0.2">
      <c r="A461" s="1" t="s">
        <v>235</v>
      </c>
      <c r="B461" t="s">
        <v>28</v>
      </c>
      <c r="D461" t="s">
        <v>22</v>
      </c>
      <c r="F461" t="s">
        <v>60</v>
      </c>
    </row>
    <row r="462" spans="1:6" x14ac:dyDescent="0.2">
      <c r="A462" s="1" t="s">
        <v>236</v>
      </c>
      <c r="B462" t="s">
        <v>23</v>
      </c>
      <c r="D462" t="s">
        <v>16</v>
      </c>
      <c r="F462" t="s">
        <v>60</v>
      </c>
    </row>
    <row r="463" spans="1:6" x14ac:dyDescent="0.2">
      <c r="A463" s="1" t="s">
        <v>236</v>
      </c>
      <c r="B463" t="s">
        <v>34</v>
      </c>
      <c r="D463" t="s">
        <v>32</v>
      </c>
      <c r="F463" t="s">
        <v>60</v>
      </c>
    </row>
    <row r="464" spans="1:6" x14ac:dyDescent="0.2">
      <c r="A464" s="1" t="s">
        <v>236</v>
      </c>
      <c r="B464" t="s">
        <v>37</v>
      </c>
      <c r="D464" t="s">
        <v>19</v>
      </c>
      <c r="F464" t="s">
        <v>60</v>
      </c>
    </row>
    <row r="465" spans="1:6" x14ac:dyDescent="0.2">
      <c r="A465" s="1" t="s">
        <v>236</v>
      </c>
      <c r="B465" t="s">
        <v>13</v>
      </c>
      <c r="D465" t="s">
        <v>55</v>
      </c>
      <c r="F465" t="s">
        <v>60</v>
      </c>
    </row>
    <row r="466" spans="1:6" x14ac:dyDescent="0.2">
      <c r="A466" s="1" t="s">
        <v>236</v>
      </c>
      <c r="B466" t="s">
        <v>26</v>
      </c>
      <c r="D466" t="s">
        <v>38</v>
      </c>
      <c r="F466" t="s">
        <v>60</v>
      </c>
    </row>
    <row r="467" spans="1:6" x14ac:dyDescent="0.2">
      <c r="A467" s="1" t="s">
        <v>237</v>
      </c>
      <c r="B467" t="s">
        <v>28</v>
      </c>
      <c r="D467" t="s">
        <v>25</v>
      </c>
      <c r="F467" t="s">
        <v>60</v>
      </c>
    </row>
    <row r="468" spans="1:6" x14ac:dyDescent="0.2">
      <c r="A468" s="1" t="s">
        <v>237</v>
      </c>
      <c r="B468" t="s">
        <v>23</v>
      </c>
      <c r="D468" t="s">
        <v>17</v>
      </c>
      <c r="F468" t="s">
        <v>60</v>
      </c>
    </row>
    <row r="469" spans="1:6" x14ac:dyDescent="0.2">
      <c r="A469" s="1" t="s">
        <v>237</v>
      </c>
      <c r="B469" t="s">
        <v>37</v>
      </c>
      <c r="D469" t="s">
        <v>18</v>
      </c>
      <c r="F469" t="s">
        <v>60</v>
      </c>
    </row>
    <row r="470" spans="1:6" x14ac:dyDescent="0.2">
      <c r="A470" s="1" t="s">
        <v>237</v>
      </c>
      <c r="B470" t="s">
        <v>12</v>
      </c>
      <c r="D470" t="s">
        <v>29</v>
      </c>
      <c r="F470" t="s">
        <v>60</v>
      </c>
    </row>
    <row r="471" spans="1:6" x14ac:dyDescent="0.2">
      <c r="A471" s="1" t="s">
        <v>237</v>
      </c>
      <c r="B471" t="s">
        <v>20</v>
      </c>
      <c r="D471" t="s">
        <v>30</v>
      </c>
      <c r="F471" t="s">
        <v>60</v>
      </c>
    </row>
    <row r="472" spans="1:6" x14ac:dyDescent="0.2">
      <c r="A472" s="1" t="s">
        <v>237</v>
      </c>
      <c r="B472" t="s">
        <v>24</v>
      </c>
      <c r="D472" t="s">
        <v>36</v>
      </c>
      <c r="F472" t="s">
        <v>60</v>
      </c>
    </row>
    <row r="473" spans="1:6" x14ac:dyDescent="0.2">
      <c r="A473" s="1" t="s">
        <v>237</v>
      </c>
      <c r="B473" t="s">
        <v>33</v>
      </c>
      <c r="D473" t="s">
        <v>27</v>
      </c>
      <c r="F473" t="s">
        <v>60</v>
      </c>
    </row>
    <row r="474" spans="1:6" x14ac:dyDescent="0.2">
      <c r="A474" s="1" t="s">
        <v>237</v>
      </c>
      <c r="B474" t="s">
        <v>31</v>
      </c>
      <c r="D474" t="s">
        <v>14</v>
      </c>
      <c r="F474" t="s">
        <v>60</v>
      </c>
    </row>
    <row r="475" spans="1:6" x14ac:dyDescent="0.2">
      <c r="A475" s="1" t="s">
        <v>237</v>
      </c>
      <c r="B475" t="s">
        <v>21</v>
      </c>
      <c r="D475" t="s">
        <v>35</v>
      </c>
      <c r="F475" t="s">
        <v>60</v>
      </c>
    </row>
    <row r="476" spans="1:6" x14ac:dyDescent="0.2">
      <c r="A476" s="1" t="s">
        <v>237</v>
      </c>
      <c r="B476" t="s">
        <v>39</v>
      </c>
      <c r="D476" t="s">
        <v>40</v>
      </c>
      <c r="F476" t="s">
        <v>60</v>
      </c>
    </row>
    <row r="477" spans="1:6" x14ac:dyDescent="0.2">
      <c r="A477" s="1" t="s">
        <v>238</v>
      </c>
      <c r="B477" t="s">
        <v>26</v>
      </c>
      <c r="D477" t="s">
        <v>16</v>
      </c>
      <c r="F477" t="s">
        <v>60</v>
      </c>
    </row>
    <row r="478" spans="1:6" x14ac:dyDescent="0.2">
      <c r="A478" s="1" t="s">
        <v>238</v>
      </c>
      <c r="B478" t="s">
        <v>15</v>
      </c>
      <c r="D478" t="s">
        <v>10</v>
      </c>
      <c r="F478" t="s">
        <v>60</v>
      </c>
    </row>
    <row r="479" spans="1:6" x14ac:dyDescent="0.2">
      <c r="A479" s="1" t="s">
        <v>238</v>
      </c>
      <c r="B479" t="s">
        <v>13</v>
      </c>
      <c r="D479" t="s">
        <v>32</v>
      </c>
      <c r="F479" t="s">
        <v>60</v>
      </c>
    </row>
    <row r="480" spans="1:6" x14ac:dyDescent="0.2">
      <c r="A480" s="1" t="s">
        <v>238</v>
      </c>
      <c r="B480" t="s">
        <v>11</v>
      </c>
      <c r="D480" t="s">
        <v>55</v>
      </c>
      <c r="F480" t="s">
        <v>60</v>
      </c>
    </row>
    <row r="481" spans="1:6" x14ac:dyDescent="0.2">
      <c r="A481" s="1" t="s">
        <v>239</v>
      </c>
      <c r="B481" t="s">
        <v>36</v>
      </c>
      <c r="D481" t="s">
        <v>28</v>
      </c>
      <c r="F481" t="s">
        <v>60</v>
      </c>
    </row>
    <row r="482" spans="1:6" x14ac:dyDescent="0.2">
      <c r="A482" s="1" t="s">
        <v>239</v>
      </c>
      <c r="B482" t="s">
        <v>11</v>
      </c>
      <c r="D482" t="s">
        <v>12</v>
      </c>
      <c r="F482" t="s">
        <v>60</v>
      </c>
    </row>
    <row r="483" spans="1:6" x14ac:dyDescent="0.2">
      <c r="A483" s="1" t="s">
        <v>239</v>
      </c>
      <c r="B483" t="s">
        <v>26</v>
      </c>
      <c r="D483" t="s">
        <v>17</v>
      </c>
      <c r="F483" t="s">
        <v>60</v>
      </c>
    </row>
    <row r="484" spans="1:6" x14ac:dyDescent="0.2">
      <c r="A484" s="1" t="s">
        <v>239</v>
      </c>
      <c r="B484" t="s">
        <v>39</v>
      </c>
      <c r="D484" t="s">
        <v>34</v>
      </c>
      <c r="F484" t="s">
        <v>60</v>
      </c>
    </row>
    <row r="485" spans="1:6" x14ac:dyDescent="0.2">
      <c r="A485" s="1" t="s">
        <v>239</v>
      </c>
      <c r="B485" t="s">
        <v>37</v>
      </c>
      <c r="D485" t="s">
        <v>24</v>
      </c>
      <c r="F485" t="s">
        <v>60</v>
      </c>
    </row>
    <row r="486" spans="1:6" x14ac:dyDescent="0.2">
      <c r="A486" s="1" t="s">
        <v>239</v>
      </c>
      <c r="B486" t="s">
        <v>35</v>
      </c>
      <c r="D486" t="s">
        <v>29</v>
      </c>
      <c r="F486" t="s">
        <v>60</v>
      </c>
    </row>
    <row r="487" spans="1:6" x14ac:dyDescent="0.2">
      <c r="A487" s="1" t="s">
        <v>239</v>
      </c>
      <c r="B487" t="s">
        <v>31</v>
      </c>
      <c r="D487" t="s">
        <v>30</v>
      </c>
      <c r="F487" t="s">
        <v>60</v>
      </c>
    </row>
    <row r="488" spans="1:6" x14ac:dyDescent="0.2">
      <c r="A488" s="1" t="s">
        <v>239</v>
      </c>
      <c r="B488" t="s">
        <v>20</v>
      </c>
      <c r="D488" t="s">
        <v>27</v>
      </c>
      <c r="F488" t="s">
        <v>60</v>
      </c>
    </row>
    <row r="489" spans="1:6" x14ac:dyDescent="0.2">
      <c r="A489" s="1" t="s">
        <v>239</v>
      </c>
      <c r="B489" t="s">
        <v>18</v>
      </c>
      <c r="D489" t="s">
        <v>14</v>
      </c>
      <c r="F489" t="s">
        <v>60</v>
      </c>
    </row>
    <row r="490" spans="1:6" x14ac:dyDescent="0.2">
      <c r="A490" s="1" t="s">
        <v>239</v>
      </c>
      <c r="B490" t="s">
        <v>33</v>
      </c>
      <c r="D490" t="s">
        <v>19</v>
      </c>
      <c r="F490" t="s">
        <v>60</v>
      </c>
    </row>
    <row r="491" spans="1:6" x14ac:dyDescent="0.2">
      <c r="A491" s="1" t="s">
        <v>239</v>
      </c>
      <c r="B491" t="s">
        <v>23</v>
      </c>
      <c r="D491" t="s">
        <v>38</v>
      </c>
      <c r="F491" t="s">
        <v>60</v>
      </c>
    </row>
    <row r="492" spans="1:6" x14ac:dyDescent="0.2">
      <c r="A492" s="1" t="s">
        <v>239</v>
      </c>
      <c r="B492" t="s">
        <v>21</v>
      </c>
      <c r="D492" t="s">
        <v>40</v>
      </c>
      <c r="F492" t="s">
        <v>60</v>
      </c>
    </row>
    <row r="493" spans="1:6" x14ac:dyDescent="0.2">
      <c r="A493" s="1" t="s">
        <v>239</v>
      </c>
      <c r="B493" t="s">
        <v>25</v>
      </c>
      <c r="D493" t="s">
        <v>22</v>
      </c>
      <c r="F493" t="s">
        <v>60</v>
      </c>
    </row>
    <row r="494" spans="1:6" x14ac:dyDescent="0.2">
      <c r="A494" s="1" t="s">
        <v>240</v>
      </c>
      <c r="B494" t="s">
        <v>10</v>
      </c>
      <c r="D494" t="s">
        <v>35</v>
      </c>
      <c r="F494" t="s">
        <v>60</v>
      </c>
    </row>
    <row r="495" spans="1:6" x14ac:dyDescent="0.2">
      <c r="A495" s="1" t="s">
        <v>240</v>
      </c>
      <c r="B495" t="s">
        <v>32</v>
      </c>
      <c r="D495" t="s">
        <v>55</v>
      </c>
      <c r="F495" t="s">
        <v>60</v>
      </c>
    </row>
    <row r="496" spans="1:6" x14ac:dyDescent="0.2">
      <c r="A496" s="1" t="s">
        <v>63</v>
      </c>
      <c r="B496" t="s">
        <v>20</v>
      </c>
      <c r="D496" t="s">
        <v>28</v>
      </c>
      <c r="F496" t="s">
        <v>60</v>
      </c>
    </row>
    <row r="497" spans="1:6" x14ac:dyDescent="0.2">
      <c r="A497" s="1" t="s">
        <v>63</v>
      </c>
      <c r="B497" t="s">
        <v>26</v>
      </c>
      <c r="D497" t="s">
        <v>10</v>
      </c>
      <c r="F497" t="s">
        <v>60</v>
      </c>
    </row>
    <row r="498" spans="1:6" x14ac:dyDescent="0.2">
      <c r="A498" s="1" t="s">
        <v>63</v>
      </c>
      <c r="B498" t="s">
        <v>29</v>
      </c>
      <c r="D498" t="s">
        <v>12</v>
      </c>
      <c r="F498" t="s">
        <v>60</v>
      </c>
    </row>
    <row r="499" spans="1:6" x14ac:dyDescent="0.2">
      <c r="A499" s="1" t="s">
        <v>63</v>
      </c>
      <c r="B499" t="s">
        <v>11</v>
      </c>
      <c r="D499" t="s">
        <v>39</v>
      </c>
      <c r="F499" t="s">
        <v>60</v>
      </c>
    </row>
    <row r="500" spans="1:6" x14ac:dyDescent="0.2">
      <c r="A500" s="1" t="s">
        <v>63</v>
      </c>
      <c r="B500" t="s">
        <v>16</v>
      </c>
      <c r="D500" t="s">
        <v>13</v>
      </c>
      <c r="F500" t="s">
        <v>60</v>
      </c>
    </row>
    <row r="501" spans="1:6" x14ac:dyDescent="0.2">
      <c r="A501" s="1" t="s">
        <v>63</v>
      </c>
      <c r="B501" t="s">
        <v>36</v>
      </c>
      <c r="D501" t="s">
        <v>34</v>
      </c>
      <c r="F501" t="s">
        <v>60</v>
      </c>
    </row>
    <row r="502" spans="1:6" x14ac:dyDescent="0.2">
      <c r="A502" t="s">
        <v>63</v>
      </c>
      <c r="B502" t="s">
        <v>31</v>
      </c>
      <c r="D502" t="s">
        <v>24</v>
      </c>
      <c r="F502" t="s">
        <v>60</v>
      </c>
    </row>
    <row r="503" spans="1:6" x14ac:dyDescent="0.2">
      <c r="A503" t="s">
        <v>63</v>
      </c>
      <c r="B503" t="s">
        <v>37</v>
      </c>
      <c r="D503" t="s">
        <v>30</v>
      </c>
      <c r="F503" t="s">
        <v>60</v>
      </c>
    </row>
    <row r="504" spans="1:6" x14ac:dyDescent="0.2">
      <c r="A504" t="s">
        <v>63</v>
      </c>
      <c r="B504" t="s">
        <v>18</v>
      </c>
      <c r="D504" t="s">
        <v>15</v>
      </c>
      <c r="F504" t="s">
        <v>60</v>
      </c>
    </row>
    <row r="505" spans="1:6" x14ac:dyDescent="0.2">
      <c r="A505" t="s">
        <v>63</v>
      </c>
      <c r="B505" t="s">
        <v>25</v>
      </c>
      <c r="D505" t="s">
        <v>27</v>
      </c>
      <c r="F505" t="s">
        <v>60</v>
      </c>
    </row>
    <row r="506" spans="1:6" x14ac:dyDescent="0.2">
      <c r="A506" t="s">
        <v>63</v>
      </c>
      <c r="B506" t="s">
        <v>33</v>
      </c>
      <c r="D506" t="s">
        <v>14</v>
      </c>
      <c r="F506" t="s">
        <v>60</v>
      </c>
    </row>
    <row r="507" spans="1:6" x14ac:dyDescent="0.2">
      <c r="A507" t="s">
        <v>63</v>
      </c>
      <c r="B507" t="s">
        <v>17</v>
      </c>
      <c r="D507" t="s">
        <v>19</v>
      </c>
      <c r="F507" t="s">
        <v>60</v>
      </c>
    </row>
    <row r="508" spans="1:6" x14ac:dyDescent="0.2">
      <c r="A508" t="s">
        <v>63</v>
      </c>
      <c r="B508" t="s">
        <v>22</v>
      </c>
      <c r="D508" t="s">
        <v>40</v>
      </c>
      <c r="F508" t="s">
        <v>60</v>
      </c>
    </row>
    <row r="509" spans="1:6" x14ac:dyDescent="0.2">
      <c r="A509" t="s">
        <v>64</v>
      </c>
      <c r="B509" t="s">
        <v>27</v>
      </c>
      <c r="D509" t="s">
        <v>25</v>
      </c>
      <c r="F509" t="s">
        <v>60</v>
      </c>
    </row>
    <row r="510" spans="1:6" x14ac:dyDescent="0.2">
      <c r="A510" t="s">
        <v>64</v>
      </c>
      <c r="B510" t="s">
        <v>21</v>
      </c>
      <c r="D510" t="s">
        <v>34</v>
      </c>
      <c r="F510" t="s">
        <v>60</v>
      </c>
    </row>
    <row r="511" spans="1:6" x14ac:dyDescent="0.2">
      <c r="A511" t="s">
        <v>64</v>
      </c>
      <c r="B511" t="s">
        <v>17</v>
      </c>
      <c r="D511" t="s">
        <v>18</v>
      </c>
      <c r="F511" t="s">
        <v>60</v>
      </c>
    </row>
    <row r="512" spans="1:6" x14ac:dyDescent="0.2">
      <c r="A512" t="s">
        <v>64</v>
      </c>
      <c r="B512" t="s">
        <v>38</v>
      </c>
      <c r="D512" t="s">
        <v>24</v>
      </c>
      <c r="F512" t="s">
        <v>60</v>
      </c>
    </row>
    <row r="513" spans="1:6" x14ac:dyDescent="0.2">
      <c r="A513" t="s">
        <v>64</v>
      </c>
      <c r="B513" t="s">
        <v>55</v>
      </c>
      <c r="D513" t="s">
        <v>14</v>
      </c>
      <c r="F513" t="s">
        <v>60</v>
      </c>
    </row>
    <row r="514" spans="1:6" x14ac:dyDescent="0.2">
      <c r="A514" t="s">
        <v>64</v>
      </c>
      <c r="B514" t="s">
        <v>23</v>
      </c>
      <c r="D514" t="s">
        <v>32</v>
      </c>
      <c r="F514" t="s">
        <v>60</v>
      </c>
    </row>
    <row r="515" spans="1:6" x14ac:dyDescent="0.2">
      <c r="A515" t="s">
        <v>65</v>
      </c>
      <c r="B515" t="s">
        <v>13</v>
      </c>
      <c r="D515" t="s">
        <v>39</v>
      </c>
      <c r="F515" t="s">
        <v>60</v>
      </c>
    </row>
    <row r="516" spans="1:6" x14ac:dyDescent="0.2">
      <c r="A516" t="s">
        <v>65</v>
      </c>
      <c r="B516" t="s">
        <v>31</v>
      </c>
      <c r="D516" t="s">
        <v>15</v>
      </c>
      <c r="F516" t="s">
        <v>60</v>
      </c>
    </row>
    <row r="517" spans="1:6" x14ac:dyDescent="0.2">
      <c r="A517" t="s">
        <v>65</v>
      </c>
      <c r="B517" t="s">
        <v>29</v>
      </c>
      <c r="D517" t="s">
        <v>35</v>
      </c>
      <c r="F517" t="s">
        <v>60</v>
      </c>
    </row>
    <row r="518" spans="1:6" x14ac:dyDescent="0.2">
      <c r="A518" t="s">
        <v>65</v>
      </c>
      <c r="B518" t="s">
        <v>11</v>
      </c>
      <c r="D518" t="s">
        <v>37</v>
      </c>
      <c r="F518" t="s">
        <v>60</v>
      </c>
    </row>
    <row r="519" spans="1:6" x14ac:dyDescent="0.2">
      <c r="A519" t="s">
        <v>65</v>
      </c>
      <c r="B519" t="s">
        <v>36</v>
      </c>
      <c r="D519" t="s">
        <v>40</v>
      </c>
      <c r="F519" t="s">
        <v>60</v>
      </c>
    </row>
    <row r="520" spans="1:6" x14ac:dyDescent="0.2">
      <c r="A520" t="s">
        <v>66</v>
      </c>
      <c r="B520" t="s">
        <v>55</v>
      </c>
      <c r="D520" t="s">
        <v>21</v>
      </c>
      <c r="F520" t="s">
        <v>60</v>
      </c>
    </row>
    <row r="521" spans="1:6" x14ac:dyDescent="0.2">
      <c r="A521" t="s">
        <v>66</v>
      </c>
      <c r="B521" t="s">
        <v>31</v>
      </c>
      <c r="D521" t="s">
        <v>28</v>
      </c>
      <c r="F521" t="s">
        <v>60</v>
      </c>
    </row>
    <row r="522" spans="1:6" x14ac:dyDescent="0.2">
      <c r="A522" t="s">
        <v>66</v>
      </c>
      <c r="B522" t="s">
        <v>30</v>
      </c>
      <c r="D522" t="s">
        <v>26</v>
      </c>
      <c r="F522" t="s">
        <v>60</v>
      </c>
    </row>
    <row r="523" spans="1:6" x14ac:dyDescent="0.2">
      <c r="A523" t="s">
        <v>66</v>
      </c>
      <c r="B523" t="s">
        <v>22</v>
      </c>
      <c r="D523" t="s">
        <v>34</v>
      </c>
      <c r="F523" t="s">
        <v>60</v>
      </c>
    </row>
    <row r="524" spans="1:6" x14ac:dyDescent="0.2">
      <c r="A524" t="s">
        <v>66</v>
      </c>
      <c r="B524" t="s">
        <v>27</v>
      </c>
      <c r="D524" t="s">
        <v>18</v>
      </c>
      <c r="F524" t="s">
        <v>60</v>
      </c>
    </row>
    <row r="525" spans="1:6" x14ac:dyDescent="0.2">
      <c r="A525" t="s">
        <v>66</v>
      </c>
      <c r="B525" t="s">
        <v>38</v>
      </c>
      <c r="D525" t="s">
        <v>15</v>
      </c>
      <c r="F525" t="s">
        <v>60</v>
      </c>
    </row>
    <row r="526" spans="1:6" x14ac:dyDescent="0.2">
      <c r="A526" t="s">
        <v>66</v>
      </c>
      <c r="B526" t="s">
        <v>17</v>
      </c>
      <c r="D526" t="s">
        <v>14</v>
      </c>
      <c r="F526" t="s">
        <v>60</v>
      </c>
    </row>
    <row r="527" spans="1:6" x14ac:dyDescent="0.2">
      <c r="A527" t="s">
        <v>66</v>
      </c>
      <c r="B527" t="s">
        <v>12</v>
      </c>
      <c r="D527" t="s">
        <v>32</v>
      </c>
      <c r="F527" t="s">
        <v>60</v>
      </c>
    </row>
    <row r="528" spans="1:6" x14ac:dyDescent="0.2">
      <c r="A528" t="s">
        <v>66</v>
      </c>
      <c r="B528" t="s">
        <v>16</v>
      </c>
      <c r="D528" t="s">
        <v>33</v>
      </c>
      <c r="F528" t="s">
        <v>60</v>
      </c>
    </row>
    <row r="529" spans="1:6" x14ac:dyDescent="0.2">
      <c r="A529" t="s">
        <v>66</v>
      </c>
      <c r="B529" t="s">
        <v>10</v>
      </c>
      <c r="D529" t="s">
        <v>19</v>
      </c>
      <c r="F529" t="s">
        <v>60</v>
      </c>
    </row>
    <row r="530" spans="1:6" x14ac:dyDescent="0.2">
      <c r="A530" t="s">
        <v>67</v>
      </c>
      <c r="B530" t="s">
        <v>55</v>
      </c>
      <c r="D530" t="s">
        <v>26</v>
      </c>
      <c r="F530" t="s">
        <v>60</v>
      </c>
    </row>
    <row r="531" spans="1:6" x14ac:dyDescent="0.2">
      <c r="A531" t="s">
        <v>67</v>
      </c>
      <c r="B531" t="s">
        <v>13</v>
      </c>
      <c r="D531" t="s">
        <v>11</v>
      </c>
      <c r="F531" t="s">
        <v>60</v>
      </c>
    </row>
    <row r="532" spans="1:6" x14ac:dyDescent="0.2">
      <c r="A532" t="s">
        <v>67</v>
      </c>
      <c r="B532" t="s">
        <v>25</v>
      </c>
      <c r="D532" t="s">
        <v>29</v>
      </c>
      <c r="F532" t="s">
        <v>60</v>
      </c>
    </row>
    <row r="533" spans="1:6" x14ac:dyDescent="0.2">
      <c r="A533" t="s">
        <v>67</v>
      </c>
      <c r="B533" t="s">
        <v>40</v>
      </c>
      <c r="D533" t="s">
        <v>35</v>
      </c>
      <c r="F533" t="s">
        <v>60</v>
      </c>
    </row>
    <row r="534" spans="1:6" x14ac:dyDescent="0.2">
      <c r="A534" t="s">
        <v>67</v>
      </c>
      <c r="B534" t="s">
        <v>24</v>
      </c>
      <c r="D534" t="s">
        <v>20</v>
      </c>
      <c r="F534" t="s">
        <v>60</v>
      </c>
    </row>
    <row r="535" spans="1:6" x14ac:dyDescent="0.2">
      <c r="A535" t="s">
        <v>68</v>
      </c>
      <c r="B535" t="s">
        <v>17</v>
      </c>
      <c r="D535" t="s">
        <v>21</v>
      </c>
      <c r="F535" t="s">
        <v>60</v>
      </c>
    </row>
    <row r="536" spans="1:6" x14ac:dyDescent="0.2">
      <c r="A536" t="s">
        <v>68</v>
      </c>
      <c r="B536" t="s">
        <v>27</v>
      </c>
      <c r="D536" t="s">
        <v>23</v>
      </c>
      <c r="F536" t="s">
        <v>60</v>
      </c>
    </row>
    <row r="537" spans="1:6" x14ac:dyDescent="0.2">
      <c r="A537" t="s">
        <v>68</v>
      </c>
      <c r="B537" t="s">
        <v>34</v>
      </c>
      <c r="D537" t="s">
        <v>28</v>
      </c>
      <c r="F537" t="s">
        <v>60</v>
      </c>
    </row>
    <row r="538" spans="1:6" x14ac:dyDescent="0.2">
      <c r="A538" t="s">
        <v>68</v>
      </c>
      <c r="B538" t="s">
        <v>32</v>
      </c>
      <c r="D538" t="s">
        <v>16</v>
      </c>
      <c r="F538" t="s">
        <v>60</v>
      </c>
    </row>
    <row r="539" spans="1:6" x14ac:dyDescent="0.2">
      <c r="A539" t="s">
        <v>68</v>
      </c>
      <c r="B539" t="s">
        <v>10</v>
      </c>
      <c r="D539" t="s">
        <v>18</v>
      </c>
      <c r="F539" t="s">
        <v>60</v>
      </c>
    </row>
    <row r="540" spans="1:6" x14ac:dyDescent="0.2">
      <c r="A540" t="s">
        <v>68</v>
      </c>
      <c r="B540" t="s">
        <v>14</v>
      </c>
      <c r="D540" t="s">
        <v>36</v>
      </c>
      <c r="F540" t="s">
        <v>60</v>
      </c>
    </row>
    <row r="541" spans="1:6" x14ac:dyDescent="0.2">
      <c r="A541" t="s">
        <v>68</v>
      </c>
      <c r="B541" t="s">
        <v>39</v>
      </c>
      <c r="D541" t="s">
        <v>33</v>
      </c>
      <c r="F541" t="s">
        <v>60</v>
      </c>
    </row>
    <row r="542" spans="1:6" x14ac:dyDescent="0.2">
      <c r="A542" t="s">
        <v>68</v>
      </c>
      <c r="B542" t="s">
        <v>15</v>
      </c>
      <c r="D542" t="s">
        <v>35</v>
      </c>
      <c r="F542" t="s">
        <v>60</v>
      </c>
    </row>
    <row r="543" spans="1:6" x14ac:dyDescent="0.2">
      <c r="A543" t="s">
        <v>68</v>
      </c>
      <c r="B543" t="s">
        <v>13</v>
      </c>
      <c r="D543" t="s">
        <v>37</v>
      </c>
      <c r="F543" t="s">
        <v>60</v>
      </c>
    </row>
    <row r="544" spans="1:6" x14ac:dyDescent="0.2">
      <c r="A544" t="s">
        <v>68</v>
      </c>
      <c r="B544" t="s">
        <v>19</v>
      </c>
      <c r="D544" t="s">
        <v>22</v>
      </c>
      <c r="F544" t="s">
        <v>60</v>
      </c>
    </row>
    <row r="545" spans="1:6" x14ac:dyDescent="0.2">
      <c r="A545" t="s">
        <v>69</v>
      </c>
      <c r="B545" t="s">
        <v>39</v>
      </c>
      <c r="D545" t="s">
        <v>31</v>
      </c>
      <c r="F545" t="s">
        <v>60</v>
      </c>
    </row>
    <row r="546" spans="1:6" x14ac:dyDescent="0.2">
      <c r="A546" t="s">
        <v>69</v>
      </c>
      <c r="B546" t="s">
        <v>40</v>
      </c>
      <c r="D546" t="s">
        <v>12</v>
      </c>
      <c r="F546" t="s">
        <v>60</v>
      </c>
    </row>
    <row r="547" spans="1:6" x14ac:dyDescent="0.2">
      <c r="A547" t="s">
        <v>69</v>
      </c>
      <c r="B547" t="s">
        <v>25</v>
      </c>
      <c r="D547" t="s">
        <v>11</v>
      </c>
      <c r="F547" t="s">
        <v>60</v>
      </c>
    </row>
    <row r="548" spans="1:6" x14ac:dyDescent="0.2">
      <c r="A548" t="s">
        <v>69</v>
      </c>
      <c r="B548" t="s">
        <v>38</v>
      </c>
      <c r="D548" t="s">
        <v>30</v>
      </c>
      <c r="F548" t="s">
        <v>60</v>
      </c>
    </row>
    <row r="549" spans="1:6" x14ac:dyDescent="0.2">
      <c r="A549" t="s">
        <v>69</v>
      </c>
      <c r="B549" t="s">
        <v>24</v>
      </c>
      <c r="D549" t="s">
        <v>55</v>
      </c>
      <c r="F549" t="s">
        <v>60</v>
      </c>
    </row>
    <row r="550" spans="1:6" x14ac:dyDescent="0.2">
      <c r="A550" t="s">
        <v>70</v>
      </c>
      <c r="B550" t="s">
        <v>28</v>
      </c>
      <c r="D550" t="s">
        <v>31</v>
      </c>
      <c r="F550" t="s">
        <v>60</v>
      </c>
    </row>
    <row r="551" spans="1:6" x14ac:dyDescent="0.2">
      <c r="A551" t="s">
        <v>70</v>
      </c>
      <c r="B551" t="s">
        <v>38</v>
      </c>
      <c r="D551" t="s">
        <v>21</v>
      </c>
      <c r="F551" t="s">
        <v>60</v>
      </c>
    </row>
    <row r="552" spans="1:6" x14ac:dyDescent="0.2">
      <c r="A552" t="s">
        <v>70</v>
      </c>
      <c r="B552" t="s">
        <v>30</v>
      </c>
      <c r="D552" t="s">
        <v>23</v>
      </c>
      <c r="F552" t="s">
        <v>60</v>
      </c>
    </row>
    <row r="553" spans="1:6" x14ac:dyDescent="0.2">
      <c r="A553" t="s">
        <v>70</v>
      </c>
      <c r="B553" t="s">
        <v>20</v>
      </c>
      <c r="D553" t="s">
        <v>16</v>
      </c>
      <c r="F553" t="s">
        <v>60</v>
      </c>
    </row>
    <row r="554" spans="1:6" x14ac:dyDescent="0.2">
      <c r="A554" t="s">
        <v>70</v>
      </c>
      <c r="B554" t="s">
        <v>35</v>
      </c>
      <c r="D554" t="s">
        <v>11</v>
      </c>
      <c r="F554" t="s">
        <v>60</v>
      </c>
    </row>
    <row r="555" spans="1:6" x14ac:dyDescent="0.2">
      <c r="A555" t="s">
        <v>70</v>
      </c>
      <c r="B555" t="s">
        <v>17</v>
      </c>
      <c r="D555" t="s">
        <v>34</v>
      </c>
      <c r="F555" t="s">
        <v>60</v>
      </c>
    </row>
    <row r="556" spans="1:6" x14ac:dyDescent="0.2">
      <c r="A556" t="s">
        <v>70</v>
      </c>
      <c r="B556" t="s">
        <v>14</v>
      </c>
      <c r="D556" t="s">
        <v>18</v>
      </c>
      <c r="F556" t="s">
        <v>60</v>
      </c>
    </row>
    <row r="557" spans="1:6" x14ac:dyDescent="0.2">
      <c r="A557" t="s">
        <v>70</v>
      </c>
      <c r="B557" t="s">
        <v>19</v>
      </c>
      <c r="D557" t="s">
        <v>29</v>
      </c>
      <c r="F557" t="s">
        <v>60</v>
      </c>
    </row>
    <row r="558" spans="1:6" x14ac:dyDescent="0.2">
      <c r="A558" t="s">
        <v>70</v>
      </c>
      <c r="B558" t="s">
        <v>27</v>
      </c>
      <c r="D558" t="s">
        <v>15</v>
      </c>
      <c r="F558" t="s">
        <v>60</v>
      </c>
    </row>
    <row r="559" spans="1:6" x14ac:dyDescent="0.2">
      <c r="A559" t="s">
        <v>70</v>
      </c>
      <c r="B559" t="s">
        <v>10</v>
      </c>
      <c r="D559" t="s">
        <v>36</v>
      </c>
      <c r="F559" t="s">
        <v>60</v>
      </c>
    </row>
    <row r="560" spans="1:6" x14ac:dyDescent="0.2">
      <c r="A560" t="s">
        <v>70</v>
      </c>
      <c r="B560" t="s">
        <v>32</v>
      </c>
      <c r="D560" t="s">
        <v>33</v>
      </c>
      <c r="F560" t="s">
        <v>60</v>
      </c>
    </row>
    <row r="561" spans="1:6" x14ac:dyDescent="0.2">
      <c r="A561" t="s">
        <v>70</v>
      </c>
      <c r="B561" t="s">
        <v>25</v>
      </c>
      <c r="D561" t="s">
        <v>37</v>
      </c>
      <c r="F561" t="s">
        <v>60</v>
      </c>
    </row>
    <row r="562" spans="1:6" x14ac:dyDescent="0.2">
      <c r="A562" t="s">
        <v>70</v>
      </c>
      <c r="B562" t="s">
        <v>26</v>
      </c>
      <c r="D562" t="s">
        <v>22</v>
      </c>
      <c r="F562" t="s">
        <v>60</v>
      </c>
    </row>
    <row r="563" spans="1:6" x14ac:dyDescent="0.2">
      <c r="A563" t="s">
        <v>71</v>
      </c>
      <c r="B563" t="s">
        <v>36</v>
      </c>
      <c r="D563" t="s">
        <v>21</v>
      </c>
      <c r="F563" t="s">
        <v>60</v>
      </c>
    </row>
    <row r="564" spans="1:6" x14ac:dyDescent="0.2">
      <c r="A564" t="s">
        <v>71</v>
      </c>
      <c r="B564" t="s">
        <v>19</v>
      </c>
      <c r="D564" t="s">
        <v>39</v>
      </c>
      <c r="F564" t="s">
        <v>60</v>
      </c>
    </row>
    <row r="565" spans="1:6" x14ac:dyDescent="0.2">
      <c r="A565" t="s">
        <v>71</v>
      </c>
      <c r="B565" t="s">
        <v>22</v>
      </c>
      <c r="D565" t="s">
        <v>26</v>
      </c>
      <c r="F565" t="s">
        <v>60</v>
      </c>
    </row>
    <row r="566" spans="1:6" x14ac:dyDescent="0.2">
      <c r="A566" t="s">
        <v>71</v>
      </c>
      <c r="B566" t="s">
        <v>20</v>
      </c>
      <c r="D566" t="s">
        <v>17</v>
      </c>
      <c r="F566" t="s">
        <v>60</v>
      </c>
    </row>
    <row r="567" spans="1:6" x14ac:dyDescent="0.2">
      <c r="A567" t="s">
        <v>71</v>
      </c>
      <c r="B567" t="s">
        <v>12</v>
      </c>
      <c r="D567" t="s">
        <v>34</v>
      </c>
      <c r="F567" t="s">
        <v>60</v>
      </c>
    </row>
    <row r="568" spans="1:6" x14ac:dyDescent="0.2">
      <c r="A568" t="s">
        <v>71</v>
      </c>
      <c r="B568" t="s">
        <v>23</v>
      </c>
      <c r="D568" t="s">
        <v>24</v>
      </c>
      <c r="F568" t="s">
        <v>60</v>
      </c>
    </row>
    <row r="569" spans="1:6" x14ac:dyDescent="0.2">
      <c r="A569" t="s">
        <v>71</v>
      </c>
      <c r="B569" t="s">
        <v>15</v>
      </c>
      <c r="D569" t="s">
        <v>29</v>
      </c>
      <c r="F569" t="s">
        <v>60</v>
      </c>
    </row>
    <row r="570" spans="1:6" x14ac:dyDescent="0.2">
      <c r="A570" t="s">
        <v>71</v>
      </c>
      <c r="B570" t="s">
        <v>18</v>
      </c>
      <c r="D570" t="s">
        <v>14</v>
      </c>
      <c r="F570" t="s">
        <v>60</v>
      </c>
    </row>
    <row r="571" spans="1:6" x14ac:dyDescent="0.2">
      <c r="A571" t="s">
        <v>71</v>
      </c>
      <c r="B571" t="s">
        <v>40</v>
      </c>
      <c r="D571" t="s">
        <v>55</v>
      </c>
      <c r="F571" t="s">
        <v>60</v>
      </c>
    </row>
    <row r="572" spans="1:6" x14ac:dyDescent="0.2">
      <c r="A572" t="s">
        <v>72</v>
      </c>
      <c r="B572" t="s">
        <v>32</v>
      </c>
      <c r="D572" t="s">
        <v>31</v>
      </c>
      <c r="F572" t="s">
        <v>60</v>
      </c>
    </row>
    <row r="573" spans="1:6" x14ac:dyDescent="0.2">
      <c r="A573" t="s">
        <v>72</v>
      </c>
      <c r="B573" t="s">
        <v>28</v>
      </c>
      <c r="D573" t="s">
        <v>13</v>
      </c>
      <c r="F573" t="s">
        <v>60</v>
      </c>
    </row>
    <row r="574" spans="1:6" x14ac:dyDescent="0.2">
      <c r="A574" t="s">
        <v>72</v>
      </c>
      <c r="B574" t="s">
        <v>38</v>
      </c>
      <c r="D574" t="s">
        <v>27</v>
      </c>
      <c r="F574" t="s">
        <v>60</v>
      </c>
    </row>
    <row r="575" spans="1:6" x14ac:dyDescent="0.2">
      <c r="A575" t="s">
        <v>72</v>
      </c>
      <c r="B575" t="s">
        <v>35</v>
      </c>
      <c r="D575" t="s">
        <v>37</v>
      </c>
      <c r="F575" t="s">
        <v>60</v>
      </c>
    </row>
    <row r="576" spans="1:6" x14ac:dyDescent="0.2">
      <c r="A576" t="s">
        <v>73</v>
      </c>
      <c r="B576" t="s">
        <v>18</v>
      </c>
      <c r="D576" t="s">
        <v>21</v>
      </c>
      <c r="F576" t="s">
        <v>60</v>
      </c>
    </row>
    <row r="577" spans="1:6" x14ac:dyDescent="0.2">
      <c r="A577" t="s">
        <v>73</v>
      </c>
      <c r="B577" t="s">
        <v>11</v>
      </c>
      <c r="D577" t="s">
        <v>25</v>
      </c>
      <c r="F577" t="s">
        <v>60</v>
      </c>
    </row>
    <row r="578" spans="1:6" x14ac:dyDescent="0.2">
      <c r="A578" t="s">
        <v>73</v>
      </c>
      <c r="B578" t="s">
        <v>27</v>
      </c>
      <c r="D578" t="s">
        <v>10</v>
      </c>
      <c r="F578" t="s">
        <v>60</v>
      </c>
    </row>
    <row r="579" spans="1:6" x14ac:dyDescent="0.2">
      <c r="A579" t="s">
        <v>73</v>
      </c>
      <c r="B579" t="s">
        <v>55</v>
      </c>
      <c r="D579" t="s">
        <v>12</v>
      </c>
      <c r="F579" t="s">
        <v>60</v>
      </c>
    </row>
    <row r="580" spans="1:6" x14ac:dyDescent="0.2">
      <c r="A580" t="s">
        <v>73</v>
      </c>
      <c r="B580" t="s">
        <v>39</v>
      </c>
      <c r="D580" t="s">
        <v>26</v>
      </c>
      <c r="F580" t="s">
        <v>60</v>
      </c>
    </row>
    <row r="581" spans="1:6" x14ac:dyDescent="0.2">
      <c r="A581" t="s">
        <v>73</v>
      </c>
      <c r="B581" t="s">
        <v>16</v>
      </c>
      <c r="D581" t="s">
        <v>17</v>
      </c>
      <c r="F581" t="s">
        <v>60</v>
      </c>
    </row>
    <row r="582" spans="1:6" x14ac:dyDescent="0.2">
      <c r="A582" t="s">
        <v>73</v>
      </c>
      <c r="B582" t="s">
        <v>32</v>
      </c>
      <c r="D582" t="s">
        <v>13</v>
      </c>
      <c r="F582" t="s">
        <v>60</v>
      </c>
    </row>
    <row r="583" spans="1:6" x14ac:dyDescent="0.2">
      <c r="A583" t="s">
        <v>73</v>
      </c>
      <c r="B583" t="s">
        <v>29</v>
      </c>
      <c r="D583" t="s">
        <v>34</v>
      </c>
      <c r="F583" t="s">
        <v>60</v>
      </c>
    </row>
    <row r="584" spans="1:6" x14ac:dyDescent="0.2">
      <c r="A584" t="s">
        <v>73</v>
      </c>
      <c r="B584" t="s">
        <v>24</v>
      </c>
      <c r="D584" t="s">
        <v>30</v>
      </c>
      <c r="F584" t="s">
        <v>60</v>
      </c>
    </row>
    <row r="585" spans="1:6" x14ac:dyDescent="0.2">
      <c r="A585" t="s">
        <v>73</v>
      </c>
      <c r="B585" t="s">
        <v>23</v>
      </c>
      <c r="D585" t="s">
        <v>36</v>
      </c>
      <c r="F585" t="s">
        <v>60</v>
      </c>
    </row>
    <row r="586" spans="1:6" x14ac:dyDescent="0.2">
      <c r="A586" t="s">
        <v>73</v>
      </c>
      <c r="B586" t="s">
        <v>14</v>
      </c>
      <c r="D586" t="s">
        <v>19</v>
      </c>
      <c r="F586" t="s">
        <v>60</v>
      </c>
    </row>
    <row r="587" spans="1:6" x14ac:dyDescent="0.2">
      <c r="A587" t="s">
        <v>73</v>
      </c>
      <c r="B587" t="s">
        <v>33</v>
      </c>
      <c r="D587" t="s">
        <v>20</v>
      </c>
      <c r="F587" t="s">
        <v>60</v>
      </c>
    </row>
    <row r="588" spans="1:6" x14ac:dyDescent="0.2">
      <c r="A588" t="s">
        <v>73</v>
      </c>
      <c r="B588" t="s">
        <v>15</v>
      </c>
      <c r="D588" t="s">
        <v>22</v>
      </c>
      <c r="F588" t="s">
        <v>60</v>
      </c>
    </row>
    <row r="589" spans="1:6" x14ac:dyDescent="0.2">
      <c r="A589" t="s">
        <v>74</v>
      </c>
      <c r="B589" t="s">
        <v>21</v>
      </c>
      <c r="D589" t="s">
        <v>23</v>
      </c>
      <c r="F589" t="s">
        <v>60</v>
      </c>
    </row>
    <row r="590" spans="1:6" x14ac:dyDescent="0.2">
      <c r="A590" t="s">
        <v>74</v>
      </c>
      <c r="B590" t="s">
        <v>26</v>
      </c>
      <c r="D590" t="s">
        <v>25</v>
      </c>
      <c r="F590" t="s">
        <v>60</v>
      </c>
    </row>
    <row r="591" spans="1:6" x14ac:dyDescent="0.2">
      <c r="A591" t="s">
        <v>74</v>
      </c>
      <c r="B591" t="s">
        <v>17</v>
      </c>
      <c r="D591" t="s">
        <v>16</v>
      </c>
      <c r="F591" t="s">
        <v>60</v>
      </c>
    </row>
    <row r="592" spans="1:6" x14ac:dyDescent="0.2">
      <c r="A592" t="s">
        <v>74</v>
      </c>
      <c r="B592" t="s">
        <v>10</v>
      </c>
      <c r="D592" t="s">
        <v>39</v>
      </c>
      <c r="F592" t="s">
        <v>60</v>
      </c>
    </row>
    <row r="593" spans="1:6" x14ac:dyDescent="0.2">
      <c r="A593" t="s">
        <v>74</v>
      </c>
      <c r="B593" t="s">
        <v>37</v>
      </c>
      <c r="D593" t="s">
        <v>11</v>
      </c>
      <c r="F593" t="s">
        <v>60</v>
      </c>
    </row>
    <row r="594" spans="1:6" x14ac:dyDescent="0.2">
      <c r="A594" t="s">
        <v>74</v>
      </c>
      <c r="B594" t="s">
        <v>31</v>
      </c>
      <c r="D594" t="s">
        <v>13</v>
      </c>
      <c r="F594" t="s">
        <v>60</v>
      </c>
    </row>
    <row r="595" spans="1:6" x14ac:dyDescent="0.2">
      <c r="A595" t="s">
        <v>74</v>
      </c>
      <c r="B595" t="s">
        <v>22</v>
      </c>
      <c r="D595" t="s">
        <v>24</v>
      </c>
      <c r="F595" t="s">
        <v>60</v>
      </c>
    </row>
    <row r="596" spans="1:6" x14ac:dyDescent="0.2">
      <c r="A596" t="s">
        <v>74</v>
      </c>
      <c r="B596" t="s">
        <v>15</v>
      </c>
      <c r="D596" t="s">
        <v>30</v>
      </c>
      <c r="F596" t="s">
        <v>60</v>
      </c>
    </row>
    <row r="597" spans="1:6" x14ac:dyDescent="0.2">
      <c r="A597" t="s">
        <v>74</v>
      </c>
      <c r="B597" t="s">
        <v>29</v>
      </c>
      <c r="D597" t="s">
        <v>35</v>
      </c>
      <c r="F597" t="s">
        <v>60</v>
      </c>
    </row>
    <row r="598" spans="1:6" x14ac:dyDescent="0.2">
      <c r="A598" t="s">
        <v>74</v>
      </c>
      <c r="B598" t="s">
        <v>36</v>
      </c>
      <c r="D598" t="s">
        <v>19</v>
      </c>
      <c r="F598" t="s">
        <v>60</v>
      </c>
    </row>
    <row r="599" spans="1:6" x14ac:dyDescent="0.2">
      <c r="A599" t="s">
        <v>74</v>
      </c>
      <c r="B599" t="s">
        <v>33</v>
      </c>
      <c r="D599" t="s">
        <v>38</v>
      </c>
      <c r="F599" t="s">
        <v>60</v>
      </c>
    </row>
    <row r="600" spans="1:6" x14ac:dyDescent="0.2">
      <c r="A600" t="s">
        <v>74</v>
      </c>
      <c r="B600" t="s">
        <v>12</v>
      </c>
      <c r="D600" t="s">
        <v>20</v>
      </c>
      <c r="F600" t="s">
        <v>60</v>
      </c>
    </row>
    <row r="601" spans="1:6" x14ac:dyDescent="0.2">
      <c r="A601" t="s">
        <v>74</v>
      </c>
      <c r="B601" t="s">
        <v>34</v>
      </c>
      <c r="D601" t="s">
        <v>40</v>
      </c>
      <c r="F601" t="s">
        <v>60</v>
      </c>
    </row>
    <row r="602" spans="1:6" x14ac:dyDescent="0.2">
      <c r="A602" t="s">
        <v>75</v>
      </c>
      <c r="B602" t="s">
        <v>30</v>
      </c>
      <c r="D602" t="s">
        <v>28</v>
      </c>
      <c r="F602" t="s">
        <v>60</v>
      </c>
    </row>
    <row r="603" spans="1:6" x14ac:dyDescent="0.2">
      <c r="A603" t="s">
        <v>75</v>
      </c>
      <c r="B603" t="s">
        <v>14</v>
      </c>
      <c r="D603" t="s">
        <v>10</v>
      </c>
      <c r="F603" t="s">
        <v>60</v>
      </c>
    </row>
    <row r="604" spans="1:6" x14ac:dyDescent="0.2">
      <c r="A604" t="s">
        <v>75</v>
      </c>
      <c r="B604" t="s">
        <v>19</v>
      </c>
      <c r="D604" t="s">
        <v>26</v>
      </c>
      <c r="F604" t="s">
        <v>60</v>
      </c>
    </row>
    <row r="605" spans="1:6" x14ac:dyDescent="0.2">
      <c r="A605" t="s">
        <v>75</v>
      </c>
      <c r="B605" t="s">
        <v>27</v>
      </c>
      <c r="D605" t="s">
        <v>32</v>
      </c>
      <c r="F605" t="s">
        <v>60</v>
      </c>
    </row>
    <row r="606" spans="1:6" x14ac:dyDescent="0.2">
      <c r="A606" t="s">
        <v>75</v>
      </c>
      <c r="B606" t="s">
        <v>18</v>
      </c>
      <c r="D606" t="s">
        <v>37</v>
      </c>
      <c r="F606" t="s">
        <v>60</v>
      </c>
    </row>
    <row r="607" spans="1:6" x14ac:dyDescent="0.2">
      <c r="A607" t="s">
        <v>76</v>
      </c>
      <c r="B607" t="s">
        <v>33</v>
      </c>
      <c r="D607" t="s">
        <v>31</v>
      </c>
      <c r="F607" t="s">
        <v>60</v>
      </c>
    </row>
    <row r="608" spans="1:6" x14ac:dyDescent="0.2">
      <c r="A608" t="s">
        <v>76</v>
      </c>
      <c r="B608" t="s">
        <v>15</v>
      </c>
      <c r="D608" t="s">
        <v>25</v>
      </c>
      <c r="F608" t="s">
        <v>60</v>
      </c>
    </row>
    <row r="609" spans="1:6" x14ac:dyDescent="0.2">
      <c r="A609" t="s">
        <v>76</v>
      </c>
      <c r="B609" t="s">
        <v>21</v>
      </c>
      <c r="D609" t="s">
        <v>16</v>
      </c>
      <c r="F609" t="s">
        <v>60</v>
      </c>
    </row>
    <row r="610" spans="1:6" x14ac:dyDescent="0.2">
      <c r="A610" t="s">
        <v>76</v>
      </c>
      <c r="B610" t="s">
        <v>13</v>
      </c>
      <c r="D610" t="s">
        <v>12</v>
      </c>
      <c r="F610" t="s">
        <v>60</v>
      </c>
    </row>
    <row r="611" spans="1:6" x14ac:dyDescent="0.2">
      <c r="A611" t="s">
        <v>76</v>
      </c>
      <c r="B611" t="s">
        <v>22</v>
      </c>
      <c r="D611" t="s">
        <v>11</v>
      </c>
      <c r="F611" t="s">
        <v>60</v>
      </c>
    </row>
    <row r="612" spans="1:6" x14ac:dyDescent="0.2">
      <c r="A612" t="s">
        <v>76</v>
      </c>
      <c r="B612" t="s">
        <v>28</v>
      </c>
      <c r="D612" t="s">
        <v>36</v>
      </c>
      <c r="F612" t="s">
        <v>60</v>
      </c>
    </row>
    <row r="613" spans="1:6" x14ac:dyDescent="0.2">
      <c r="A613" t="s">
        <v>76</v>
      </c>
      <c r="B613" t="s">
        <v>38</v>
      </c>
      <c r="D613" t="s">
        <v>32</v>
      </c>
      <c r="F613" t="s">
        <v>60</v>
      </c>
    </row>
    <row r="614" spans="1:6" x14ac:dyDescent="0.2">
      <c r="A614" t="s">
        <v>76</v>
      </c>
      <c r="B614" t="s">
        <v>23</v>
      </c>
      <c r="D614" t="s">
        <v>35</v>
      </c>
      <c r="F614" t="s">
        <v>60</v>
      </c>
    </row>
    <row r="615" spans="1:6" x14ac:dyDescent="0.2">
      <c r="A615" t="s">
        <v>76</v>
      </c>
      <c r="B615" t="s">
        <v>29</v>
      </c>
      <c r="D615" t="s">
        <v>55</v>
      </c>
      <c r="F615" t="s">
        <v>60</v>
      </c>
    </row>
    <row r="616" spans="1:6" x14ac:dyDescent="0.2">
      <c r="A616" t="s">
        <v>76</v>
      </c>
      <c r="B616" t="s">
        <v>34</v>
      </c>
      <c r="D616" t="s">
        <v>20</v>
      </c>
      <c r="F616" t="s">
        <v>60</v>
      </c>
    </row>
    <row r="617" spans="1:6" x14ac:dyDescent="0.2">
      <c r="A617" t="s">
        <v>76</v>
      </c>
      <c r="B617" t="s">
        <v>17</v>
      </c>
      <c r="D617" t="s">
        <v>40</v>
      </c>
      <c r="F617" t="s">
        <v>60</v>
      </c>
    </row>
    <row r="618" spans="1:6" x14ac:dyDescent="0.2">
      <c r="A618" t="s">
        <v>77</v>
      </c>
      <c r="B618" t="s">
        <v>30</v>
      </c>
      <c r="D618" t="s">
        <v>10</v>
      </c>
      <c r="F618" t="s">
        <v>60</v>
      </c>
    </row>
    <row r="619" spans="1:6" x14ac:dyDescent="0.2">
      <c r="A619" t="s">
        <v>77</v>
      </c>
      <c r="B619" t="s">
        <v>18</v>
      </c>
      <c r="D619" t="s">
        <v>11</v>
      </c>
      <c r="F619" t="s">
        <v>60</v>
      </c>
    </row>
    <row r="620" spans="1:6" x14ac:dyDescent="0.2">
      <c r="A620" t="s">
        <v>77</v>
      </c>
      <c r="B620" t="s">
        <v>25</v>
      </c>
      <c r="D620" t="s">
        <v>14</v>
      </c>
      <c r="F620" t="s">
        <v>60</v>
      </c>
    </row>
    <row r="621" spans="1:6" x14ac:dyDescent="0.2">
      <c r="A621" t="s">
        <v>77</v>
      </c>
      <c r="B621" t="s">
        <v>24</v>
      </c>
      <c r="D621" t="s">
        <v>19</v>
      </c>
      <c r="F621" t="s">
        <v>60</v>
      </c>
    </row>
    <row r="622" spans="1:6" x14ac:dyDescent="0.2">
      <c r="A622" t="s">
        <v>77</v>
      </c>
      <c r="B622" t="s">
        <v>27</v>
      </c>
      <c r="D622" t="s">
        <v>38</v>
      </c>
      <c r="F622" t="s">
        <v>60</v>
      </c>
    </row>
    <row r="623" spans="1:6" x14ac:dyDescent="0.2">
      <c r="A623" t="s">
        <v>78</v>
      </c>
      <c r="B623" t="s">
        <v>37</v>
      </c>
      <c r="D623" t="s">
        <v>31</v>
      </c>
      <c r="F623" t="s">
        <v>60</v>
      </c>
    </row>
    <row r="624" spans="1:6" x14ac:dyDescent="0.2">
      <c r="A624" t="s">
        <v>78</v>
      </c>
      <c r="B624" t="s">
        <v>24</v>
      </c>
      <c r="D624" t="s">
        <v>28</v>
      </c>
      <c r="F624" t="s">
        <v>60</v>
      </c>
    </row>
    <row r="625" spans="1:6" x14ac:dyDescent="0.2">
      <c r="A625" t="s">
        <v>78</v>
      </c>
      <c r="B625" t="s">
        <v>27</v>
      </c>
      <c r="D625" t="s">
        <v>16</v>
      </c>
      <c r="F625" t="s">
        <v>60</v>
      </c>
    </row>
    <row r="626" spans="1:6" x14ac:dyDescent="0.2">
      <c r="A626" t="s">
        <v>78</v>
      </c>
      <c r="B626" t="s">
        <v>35</v>
      </c>
      <c r="D626" t="s">
        <v>12</v>
      </c>
      <c r="F626" t="s">
        <v>60</v>
      </c>
    </row>
    <row r="627" spans="1:6" x14ac:dyDescent="0.2">
      <c r="A627" t="s">
        <v>78</v>
      </c>
      <c r="B627" t="s">
        <v>23</v>
      </c>
      <c r="D627" t="s">
        <v>39</v>
      </c>
      <c r="F627" t="s">
        <v>60</v>
      </c>
    </row>
    <row r="628" spans="1:6" x14ac:dyDescent="0.2">
      <c r="A628" t="s">
        <v>78</v>
      </c>
      <c r="B628" t="s">
        <v>40</v>
      </c>
      <c r="D628" t="s">
        <v>26</v>
      </c>
      <c r="F628" t="s">
        <v>60</v>
      </c>
    </row>
    <row r="629" spans="1:6" x14ac:dyDescent="0.2">
      <c r="A629" t="s">
        <v>78</v>
      </c>
      <c r="B629" t="s">
        <v>21</v>
      </c>
      <c r="D629" t="s">
        <v>17</v>
      </c>
      <c r="F629" t="s">
        <v>60</v>
      </c>
    </row>
    <row r="630" spans="1:6" x14ac:dyDescent="0.2">
      <c r="A630" t="s">
        <v>78</v>
      </c>
      <c r="B630" t="s">
        <v>34</v>
      </c>
      <c r="D630" t="s">
        <v>33</v>
      </c>
      <c r="F630" t="s">
        <v>60</v>
      </c>
    </row>
    <row r="631" spans="1:6" x14ac:dyDescent="0.2">
      <c r="A631" t="s">
        <v>78</v>
      </c>
      <c r="B631" t="s">
        <v>29</v>
      </c>
      <c r="D631" t="s">
        <v>20</v>
      </c>
      <c r="F631" t="s">
        <v>60</v>
      </c>
    </row>
    <row r="632" spans="1:6" x14ac:dyDescent="0.2">
      <c r="A632" t="s">
        <v>78</v>
      </c>
      <c r="B632" t="s">
        <v>15</v>
      </c>
      <c r="D632" t="s">
        <v>22</v>
      </c>
      <c r="F632" t="s">
        <v>60</v>
      </c>
    </row>
    <row r="633" spans="1:6" x14ac:dyDescent="0.2">
      <c r="A633" t="s">
        <v>79</v>
      </c>
      <c r="B633" t="s">
        <v>18</v>
      </c>
      <c r="D633" t="s">
        <v>25</v>
      </c>
      <c r="F633" t="s">
        <v>60</v>
      </c>
    </row>
    <row r="634" spans="1:6" x14ac:dyDescent="0.2">
      <c r="A634" t="s">
        <v>79</v>
      </c>
      <c r="B634" t="s">
        <v>39</v>
      </c>
      <c r="D634" t="s">
        <v>10</v>
      </c>
      <c r="F634" t="s">
        <v>60</v>
      </c>
    </row>
    <row r="635" spans="1:6" x14ac:dyDescent="0.2">
      <c r="A635" t="s">
        <v>79</v>
      </c>
      <c r="B635" t="s">
        <v>37</v>
      </c>
      <c r="D635" t="s">
        <v>13</v>
      </c>
      <c r="F635" t="s">
        <v>60</v>
      </c>
    </row>
    <row r="636" spans="1:6" x14ac:dyDescent="0.2">
      <c r="A636" t="s">
        <v>79</v>
      </c>
      <c r="B636" t="s">
        <v>55</v>
      </c>
      <c r="D636" t="s">
        <v>30</v>
      </c>
      <c r="F636" t="s">
        <v>60</v>
      </c>
    </row>
    <row r="637" spans="1:6" x14ac:dyDescent="0.2">
      <c r="A637" t="s">
        <v>79</v>
      </c>
      <c r="B637" t="s">
        <v>22</v>
      </c>
      <c r="D637" t="s">
        <v>36</v>
      </c>
      <c r="F637" t="s">
        <v>60</v>
      </c>
    </row>
    <row r="638" spans="1:6" x14ac:dyDescent="0.2">
      <c r="A638" t="s">
        <v>79</v>
      </c>
      <c r="B638" t="s">
        <v>26</v>
      </c>
      <c r="D638" t="s">
        <v>14</v>
      </c>
      <c r="F638" t="s">
        <v>60</v>
      </c>
    </row>
    <row r="639" spans="1:6" x14ac:dyDescent="0.2">
      <c r="A639" t="s">
        <v>79</v>
      </c>
      <c r="B639" t="s">
        <v>29</v>
      </c>
      <c r="D639" t="s">
        <v>32</v>
      </c>
      <c r="F639" t="s">
        <v>60</v>
      </c>
    </row>
    <row r="640" spans="1:6" x14ac:dyDescent="0.2">
      <c r="A640" t="s">
        <v>79</v>
      </c>
      <c r="B640" t="s">
        <v>40</v>
      </c>
      <c r="D640" t="s">
        <v>19</v>
      </c>
      <c r="F640" t="s">
        <v>60</v>
      </c>
    </row>
    <row r="641" spans="1:6" x14ac:dyDescent="0.2">
      <c r="A641" t="s">
        <v>80</v>
      </c>
      <c r="B641" t="s">
        <v>34</v>
      </c>
      <c r="D641" t="s">
        <v>31</v>
      </c>
      <c r="F641" t="s">
        <v>60</v>
      </c>
    </row>
    <row r="642" spans="1:6" x14ac:dyDescent="0.2">
      <c r="A642" t="s">
        <v>80</v>
      </c>
      <c r="B642" t="s">
        <v>15</v>
      </c>
      <c r="D642" t="s">
        <v>11</v>
      </c>
      <c r="F642" t="s">
        <v>60</v>
      </c>
    </row>
    <row r="643" spans="1:6" x14ac:dyDescent="0.2">
      <c r="A643" t="s">
        <v>80</v>
      </c>
      <c r="B643" t="s">
        <v>20</v>
      </c>
      <c r="D643" t="s">
        <v>35</v>
      </c>
      <c r="F643" t="s">
        <v>60</v>
      </c>
    </row>
    <row r="644" spans="1:6" x14ac:dyDescent="0.2">
      <c r="A644" t="s">
        <v>80</v>
      </c>
      <c r="B644" t="s">
        <v>32</v>
      </c>
      <c r="D644" t="s">
        <v>38</v>
      </c>
      <c r="F644" t="s">
        <v>60</v>
      </c>
    </row>
    <row r="645" spans="1:6" x14ac:dyDescent="0.2">
      <c r="A645" t="s">
        <v>81</v>
      </c>
      <c r="B645" t="s">
        <v>12</v>
      </c>
      <c r="D645" t="s">
        <v>25</v>
      </c>
      <c r="F645" t="s">
        <v>60</v>
      </c>
    </row>
    <row r="646" spans="1:6" x14ac:dyDescent="0.2">
      <c r="A646" t="s">
        <v>81</v>
      </c>
      <c r="B646" t="s">
        <v>23</v>
      </c>
      <c r="D646" t="s">
        <v>28</v>
      </c>
      <c r="F646" t="s">
        <v>60</v>
      </c>
    </row>
    <row r="647" spans="1:6" x14ac:dyDescent="0.2">
      <c r="A647" t="s">
        <v>81</v>
      </c>
      <c r="B647" t="s">
        <v>29</v>
      </c>
      <c r="D647" t="s">
        <v>16</v>
      </c>
      <c r="F647" t="s">
        <v>60</v>
      </c>
    </row>
    <row r="648" spans="1:6" x14ac:dyDescent="0.2">
      <c r="A648" t="s">
        <v>81</v>
      </c>
      <c r="B648" t="s">
        <v>14</v>
      </c>
      <c r="D648" t="s">
        <v>26</v>
      </c>
      <c r="F648" t="s">
        <v>60</v>
      </c>
    </row>
    <row r="649" spans="1:6" x14ac:dyDescent="0.2">
      <c r="A649" t="s">
        <v>81</v>
      </c>
      <c r="B649" t="s">
        <v>27</v>
      </c>
      <c r="D649" t="s">
        <v>17</v>
      </c>
      <c r="F649" t="s">
        <v>60</v>
      </c>
    </row>
    <row r="650" spans="1:6" x14ac:dyDescent="0.2">
      <c r="A650" t="s">
        <v>81</v>
      </c>
      <c r="B650" t="s">
        <v>34</v>
      </c>
      <c r="D650" t="s">
        <v>13</v>
      </c>
      <c r="F650" t="s">
        <v>60</v>
      </c>
    </row>
    <row r="651" spans="1:6" x14ac:dyDescent="0.2">
      <c r="A651" t="s">
        <v>81</v>
      </c>
      <c r="B651" t="s">
        <v>55</v>
      </c>
      <c r="D651" t="s">
        <v>24</v>
      </c>
      <c r="F651" t="s">
        <v>60</v>
      </c>
    </row>
    <row r="652" spans="1:6" x14ac:dyDescent="0.2">
      <c r="A652" t="s">
        <v>81</v>
      </c>
      <c r="B652" t="s">
        <v>19</v>
      </c>
      <c r="D652" t="s">
        <v>30</v>
      </c>
      <c r="F652" t="s">
        <v>60</v>
      </c>
    </row>
    <row r="653" spans="1:6" x14ac:dyDescent="0.2">
      <c r="A653" t="s">
        <v>81</v>
      </c>
      <c r="B653" t="s">
        <v>40</v>
      </c>
      <c r="D653" t="s">
        <v>36</v>
      </c>
      <c r="F653" t="s">
        <v>60</v>
      </c>
    </row>
    <row r="654" spans="1:6" x14ac:dyDescent="0.2">
      <c r="A654" t="s">
        <v>81</v>
      </c>
      <c r="B654" t="s">
        <v>37</v>
      </c>
      <c r="D654" t="s">
        <v>33</v>
      </c>
      <c r="F654" t="s">
        <v>60</v>
      </c>
    </row>
    <row r="655" spans="1:6" x14ac:dyDescent="0.2">
      <c r="A655" t="s">
        <v>81</v>
      </c>
      <c r="B655" t="s">
        <v>18</v>
      </c>
      <c r="D655" t="s">
        <v>35</v>
      </c>
      <c r="F655" t="s">
        <v>60</v>
      </c>
    </row>
    <row r="656" spans="1:6" x14ac:dyDescent="0.2">
      <c r="A656" t="s">
        <v>81</v>
      </c>
      <c r="B656" t="s">
        <v>21</v>
      </c>
      <c r="D656" t="s">
        <v>38</v>
      </c>
      <c r="F656" t="s">
        <v>60</v>
      </c>
    </row>
    <row r="657" spans="1:6" x14ac:dyDescent="0.2">
      <c r="A657" t="s">
        <v>81</v>
      </c>
      <c r="B657" t="s">
        <v>10</v>
      </c>
      <c r="D657" t="s">
        <v>22</v>
      </c>
      <c r="F657" t="s">
        <v>60</v>
      </c>
    </row>
    <row r="658" spans="1:6" x14ac:dyDescent="0.2">
      <c r="A658" t="s">
        <v>82</v>
      </c>
      <c r="B658" t="s">
        <v>14</v>
      </c>
      <c r="D658" t="s">
        <v>28</v>
      </c>
      <c r="F658" t="s">
        <v>60</v>
      </c>
    </row>
    <row r="659" spans="1:6" x14ac:dyDescent="0.2">
      <c r="A659" t="s">
        <v>82</v>
      </c>
      <c r="B659" t="s">
        <v>20</v>
      </c>
      <c r="D659" t="s">
        <v>10</v>
      </c>
      <c r="F659" t="s">
        <v>60</v>
      </c>
    </row>
    <row r="660" spans="1:6" x14ac:dyDescent="0.2">
      <c r="A660" t="s">
        <v>82</v>
      </c>
      <c r="B660" t="s">
        <v>18</v>
      </c>
      <c r="D660" t="s">
        <v>39</v>
      </c>
      <c r="F660" t="s">
        <v>60</v>
      </c>
    </row>
    <row r="661" spans="1:6" x14ac:dyDescent="0.2">
      <c r="A661" t="s">
        <v>82</v>
      </c>
      <c r="B661" t="s">
        <v>12</v>
      </c>
      <c r="D661" t="s">
        <v>11</v>
      </c>
      <c r="F661" t="s">
        <v>60</v>
      </c>
    </row>
    <row r="662" spans="1:6" x14ac:dyDescent="0.2">
      <c r="A662" t="s">
        <v>82</v>
      </c>
      <c r="B662" t="s">
        <v>25</v>
      </c>
      <c r="D662" t="s">
        <v>24</v>
      </c>
      <c r="F662" t="s">
        <v>60</v>
      </c>
    </row>
    <row r="663" spans="1:6" x14ac:dyDescent="0.2">
      <c r="A663" t="s">
        <v>83</v>
      </c>
      <c r="B663" t="s">
        <v>32</v>
      </c>
      <c r="D663" t="s">
        <v>16</v>
      </c>
      <c r="F663" t="s">
        <v>60</v>
      </c>
    </row>
    <row r="664" spans="1:6" x14ac:dyDescent="0.2">
      <c r="A664" t="s">
        <v>83</v>
      </c>
      <c r="B664" t="s">
        <v>34</v>
      </c>
      <c r="D664" t="s">
        <v>13</v>
      </c>
      <c r="F664" t="s">
        <v>60</v>
      </c>
    </row>
    <row r="665" spans="1:6" x14ac:dyDescent="0.2">
      <c r="A665" t="s">
        <v>83</v>
      </c>
      <c r="B665" t="s">
        <v>55</v>
      </c>
      <c r="D665" t="s">
        <v>15</v>
      </c>
      <c r="F665" t="s">
        <v>60</v>
      </c>
    </row>
    <row r="666" spans="1:6" x14ac:dyDescent="0.2">
      <c r="A666" t="s">
        <v>83</v>
      </c>
      <c r="B666" t="s">
        <v>26</v>
      </c>
      <c r="D666" t="s">
        <v>36</v>
      </c>
      <c r="F666" t="s">
        <v>60</v>
      </c>
    </row>
    <row r="667" spans="1:6" x14ac:dyDescent="0.2">
      <c r="A667" t="s">
        <v>83</v>
      </c>
      <c r="B667" t="s">
        <v>31</v>
      </c>
      <c r="D667" t="s">
        <v>22</v>
      </c>
      <c r="F667" t="s">
        <v>60</v>
      </c>
    </row>
    <row r="668" spans="1:6" x14ac:dyDescent="0.2">
      <c r="A668" t="s">
        <v>84</v>
      </c>
      <c r="B668" t="s">
        <v>38</v>
      </c>
      <c r="D668" t="s">
        <v>23</v>
      </c>
      <c r="F668" t="s">
        <v>60</v>
      </c>
    </row>
    <row r="669" spans="1:6" x14ac:dyDescent="0.2">
      <c r="A669" t="s">
        <v>84</v>
      </c>
      <c r="B669" t="s">
        <v>39</v>
      </c>
      <c r="D669" t="s">
        <v>25</v>
      </c>
      <c r="F669" t="s">
        <v>60</v>
      </c>
    </row>
    <row r="670" spans="1:6" x14ac:dyDescent="0.2">
      <c r="A670" t="s">
        <v>84</v>
      </c>
      <c r="B670" t="s">
        <v>29</v>
      </c>
      <c r="D670" t="s">
        <v>17</v>
      </c>
      <c r="F670" t="s">
        <v>60</v>
      </c>
    </row>
    <row r="671" spans="1:6" x14ac:dyDescent="0.2">
      <c r="A671" t="s">
        <v>84</v>
      </c>
      <c r="B671" t="s">
        <v>24</v>
      </c>
      <c r="D671" t="s">
        <v>30</v>
      </c>
      <c r="F671" t="s">
        <v>60</v>
      </c>
    </row>
    <row r="672" spans="1:6" x14ac:dyDescent="0.2">
      <c r="A672" t="s">
        <v>84</v>
      </c>
      <c r="B672" t="s">
        <v>31</v>
      </c>
      <c r="D672" t="s">
        <v>27</v>
      </c>
      <c r="F672" t="s">
        <v>60</v>
      </c>
    </row>
    <row r="673" spans="1:6" x14ac:dyDescent="0.2">
      <c r="A673" t="s">
        <v>84</v>
      </c>
      <c r="B673" t="s">
        <v>21</v>
      </c>
      <c r="D673" t="s">
        <v>32</v>
      </c>
      <c r="F673" t="s">
        <v>60</v>
      </c>
    </row>
    <row r="674" spans="1:6" x14ac:dyDescent="0.2">
      <c r="A674" t="s">
        <v>84</v>
      </c>
      <c r="B674" t="s">
        <v>28</v>
      </c>
      <c r="D674" t="s">
        <v>33</v>
      </c>
      <c r="F674" t="s">
        <v>60</v>
      </c>
    </row>
    <row r="675" spans="1:6" x14ac:dyDescent="0.2">
      <c r="A675" t="s">
        <v>84</v>
      </c>
      <c r="B675" t="s">
        <v>12</v>
      </c>
      <c r="D675" t="s">
        <v>37</v>
      </c>
      <c r="F675" t="s">
        <v>60</v>
      </c>
    </row>
    <row r="676" spans="1:6" x14ac:dyDescent="0.2">
      <c r="A676" t="s">
        <v>84</v>
      </c>
      <c r="B676" t="s">
        <v>11</v>
      </c>
      <c r="D676" t="s">
        <v>19</v>
      </c>
      <c r="F676" t="s">
        <v>60</v>
      </c>
    </row>
    <row r="677" spans="1:6" x14ac:dyDescent="0.2">
      <c r="A677" t="s">
        <v>84</v>
      </c>
      <c r="B677" t="s">
        <v>20</v>
      </c>
      <c r="D677" t="s">
        <v>40</v>
      </c>
      <c r="F677" t="s">
        <v>60</v>
      </c>
    </row>
    <row r="678" spans="1:6" x14ac:dyDescent="0.2">
      <c r="A678" t="s">
        <v>85</v>
      </c>
      <c r="B678" t="s">
        <v>35</v>
      </c>
      <c r="D678" t="s">
        <v>10</v>
      </c>
      <c r="F678" t="s">
        <v>60</v>
      </c>
    </row>
    <row r="679" spans="1:6" x14ac:dyDescent="0.2">
      <c r="A679" t="s">
        <v>85</v>
      </c>
      <c r="B679" t="s">
        <v>33</v>
      </c>
      <c r="D679" t="s">
        <v>13</v>
      </c>
      <c r="F679" t="s">
        <v>60</v>
      </c>
    </row>
    <row r="680" spans="1:6" x14ac:dyDescent="0.2">
      <c r="A680" t="s">
        <v>85</v>
      </c>
      <c r="B680" t="s">
        <v>16</v>
      </c>
      <c r="D680" t="s">
        <v>18</v>
      </c>
      <c r="F680" t="s">
        <v>60</v>
      </c>
    </row>
    <row r="681" spans="1:6" x14ac:dyDescent="0.2">
      <c r="A681" t="s">
        <v>85</v>
      </c>
      <c r="B681" t="s">
        <v>36</v>
      </c>
      <c r="D681" t="s">
        <v>55</v>
      </c>
      <c r="F681" t="s">
        <v>60</v>
      </c>
    </row>
    <row r="682" spans="1:6" x14ac:dyDescent="0.2">
      <c r="A682" t="s">
        <v>85</v>
      </c>
      <c r="B682" t="s">
        <v>39</v>
      </c>
      <c r="D682" t="s">
        <v>22</v>
      </c>
      <c r="F682" t="s">
        <v>60</v>
      </c>
    </row>
    <row r="683" spans="1:6" x14ac:dyDescent="0.2">
      <c r="A683" t="s">
        <v>86</v>
      </c>
      <c r="B683" t="s">
        <v>16</v>
      </c>
      <c r="D683" t="s">
        <v>21</v>
      </c>
      <c r="F683" t="s">
        <v>60</v>
      </c>
    </row>
    <row r="684" spans="1:6" x14ac:dyDescent="0.2">
      <c r="A684" t="s">
        <v>86</v>
      </c>
      <c r="B684" t="s">
        <v>31</v>
      </c>
      <c r="D684" t="s">
        <v>25</v>
      </c>
      <c r="F684" t="s">
        <v>60</v>
      </c>
    </row>
    <row r="685" spans="1:6" x14ac:dyDescent="0.2">
      <c r="A685" t="s">
        <v>86</v>
      </c>
      <c r="B685" t="s">
        <v>36</v>
      </c>
      <c r="D685" t="s">
        <v>12</v>
      </c>
      <c r="F685" t="s">
        <v>60</v>
      </c>
    </row>
    <row r="686" spans="1:6" x14ac:dyDescent="0.2">
      <c r="A686" t="s">
        <v>86</v>
      </c>
      <c r="B686" t="s">
        <v>38</v>
      </c>
      <c r="D686" t="s">
        <v>26</v>
      </c>
      <c r="F686" t="s">
        <v>60</v>
      </c>
    </row>
    <row r="687" spans="1:6" x14ac:dyDescent="0.2">
      <c r="A687" t="s">
        <v>86</v>
      </c>
      <c r="B687" t="s">
        <v>11</v>
      </c>
      <c r="D687" t="s">
        <v>18</v>
      </c>
      <c r="F687" t="s">
        <v>60</v>
      </c>
    </row>
    <row r="688" spans="1:6" x14ac:dyDescent="0.2">
      <c r="A688" t="s">
        <v>86</v>
      </c>
      <c r="B688" t="s">
        <v>30</v>
      </c>
      <c r="D688" t="s">
        <v>29</v>
      </c>
      <c r="F688" t="s">
        <v>60</v>
      </c>
    </row>
    <row r="689" spans="1:6" x14ac:dyDescent="0.2">
      <c r="A689" t="s">
        <v>86</v>
      </c>
      <c r="B689" t="s">
        <v>23</v>
      </c>
      <c r="D689" t="s">
        <v>15</v>
      </c>
      <c r="F689" t="s">
        <v>60</v>
      </c>
    </row>
    <row r="690" spans="1:6" x14ac:dyDescent="0.2">
      <c r="A690" t="s">
        <v>86</v>
      </c>
      <c r="B690" t="s">
        <v>19</v>
      </c>
      <c r="D690" t="s">
        <v>27</v>
      </c>
      <c r="F690" t="s">
        <v>60</v>
      </c>
    </row>
    <row r="691" spans="1:6" x14ac:dyDescent="0.2">
      <c r="A691" t="s">
        <v>86</v>
      </c>
      <c r="B691" t="s">
        <v>24</v>
      </c>
      <c r="D691" t="s">
        <v>14</v>
      </c>
      <c r="F691" t="s">
        <v>60</v>
      </c>
    </row>
    <row r="692" spans="1:6" x14ac:dyDescent="0.2">
      <c r="A692" t="s">
        <v>86</v>
      </c>
      <c r="B692" t="s">
        <v>34</v>
      </c>
      <c r="D692" t="s">
        <v>32</v>
      </c>
      <c r="F692" t="s">
        <v>60</v>
      </c>
    </row>
    <row r="693" spans="1:6" x14ac:dyDescent="0.2">
      <c r="A693" t="s">
        <v>86</v>
      </c>
      <c r="B693" t="s">
        <v>28</v>
      </c>
      <c r="D693" t="s">
        <v>20</v>
      </c>
      <c r="F693" t="s">
        <v>60</v>
      </c>
    </row>
    <row r="694" spans="1:6" x14ac:dyDescent="0.2">
      <c r="A694" t="s">
        <v>86</v>
      </c>
      <c r="B694" t="s">
        <v>17</v>
      </c>
      <c r="D694" t="s">
        <v>40</v>
      </c>
      <c r="F694" t="s">
        <v>60</v>
      </c>
    </row>
    <row r="695" spans="1:6" x14ac:dyDescent="0.2">
      <c r="A695" t="s">
        <v>87</v>
      </c>
      <c r="B695" t="s">
        <v>22</v>
      </c>
      <c r="D695" t="s">
        <v>10</v>
      </c>
      <c r="F695" t="s">
        <v>60</v>
      </c>
    </row>
    <row r="696" spans="1:6" x14ac:dyDescent="0.2">
      <c r="A696" t="s">
        <v>87</v>
      </c>
      <c r="B696" t="s">
        <v>35</v>
      </c>
      <c r="D696" t="s">
        <v>55</v>
      </c>
      <c r="F696" t="s">
        <v>60</v>
      </c>
    </row>
    <row r="697" spans="1:6" x14ac:dyDescent="0.2">
      <c r="A697" t="s">
        <v>87</v>
      </c>
      <c r="B697" t="s">
        <v>13</v>
      </c>
      <c r="D697" t="s">
        <v>40</v>
      </c>
      <c r="F697" t="s">
        <v>60</v>
      </c>
    </row>
    <row r="698" spans="1:6" x14ac:dyDescent="0.2">
      <c r="A698" t="s">
        <v>88</v>
      </c>
      <c r="B698" t="s">
        <v>15</v>
      </c>
      <c r="D698" t="s">
        <v>21</v>
      </c>
      <c r="F698" t="s">
        <v>60</v>
      </c>
    </row>
    <row r="699" spans="1:6" x14ac:dyDescent="0.2">
      <c r="A699" t="s">
        <v>88</v>
      </c>
      <c r="B699" t="s">
        <v>31</v>
      </c>
      <c r="D699" t="s">
        <v>23</v>
      </c>
      <c r="F699" t="s">
        <v>60</v>
      </c>
    </row>
    <row r="700" spans="1:6" x14ac:dyDescent="0.2">
      <c r="A700" t="s">
        <v>88</v>
      </c>
      <c r="B700" t="s">
        <v>32</v>
      </c>
      <c r="D700" t="s">
        <v>25</v>
      </c>
      <c r="F700" t="s">
        <v>60</v>
      </c>
    </row>
    <row r="701" spans="1:6" x14ac:dyDescent="0.2">
      <c r="A701" t="s">
        <v>88</v>
      </c>
      <c r="B701" t="s">
        <v>28</v>
      </c>
      <c r="D701" t="s">
        <v>12</v>
      </c>
      <c r="F701" t="s">
        <v>60</v>
      </c>
    </row>
    <row r="702" spans="1:6" x14ac:dyDescent="0.2">
      <c r="A702" t="s">
        <v>88</v>
      </c>
      <c r="B702" t="s">
        <v>13</v>
      </c>
      <c r="D702" t="s">
        <v>17</v>
      </c>
      <c r="F702" t="s">
        <v>60</v>
      </c>
    </row>
    <row r="703" spans="1:6" x14ac:dyDescent="0.2">
      <c r="A703" t="s">
        <v>88</v>
      </c>
      <c r="B703" t="s">
        <v>30</v>
      </c>
      <c r="D703" t="s">
        <v>34</v>
      </c>
      <c r="F703" t="s">
        <v>60</v>
      </c>
    </row>
    <row r="704" spans="1:6" x14ac:dyDescent="0.2">
      <c r="A704" t="s">
        <v>88</v>
      </c>
      <c r="B704" t="s">
        <v>26</v>
      </c>
      <c r="D704" t="s">
        <v>18</v>
      </c>
      <c r="F704" t="s">
        <v>60</v>
      </c>
    </row>
    <row r="705" spans="1:6" x14ac:dyDescent="0.2">
      <c r="A705" t="s">
        <v>88</v>
      </c>
      <c r="B705" t="s">
        <v>10</v>
      </c>
      <c r="D705" t="s">
        <v>29</v>
      </c>
      <c r="F705" t="s">
        <v>60</v>
      </c>
    </row>
    <row r="706" spans="1:6" x14ac:dyDescent="0.2">
      <c r="A706" t="s">
        <v>88</v>
      </c>
      <c r="B706" t="s">
        <v>11</v>
      </c>
      <c r="D706" t="s">
        <v>36</v>
      </c>
      <c r="F706" t="s">
        <v>60</v>
      </c>
    </row>
    <row r="707" spans="1:6" x14ac:dyDescent="0.2">
      <c r="A707" t="s">
        <v>88</v>
      </c>
      <c r="B707" t="s">
        <v>37</v>
      </c>
      <c r="D707" t="s">
        <v>27</v>
      </c>
      <c r="F707" t="s">
        <v>60</v>
      </c>
    </row>
    <row r="708" spans="1:6" x14ac:dyDescent="0.2">
      <c r="A708" t="s">
        <v>88</v>
      </c>
      <c r="B708" t="s">
        <v>16</v>
      </c>
      <c r="D708" t="s">
        <v>14</v>
      </c>
      <c r="F708" t="s">
        <v>60</v>
      </c>
    </row>
    <row r="709" spans="1:6" x14ac:dyDescent="0.2">
      <c r="A709" t="s">
        <v>88</v>
      </c>
      <c r="B709" t="s">
        <v>39</v>
      </c>
      <c r="D709" t="s">
        <v>33</v>
      </c>
      <c r="F709" t="s">
        <v>60</v>
      </c>
    </row>
    <row r="710" spans="1:6" x14ac:dyDescent="0.2">
      <c r="A710" t="s">
        <v>88</v>
      </c>
      <c r="B710" t="s">
        <v>38</v>
      </c>
      <c r="D710" t="s">
        <v>19</v>
      </c>
      <c r="F710" t="s">
        <v>60</v>
      </c>
    </row>
    <row r="711" spans="1:6" x14ac:dyDescent="0.2">
      <c r="A711" t="s">
        <v>88</v>
      </c>
      <c r="B711" t="s">
        <v>35</v>
      </c>
      <c r="D711" t="s">
        <v>20</v>
      </c>
      <c r="F711" t="s">
        <v>60</v>
      </c>
    </row>
    <row r="712" spans="1:6" x14ac:dyDescent="0.2">
      <c r="A712" t="s">
        <v>89</v>
      </c>
      <c r="B712" t="s">
        <v>14</v>
      </c>
      <c r="D712" t="s">
        <v>21</v>
      </c>
      <c r="F712" t="s">
        <v>60</v>
      </c>
    </row>
    <row r="713" spans="1:6" x14ac:dyDescent="0.2">
      <c r="A713" t="s">
        <v>89</v>
      </c>
      <c r="B713" t="s">
        <v>22</v>
      </c>
      <c r="D713" t="s">
        <v>29</v>
      </c>
      <c r="F713" t="s">
        <v>60</v>
      </c>
    </row>
    <row r="714" spans="1:6" x14ac:dyDescent="0.2">
      <c r="A714" t="s">
        <v>89</v>
      </c>
      <c r="B714" t="s">
        <v>20</v>
      </c>
      <c r="D714" t="s">
        <v>33</v>
      </c>
      <c r="F714" t="s">
        <v>60</v>
      </c>
    </row>
    <row r="715" spans="1:6" x14ac:dyDescent="0.2">
      <c r="A715" t="s">
        <v>89</v>
      </c>
      <c r="B715" t="s">
        <v>28</v>
      </c>
      <c r="D715" t="s">
        <v>55</v>
      </c>
      <c r="F715" t="s">
        <v>60</v>
      </c>
    </row>
    <row r="716" spans="1:6" x14ac:dyDescent="0.2">
      <c r="A716" t="s">
        <v>89</v>
      </c>
      <c r="B716" t="s">
        <v>24</v>
      </c>
      <c r="D716" t="s">
        <v>40</v>
      </c>
      <c r="F716" t="s">
        <v>60</v>
      </c>
    </row>
    <row r="717" spans="1:6" x14ac:dyDescent="0.2">
      <c r="A717" t="s">
        <v>90</v>
      </c>
      <c r="B717" t="s">
        <v>11</v>
      </c>
      <c r="D717" t="s">
        <v>23</v>
      </c>
      <c r="F717" t="s">
        <v>60</v>
      </c>
    </row>
    <row r="718" spans="1:6" x14ac:dyDescent="0.2">
      <c r="A718" t="s">
        <v>90</v>
      </c>
      <c r="B718" t="s">
        <v>17</v>
      </c>
      <c r="D718" t="s">
        <v>10</v>
      </c>
      <c r="F718" t="s">
        <v>60</v>
      </c>
    </row>
    <row r="719" spans="1:6" x14ac:dyDescent="0.2">
      <c r="A719" t="s">
        <v>90</v>
      </c>
      <c r="B719" t="s">
        <v>19</v>
      </c>
      <c r="D719" t="s">
        <v>12</v>
      </c>
      <c r="F719" t="s">
        <v>60</v>
      </c>
    </row>
    <row r="720" spans="1:6" x14ac:dyDescent="0.2">
      <c r="A720" t="s">
        <v>90</v>
      </c>
      <c r="B720" t="s">
        <v>25</v>
      </c>
      <c r="D720" t="s">
        <v>26</v>
      </c>
      <c r="F720" t="s">
        <v>60</v>
      </c>
    </row>
    <row r="721" spans="1:6" x14ac:dyDescent="0.2">
      <c r="A721" t="s">
        <v>90</v>
      </c>
      <c r="B721" t="s">
        <v>39</v>
      </c>
      <c r="D721" t="s">
        <v>13</v>
      </c>
      <c r="F721" t="s">
        <v>60</v>
      </c>
    </row>
    <row r="722" spans="1:6" x14ac:dyDescent="0.2">
      <c r="A722" t="s">
        <v>90</v>
      </c>
      <c r="B722" t="s">
        <v>24</v>
      </c>
      <c r="D722" t="s">
        <v>34</v>
      </c>
      <c r="F722" t="s">
        <v>60</v>
      </c>
    </row>
    <row r="723" spans="1:6" x14ac:dyDescent="0.2">
      <c r="A723" t="s">
        <v>90</v>
      </c>
      <c r="B723" t="s">
        <v>38</v>
      </c>
      <c r="D723" t="s">
        <v>18</v>
      </c>
      <c r="F723" t="s">
        <v>60</v>
      </c>
    </row>
    <row r="724" spans="1:6" x14ac:dyDescent="0.2">
      <c r="A724" t="s">
        <v>90</v>
      </c>
      <c r="B724" t="s">
        <v>32</v>
      </c>
      <c r="D724" t="s">
        <v>15</v>
      </c>
      <c r="F724" t="s">
        <v>60</v>
      </c>
    </row>
    <row r="725" spans="1:6" x14ac:dyDescent="0.2">
      <c r="A725" t="s">
        <v>90</v>
      </c>
      <c r="B725" t="s">
        <v>37</v>
      </c>
      <c r="D725" t="s">
        <v>27</v>
      </c>
      <c r="F725" t="s">
        <v>60</v>
      </c>
    </row>
    <row r="726" spans="1:6" x14ac:dyDescent="0.2">
      <c r="A726" t="s">
        <v>91</v>
      </c>
      <c r="B726" t="s">
        <v>39</v>
      </c>
      <c r="D726" t="s">
        <v>31</v>
      </c>
      <c r="F726" t="s">
        <v>60</v>
      </c>
    </row>
    <row r="727" spans="1:6" x14ac:dyDescent="0.2">
      <c r="A727" t="s">
        <v>91</v>
      </c>
      <c r="B727" t="s">
        <v>26</v>
      </c>
      <c r="D727" t="s">
        <v>21</v>
      </c>
      <c r="F727" t="s">
        <v>60</v>
      </c>
    </row>
    <row r="728" spans="1:6" x14ac:dyDescent="0.2">
      <c r="A728" t="s">
        <v>91</v>
      </c>
      <c r="B728" t="s">
        <v>16</v>
      </c>
      <c r="D728" t="s">
        <v>28</v>
      </c>
      <c r="F728" t="s">
        <v>60</v>
      </c>
    </row>
    <row r="729" spans="1:6" x14ac:dyDescent="0.2">
      <c r="A729" t="s">
        <v>91</v>
      </c>
      <c r="B729" t="s">
        <v>17</v>
      </c>
      <c r="D729" t="s">
        <v>29</v>
      </c>
      <c r="F729" t="s">
        <v>60</v>
      </c>
    </row>
    <row r="730" spans="1:6" x14ac:dyDescent="0.2">
      <c r="A730" t="s">
        <v>91</v>
      </c>
      <c r="B730" t="s">
        <v>38</v>
      </c>
      <c r="D730" t="s">
        <v>36</v>
      </c>
      <c r="F730" t="s">
        <v>60</v>
      </c>
    </row>
    <row r="731" spans="1:6" x14ac:dyDescent="0.2">
      <c r="A731" t="s">
        <v>91</v>
      </c>
      <c r="B731" t="s">
        <v>37</v>
      </c>
      <c r="D731" t="s">
        <v>14</v>
      </c>
      <c r="F731" t="s">
        <v>60</v>
      </c>
    </row>
    <row r="732" spans="1:6" x14ac:dyDescent="0.2">
      <c r="A732" t="s">
        <v>91</v>
      </c>
      <c r="B732" t="s">
        <v>25</v>
      </c>
      <c r="D732" t="s">
        <v>35</v>
      </c>
      <c r="F732" t="s">
        <v>60</v>
      </c>
    </row>
    <row r="733" spans="1:6" x14ac:dyDescent="0.2">
      <c r="A733" t="s">
        <v>91</v>
      </c>
      <c r="B733" t="s">
        <v>19</v>
      </c>
      <c r="D733" t="s">
        <v>55</v>
      </c>
      <c r="F733" t="s">
        <v>60</v>
      </c>
    </row>
    <row r="734" spans="1:6" x14ac:dyDescent="0.2">
      <c r="A734" t="s">
        <v>91</v>
      </c>
      <c r="B734" t="s">
        <v>30</v>
      </c>
      <c r="D734" t="s">
        <v>40</v>
      </c>
      <c r="F734" t="s">
        <v>60</v>
      </c>
    </row>
    <row r="735" spans="1:6" x14ac:dyDescent="0.2">
      <c r="A735" t="s">
        <v>91</v>
      </c>
      <c r="B735" t="s">
        <v>18</v>
      </c>
      <c r="D735" t="s">
        <v>22</v>
      </c>
      <c r="F735" t="s">
        <v>60</v>
      </c>
    </row>
    <row r="736" spans="1:6" x14ac:dyDescent="0.2">
      <c r="A736" t="s">
        <v>92</v>
      </c>
      <c r="B736" t="s">
        <v>27</v>
      </c>
      <c r="D736" t="s">
        <v>23</v>
      </c>
      <c r="F736" t="s">
        <v>60</v>
      </c>
    </row>
    <row r="737" spans="1:6" x14ac:dyDescent="0.2">
      <c r="A737" t="s">
        <v>92</v>
      </c>
      <c r="B737" t="s">
        <v>20</v>
      </c>
      <c r="D737" t="s">
        <v>13</v>
      </c>
      <c r="F737" t="s">
        <v>60</v>
      </c>
    </row>
    <row r="738" spans="1:6" x14ac:dyDescent="0.2">
      <c r="A738" t="s">
        <v>92</v>
      </c>
      <c r="B738" t="s">
        <v>32</v>
      </c>
      <c r="D738" t="s">
        <v>24</v>
      </c>
      <c r="F738" t="s">
        <v>60</v>
      </c>
    </row>
    <row r="739" spans="1:6" x14ac:dyDescent="0.2">
      <c r="A739" t="s">
        <v>92</v>
      </c>
      <c r="B739" t="s">
        <v>36</v>
      </c>
      <c r="D739" t="s">
        <v>15</v>
      </c>
      <c r="F739" t="s">
        <v>60</v>
      </c>
    </row>
    <row r="740" spans="1:6" x14ac:dyDescent="0.2">
      <c r="A740" t="s">
        <v>93</v>
      </c>
      <c r="B740" t="s">
        <v>32</v>
      </c>
      <c r="D740" t="s">
        <v>21</v>
      </c>
      <c r="F740" t="s">
        <v>60</v>
      </c>
    </row>
    <row r="741" spans="1:6" x14ac:dyDescent="0.2">
      <c r="A741" t="s">
        <v>93</v>
      </c>
      <c r="B741" t="s">
        <v>18</v>
      </c>
      <c r="D741" t="s">
        <v>23</v>
      </c>
      <c r="F741" t="s">
        <v>60</v>
      </c>
    </row>
    <row r="742" spans="1:6" x14ac:dyDescent="0.2">
      <c r="A742" t="s">
        <v>93</v>
      </c>
      <c r="B742" t="s">
        <v>38</v>
      </c>
      <c r="D742" t="s">
        <v>28</v>
      </c>
      <c r="F742" t="s">
        <v>60</v>
      </c>
    </row>
    <row r="743" spans="1:6" x14ac:dyDescent="0.2">
      <c r="A743" t="s">
        <v>93</v>
      </c>
      <c r="B743" t="s">
        <v>16</v>
      </c>
      <c r="D743" t="s">
        <v>10</v>
      </c>
      <c r="F743" t="s">
        <v>60</v>
      </c>
    </row>
    <row r="744" spans="1:6" x14ac:dyDescent="0.2">
      <c r="A744" t="s">
        <v>93</v>
      </c>
      <c r="B744" t="s">
        <v>30</v>
      </c>
      <c r="D744" t="s">
        <v>17</v>
      </c>
      <c r="F744" t="s">
        <v>60</v>
      </c>
    </row>
    <row r="745" spans="1:6" x14ac:dyDescent="0.2">
      <c r="A745" t="s">
        <v>93</v>
      </c>
      <c r="B745" t="s">
        <v>40</v>
      </c>
      <c r="D745" t="s">
        <v>34</v>
      </c>
      <c r="F745" t="s">
        <v>60</v>
      </c>
    </row>
    <row r="746" spans="1:6" x14ac:dyDescent="0.2">
      <c r="A746" t="s">
        <v>93</v>
      </c>
      <c r="B746" t="s">
        <v>27</v>
      </c>
      <c r="D746" t="s">
        <v>14</v>
      </c>
      <c r="F746" t="s">
        <v>60</v>
      </c>
    </row>
    <row r="747" spans="1:6" x14ac:dyDescent="0.2">
      <c r="A747" t="s">
        <v>93</v>
      </c>
      <c r="B747" t="s">
        <v>39</v>
      </c>
      <c r="D747" t="s">
        <v>55</v>
      </c>
      <c r="F747" t="s">
        <v>60</v>
      </c>
    </row>
    <row r="748" spans="1:6" x14ac:dyDescent="0.2">
      <c r="A748" t="s">
        <v>93</v>
      </c>
      <c r="B748" t="s">
        <v>19</v>
      </c>
      <c r="D748" t="s">
        <v>20</v>
      </c>
      <c r="F748" t="s">
        <v>60</v>
      </c>
    </row>
    <row r="749" spans="1:6" x14ac:dyDescent="0.2">
      <c r="A749" t="s">
        <v>93</v>
      </c>
      <c r="B749" t="s">
        <v>33</v>
      </c>
      <c r="D749" t="s">
        <v>22</v>
      </c>
      <c r="F749" t="s">
        <v>60</v>
      </c>
    </row>
    <row r="750" spans="1:6" x14ac:dyDescent="0.2">
      <c r="A750" t="s">
        <v>94</v>
      </c>
      <c r="B750" t="s">
        <v>11</v>
      </c>
      <c r="D750" t="s">
        <v>25</v>
      </c>
      <c r="F750" t="s">
        <v>60</v>
      </c>
    </row>
    <row r="751" spans="1:6" x14ac:dyDescent="0.2">
      <c r="A751" t="s">
        <v>94</v>
      </c>
      <c r="B751" t="s">
        <v>29</v>
      </c>
      <c r="D751" t="s">
        <v>12</v>
      </c>
      <c r="F751" t="s">
        <v>60</v>
      </c>
    </row>
    <row r="752" spans="1:6" x14ac:dyDescent="0.2">
      <c r="A752" t="s">
        <v>94</v>
      </c>
      <c r="B752" t="s">
        <v>33</v>
      </c>
      <c r="D752" t="s">
        <v>26</v>
      </c>
      <c r="F752" t="s">
        <v>60</v>
      </c>
    </row>
    <row r="753" spans="1:6" x14ac:dyDescent="0.2">
      <c r="A753" t="s">
        <v>94</v>
      </c>
      <c r="B753" t="s">
        <v>31</v>
      </c>
      <c r="D753" t="s">
        <v>13</v>
      </c>
      <c r="F753" t="s">
        <v>60</v>
      </c>
    </row>
    <row r="754" spans="1:6" x14ac:dyDescent="0.2">
      <c r="A754" t="s">
        <v>94</v>
      </c>
      <c r="B754" t="s">
        <v>37</v>
      </c>
      <c r="D754" t="s">
        <v>35</v>
      </c>
      <c r="F754" t="s">
        <v>60</v>
      </c>
    </row>
    <row r="755" spans="1:6" x14ac:dyDescent="0.2">
      <c r="A755" t="s">
        <v>95</v>
      </c>
      <c r="B755" t="s">
        <v>13</v>
      </c>
      <c r="D755" t="s">
        <v>31</v>
      </c>
      <c r="F755" t="s">
        <v>60</v>
      </c>
    </row>
    <row r="756" spans="1:6" x14ac:dyDescent="0.2">
      <c r="A756" t="s">
        <v>95</v>
      </c>
      <c r="B756" t="s">
        <v>34</v>
      </c>
      <c r="D756" t="s">
        <v>23</v>
      </c>
      <c r="F756" t="s">
        <v>60</v>
      </c>
    </row>
    <row r="757" spans="1:6" x14ac:dyDescent="0.2">
      <c r="A757" t="s">
        <v>95</v>
      </c>
      <c r="B757" t="s">
        <v>30</v>
      </c>
      <c r="D757" t="s">
        <v>16</v>
      </c>
      <c r="F757" t="s">
        <v>60</v>
      </c>
    </row>
    <row r="758" spans="1:6" x14ac:dyDescent="0.2">
      <c r="A758" t="s">
        <v>95</v>
      </c>
      <c r="B758" t="s">
        <v>21</v>
      </c>
      <c r="D758" t="s">
        <v>10</v>
      </c>
      <c r="F758" t="s">
        <v>60</v>
      </c>
    </row>
    <row r="759" spans="1:6" x14ac:dyDescent="0.2">
      <c r="A759" t="s">
        <v>95</v>
      </c>
      <c r="B759" t="s">
        <v>25</v>
      </c>
      <c r="D759" t="s">
        <v>24</v>
      </c>
      <c r="F759" t="s">
        <v>60</v>
      </c>
    </row>
    <row r="760" spans="1:6" x14ac:dyDescent="0.2">
      <c r="A760" t="s">
        <v>95</v>
      </c>
      <c r="B760" t="s">
        <v>18</v>
      </c>
      <c r="D760" t="s">
        <v>36</v>
      </c>
      <c r="F760" t="s">
        <v>60</v>
      </c>
    </row>
    <row r="761" spans="1:6" x14ac:dyDescent="0.2">
      <c r="A761" t="s">
        <v>95</v>
      </c>
      <c r="B761" t="s">
        <v>15</v>
      </c>
      <c r="D761" t="s">
        <v>27</v>
      </c>
      <c r="F761" t="s">
        <v>60</v>
      </c>
    </row>
    <row r="762" spans="1:6" x14ac:dyDescent="0.2">
      <c r="A762" t="s">
        <v>95</v>
      </c>
      <c r="B762" t="s">
        <v>28</v>
      </c>
      <c r="D762" t="s">
        <v>14</v>
      </c>
      <c r="F762" t="s">
        <v>60</v>
      </c>
    </row>
    <row r="763" spans="1:6" x14ac:dyDescent="0.2">
      <c r="A763" t="s">
        <v>95</v>
      </c>
      <c r="B763" t="s">
        <v>32</v>
      </c>
      <c r="D763" t="s">
        <v>55</v>
      </c>
      <c r="F763" t="s">
        <v>60</v>
      </c>
    </row>
    <row r="764" spans="1:6" x14ac:dyDescent="0.2">
      <c r="A764" t="s">
        <v>95</v>
      </c>
      <c r="B764" t="s">
        <v>17</v>
      </c>
      <c r="D764" t="s">
        <v>38</v>
      </c>
      <c r="F764" t="s">
        <v>60</v>
      </c>
    </row>
    <row r="765" spans="1:6" x14ac:dyDescent="0.2">
      <c r="A765" t="s">
        <v>95</v>
      </c>
      <c r="B765" t="s">
        <v>29</v>
      </c>
      <c r="D765" t="s">
        <v>20</v>
      </c>
      <c r="F765" t="s">
        <v>60</v>
      </c>
    </row>
    <row r="766" spans="1:6" x14ac:dyDescent="0.2">
      <c r="A766" t="s">
        <v>95</v>
      </c>
      <c r="B766" t="s">
        <v>19</v>
      </c>
      <c r="D766" t="s">
        <v>40</v>
      </c>
      <c r="F766" t="s">
        <v>60</v>
      </c>
    </row>
    <row r="767" spans="1:6" x14ac:dyDescent="0.2">
      <c r="A767" t="s">
        <v>95</v>
      </c>
      <c r="B767" t="s">
        <v>11</v>
      </c>
      <c r="D767" t="s">
        <v>22</v>
      </c>
      <c r="F767" t="s">
        <v>60</v>
      </c>
    </row>
    <row r="768" spans="1:6" x14ac:dyDescent="0.2">
      <c r="A768" t="s">
        <v>96</v>
      </c>
      <c r="B768" t="s">
        <v>37</v>
      </c>
      <c r="D768" t="s">
        <v>39</v>
      </c>
      <c r="F768" t="s">
        <v>60</v>
      </c>
    </row>
    <row r="769" spans="1:6" x14ac:dyDescent="0.2">
      <c r="A769" t="s">
        <v>96</v>
      </c>
      <c r="B769" t="s">
        <v>36</v>
      </c>
      <c r="D769" t="s">
        <v>26</v>
      </c>
      <c r="F769" t="s">
        <v>60</v>
      </c>
    </row>
    <row r="770" spans="1:6" x14ac:dyDescent="0.2">
      <c r="A770" t="s">
        <v>96</v>
      </c>
      <c r="B770" t="s">
        <v>35</v>
      </c>
      <c r="D770" t="s">
        <v>17</v>
      </c>
      <c r="F770" t="s">
        <v>60</v>
      </c>
    </row>
    <row r="771" spans="1:6" x14ac:dyDescent="0.2">
      <c r="A771" t="s">
        <v>97</v>
      </c>
      <c r="B771" t="s">
        <v>15</v>
      </c>
      <c r="D771" t="s">
        <v>31</v>
      </c>
      <c r="F771" t="s">
        <v>60</v>
      </c>
    </row>
    <row r="772" spans="1:6" x14ac:dyDescent="0.2">
      <c r="A772" t="s">
        <v>97</v>
      </c>
      <c r="B772" t="s">
        <v>23</v>
      </c>
      <c r="D772" t="s">
        <v>25</v>
      </c>
      <c r="F772" t="s">
        <v>60</v>
      </c>
    </row>
    <row r="773" spans="1:6" x14ac:dyDescent="0.2">
      <c r="A773" t="s">
        <v>97</v>
      </c>
      <c r="B773" t="s">
        <v>24</v>
      </c>
      <c r="D773" t="s">
        <v>16</v>
      </c>
      <c r="F773" t="s">
        <v>60</v>
      </c>
    </row>
    <row r="774" spans="1:6" x14ac:dyDescent="0.2">
      <c r="A774" t="s">
        <v>97</v>
      </c>
      <c r="B774" t="s">
        <v>40</v>
      </c>
      <c r="D774" t="s">
        <v>10</v>
      </c>
      <c r="F774" t="s">
        <v>60</v>
      </c>
    </row>
    <row r="775" spans="1:6" x14ac:dyDescent="0.2">
      <c r="A775" t="s">
        <v>97</v>
      </c>
      <c r="B775" t="s">
        <v>22</v>
      </c>
      <c r="D775" t="s">
        <v>12</v>
      </c>
      <c r="F775" t="s">
        <v>60</v>
      </c>
    </row>
    <row r="776" spans="1:6" x14ac:dyDescent="0.2">
      <c r="A776" t="s">
        <v>97</v>
      </c>
      <c r="B776" t="s">
        <v>33</v>
      </c>
      <c r="D776" t="s">
        <v>11</v>
      </c>
      <c r="F776" t="s">
        <v>60</v>
      </c>
    </row>
    <row r="777" spans="1:6" x14ac:dyDescent="0.2">
      <c r="A777" t="s">
        <v>97</v>
      </c>
      <c r="B777" t="s">
        <v>14</v>
      </c>
      <c r="D777" t="s">
        <v>32</v>
      </c>
      <c r="F777" t="s">
        <v>60</v>
      </c>
    </row>
    <row r="778" spans="1:6" x14ac:dyDescent="0.2">
      <c r="A778" t="s">
        <v>97</v>
      </c>
      <c r="B778" t="s">
        <v>34</v>
      </c>
      <c r="D778" t="s">
        <v>19</v>
      </c>
      <c r="F778" t="s">
        <v>60</v>
      </c>
    </row>
    <row r="779" spans="1:6" x14ac:dyDescent="0.2">
      <c r="A779" t="s">
        <v>97</v>
      </c>
      <c r="B779" t="s">
        <v>30</v>
      </c>
      <c r="D779" t="s">
        <v>38</v>
      </c>
      <c r="F779" t="s">
        <v>60</v>
      </c>
    </row>
    <row r="780" spans="1:6" x14ac:dyDescent="0.2">
      <c r="A780" t="s">
        <v>97</v>
      </c>
      <c r="B780" t="s">
        <v>27</v>
      </c>
      <c r="D780" t="s">
        <v>20</v>
      </c>
      <c r="F780" t="s">
        <v>60</v>
      </c>
    </row>
    <row r="781" spans="1:6" x14ac:dyDescent="0.2">
      <c r="A781" t="s">
        <v>98</v>
      </c>
      <c r="B781" t="s">
        <v>36</v>
      </c>
      <c r="D781" t="s">
        <v>28</v>
      </c>
      <c r="F781" t="s">
        <v>60</v>
      </c>
    </row>
    <row r="782" spans="1:6" x14ac:dyDescent="0.2">
      <c r="A782" t="s">
        <v>98</v>
      </c>
      <c r="B782" t="s">
        <v>21</v>
      </c>
      <c r="D782" t="s">
        <v>39</v>
      </c>
      <c r="F782" t="s">
        <v>60</v>
      </c>
    </row>
    <row r="783" spans="1:6" x14ac:dyDescent="0.2">
      <c r="A783" t="s">
        <v>98</v>
      </c>
      <c r="B783" t="s">
        <v>24</v>
      </c>
      <c r="D783" t="s">
        <v>17</v>
      </c>
      <c r="F783" t="s">
        <v>60</v>
      </c>
    </row>
    <row r="784" spans="1:6" x14ac:dyDescent="0.2">
      <c r="A784" t="s">
        <v>98</v>
      </c>
      <c r="B784" t="s">
        <v>15</v>
      </c>
      <c r="D784" t="s">
        <v>13</v>
      </c>
      <c r="F784" t="s">
        <v>60</v>
      </c>
    </row>
    <row r="785" spans="1:6" x14ac:dyDescent="0.2">
      <c r="A785" t="s">
        <v>98</v>
      </c>
      <c r="B785" t="s">
        <v>34</v>
      </c>
      <c r="D785" t="s">
        <v>18</v>
      </c>
      <c r="F785" t="s">
        <v>60</v>
      </c>
    </row>
    <row r="786" spans="1:6" x14ac:dyDescent="0.2">
      <c r="A786" t="s">
        <v>98</v>
      </c>
      <c r="B786" t="s">
        <v>23</v>
      </c>
      <c r="D786" t="s">
        <v>29</v>
      </c>
      <c r="F786" t="s">
        <v>60</v>
      </c>
    </row>
    <row r="787" spans="1:6" x14ac:dyDescent="0.2">
      <c r="A787" t="s">
        <v>98</v>
      </c>
      <c r="B787" t="s">
        <v>33</v>
      </c>
      <c r="D787" t="s">
        <v>37</v>
      </c>
      <c r="F787" t="s">
        <v>60</v>
      </c>
    </row>
    <row r="788" spans="1:6" x14ac:dyDescent="0.2">
      <c r="A788" t="s">
        <v>98</v>
      </c>
      <c r="B788" t="s">
        <v>35</v>
      </c>
      <c r="D788" t="s">
        <v>40</v>
      </c>
      <c r="F788" t="s">
        <v>60</v>
      </c>
    </row>
    <row r="789" spans="1:6" x14ac:dyDescent="0.2">
      <c r="A789" t="s">
        <v>99</v>
      </c>
      <c r="B789" t="s">
        <v>14</v>
      </c>
      <c r="D789" t="s">
        <v>16</v>
      </c>
      <c r="F789" t="s">
        <v>60</v>
      </c>
    </row>
    <row r="790" spans="1:6" x14ac:dyDescent="0.2">
      <c r="A790" t="s">
        <v>99</v>
      </c>
      <c r="B790" t="s">
        <v>31</v>
      </c>
      <c r="D790" t="s">
        <v>12</v>
      </c>
      <c r="F790" t="s">
        <v>60</v>
      </c>
    </row>
    <row r="791" spans="1:6" x14ac:dyDescent="0.2">
      <c r="A791" t="s">
        <v>99</v>
      </c>
      <c r="B791" t="s">
        <v>30</v>
      </c>
      <c r="D791" t="s">
        <v>32</v>
      </c>
      <c r="F791" t="s">
        <v>60</v>
      </c>
    </row>
    <row r="792" spans="1:6" x14ac:dyDescent="0.2">
      <c r="A792" t="s">
        <v>99</v>
      </c>
      <c r="B792" t="s">
        <v>26</v>
      </c>
      <c r="D792" t="s">
        <v>19</v>
      </c>
      <c r="F792" t="s">
        <v>60</v>
      </c>
    </row>
    <row r="793" spans="1:6" x14ac:dyDescent="0.2">
      <c r="A793" t="s">
        <v>99</v>
      </c>
      <c r="B793" t="s">
        <v>27</v>
      </c>
      <c r="D793" t="s">
        <v>55</v>
      </c>
      <c r="F793" t="s">
        <v>60</v>
      </c>
    </row>
    <row r="794" spans="1:6" x14ac:dyDescent="0.2">
      <c r="A794" t="s">
        <v>99</v>
      </c>
      <c r="B794" t="s">
        <v>22</v>
      </c>
      <c r="D794" t="s">
        <v>38</v>
      </c>
      <c r="F794" t="s">
        <v>60</v>
      </c>
    </row>
    <row r="795" spans="1:6" x14ac:dyDescent="0.2">
      <c r="A795" t="s">
        <v>100</v>
      </c>
      <c r="B795" t="s">
        <v>20</v>
      </c>
      <c r="D795" t="s">
        <v>21</v>
      </c>
      <c r="F795" t="s">
        <v>60</v>
      </c>
    </row>
    <row r="796" spans="1:6" x14ac:dyDescent="0.2">
      <c r="A796" t="s">
        <v>100</v>
      </c>
      <c r="B796" t="s">
        <v>10</v>
      </c>
      <c r="D796" t="s">
        <v>25</v>
      </c>
      <c r="F796" t="s">
        <v>60</v>
      </c>
    </row>
    <row r="797" spans="1:6" x14ac:dyDescent="0.2">
      <c r="A797" t="s">
        <v>100</v>
      </c>
      <c r="B797" t="s">
        <v>39</v>
      </c>
      <c r="D797" t="s">
        <v>28</v>
      </c>
      <c r="F797" t="s">
        <v>60</v>
      </c>
    </row>
    <row r="798" spans="1:6" x14ac:dyDescent="0.2">
      <c r="A798" t="s">
        <v>100</v>
      </c>
      <c r="B798" t="s">
        <v>14</v>
      </c>
      <c r="D798" t="s">
        <v>17</v>
      </c>
      <c r="F798" t="s">
        <v>60</v>
      </c>
    </row>
    <row r="799" spans="1:6" x14ac:dyDescent="0.2">
      <c r="A799" t="s">
        <v>100</v>
      </c>
      <c r="B799" t="s">
        <v>26</v>
      </c>
      <c r="D799" t="s">
        <v>34</v>
      </c>
      <c r="F799" t="s">
        <v>60</v>
      </c>
    </row>
    <row r="800" spans="1:6" x14ac:dyDescent="0.2">
      <c r="A800" t="s">
        <v>100</v>
      </c>
      <c r="B800" t="s">
        <v>23</v>
      </c>
      <c r="D800" t="s">
        <v>18</v>
      </c>
      <c r="F800" t="s">
        <v>60</v>
      </c>
    </row>
    <row r="801" spans="1:6" x14ac:dyDescent="0.2">
      <c r="A801" t="s">
        <v>100</v>
      </c>
      <c r="B801" t="s">
        <v>36</v>
      </c>
      <c r="D801" t="s">
        <v>29</v>
      </c>
      <c r="F801" t="s">
        <v>60</v>
      </c>
    </row>
    <row r="802" spans="1:6" x14ac:dyDescent="0.2">
      <c r="A802" t="s">
        <v>100</v>
      </c>
      <c r="B802" t="s">
        <v>11</v>
      </c>
      <c r="D802" t="s">
        <v>40</v>
      </c>
      <c r="F802" t="s">
        <v>60</v>
      </c>
    </row>
    <row r="803" spans="1:6" x14ac:dyDescent="0.2">
      <c r="A803" t="s">
        <v>101</v>
      </c>
      <c r="B803" t="s">
        <v>22</v>
      </c>
      <c r="D803" t="s">
        <v>16</v>
      </c>
      <c r="F803" t="s">
        <v>60</v>
      </c>
    </row>
    <row r="804" spans="1:6" x14ac:dyDescent="0.2">
      <c r="A804" t="s">
        <v>101</v>
      </c>
      <c r="B804" t="s">
        <v>37</v>
      </c>
      <c r="D804" t="s">
        <v>10</v>
      </c>
      <c r="F804" t="s">
        <v>60</v>
      </c>
    </row>
    <row r="805" spans="1:6" x14ac:dyDescent="0.2">
      <c r="A805" t="s">
        <v>101</v>
      </c>
      <c r="B805" t="s">
        <v>27</v>
      </c>
      <c r="D805" t="s">
        <v>12</v>
      </c>
      <c r="F805" t="s">
        <v>60</v>
      </c>
    </row>
    <row r="806" spans="1:6" x14ac:dyDescent="0.2">
      <c r="A806" t="s">
        <v>101</v>
      </c>
      <c r="B806" t="s">
        <v>35</v>
      </c>
      <c r="D806" t="s">
        <v>39</v>
      </c>
      <c r="F806" t="s">
        <v>60</v>
      </c>
    </row>
    <row r="807" spans="1:6" x14ac:dyDescent="0.2">
      <c r="A807" t="s">
        <v>101</v>
      </c>
      <c r="B807" t="s">
        <v>31</v>
      </c>
      <c r="D807" t="s">
        <v>32</v>
      </c>
      <c r="F807" t="s">
        <v>60</v>
      </c>
    </row>
    <row r="808" spans="1:6" x14ac:dyDescent="0.2">
      <c r="A808" t="s">
        <v>101</v>
      </c>
      <c r="B808" t="s">
        <v>15</v>
      </c>
      <c r="D808" t="s">
        <v>33</v>
      </c>
      <c r="F808" t="s">
        <v>60</v>
      </c>
    </row>
    <row r="809" spans="1:6" x14ac:dyDescent="0.2">
      <c r="A809" t="s">
        <v>101</v>
      </c>
      <c r="B809" t="s">
        <v>20</v>
      </c>
      <c r="D809" t="s">
        <v>19</v>
      </c>
      <c r="F809" t="s">
        <v>60</v>
      </c>
    </row>
    <row r="810" spans="1:6" x14ac:dyDescent="0.2">
      <c r="A810" t="s">
        <v>101</v>
      </c>
      <c r="B810" t="s">
        <v>24</v>
      </c>
      <c r="D810" t="s">
        <v>38</v>
      </c>
      <c r="F810" t="s">
        <v>60</v>
      </c>
    </row>
    <row r="811" spans="1:6" x14ac:dyDescent="0.2">
      <c r="A811" t="s">
        <v>102</v>
      </c>
      <c r="B811" t="s">
        <v>18</v>
      </c>
      <c r="D811" t="s">
        <v>21</v>
      </c>
      <c r="F811" t="s">
        <v>60</v>
      </c>
    </row>
    <row r="812" spans="1:6" x14ac:dyDescent="0.2">
      <c r="A812" t="s">
        <v>102</v>
      </c>
      <c r="B812" t="s">
        <v>37</v>
      </c>
      <c r="D812" t="s">
        <v>28</v>
      </c>
      <c r="F812" t="s">
        <v>60</v>
      </c>
    </row>
    <row r="813" spans="1:6" x14ac:dyDescent="0.2">
      <c r="A813" t="s">
        <v>102</v>
      </c>
      <c r="B813" t="s">
        <v>22</v>
      </c>
      <c r="D813" t="s">
        <v>17</v>
      </c>
      <c r="F813" t="s">
        <v>60</v>
      </c>
    </row>
    <row r="814" spans="1:6" x14ac:dyDescent="0.2">
      <c r="A814" t="s">
        <v>102</v>
      </c>
      <c r="B814" t="s">
        <v>11</v>
      </c>
      <c r="D814" t="s">
        <v>34</v>
      </c>
      <c r="F814" t="s">
        <v>60</v>
      </c>
    </row>
    <row r="815" spans="1:6" x14ac:dyDescent="0.2">
      <c r="A815" t="s">
        <v>102</v>
      </c>
      <c r="B815" t="s">
        <v>55</v>
      </c>
      <c r="D815" t="s">
        <v>29</v>
      </c>
      <c r="F815" t="s">
        <v>60</v>
      </c>
    </row>
    <row r="816" spans="1:6" x14ac:dyDescent="0.2">
      <c r="A816" t="s">
        <v>102</v>
      </c>
      <c r="B816" t="s">
        <v>23</v>
      </c>
      <c r="D816" t="s">
        <v>30</v>
      </c>
      <c r="F816" t="s">
        <v>60</v>
      </c>
    </row>
    <row r="817" spans="1:6" x14ac:dyDescent="0.2">
      <c r="A817" t="s">
        <v>102</v>
      </c>
      <c r="B817" t="s">
        <v>25</v>
      </c>
      <c r="D817" t="s">
        <v>36</v>
      </c>
      <c r="F817" t="s">
        <v>60</v>
      </c>
    </row>
    <row r="818" spans="1:6" x14ac:dyDescent="0.2">
      <c r="A818" t="s">
        <v>102</v>
      </c>
      <c r="B818" t="s">
        <v>13</v>
      </c>
      <c r="D818" t="s">
        <v>35</v>
      </c>
      <c r="F818" t="s">
        <v>60</v>
      </c>
    </row>
    <row r="819" spans="1:6" x14ac:dyDescent="0.2">
      <c r="A819" t="s">
        <v>102</v>
      </c>
      <c r="B819" t="s">
        <v>26</v>
      </c>
      <c r="D819" t="s">
        <v>40</v>
      </c>
      <c r="F819" t="s">
        <v>60</v>
      </c>
    </row>
    <row r="820" spans="1:6" x14ac:dyDescent="0.2">
      <c r="A820" t="s">
        <v>103</v>
      </c>
      <c r="B820" t="s">
        <v>31</v>
      </c>
      <c r="D820" t="s">
        <v>16</v>
      </c>
      <c r="F820" t="s">
        <v>60</v>
      </c>
    </row>
    <row r="821" spans="1:6" x14ac:dyDescent="0.2">
      <c r="A821" t="s">
        <v>103</v>
      </c>
      <c r="B821" t="s">
        <v>11</v>
      </c>
      <c r="D821" t="s">
        <v>10</v>
      </c>
      <c r="F821" t="s">
        <v>60</v>
      </c>
    </row>
    <row r="822" spans="1:6" x14ac:dyDescent="0.2">
      <c r="A822" t="s">
        <v>103</v>
      </c>
      <c r="B822" t="s">
        <v>20</v>
      </c>
      <c r="D822" t="s">
        <v>36</v>
      </c>
      <c r="F822" t="s">
        <v>60</v>
      </c>
    </row>
    <row r="823" spans="1:6" x14ac:dyDescent="0.2">
      <c r="A823" t="s">
        <v>103</v>
      </c>
      <c r="B823" t="s">
        <v>24</v>
      </c>
      <c r="D823" t="s">
        <v>32</v>
      </c>
      <c r="F823" t="s">
        <v>60</v>
      </c>
    </row>
    <row r="824" spans="1:6" x14ac:dyDescent="0.2">
      <c r="A824" t="s">
        <v>103</v>
      </c>
      <c r="B824" t="s">
        <v>12</v>
      </c>
      <c r="D824" t="s">
        <v>19</v>
      </c>
      <c r="F824" t="s">
        <v>60</v>
      </c>
    </row>
    <row r="825" spans="1:6" x14ac:dyDescent="0.2">
      <c r="A825" t="s">
        <v>103</v>
      </c>
      <c r="B825" t="s">
        <v>14</v>
      </c>
      <c r="D825" t="s">
        <v>38</v>
      </c>
      <c r="F825" t="s">
        <v>60</v>
      </c>
    </row>
    <row r="826" spans="1:6" x14ac:dyDescent="0.2">
      <c r="A826" t="s">
        <v>104</v>
      </c>
      <c r="B826" t="s">
        <v>13</v>
      </c>
      <c r="D826" t="s">
        <v>28</v>
      </c>
      <c r="F826" t="s">
        <v>60</v>
      </c>
    </row>
    <row r="827" spans="1:6" x14ac:dyDescent="0.2">
      <c r="A827" t="s">
        <v>104</v>
      </c>
      <c r="B827" t="s">
        <v>31</v>
      </c>
      <c r="D827" t="s">
        <v>17</v>
      </c>
      <c r="F827" t="s">
        <v>60</v>
      </c>
    </row>
    <row r="828" spans="1:6" x14ac:dyDescent="0.2">
      <c r="A828" t="s">
        <v>104</v>
      </c>
      <c r="B828" t="s">
        <v>21</v>
      </c>
      <c r="D828" t="s">
        <v>15</v>
      </c>
      <c r="F828" t="s">
        <v>60</v>
      </c>
    </row>
    <row r="829" spans="1:6" x14ac:dyDescent="0.2">
      <c r="A829" t="s">
        <v>104</v>
      </c>
      <c r="B829" t="s">
        <v>30</v>
      </c>
      <c r="D829" t="s">
        <v>27</v>
      </c>
      <c r="F829" t="s">
        <v>60</v>
      </c>
    </row>
    <row r="830" spans="1:6" x14ac:dyDescent="0.2">
      <c r="A830" t="s">
        <v>104</v>
      </c>
      <c r="B830" t="s">
        <v>55</v>
      </c>
      <c r="D830" t="s">
        <v>37</v>
      </c>
      <c r="F830" t="s">
        <v>60</v>
      </c>
    </row>
    <row r="831" spans="1:6" x14ac:dyDescent="0.2">
      <c r="A831" t="s">
        <v>105</v>
      </c>
      <c r="B831" t="s">
        <v>29</v>
      </c>
      <c r="D831" t="s">
        <v>21</v>
      </c>
      <c r="F831" t="s">
        <v>60</v>
      </c>
    </row>
    <row r="832" spans="1:6" x14ac:dyDescent="0.2">
      <c r="A832" t="s">
        <v>105</v>
      </c>
      <c r="B832" t="s">
        <v>13</v>
      </c>
      <c r="D832" t="s">
        <v>26</v>
      </c>
      <c r="F832" t="s">
        <v>60</v>
      </c>
    </row>
    <row r="833" spans="1:6" x14ac:dyDescent="0.2">
      <c r="A833" t="s">
        <v>105</v>
      </c>
      <c r="B833" t="s">
        <v>55</v>
      </c>
      <c r="D833" t="s">
        <v>11</v>
      </c>
      <c r="F833" t="s">
        <v>60</v>
      </c>
    </row>
    <row r="834" spans="1:6" x14ac:dyDescent="0.2">
      <c r="A834" t="s">
        <v>105</v>
      </c>
      <c r="B834" t="s">
        <v>10</v>
      </c>
      <c r="D834" t="s">
        <v>34</v>
      </c>
      <c r="F834" t="s">
        <v>60</v>
      </c>
    </row>
    <row r="835" spans="1:6" x14ac:dyDescent="0.2">
      <c r="A835" t="s">
        <v>105</v>
      </c>
      <c r="B835" t="s">
        <v>20</v>
      </c>
      <c r="D835" t="s">
        <v>18</v>
      </c>
      <c r="F835" t="s">
        <v>60</v>
      </c>
    </row>
    <row r="836" spans="1:6" x14ac:dyDescent="0.2">
      <c r="A836" t="s">
        <v>105</v>
      </c>
      <c r="B836" t="s">
        <v>40</v>
      </c>
      <c r="D836" t="s">
        <v>24</v>
      </c>
      <c r="F836" t="s">
        <v>60</v>
      </c>
    </row>
    <row r="837" spans="1:6" x14ac:dyDescent="0.2">
      <c r="A837" t="s">
        <v>105</v>
      </c>
      <c r="B837" t="s">
        <v>22</v>
      </c>
      <c r="D837" t="s">
        <v>32</v>
      </c>
      <c r="F837" t="s">
        <v>60</v>
      </c>
    </row>
    <row r="838" spans="1:6" x14ac:dyDescent="0.2">
      <c r="A838" t="s">
        <v>105</v>
      </c>
      <c r="B838" t="s">
        <v>39</v>
      </c>
      <c r="D838" t="s">
        <v>35</v>
      </c>
      <c r="F838" t="s">
        <v>60</v>
      </c>
    </row>
    <row r="839" spans="1:6" x14ac:dyDescent="0.2">
      <c r="A839" t="s">
        <v>105</v>
      </c>
      <c r="B839" t="s">
        <v>23</v>
      </c>
      <c r="D839" t="s">
        <v>19</v>
      </c>
      <c r="F839" t="s">
        <v>60</v>
      </c>
    </row>
    <row r="840" spans="1:6" x14ac:dyDescent="0.2">
      <c r="A840" t="s">
        <v>105</v>
      </c>
      <c r="B840" t="s">
        <v>33</v>
      </c>
      <c r="D840" t="s">
        <v>38</v>
      </c>
      <c r="F840" t="s">
        <v>60</v>
      </c>
    </row>
    <row r="841" spans="1:6" x14ac:dyDescent="0.2">
      <c r="A841" t="s">
        <v>106</v>
      </c>
      <c r="B841" t="s">
        <v>27</v>
      </c>
      <c r="D841" t="s">
        <v>28</v>
      </c>
      <c r="F841" t="s">
        <v>60</v>
      </c>
    </row>
    <row r="842" spans="1:6" x14ac:dyDescent="0.2">
      <c r="A842" t="s">
        <v>106</v>
      </c>
      <c r="B842" t="s">
        <v>15</v>
      </c>
      <c r="D842" t="s">
        <v>30</v>
      </c>
      <c r="F842" t="s">
        <v>60</v>
      </c>
    </row>
    <row r="843" spans="1:6" x14ac:dyDescent="0.2">
      <c r="A843" t="s">
        <v>106</v>
      </c>
      <c r="B843" t="s">
        <v>12</v>
      </c>
      <c r="D843" t="s">
        <v>36</v>
      </c>
      <c r="F843" t="s">
        <v>60</v>
      </c>
    </row>
    <row r="844" spans="1:6" x14ac:dyDescent="0.2">
      <c r="A844" t="s">
        <v>107</v>
      </c>
      <c r="B844" t="s">
        <v>27</v>
      </c>
      <c r="D844" t="s">
        <v>21</v>
      </c>
      <c r="F844" t="s">
        <v>60</v>
      </c>
    </row>
    <row r="845" spans="1:6" x14ac:dyDescent="0.2">
      <c r="A845" t="s">
        <v>107</v>
      </c>
      <c r="B845" t="s">
        <v>13</v>
      </c>
      <c r="D845" t="s">
        <v>23</v>
      </c>
      <c r="F845" t="s">
        <v>60</v>
      </c>
    </row>
    <row r="846" spans="1:6" x14ac:dyDescent="0.2">
      <c r="A846" t="s">
        <v>107</v>
      </c>
      <c r="B846" t="s">
        <v>55</v>
      </c>
      <c r="D846" t="s">
        <v>25</v>
      </c>
      <c r="F846" t="s">
        <v>60</v>
      </c>
    </row>
    <row r="847" spans="1:6" x14ac:dyDescent="0.2">
      <c r="A847" t="s">
        <v>107</v>
      </c>
      <c r="B847" t="s">
        <v>22</v>
      </c>
      <c r="D847" t="s">
        <v>26</v>
      </c>
      <c r="F847" t="s">
        <v>60</v>
      </c>
    </row>
    <row r="848" spans="1:6" x14ac:dyDescent="0.2">
      <c r="A848" t="s">
        <v>107</v>
      </c>
      <c r="B848" t="s">
        <v>33</v>
      </c>
      <c r="D848" t="s">
        <v>17</v>
      </c>
      <c r="F848" t="s">
        <v>60</v>
      </c>
    </row>
    <row r="849" spans="1:6" x14ac:dyDescent="0.2">
      <c r="A849" t="s">
        <v>107</v>
      </c>
      <c r="B849" t="s">
        <v>16</v>
      </c>
      <c r="D849" t="s">
        <v>34</v>
      </c>
      <c r="F849" t="s">
        <v>60</v>
      </c>
    </row>
    <row r="850" spans="1:6" x14ac:dyDescent="0.2">
      <c r="A850" t="s">
        <v>107</v>
      </c>
      <c r="B850" t="s">
        <v>12</v>
      </c>
      <c r="D850" t="s">
        <v>18</v>
      </c>
      <c r="F850" t="s">
        <v>60</v>
      </c>
    </row>
    <row r="851" spans="1:6" x14ac:dyDescent="0.2">
      <c r="A851" t="s">
        <v>107</v>
      </c>
      <c r="B851" t="s">
        <v>29</v>
      </c>
      <c r="D851" t="s">
        <v>24</v>
      </c>
      <c r="F851" t="s">
        <v>60</v>
      </c>
    </row>
    <row r="852" spans="1:6" x14ac:dyDescent="0.2">
      <c r="A852" t="s">
        <v>107</v>
      </c>
      <c r="B852" t="s">
        <v>30</v>
      </c>
      <c r="D852" t="s">
        <v>15</v>
      </c>
      <c r="F852" t="s">
        <v>60</v>
      </c>
    </row>
    <row r="853" spans="1:6" x14ac:dyDescent="0.2">
      <c r="A853" t="s">
        <v>107</v>
      </c>
      <c r="B853" t="s">
        <v>10</v>
      </c>
      <c r="D853" t="s">
        <v>14</v>
      </c>
      <c r="F853" t="s">
        <v>60</v>
      </c>
    </row>
    <row r="854" spans="1:6" x14ac:dyDescent="0.2">
      <c r="A854" t="s">
        <v>107</v>
      </c>
      <c r="B854" t="s">
        <v>19</v>
      </c>
      <c r="D854" t="s">
        <v>32</v>
      </c>
      <c r="F854" t="s">
        <v>60</v>
      </c>
    </row>
    <row r="855" spans="1:6" x14ac:dyDescent="0.2">
      <c r="A855" t="s">
        <v>107</v>
      </c>
      <c r="B855" t="s">
        <v>11</v>
      </c>
      <c r="D855" t="s">
        <v>35</v>
      </c>
      <c r="F855" t="s">
        <v>60</v>
      </c>
    </row>
    <row r="856" spans="1:6" x14ac:dyDescent="0.2">
      <c r="A856" t="s">
        <v>107</v>
      </c>
      <c r="B856" t="s">
        <v>40</v>
      </c>
      <c r="D856" t="s">
        <v>37</v>
      </c>
      <c r="F856" t="s">
        <v>60</v>
      </c>
    </row>
    <row r="857" spans="1:6" x14ac:dyDescent="0.2">
      <c r="A857" t="s">
        <v>107</v>
      </c>
      <c r="B857" t="s">
        <v>31</v>
      </c>
      <c r="D857" t="s">
        <v>38</v>
      </c>
      <c r="F857" t="s">
        <v>60</v>
      </c>
    </row>
    <row r="858" spans="1:6" x14ac:dyDescent="0.2">
      <c r="A858" t="s">
        <v>107</v>
      </c>
      <c r="B858" t="s">
        <v>39</v>
      </c>
      <c r="D858" t="s">
        <v>20</v>
      </c>
      <c r="F858" t="s">
        <v>60</v>
      </c>
    </row>
    <row r="859" spans="1:6" x14ac:dyDescent="0.2">
      <c r="A859" t="s">
        <v>108</v>
      </c>
      <c r="B859" t="s">
        <v>28</v>
      </c>
      <c r="D859" t="s">
        <v>10</v>
      </c>
      <c r="F859" t="s">
        <v>60</v>
      </c>
    </row>
    <row r="860" spans="1:6" x14ac:dyDescent="0.2">
      <c r="A860" t="s">
        <v>109</v>
      </c>
      <c r="B860" t="s">
        <v>18</v>
      </c>
      <c r="D860" t="s">
        <v>23</v>
      </c>
      <c r="F860" t="s">
        <v>60</v>
      </c>
    </row>
    <row r="861" spans="1:6" x14ac:dyDescent="0.2">
      <c r="A861" t="s">
        <v>109</v>
      </c>
      <c r="B861" t="s">
        <v>33</v>
      </c>
      <c r="D861" t="s">
        <v>16</v>
      </c>
      <c r="F861" t="s">
        <v>60</v>
      </c>
    </row>
    <row r="862" spans="1:6" x14ac:dyDescent="0.2">
      <c r="A862" t="s">
        <v>109</v>
      </c>
      <c r="B862" t="s">
        <v>12</v>
      </c>
      <c r="D862" t="s">
        <v>26</v>
      </c>
      <c r="F862" t="s">
        <v>60</v>
      </c>
    </row>
    <row r="863" spans="1:6" x14ac:dyDescent="0.2">
      <c r="A863" t="s">
        <v>109</v>
      </c>
      <c r="B863" t="s">
        <v>34</v>
      </c>
      <c r="D863" t="s">
        <v>17</v>
      </c>
      <c r="F863" t="s">
        <v>60</v>
      </c>
    </row>
    <row r="864" spans="1:6" x14ac:dyDescent="0.2">
      <c r="A864" t="s">
        <v>109</v>
      </c>
      <c r="B864" t="s">
        <v>40</v>
      </c>
      <c r="D864" t="s">
        <v>11</v>
      </c>
      <c r="F864" t="s">
        <v>60</v>
      </c>
    </row>
    <row r="865" spans="1:6" x14ac:dyDescent="0.2">
      <c r="A865" t="s">
        <v>109</v>
      </c>
      <c r="B865" t="s">
        <v>29</v>
      </c>
      <c r="D865" t="s">
        <v>30</v>
      </c>
      <c r="F865" t="s">
        <v>60</v>
      </c>
    </row>
    <row r="866" spans="1:6" x14ac:dyDescent="0.2">
      <c r="A866" t="s">
        <v>109</v>
      </c>
      <c r="B866" t="s">
        <v>24</v>
      </c>
      <c r="D866" t="s">
        <v>36</v>
      </c>
      <c r="F866" t="s">
        <v>60</v>
      </c>
    </row>
    <row r="867" spans="1:6" x14ac:dyDescent="0.2">
      <c r="A867" t="s">
        <v>109</v>
      </c>
      <c r="B867" t="s">
        <v>13</v>
      </c>
      <c r="D867" t="s">
        <v>27</v>
      </c>
      <c r="F867" t="s">
        <v>60</v>
      </c>
    </row>
    <row r="868" spans="1:6" x14ac:dyDescent="0.2">
      <c r="A868" t="s">
        <v>109</v>
      </c>
      <c r="B868" t="s">
        <v>15</v>
      </c>
      <c r="D868" t="s">
        <v>14</v>
      </c>
      <c r="F868" t="s">
        <v>60</v>
      </c>
    </row>
    <row r="869" spans="1:6" x14ac:dyDescent="0.2">
      <c r="A869" t="s">
        <v>109</v>
      </c>
      <c r="B869" t="s">
        <v>28</v>
      </c>
      <c r="D869" t="s">
        <v>35</v>
      </c>
      <c r="F869" t="s">
        <v>60</v>
      </c>
    </row>
    <row r="870" spans="1:6" x14ac:dyDescent="0.2">
      <c r="A870" t="s">
        <v>109</v>
      </c>
      <c r="B870" t="s">
        <v>39</v>
      </c>
      <c r="D870" t="s">
        <v>55</v>
      </c>
      <c r="F870" t="s">
        <v>60</v>
      </c>
    </row>
    <row r="871" spans="1:6" x14ac:dyDescent="0.2">
      <c r="A871" t="s">
        <v>109</v>
      </c>
      <c r="B871" t="s">
        <v>19</v>
      </c>
      <c r="D871" t="s">
        <v>38</v>
      </c>
      <c r="F871" t="s">
        <v>60</v>
      </c>
    </row>
    <row r="872" spans="1:6" x14ac:dyDescent="0.2">
      <c r="A872" t="s">
        <v>109</v>
      </c>
      <c r="B872" t="s">
        <v>32</v>
      </c>
      <c r="D872" t="s">
        <v>20</v>
      </c>
      <c r="F872" t="s">
        <v>60</v>
      </c>
    </row>
    <row r="873" spans="1:6" x14ac:dyDescent="0.2">
      <c r="A873" t="s">
        <v>109</v>
      </c>
      <c r="B873" t="s">
        <v>25</v>
      </c>
      <c r="D873" t="s">
        <v>22</v>
      </c>
      <c r="F873" t="s">
        <v>60</v>
      </c>
    </row>
    <row r="874" spans="1:6" x14ac:dyDescent="0.2">
      <c r="A874" t="s">
        <v>110</v>
      </c>
      <c r="B874" t="s">
        <v>20</v>
      </c>
      <c r="D874" t="s">
        <v>31</v>
      </c>
      <c r="F874" t="s">
        <v>60</v>
      </c>
    </row>
    <row r="875" spans="1:6" x14ac:dyDescent="0.2">
      <c r="A875" t="s">
        <v>110</v>
      </c>
      <c r="B875" t="s">
        <v>13</v>
      </c>
      <c r="D875" t="s">
        <v>25</v>
      </c>
      <c r="F875" t="s">
        <v>60</v>
      </c>
    </row>
    <row r="876" spans="1:6" x14ac:dyDescent="0.2">
      <c r="A876" t="s">
        <v>110</v>
      </c>
      <c r="B876" t="s">
        <v>21</v>
      </c>
      <c r="D876" t="s">
        <v>37</v>
      </c>
      <c r="F876" t="s">
        <v>60</v>
      </c>
    </row>
    <row r="877" spans="1:6" x14ac:dyDescent="0.2">
      <c r="A877" t="s">
        <v>111</v>
      </c>
      <c r="B877" t="s">
        <v>19</v>
      </c>
      <c r="D877" t="s">
        <v>16</v>
      </c>
      <c r="F877" t="s">
        <v>60</v>
      </c>
    </row>
    <row r="878" spans="1:6" x14ac:dyDescent="0.2">
      <c r="A878" t="s">
        <v>111</v>
      </c>
      <c r="B878" t="s">
        <v>33</v>
      </c>
      <c r="D878" t="s">
        <v>10</v>
      </c>
      <c r="F878" t="s">
        <v>60</v>
      </c>
    </row>
    <row r="879" spans="1:6" x14ac:dyDescent="0.2">
      <c r="A879" t="s">
        <v>111</v>
      </c>
      <c r="B879" t="s">
        <v>26</v>
      </c>
      <c r="D879" t="s">
        <v>12</v>
      </c>
      <c r="F879" t="s">
        <v>60</v>
      </c>
    </row>
    <row r="880" spans="1:6" x14ac:dyDescent="0.2">
      <c r="A880" t="s">
        <v>111</v>
      </c>
      <c r="B880" t="s">
        <v>40</v>
      </c>
      <c r="D880" t="s">
        <v>39</v>
      </c>
      <c r="F880" t="s">
        <v>60</v>
      </c>
    </row>
    <row r="881" spans="1:6" x14ac:dyDescent="0.2">
      <c r="A881" t="s">
        <v>111</v>
      </c>
      <c r="B881" t="s">
        <v>23</v>
      </c>
      <c r="D881" t="s">
        <v>11</v>
      </c>
      <c r="F881" t="s">
        <v>60</v>
      </c>
    </row>
    <row r="882" spans="1:6" x14ac:dyDescent="0.2">
      <c r="A882" t="s">
        <v>111</v>
      </c>
      <c r="B882" t="s">
        <v>18</v>
      </c>
      <c r="D882" t="s">
        <v>34</v>
      </c>
      <c r="F882" t="s">
        <v>60</v>
      </c>
    </row>
    <row r="883" spans="1:6" x14ac:dyDescent="0.2">
      <c r="A883" t="s">
        <v>111</v>
      </c>
      <c r="B883" t="s">
        <v>35</v>
      </c>
      <c r="D883" t="s">
        <v>29</v>
      </c>
      <c r="F883" t="s">
        <v>60</v>
      </c>
    </row>
    <row r="884" spans="1:6" x14ac:dyDescent="0.2">
      <c r="A884" t="s">
        <v>111</v>
      </c>
      <c r="B884" t="s">
        <v>36</v>
      </c>
      <c r="D884" t="s">
        <v>14</v>
      </c>
      <c r="F884" t="s">
        <v>60</v>
      </c>
    </row>
    <row r="885" spans="1:6" x14ac:dyDescent="0.2">
      <c r="A885" t="s">
        <v>111</v>
      </c>
      <c r="B885" t="s">
        <v>38</v>
      </c>
      <c r="D885" t="s">
        <v>55</v>
      </c>
      <c r="F885" t="s">
        <v>60</v>
      </c>
    </row>
    <row r="886" spans="1:6" x14ac:dyDescent="0.2">
      <c r="A886" t="s">
        <v>111</v>
      </c>
      <c r="B886" t="s">
        <v>30</v>
      </c>
      <c r="D886" t="s">
        <v>22</v>
      </c>
      <c r="F886" t="s">
        <v>60</v>
      </c>
    </row>
    <row r="887" spans="1:6" x14ac:dyDescent="0.2">
      <c r="A887" t="s">
        <v>112</v>
      </c>
      <c r="B887" t="s">
        <v>32</v>
      </c>
      <c r="D887" t="s">
        <v>31</v>
      </c>
      <c r="F887" t="s">
        <v>60</v>
      </c>
    </row>
    <row r="888" spans="1:6" x14ac:dyDescent="0.2">
      <c r="A888" t="s">
        <v>112</v>
      </c>
      <c r="B888" t="s">
        <v>36</v>
      </c>
      <c r="D888" t="s">
        <v>25</v>
      </c>
      <c r="F888" t="s">
        <v>60</v>
      </c>
    </row>
    <row r="889" spans="1:6" x14ac:dyDescent="0.2">
      <c r="A889" t="s">
        <v>112</v>
      </c>
      <c r="B889" t="s">
        <v>19</v>
      </c>
      <c r="D889" t="s">
        <v>17</v>
      </c>
      <c r="F889" t="s">
        <v>60</v>
      </c>
    </row>
    <row r="890" spans="1:6" x14ac:dyDescent="0.2">
      <c r="A890" t="s">
        <v>112</v>
      </c>
      <c r="B890" t="s">
        <v>28</v>
      </c>
      <c r="D890" t="s">
        <v>24</v>
      </c>
      <c r="F890" t="s">
        <v>60</v>
      </c>
    </row>
    <row r="891" spans="1:6" x14ac:dyDescent="0.2">
      <c r="A891" t="s">
        <v>112</v>
      </c>
      <c r="B891" t="s">
        <v>14</v>
      </c>
      <c r="D891" t="s">
        <v>30</v>
      </c>
      <c r="F891" t="s">
        <v>60</v>
      </c>
    </row>
    <row r="892" spans="1:6" x14ac:dyDescent="0.2">
      <c r="A892" t="s">
        <v>112</v>
      </c>
      <c r="B892" t="s">
        <v>22</v>
      </c>
      <c r="D892" t="s">
        <v>27</v>
      </c>
      <c r="F892" t="s">
        <v>60</v>
      </c>
    </row>
    <row r="893" spans="1:6" x14ac:dyDescent="0.2">
      <c r="A893" t="s">
        <v>112</v>
      </c>
      <c r="B893" t="s">
        <v>23</v>
      </c>
      <c r="D893" t="s">
        <v>37</v>
      </c>
      <c r="F893" t="s">
        <v>60</v>
      </c>
    </row>
    <row r="894" spans="1:6" x14ac:dyDescent="0.2">
      <c r="A894" t="s">
        <v>113</v>
      </c>
      <c r="B894" t="s">
        <v>10</v>
      </c>
      <c r="D894" t="s">
        <v>28</v>
      </c>
      <c r="F894" t="s">
        <v>60</v>
      </c>
    </row>
    <row r="895" spans="1:6" x14ac:dyDescent="0.2">
      <c r="A895" t="s">
        <v>113</v>
      </c>
      <c r="B895" t="s">
        <v>17</v>
      </c>
      <c r="D895" t="s">
        <v>16</v>
      </c>
      <c r="F895" t="s">
        <v>60</v>
      </c>
    </row>
    <row r="896" spans="1:6" x14ac:dyDescent="0.2">
      <c r="A896" t="s">
        <v>113</v>
      </c>
      <c r="B896" t="s">
        <v>33</v>
      </c>
      <c r="D896" t="s">
        <v>12</v>
      </c>
      <c r="F896" t="s">
        <v>60</v>
      </c>
    </row>
    <row r="897" spans="1:6" x14ac:dyDescent="0.2">
      <c r="A897" t="s">
        <v>113</v>
      </c>
      <c r="B897" t="s">
        <v>35</v>
      </c>
      <c r="D897" t="s">
        <v>39</v>
      </c>
      <c r="F897" t="s">
        <v>60</v>
      </c>
    </row>
    <row r="898" spans="1:6" x14ac:dyDescent="0.2">
      <c r="A898" t="s">
        <v>113</v>
      </c>
      <c r="B898" t="s">
        <v>21</v>
      </c>
      <c r="D898" t="s">
        <v>11</v>
      </c>
      <c r="F898" t="s">
        <v>60</v>
      </c>
    </row>
    <row r="899" spans="1:6" x14ac:dyDescent="0.2">
      <c r="A899" t="s">
        <v>113</v>
      </c>
      <c r="B899" t="s">
        <v>32</v>
      </c>
      <c r="D899" t="s">
        <v>13</v>
      </c>
      <c r="F899" t="s">
        <v>60</v>
      </c>
    </row>
    <row r="900" spans="1:6" x14ac:dyDescent="0.2">
      <c r="A900" t="s">
        <v>113</v>
      </c>
      <c r="B900" t="s">
        <v>34</v>
      </c>
      <c r="D900" t="s">
        <v>29</v>
      </c>
      <c r="F900" t="s">
        <v>60</v>
      </c>
    </row>
    <row r="901" spans="1:6" x14ac:dyDescent="0.2">
      <c r="A901" t="s">
        <v>113</v>
      </c>
      <c r="B901" t="s">
        <v>26</v>
      </c>
      <c r="D901" t="s">
        <v>55</v>
      </c>
      <c r="F901" t="s">
        <v>60</v>
      </c>
    </row>
    <row r="902" spans="1:6" x14ac:dyDescent="0.2">
      <c r="A902" t="s">
        <v>113</v>
      </c>
      <c r="B902" t="s">
        <v>38</v>
      </c>
      <c r="D902" t="s">
        <v>20</v>
      </c>
      <c r="F902" t="s">
        <v>60</v>
      </c>
    </row>
    <row r="903" spans="1:6" x14ac:dyDescent="0.2">
      <c r="A903" t="s">
        <v>113</v>
      </c>
      <c r="B903" t="s">
        <v>18</v>
      </c>
      <c r="D903" t="s">
        <v>40</v>
      </c>
      <c r="F903" t="s">
        <v>60</v>
      </c>
    </row>
    <row r="904" spans="1:6" x14ac:dyDescent="0.2">
      <c r="A904" t="s">
        <v>114</v>
      </c>
      <c r="B904" t="s">
        <v>14</v>
      </c>
      <c r="D904" t="s">
        <v>23</v>
      </c>
      <c r="F904" t="s">
        <v>60</v>
      </c>
    </row>
    <row r="905" spans="1:6" x14ac:dyDescent="0.2">
      <c r="A905" t="s">
        <v>114</v>
      </c>
      <c r="B905" t="s">
        <v>30</v>
      </c>
      <c r="D905" t="s">
        <v>24</v>
      </c>
      <c r="F905" t="s">
        <v>60</v>
      </c>
    </row>
    <row r="906" spans="1:6" x14ac:dyDescent="0.2">
      <c r="A906" t="s">
        <v>114</v>
      </c>
      <c r="B906" t="s">
        <v>25</v>
      </c>
      <c r="D906" t="s">
        <v>15</v>
      </c>
      <c r="F906" t="s">
        <v>60</v>
      </c>
    </row>
    <row r="907" spans="1:6" x14ac:dyDescent="0.2">
      <c r="A907" t="s">
        <v>114</v>
      </c>
      <c r="B907" t="s">
        <v>36</v>
      </c>
      <c r="D907" t="s">
        <v>27</v>
      </c>
      <c r="F907" t="s">
        <v>60</v>
      </c>
    </row>
    <row r="908" spans="1:6" x14ac:dyDescent="0.2">
      <c r="A908" t="s">
        <v>114</v>
      </c>
      <c r="B908" t="s">
        <v>11</v>
      </c>
      <c r="D908" t="s">
        <v>37</v>
      </c>
      <c r="F908" t="s">
        <v>60</v>
      </c>
    </row>
    <row r="909" spans="1:6" x14ac:dyDescent="0.2">
      <c r="A909" t="s">
        <v>114</v>
      </c>
      <c r="B909" t="s">
        <v>13</v>
      </c>
      <c r="D909" t="s">
        <v>20</v>
      </c>
      <c r="F909" t="s">
        <v>60</v>
      </c>
    </row>
    <row r="910" spans="1:6" x14ac:dyDescent="0.2">
      <c r="A910" t="s">
        <v>114</v>
      </c>
      <c r="B910" t="s">
        <v>29</v>
      </c>
      <c r="D910" t="s">
        <v>22</v>
      </c>
      <c r="F910" t="s">
        <v>60</v>
      </c>
    </row>
    <row r="911" spans="1:6" x14ac:dyDescent="0.2">
      <c r="A911" t="s">
        <v>115</v>
      </c>
      <c r="B911" t="s">
        <v>17</v>
      </c>
      <c r="D911" t="s">
        <v>31</v>
      </c>
      <c r="F911" t="s">
        <v>60</v>
      </c>
    </row>
    <row r="912" spans="1:6" x14ac:dyDescent="0.2">
      <c r="A912" t="s">
        <v>115</v>
      </c>
      <c r="B912" t="s">
        <v>32</v>
      </c>
      <c r="D912" t="s">
        <v>39</v>
      </c>
      <c r="F912" t="s">
        <v>60</v>
      </c>
    </row>
    <row r="913" spans="1:6" x14ac:dyDescent="0.2">
      <c r="A913" t="s">
        <v>115</v>
      </c>
      <c r="B913" t="s">
        <v>20</v>
      </c>
      <c r="D913" t="s">
        <v>13</v>
      </c>
      <c r="F913" t="s">
        <v>60</v>
      </c>
    </row>
    <row r="914" spans="1:6" x14ac:dyDescent="0.2">
      <c r="A914" t="s">
        <v>115</v>
      </c>
      <c r="B914" t="s">
        <v>23</v>
      </c>
      <c r="D914" t="s">
        <v>24</v>
      </c>
      <c r="F914" t="s">
        <v>60</v>
      </c>
    </row>
    <row r="915" spans="1:6" x14ac:dyDescent="0.2">
      <c r="A915" t="s">
        <v>115</v>
      </c>
      <c r="B915" t="s">
        <v>19</v>
      </c>
      <c r="D915" t="s">
        <v>37</v>
      </c>
      <c r="F915" t="s">
        <v>60</v>
      </c>
    </row>
    <row r="916" spans="1:6" x14ac:dyDescent="0.2">
      <c r="A916" t="s">
        <v>115</v>
      </c>
      <c r="B916" t="s">
        <v>12</v>
      </c>
      <c r="D916" t="s">
        <v>55</v>
      </c>
      <c r="F916" t="s">
        <v>60</v>
      </c>
    </row>
    <row r="917" spans="1:6" x14ac:dyDescent="0.2">
      <c r="A917" t="s">
        <v>115</v>
      </c>
      <c r="B917" t="s">
        <v>40</v>
      </c>
      <c r="D917" t="s">
        <v>38</v>
      </c>
      <c r="F917" t="s">
        <v>60</v>
      </c>
    </row>
    <row r="918" spans="1:6" x14ac:dyDescent="0.2">
      <c r="A918" t="s">
        <v>115</v>
      </c>
      <c r="B918" t="s">
        <v>27</v>
      </c>
      <c r="D918" t="s">
        <v>22</v>
      </c>
      <c r="F918" t="s">
        <v>60</v>
      </c>
    </row>
    <row r="919" spans="1:6" x14ac:dyDescent="0.2">
      <c r="A919" t="s">
        <v>116</v>
      </c>
      <c r="B919" t="s">
        <v>28</v>
      </c>
      <c r="D919" t="s">
        <v>21</v>
      </c>
      <c r="F919" t="s">
        <v>60</v>
      </c>
    </row>
    <row r="920" spans="1:6" x14ac:dyDescent="0.2">
      <c r="A920" t="s">
        <v>116</v>
      </c>
      <c r="B920" t="s">
        <v>37</v>
      </c>
      <c r="D920" t="s">
        <v>25</v>
      </c>
      <c r="F920" t="s">
        <v>60</v>
      </c>
    </row>
    <row r="921" spans="1:6" x14ac:dyDescent="0.2">
      <c r="A921" t="s">
        <v>116</v>
      </c>
      <c r="B921" t="s">
        <v>34</v>
      </c>
      <c r="D921" t="s">
        <v>12</v>
      </c>
      <c r="F921" t="s">
        <v>60</v>
      </c>
    </row>
    <row r="922" spans="1:6" x14ac:dyDescent="0.2">
      <c r="A922" t="s">
        <v>116</v>
      </c>
      <c r="B922" t="s">
        <v>19</v>
      </c>
      <c r="D922" t="s">
        <v>11</v>
      </c>
      <c r="F922" t="s">
        <v>60</v>
      </c>
    </row>
    <row r="923" spans="1:6" x14ac:dyDescent="0.2">
      <c r="A923" t="s">
        <v>116</v>
      </c>
      <c r="B923" t="s">
        <v>17</v>
      </c>
      <c r="D923" t="s">
        <v>13</v>
      </c>
      <c r="F923" t="s">
        <v>60</v>
      </c>
    </row>
    <row r="924" spans="1:6" x14ac:dyDescent="0.2">
      <c r="A924" t="s">
        <v>116</v>
      </c>
      <c r="B924" t="s">
        <v>30</v>
      </c>
      <c r="D924" t="s">
        <v>18</v>
      </c>
      <c r="F924" t="s">
        <v>60</v>
      </c>
    </row>
    <row r="925" spans="1:6" x14ac:dyDescent="0.2">
      <c r="A925" t="s">
        <v>116</v>
      </c>
      <c r="B925" t="s">
        <v>10</v>
      </c>
      <c r="D925" t="s">
        <v>29</v>
      </c>
      <c r="F925" t="s">
        <v>60</v>
      </c>
    </row>
    <row r="926" spans="1:6" x14ac:dyDescent="0.2">
      <c r="A926" t="s">
        <v>116</v>
      </c>
      <c r="B926" t="s">
        <v>27</v>
      </c>
      <c r="D926" t="s">
        <v>15</v>
      </c>
      <c r="F926" t="s">
        <v>60</v>
      </c>
    </row>
    <row r="927" spans="1:6" x14ac:dyDescent="0.2">
      <c r="A927" t="s">
        <v>116</v>
      </c>
      <c r="B927" t="s">
        <v>26</v>
      </c>
      <c r="D927" t="s">
        <v>36</v>
      </c>
      <c r="F927" t="s">
        <v>60</v>
      </c>
    </row>
    <row r="928" spans="1:6" x14ac:dyDescent="0.2">
      <c r="A928" t="s">
        <v>116</v>
      </c>
      <c r="B928" t="s">
        <v>24</v>
      </c>
      <c r="D928" t="s">
        <v>14</v>
      </c>
      <c r="F928" t="s">
        <v>60</v>
      </c>
    </row>
    <row r="929" spans="1:6" x14ac:dyDescent="0.2">
      <c r="A929" t="s">
        <v>116</v>
      </c>
      <c r="B929" t="s">
        <v>16</v>
      </c>
      <c r="D929" t="s">
        <v>33</v>
      </c>
      <c r="F929" t="s">
        <v>60</v>
      </c>
    </row>
    <row r="930" spans="1:6" x14ac:dyDescent="0.2">
      <c r="A930" t="s">
        <v>116</v>
      </c>
      <c r="B930" t="s">
        <v>32</v>
      </c>
      <c r="D930" t="s">
        <v>35</v>
      </c>
      <c r="F930" t="s">
        <v>60</v>
      </c>
    </row>
    <row r="931" spans="1:6" x14ac:dyDescent="0.2">
      <c r="A931" t="s">
        <v>117</v>
      </c>
      <c r="B931" t="s">
        <v>40</v>
      </c>
      <c r="D931" t="s">
        <v>31</v>
      </c>
      <c r="F931" t="s">
        <v>60</v>
      </c>
    </row>
    <row r="932" spans="1:6" x14ac:dyDescent="0.2">
      <c r="A932" t="s">
        <v>117</v>
      </c>
      <c r="B932" t="s">
        <v>23</v>
      </c>
      <c r="D932" t="s">
        <v>11</v>
      </c>
      <c r="F932" t="s">
        <v>60</v>
      </c>
    </row>
    <row r="933" spans="1:6" x14ac:dyDescent="0.2">
      <c r="A933" t="s">
        <v>117</v>
      </c>
      <c r="B933" t="s">
        <v>34</v>
      </c>
      <c r="D933" t="s">
        <v>55</v>
      </c>
      <c r="F933" t="s">
        <v>60</v>
      </c>
    </row>
    <row r="934" spans="1:6" x14ac:dyDescent="0.2">
      <c r="A934" t="s">
        <v>117</v>
      </c>
      <c r="B934" t="s">
        <v>20</v>
      </c>
      <c r="D934" t="s">
        <v>22</v>
      </c>
      <c r="F934" t="s">
        <v>60</v>
      </c>
    </row>
    <row r="935" spans="1:6" x14ac:dyDescent="0.2">
      <c r="A935" t="s">
        <v>118</v>
      </c>
      <c r="B935" t="s">
        <v>26</v>
      </c>
      <c r="D935" t="s">
        <v>25</v>
      </c>
      <c r="F935" t="s">
        <v>60</v>
      </c>
    </row>
    <row r="936" spans="1:6" x14ac:dyDescent="0.2">
      <c r="A936" t="s">
        <v>118</v>
      </c>
      <c r="B936" t="s">
        <v>30</v>
      </c>
      <c r="D936" t="s">
        <v>28</v>
      </c>
      <c r="F936" t="s">
        <v>60</v>
      </c>
    </row>
    <row r="937" spans="1:6" x14ac:dyDescent="0.2">
      <c r="A937" t="s">
        <v>118</v>
      </c>
      <c r="B937" t="s">
        <v>10</v>
      </c>
      <c r="D937" t="s">
        <v>12</v>
      </c>
      <c r="F937" t="s">
        <v>60</v>
      </c>
    </row>
    <row r="938" spans="1:6" x14ac:dyDescent="0.2">
      <c r="A938" t="s">
        <v>118</v>
      </c>
      <c r="B938" t="s">
        <v>29</v>
      </c>
      <c r="D938" t="s">
        <v>39</v>
      </c>
      <c r="F938" t="s">
        <v>60</v>
      </c>
    </row>
    <row r="939" spans="1:6" x14ac:dyDescent="0.2">
      <c r="A939" t="s">
        <v>118</v>
      </c>
      <c r="B939" t="s">
        <v>16</v>
      </c>
      <c r="D939" t="s">
        <v>13</v>
      </c>
      <c r="F939" t="s">
        <v>60</v>
      </c>
    </row>
    <row r="940" spans="1:6" x14ac:dyDescent="0.2">
      <c r="A940" t="s">
        <v>118</v>
      </c>
      <c r="B940" t="s">
        <v>22</v>
      </c>
      <c r="D940" t="s">
        <v>18</v>
      </c>
      <c r="F940" t="s">
        <v>60</v>
      </c>
    </row>
    <row r="941" spans="1:6" x14ac:dyDescent="0.2">
      <c r="A941" t="s">
        <v>118</v>
      </c>
      <c r="B941" t="s">
        <v>14</v>
      </c>
      <c r="D941" t="s">
        <v>15</v>
      </c>
      <c r="F941" t="s">
        <v>60</v>
      </c>
    </row>
    <row r="942" spans="1:6" x14ac:dyDescent="0.2">
      <c r="A942" t="s">
        <v>118</v>
      </c>
      <c r="B942" t="s">
        <v>21</v>
      </c>
      <c r="D942" t="s">
        <v>27</v>
      </c>
      <c r="F942" t="s">
        <v>60</v>
      </c>
    </row>
    <row r="943" spans="1:6" x14ac:dyDescent="0.2">
      <c r="A943" t="s">
        <v>118</v>
      </c>
      <c r="B943" t="s">
        <v>38</v>
      </c>
      <c r="D943" t="s">
        <v>32</v>
      </c>
      <c r="F943" t="s">
        <v>60</v>
      </c>
    </row>
    <row r="944" spans="1:6" x14ac:dyDescent="0.2">
      <c r="A944" t="s">
        <v>118</v>
      </c>
      <c r="B944" t="s">
        <v>17</v>
      </c>
      <c r="D944" t="s">
        <v>33</v>
      </c>
      <c r="F944" t="s">
        <v>60</v>
      </c>
    </row>
    <row r="945" spans="1:6" x14ac:dyDescent="0.2">
      <c r="A945" t="s">
        <v>118</v>
      </c>
      <c r="B945" t="s">
        <v>24</v>
      </c>
      <c r="D945" t="s">
        <v>35</v>
      </c>
      <c r="F945" t="s">
        <v>60</v>
      </c>
    </row>
    <row r="946" spans="1:6" x14ac:dyDescent="0.2">
      <c r="A946" t="s">
        <v>118</v>
      </c>
      <c r="B946" t="s">
        <v>23</v>
      </c>
      <c r="D946" t="s">
        <v>37</v>
      </c>
      <c r="F946" t="s">
        <v>60</v>
      </c>
    </row>
    <row r="947" spans="1:6" x14ac:dyDescent="0.2">
      <c r="A947" t="s">
        <v>118</v>
      </c>
      <c r="B947" t="s">
        <v>36</v>
      </c>
      <c r="D947" t="s">
        <v>19</v>
      </c>
      <c r="F947" t="s">
        <v>60</v>
      </c>
    </row>
    <row r="948" spans="1:6" x14ac:dyDescent="0.2">
      <c r="A948" t="s">
        <v>119</v>
      </c>
      <c r="B948" t="s">
        <v>16</v>
      </c>
      <c r="D948" t="s">
        <v>31</v>
      </c>
      <c r="F948" t="s">
        <v>60</v>
      </c>
    </row>
    <row r="949" spans="1:6" x14ac:dyDescent="0.2">
      <c r="A949" t="s">
        <v>119</v>
      </c>
      <c r="B949" t="s">
        <v>35</v>
      </c>
      <c r="D949" t="s">
        <v>34</v>
      </c>
      <c r="F949" t="s">
        <v>60</v>
      </c>
    </row>
    <row r="950" spans="1:6" x14ac:dyDescent="0.2">
      <c r="A950" t="s">
        <v>119</v>
      </c>
      <c r="B950" t="s">
        <v>11</v>
      </c>
      <c r="D950" t="s">
        <v>30</v>
      </c>
      <c r="F950" t="s">
        <v>60</v>
      </c>
    </row>
    <row r="951" spans="1:6" x14ac:dyDescent="0.2">
      <c r="A951" t="s">
        <v>119</v>
      </c>
      <c r="B951" t="s">
        <v>20</v>
      </c>
      <c r="D951" t="s">
        <v>14</v>
      </c>
      <c r="F951" t="s">
        <v>60</v>
      </c>
    </row>
    <row r="952" spans="1:6" x14ac:dyDescent="0.2">
      <c r="A952" t="s">
        <v>119</v>
      </c>
      <c r="B952" t="s">
        <v>40</v>
      </c>
      <c r="D952" t="s">
        <v>33</v>
      </c>
      <c r="F952" t="s">
        <v>60</v>
      </c>
    </row>
    <row r="953" spans="1:6" x14ac:dyDescent="0.2">
      <c r="A953" t="s">
        <v>119</v>
      </c>
      <c r="B953" t="s">
        <v>10</v>
      </c>
      <c r="D953" t="s">
        <v>55</v>
      </c>
      <c r="F953" t="s">
        <v>60</v>
      </c>
    </row>
    <row r="954" spans="1:6" x14ac:dyDescent="0.2">
      <c r="A954" t="s">
        <v>120</v>
      </c>
      <c r="B954" t="s">
        <v>12</v>
      </c>
      <c r="D954" t="s">
        <v>13</v>
      </c>
      <c r="F954" t="s">
        <v>60</v>
      </c>
    </row>
    <row r="955" spans="1:6" x14ac:dyDescent="0.2">
      <c r="A955" t="s">
        <v>120</v>
      </c>
      <c r="B955" t="s">
        <v>26</v>
      </c>
      <c r="D955" t="s">
        <v>29</v>
      </c>
      <c r="F955" t="s">
        <v>60</v>
      </c>
    </row>
    <row r="956" spans="1:6" x14ac:dyDescent="0.2">
      <c r="A956" t="s">
        <v>120</v>
      </c>
      <c r="B956" t="s">
        <v>28</v>
      </c>
      <c r="D956" t="s">
        <v>15</v>
      </c>
      <c r="F956" t="s">
        <v>60</v>
      </c>
    </row>
    <row r="957" spans="1:6" x14ac:dyDescent="0.2">
      <c r="A957" t="s">
        <v>120</v>
      </c>
      <c r="B957" t="s">
        <v>25</v>
      </c>
      <c r="D957" t="s">
        <v>32</v>
      </c>
      <c r="F957" t="s">
        <v>60</v>
      </c>
    </row>
    <row r="958" spans="1:6" x14ac:dyDescent="0.2">
      <c r="A958" t="s">
        <v>120</v>
      </c>
      <c r="B958" t="s">
        <v>27</v>
      </c>
      <c r="D958" t="s">
        <v>19</v>
      </c>
      <c r="F958" t="s">
        <v>60</v>
      </c>
    </row>
    <row r="959" spans="1:6" x14ac:dyDescent="0.2">
      <c r="A959" t="s">
        <v>120</v>
      </c>
      <c r="B959" t="s">
        <v>39</v>
      </c>
      <c r="D959" t="s">
        <v>38</v>
      </c>
      <c r="F959" t="s">
        <v>60</v>
      </c>
    </row>
    <row r="960" spans="1:6" x14ac:dyDescent="0.2">
      <c r="A960" t="s">
        <v>121</v>
      </c>
      <c r="B960" t="s">
        <v>12</v>
      </c>
      <c r="D960" t="s">
        <v>31</v>
      </c>
      <c r="F960" t="s">
        <v>60</v>
      </c>
    </row>
    <row r="961" spans="1:6" x14ac:dyDescent="0.2">
      <c r="A961" t="s">
        <v>121</v>
      </c>
      <c r="B961" t="s">
        <v>14</v>
      </c>
      <c r="D961" t="s">
        <v>21</v>
      </c>
      <c r="F961" t="s">
        <v>60</v>
      </c>
    </row>
    <row r="962" spans="1:6" x14ac:dyDescent="0.2">
      <c r="A962" t="s">
        <v>121</v>
      </c>
      <c r="B962" t="s">
        <v>20</v>
      </c>
      <c r="D962" t="s">
        <v>23</v>
      </c>
      <c r="F962" t="s">
        <v>60</v>
      </c>
    </row>
    <row r="963" spans="1:6" x14ac:dyDescent="0.2">
      <c r="A963" t="s">
        <v>121</v>
      </c>
      <c r="B963" t="s">
        <v>29</v>
      </c>
      <c r="D963" t="s">
        <v>28</v>
      </c>
      <c r="F963" t="s">
        <v>60</v>
      </c>
    </row>
    <row r="964" spans="1:6" x14ac:dyDescent="0.2">
      <c r="A964" t="s">
        <v>121</v>
      </c>
      <c r="B964" t="s">
        <v>39</v>
      </c>
      <c r="D964" t="s">
        <v>16</v>
      </c>
      <c r="F964" t="s">
        <v>60</v>
      </c>
    </row>
    <row r="965" spans="1:6" x14ac:dyDescent="0.2">
      <c r="A965" t="s">
        <v>121</v>
      </c>
      <c r="B965" t="s">
        <v>36</v>
      </c>
      <c r="D965" t="s">
        <v>17</v>
      </c>
      <c r="F965" t="s">
        <v>60</v>
      </c>
    </row>
    <row r="966" spans="1:6" x14ac:dyDescent="0.2">
      <c r="A966" t="s">
        <v>121</v>
      </c>
      <c r="B966" t="s">
        <v>37</v>
      </c>
      <c r="D966" t="s">
        <v>34</v>
      </c>
      <c r="F966" t="s">
        <v>60</v>
      </c>
    </row>
    <row r="967" spans="1:6" x14ac:dyDescent="0.2">
      <c r="A967" t="s">
        <v>121</v>
      </c>
      <c r="B967" t="s">
        <v>11</v>
      </c>
      <c r="D967" t="s">
        <v>24</v>
      </c>
      <c r="F967" t="s">
        <v>60</v>
      </c>
    </row>
    <row r="968" spans="1:6" x14ac:dyDescent="0.2">
      <c r="A968" t="s">
        <v>121</v>
      </c>
      <c r="B968" t="s">
        <v>18</v>
      </c>
      <c r="D968" t="s">
        <v>33</v>
      </c>
      <c r="F968" t="s">
        <v>60</v>
      </c>
    </row>
    <row r="969" spans="1:6" x14ac:dyDescent="0.2">
      <c r="A969" t="s">
        <v>121</v>
      </c>
      <c r="B969" t="s">
        <v>10</v>
      </c>
      <c r="D969" t="s">
        <v>40</v>
      </c>
      <c r="F969" t="s">
        <v>60</v>
      </c>
    </row>
    <row r="970" spans="1:6" x14ac:dyDescent="0.2">
      <c r="A970" t="s">
        <v>121</v>
      </c>
      <c r="B970" t="s">
        <v>55</v>
      </c>
      <c r="D970" t="s">
        <v>22</v>
      </c>
      <c r="F970" t="s">
        <v>60</v>
      </c>
    </row>
    <row r="971" spans="1:6" x14ac:dyDescent="0.2">
      <c r="A971" t="s">
        <v>122</v>
      </c>
      <c r="B971" t="s">
        <v>30</v>
      </c>
      <c r="D971" t="s">
        <v>31</v>
      </c>
      <c r="F971" t="s">
        <v>60</v>
      </c>
    </row>
    <row r="972" spans="1:6" x14ac:dyDescent="0.2">
      <c r="A972" t="s">
        <v>122</v>
      </c>
      <c r="B972" t="s">
        <v>20</v>
      </c>
      <c r="D972" t="s">
        <v>26</v>
      </c>
      <c r="F972" t="s">
        <v>60</v>
      </c>
    </row>
    <row r="973" spans="1:6" x14ac:dyDescent="0.2">
      <c r="A973" t="s">
        <v>122</v>
      </c>
      <c r="B973" t="s">
        <v>19</v>
      </c>
      <c r="D973" t="s">
        <v>24</v>
      </c>
      <c r="F973" t="s">
        <v>60</v>
      </c>
    </row>
    <row r="974" spans="1:6" x14ac:dyDescent="0.2">
      <c r="A974" t="s">
        <v>122</v>
      </c>
      <c r="B974" t="s">
        <v>35</v>
      </c>
      <c r="D974" t="s">
        <v>32</v>
      </c>
      <c r="F974" t="s">
        <v>60</v>
      </c>
    </row>
    <row r="975" spans="1:6" x14ac:dyDescent="0.2">
      <c r="A975" t="s">
        <v>122</v>
      </c>
      <c r="B975" t="s">
        <v>25</v>
      </c>
      <c r="D975" t="s">
        <v>38</v>
      </c>
      <c r="F975" t="s">
        <v>60</v>
      </c>
    </row>
    <row r="976" spans="1:6" x14ac:dyDescent="0.2">
      <c r="A976" t="s">
        <v>123</v>
      </c>
      <c r="B976" t="s">
        <v>11</v>
      </c>
      <c r="D976" t="s">
        <v>28</v>
      </c>
      <c r="F976" t="s">
        <v>60</v>
      </c>
    </row>
    <row r="977" spans="1:6" x14ac:dyDescent="0.2">
      <c r="A977" t="s">
        <v>123</v>
      </c>
      <c r="B977" t="s">
        <v>36</v>
      </c>
      <c r="D977" t="s">
        <v>16</v>
      </c>
      <c r="F977" t="s">
        <v>60</v>
      </c>
    </row>
    <row r="978" spans="1:6" x14ac:dyDescent="0.2">
      <c r="A978" t="s">
        <v>123</v>
      </c>
      <c r="B978" t="s">
        <v>30</v>
      </c>
      <c r="D978" t="s">
        <v>13</v>
      </c>
      <c r="F978" t="s">
        <v>60</v>
      </c>
    </row>
    <row r="979" spans="1:6" x14ac:dyDescent="0.2">
      <c r="A979" t="s">
        <v>123</v>
      </c>
      <c r="B979" t="s">
        <v>21</v>
      </c>
      <c r="D979" t="s">
        <v>29</v>
      </c>
      <c r="F979" t="s">
        <v>60</v>
      </c>
    </row>
    <row r="980" spans="1:6" x14ac:dyDescent="0.2">
      <c r="A980" t="s">
        <v>123</v>
      </c>
      <c r="B980" t="s">
        <v>19</v>
      </c>
      <c r="D980" t="s">
        <v>15</v>
      </c>
      <c r="F980" t="s">
        <v>60</v>
      </c>
    </row>
    <row r="981" spans="1:6" x14ac:dyDescent="0.2">
      <c r="A981" t="s">
        <v>123</v>
      </c>
      <c r="B981" t="s">
        <v>55</v>
      </c>
      <c r="D981" t="s">
        <v>27</v>
      </c>
      <c r="F981" t="s">
        <v>60</v>
      </c>
    </row>
    <row r="982" spans="1:6" x14ac:dyDescent="0.2">
      <c r="A982" t="s">
        <v>123</v>
      </c>
      <c r="B982" t="s">
        <v>23</v>
      </c>
      <c r="D982" t="s">
        <v>14</v>
      </c>
      <c r="F982" t="s">
        <v>60</v>
      </c>
    </row>
    <row r="983" spans="1:6" x14ac:dyDescent="0.2">
      <c r="A983" t="s">
        <v>123</v>
      </c>
      <c r="B983" t="s">
        <v>37</v>
      </c>
      <c r="D983" t="s">
        <v>40</v>
      </c>
      <c r="F983" t="s">
        <v>60</v>
      </c>
    </row>
    <row r="984" spans="1:6" x14ac:dyDescent="0.2">
      <c r="A984" t="s">
        <v>124</v>
      </c>
      <c r="B984" t="s">
        <v>18</v>
      </c>
      <c r="D984" t="s">
        <v>31</v>
      </c>
      <c r="F984" t="s">
        <v>60</v>
      </c>
    </row>
    <row r="985" spans="1:6" x14ac:dyDescent="0.2">
      <c r="A985" t="s">
        <v>124</v>
      </c>
      <c r="B985" t="s">
        <v>38</v>
      </c>
      <c r="D985" t="s">
        <v>10</v>
      </c>
      <c r="F985" t="s">
        <v>60</v>
      </c>
    </row>
    <row r="986" spans="1:6" x14ac:dyDescent="0.2">
      <c r="A986" t="s">
        <v>124</v>
      </c>
      <c r="B986" t="s">
        <v>12</v>
      </c>
      <c r="D986" t="s">
        <v>39</v>
      </c>
      <c r="F986" t="s">
        <v>60</v>
      </c>
    </row>
    <row r="987" spans="1:6" x14ac:dyDescent="0.2">
      <c r="A987" t="s">
        <v>124</v>
      </c>
      <c r="B987" t="s">
        <v>11</v>
      </c>
      <c r="D987" t="s">
        <v>26</v>
      </c>
      <c r="F987" t="s">
        <v>60</v>
      </c>
    </row>
    <row r="988" spans="1:6" x14ac:dyDescent="0.2">
      <c r="A988" t="s">
        <v>124</v>
      </c>
      <c r="B988" t="s">
        <v>25</v>
      </c>
      <c r="D988" t="s">
        <v>17</v>
      </c>
      <c r="F988" t="s">
        <v>60</v>
      </c>
    </row>
    <row r="989" spans="1:6" x14ac:dyDescent="0.2">
      <c r="A989" t="s">
        <v>124</v>
      </c>
      <c r="B989" t="s">
        <v>35</v>
      </c>
      <c r="D989" t="s">
        <v>33</v>
      </c>
      <c r="F989" t="s">
        <v>60</v>
      </c>
    </row>
    <row r="990" spans="1:6" x14ac:dyDescent="0.2">
      <c r="A990" t="s">
        <v>124</v>
      </c>
      <c r="B990" t="s">
        <v>34</v>
      </c>
      <c r="D990" t="s">
        <v>20</v>
      </c>
      <c r="F990" t="s">
        <v>60</v>
      </c>
    </row>
    <row r="991" spans="1:6" x14ac:dyDescent="0.2">
      <c r="A991" t="s">
        <v>125</v>
      </c>
      <c r="B991" t="s">
        <v>22</v>
      </c>
      <c r="D991" t="s">
        <v>21</v>
      </c>
      <c r="F991" t="s">
        <v>60</v>
      </c>
    </row>
    <row r="992" spans="1:6" x14ac:dyDescent="0.2">
      <c r="A992" t="s">
        <v>125</v>
      </c>
      <c r="B992" t="s">
        <v>29</v>
      </c>
      <c r="D992" t="s">
        <v>23</v>
      </c>
      <c r="F992" t="s">
        <v>60</v>
      </c>
    </row>
    <row r="993" spans="1:6" x14ac:dyDescent="0.2">
      <c r="A993" t="s">
        <v>125</v>
      </c>
      <c r="B993" t="s">
        <v>55</v>
      </c>
      <c r="D993" t="s">
        <v>28</v>
      </c>
      <c r="F993" t="s">
        <v>60</v>
      </c>
    </row>
    <row r="994" spans="1:6" x14ac:dyDescent="0.2">
      <c r="A994" t="s">
        <v>125</v>
      </c>
      <c r="B994" t="s">
        <v>25</v>
      </c>
      <c r="D994" t="s">
        <v>16</v>
      </c>
      <c r="F994" t="s">
        <v>60</v>
      </c>
    </row>
    <row r="995" spans="1:6" x14ac:dyDescent="0.2">
      <c r="A995" t="s">
        <v>125</v>
      </c>
      <c r="B995" t="s">
        <v>18</v>
      </c>
      <c r="D995" t="s">
        <v>13</v>
      </c>
      <c r="F995" t="s">
        <v>60</v>
      </c>
    </row>
    <row r="996" spans="1:6" x14ac:dyDescent="0.2">
      <c r="A996" t="s">
        <v>125</v>
      </c>
      <c r="B996" t="s">
        <v>15</v>
      </c>
      <c r="D996" t="s">
        <v>24</v>
      </c>
      <c r="F996" t="s">
        <v>60</v>
      </c>
    </row>
    <row r="997" spans="1:6" x14ac:dyDescent="0.2">
      <c r="A997" t="s">
        <v>125</v>
      </c>
      <c r="B997" t="s">
        <v>27</v>
      </c>
      <c r="D997" t="s">
        <v>14</v>
      </c>
      <c r="F997" t="s">
        <v>60</v>
      </c>
    </row>
    <row r="998" spans="1:6" x14ac:dyDescent="0.2">
      <c r="A998" t="s">
        <v>125</v>
      </c>
      <c r="B998" t="s">
        <v>36</v>
      </c>
      <c r="D998" t="s">
        <v>32</v>
      </c>
      <c r="F998" t="s">
        <v>60</v>
      </c>
    </row>
    <row r="999" spans="1:6" x14ac:dyDescent="0.2">
      <c r="A999" t="s">
        <v>125</v>
      </c>
      <c r="B999" t="s">
        <v>30</v>
      </c>
      <c r="D999" t="s">
        <v>33</v>
      </c>
      <c r="F999" t="s">
        <v>60</v>
      </c>
    </row>
    <row r="1000" spans="1:6" x14ac:dyDescent="0.2">
      <c r="A1000" t="s">
        <v>125</v>
      </c>
      <c r="B1000" t="s">
        <v>37</v>
      </c>
      <c r="D1000" t="s">
        <v>19</v>
      </c>
      <c r="F1000" t="s">
        <v>60</v>
      </c>
    </row>
    <row r="1001" spans="1:6" x14ac:dyDescent="0.2">
      <c r="A1001" t="s">
        <v>125</v>
      </c>
      <c r="B1001" t="s">
        <v>38</v>
      </c>
      <c r="D1001" t="s">
        <v>40</v>
      </c>
      <c r="F1001" t="s">
        <v>60</v>
      </c>
    </row>
    <row r="1002" spans="1:6" x14ac:dyDescent="0.2">
      <c r="A1002" t="s">
        <v>126</v>
      </c>
      <c r="B1002" t="s">
        <v>35</v>
      </c>
      <c r="D1002" t="s">
        <v>31</v>
      </c>
      <c r="F1002" t="s">
        <v>60</v>
      </c>
    </row>
    <row r="1003" spans="1:6" x14ac:dyDescent="0.2">
      <c r="A1003" t="s">
        <v>126</v>
      </c>
      <c r="B1003" t="s">
        <v>37</v>
      </c>
      <c r="D1003" t="s">
        <v>23</v>
      </c>
      <c r="F1003" t="s">
        <v>60</v>
      </c>
    </row>
    <row r="1004" spans="1:6" x14ac:dyDescent="0.2">
      <c r="A1004" t="s">
        <v>126</v>
      </c>
      <c r="B1004" t="s">
        <v>34</v>
      </c>
      <c r="D1004" t="s">
        <v>12</v>
      </c>
      <c r="F1004" t="s">
        <v>60</v>
      </c>
    </row>
    <row r="1005" spans="1:6" x14ac:dyDescent="0.2">
      <c r="A1005" t="s">
        <v>126</v>
      </c>
      <c r="B1005" t="s">
        <v>10</v>
      </c>
      <c r="D1005" t="s">
        <v>39</v>
      </c>
      <c r="F1005" t="s">
        <v>60</v>
      </c>
    </row>
    <row r="1006" spans="1:6" x14ac:dyDescent="0.2">
      <c r="A1006" t="s">
        <v>126</v>
      </c>
      <c r="B1006" t="s">
        <v>26</v>
      </c>
      <c r="D1006" t="s">
        <v>24</v>
      </c>
      <c r="F1006" t="s">
        <v>60</v>
      </c>
    </row>
    <row r="1007" spans="1:6" x14ac:dyDescent="0.2">
      <c r="A1007" t="s">
        <v>126</v>
      </c>
      <c r="B1007" t="s">
        <v>21</v>
      </c>
      <c r="D1007" t="s">
        <v>14</v>
      </c>
      <c r="F1007" t="s">
        <v>60</v>
      </c>
    </row>
    <row r="1008" spans="1:6" x14ac:dyDescent="0.2">
      <c r="A1008" t="s">
        <v>126</v>
      </c>
      <c r="B1008" t="s">
        <v>17</v>
      </c>
      <c r="D1008" t="s">
        <v>20</v>
      </c>
      <c r="F1008" t="s">
        <v>60</v>
      </c>
    </row>
    <row r="1009" spans="1:6" x14ac:dyDescent="0.2">
      <c r="A1009" t="s">
        <v>127</v>
      </c>
      <c r="B1009" t="s">
        <v>55</v>
      </c>
      <c r="D1009" t="s">
        <v>10</v>
      </c>
      <c r="F1009" t="s">
        <v>60</v>
      </c>
    </row>
    <row r="1010" spans="1:6" x14ac:dyDescent="0.2">
      <c r="A1010" t="s">
        <v>127</v>
      </c>
      <c r="B1010" t="s">
        <v>15</v>
      </c>
      <c r="D1010" t="s">
        <v>27</v>
      </c>
      <c r="F1010" t="s">
        <v>60</v>
      </c>
    </row>
    <row r="1011" spans="1:6" x14ac:dyDescent="0.2">
      <c r="A1011" t="s">
        <v>127</v>
      </c>
      <c r="B1011" t="s">
        <v>36</v>
      </c>
      <c r="D1011" t="s">
        <v>38</v>
      </c>
      <c r="F1011" t="s">
        <v>60</v>
      </c>
    </row>
    <row r="1012" spans="1:6" x14ac:dyDescent="0.2">
      <c r="A1012" t="s">
        <v>127</v>
      </c>
      <c r="B1012" t="s">
        <v>16</v>
      </c>
      <c r="D1012" t="s">
        <v>22</v>
      </c>
      <c r="F1012" t="s">
        <v>60</v>
      </c>
    </row>
    <row r="1013" spans="1:6" x14ac:dyDescent="0.2">
      <c r="A1013" t="s">
        <v>128</v>
      </c>
      <c r="B1013" t="s">
        <v>13</v>
      </c>
      <c r="D1013" t="s">
        <v>21</v>
      </c>
      <c r="F1013" t="s">
        <v>60</v>
      </c>
    </row>
    <row r="1014" spans="1:6" x14ac:dyDescent="0.2">
      <c r="A1014" t="s">
        <v>128</v>
      </c>
      <c r="B1014" t="s">
        <v>33</v>
      </c>
      <c r="D1014" t="s">
        <v>23</v>
      </c>
      <c r="F1014" t="s">
        <v>60</v>
      </c>
    </row>
    <row r="1015" spans="1:6" x14ac:dyDescent="0.2">
      <c r="A1015" t="s">
        <v>128</v>
      </c>
      <c r="B1015" t="s">
        <v>14</v>
      </c>
      <c r="D1015" t="s">
        <v>25</v>
      </c>
      <c r="F1015" t="s">
        <v>60</v>
      </c>
    </row>
    <row r="1016" spans="1:6" x14ac:dyDescent="0.2">
      <c r="A1016" t="s">
        <v>128</v>
      </c>
      <c r="B1016" t="s">
        <v>17</v>
      </c>
      <c r="D1016" t="s">
        <v>12</v>
      </c>
      <c r="F1016" t="s">
        <v>60</v>
      </c>
    </row>
    <row r="1017" spans="1:6" x14ac:dyDescent="0.2">
      <c r="A1017" t="s">
        <v>128</v>
      </c>
      <c r="B1017" t="s">
        <v>20</v>
      </c>
      <c r="D1017" t="s">
        <v>39</v>
      </c>
      <c r="F1017" t="s">
        <v>60</v>
      </c>
    </row>
    <row r="1018" spans="1:6" x14ac:dyDescent="0.2">
      <c r="A1018" t="s">
        <v>128</v>
      </c>
      <c r="B1018" t="s">
        <v>26</v>
      </c>
      <c r="D1018" t="s">
        <v>11</v>
      </c>
      <c r="F1018" t="s">
        <v>60</v>
      </c>
    </row>
    <row r="1019" spans="1:6" x14ac:dyDescent="0.2">
      <c r="A1019" t="s">
        <v>128</v>
      </c>
      <c r="B1019" t="s">
        <v>55</v>
      </c>
      <c r="D1019" t="s">
        <v>34</v>
      </c>
      <c r="F1019" t="s">
        <v>60</v>
      </c>
    </row>
    <row r="1020" spans="1:6" x14ac:dyDescent="0.2">
      <c r="A1020" t="s">
        <v>128</v>
      </c>
      <c r="B1020" t="s">
        <v>19</v>
      </c>
      <c r="D1020" t="s">
        <v>18</v>
      </c>
      <c r="F1020" t="s">
        <v>60</v>
      </c>
    </row>
    <row r="1021" spans="1:6" x14ac:dyDescent="0.2">
      <c r="A1021" t="s">
        <v>128</v>
      </c>
      <c r="B1021" t="s">
        <v>16</v>
      </c>
      <c r="D1021" t="s">
        <v>15</v>
      </c>
      <c r="F1021" t="s">
        <v>60</v>
      </c>
    </row>
    <row r="1022" spans="1:6" x14ac:dyDescent="0.2">
      <c r="A1022" t="s">
        <v>128</v>
      </c>
      <c r="B1022" t="s">
        <v>29</v>
      </c>
      <c r="D1022" t="s">
        <v>32</v>
      </c>
      <c r="F1022" t="s">
        <v>60</v>
      </c>
    </row>
    <row r="1023" spans="1:6" x14ac:dyDescent="0.2">
      <c r="A1023" t="s">
        <v>128</v>
      </c>
      <c r="B1023" t="s">
        <v>30</v>
      </c>
      <c r="D1023" t="s">
        <v>35</v>
      </c>
      <c r="F1023" t="s">
        <v>60</v>
      </c>
    </row>
    <row r="1024" spans="1:6" x14ac:dyDescent="0.2">
      <c r="A1024" t="s">
        <v>128</v>
      </c>
      <c r="B1024" t="s">
        <v>28</v>
      </c>
      <c r="D1024" t="s">
        <v>37</v>
      </c>
      <c r="F1024" t="s">
        <v>60</v>
      </c>
    </row>
    <row r="1025" spans="1:6" x14ac:dyDescent="0.2">
      <c r="A1025" t="s">
        <v>128</v>
      </c>
      <c r="B1025" t="s">
        <v>31</v>
      </c>
      <c r="D1025" t="s">
        <v>40</v>
      </c>
      <c r="F1025" t="s">
        <v>60</v>
      </c>
    </row>
    <row r="1026" spans="1:6" x14ac:dyDescent="0.2">
      <c r="A1026" t="s">
        <v>129</v>
      </c>
      <c r="B1026" t="s">
        <v>18</v>
      </c>
      <c r="D1026" t="s">
        <v>36</v>
      </c>
      <c r="F1026" t="s">
        <v>60</v>
      </c>
    </row>
    <row r="1027" spans="1:6" x14ac:dyDescent="0.2">
      <c r="A1027" t="s">
        <v>129</v>
      </c>
      <c r="B1027" t="s">
        <v>22</v>
      </c>
      <c r="D1027" t="s">
        <v>27</v>
      </c>
      <c r="F1027" t="s">
        <v>60</v>
      </c>
    </row>
    <row r="1028" spans="1:6" x14ac:dyDescent="0.2">
      <c r="A1028" t="s">
        <v>130</v>
      </c>
      <c r="B1028" t="s">
        <v>33</v>
      </c>
      <c r="D1028" t="s">
        <v>21</v>
      </c>
      <c r="F1028" t="s">
        <v>60</v>
      </c>
    </row>
    <row r="1029" spans="1:6" x14ac:dyDescent="0.2">
      <c r="A1029" t="s">
        <v>130</v>
      </c>
      <c r="B1029" t="s">
        <v>22</v>
      </c>
      <c r="D1029" t="s">
        <v>23</v>
      </c>
      <c r="F1029" t="s">
        <v>60</v>
      </c>
    </row>
    <row r="1030" spans="1:6" x14ac:dyDescent="0.2">
      <c r="A1030" t="s">
        <v>130</v>
      </c>
      <c r="B1030" t="s">
        <v>35</v>
      </c>
      <c r="D1030" t="s">
        <v>25</v>
      </c>
      <c r="F1030" t="s">
        <v>60</v>
      </c>
    </row>
    <row r="1031" spans="1:6" x14ac:dyDescent="0.2">
      <c r="A1031" t="s">
        <v>130</v>
      </c>
      <c r="B1031" t="s">
        <v>17</v>
      </c>
      <c r="D1031" t="s">
        <v>39</v>
      </c>
      <c r="F1031" t="s">
        <v>60</v>
      </c>
    </row>
    <row r="1032" spans="1:6" x14ac:dyDescent="0.2">
      <c r="A1032" t="s">
        <v>130</v>
      </c>
      <c r="B1032" t="s">
        <v>28</v>
      </c>
      <c r="D1032" t="s">
        <v>11</v>
      </c>
      <c r="F1032" t="s">
        <v>60</v>
      </c>
    </row>
    <row r="1033" spans="1:6" x14ac:dyDescent="0.2">
      <c r="A1033" t="s">
        <v>130</v>
      </c>
      <c r="B1033" t="s">
        <v>27</v>
      </c>
      <c r="D1033" t="s">
        <v>34</v>
      </c>
      <c r="F1033" t="s">
        <v>60</v>
      </c>
    </row>
    <row r="1034" spans="1:6" x14ac:dyDescent="0.2">
      <c r="A1034" t="s">
        <v>130</v>
      </c>
      <c r="B1034" t="s">
        <v>16</v>
      </c>
      <c r="D1034" t="s">
        <v>24</v>
      </c>
      <c r="F1034" t="s">
        <v>60</v>
      </c>
    </row>
    <row r="1035" spans="1:6" x14ac:dyDescent="0.2">
      <c r="A1035" t="s">
        <v>130</v>
      </c>
      <c r="B1035" t="s">
        <v>12</v>
      </c>
      <c r="D1035" t="s">
        <v>32</v>
      </c>
      <c r="F1035" t="s">
        <v>60</v>
      </c>
    </row>
    <row r="1036" spans="1:6" x14ac:dyDescent="0.2">
      <c r="A1036" t="s">
        <v>130</v>
      </c>
      <c r="B1036" t="s">
        <v>26</v>
      </c>
      <c r="D1036" t="s">
        <v>37</v>
      </c>
      <c r="F1036" t="s">
        <v>60</v>
      </c>
    </row>
    <row r="1037" spans="1:6" x14ac:dyDescent="0.2">
      <c r="A1037" t="s">
        <v>130</v>
      </c>
      <c r="B1037" t="s">
        <v>31</v>
      </c>
      <c r="D1037" t="s">
        <v>19</v>
      </c>
      <c r="F1037" t="s">
        <v>60</v>
      </c>
    </row>
    <row r="1038" spans="1:6" x14ac:dyDescent="0.2">
      <c r="A1038" t="s">
        <v>130</v>
      </c>
      <c r="B1038" t="s">
        <v>10</v>
      </c>
      <c r="D1038" t="s">
        <v>55</v>
      </c>
      <c r="F1038" t="s">
        <v>60</v>
      </c>
    </row>
    <row r="1039" spans="1:6" x14ac:dyDescent="0.2">
      <c r="A1039" t="s">
        <v>130</v>
      </c>
      <c r="B1039" t="s">
        <v>29</v>
      </c>
      <c r="D1039" t="s">
        <v>38</v>
      </c>
      <c r="F1039" t="s">
        <v>60</v>
      </c>
    </row>
    <row r="1040" spans="1:6" x14ac:dyDescent="0.2">
      <c r="A1040" t="s">
        <v>130</v>
      </c>
      <c r="B1040" t="s">
        <v>14</v>
      </c>
      <c r="D1040" t="s">
        <v>20</v>
      </c>
      <c r="F1040" t="s">
        <v>60</v>
      </c>
    </row>
    <row r="1041" spans="1:6" x14ac:dyDescent="0.2">
      <c r="A1041" t="s">
        <v>130</v>
      </c>
      <c r="B1041" t="s">
        <v>15</v>
      </c>
      <c r="D1041" t="s">
        <v>40</v>
      </c>
      <c r="F1041" t="s">
        <v>60</v>
      </c>
    </row>
    <row r="1042" spans="1:6" x14ac:dyDescent="0.2">
      <c r="A1042" t="s">
        <v>131</v>
      </c>
      <c r="B1042" t="s">
        <v>13</v>
      </c>
      <c r="D1042" t="s">
        <v>30</v>
      </c>
      <c r="F1042" t="s">
        <v>60</v>
      </c>
    </row>
    <row r="1043" spans="1:6" x14ac:dyDescent="0.2">
      <c r="A1043" t="s">
        <v>131</v>
      </c>
      <c r="B1043" t="s">
        <v>17</v>
      </c>
      <c r="D1043" t="s">
        <v>35</v>
      </c>
      <c r="F1043" t="s">
        <v>60</v>
      </c>
    </row>
    <row r="1044" spans="1:6" x14ac:dyDescent="0.2">
      <c r="A1044" t="s">
        <v>132</v>
      </c>
      <c r="B1044" t="s">
        <v>19</v>
      </c>
      <c r="D1044" t="s">
        <v>23</v>
      </c>
      <c r="F1044" t="s">
        <v>60</v>
      </c>
    </row>
    <row r="1045" spans="1:6" x14ac:dyDescent="0.2">
      <c r="A1045" t="s">
        <v>132</v>
      </c>
      <c r="B1045" t="s">
        <v>26</v>
      </c>
      <c r="D1045" t="s">
        <v>39</v>
      </c>
      <c r="F1045" t="s">
        <v>60</v>
      </c>
    </row>
    <row r="1046" spans="1:6" x14ac:dyDescent="0.2">
      <c r="A1046" t="s">
        <v>132</v>
      </c>
      <c r="B1046" t="s">
        <v>15</v>
      </c>
      <c r="D1046" t="s">
        <v>34</v>
      </c>
      <c r="F1046" t="s">
        <v>60</v>
      </c>
    </row>
    <row r="1047" spans="1:6" x14ac:dyDescent="0.2">
      <c r="A1047" t="s">
        <v>132</v>
      </c>
      <c r="B1047" t="s">
        <v>33</v>
      </c>
      <c r="D1047" t="s">
        <v>18</v>
      </c>
      <c r="F1047" t="s">
        <v>60</v>
      </c>
    </row>
    <row r="1048" spans="1:6" x14ac:dyDescent="0.2">
      <c r="A1048" t="s">
        <v>132</v>
      </c>
      <c r="B1048" t="s">
        <v>13</v>
      </c>
      <c r="D1048" t="s">
        <v>24</v>
      </c>
      <c r="F1048" t="s">
        <v>60</v>
      </c>
    </row>
    <row r="1049" spans="1:6" x14ac:dyDescent="0.2">
      <c r="A1049" t="s">
        <v>132</v>
      </c>
      <c r="B1049" t="s">
        <v>16</v>
      </c>
      <c r="D1049" t="s">
        <v>30</v>
      </c>
      <c r="F1049" t="s">
        <v>60</v>
      </c>
    </row>
    <row r="1050" spans="1:6" x14ac:dyDescent="0.2">
      <c r="A1050" t="s">
        <v>132</v>
      </c>
      <c r="B1050" t="s">
        <v>31</v>
      </c>
      <c r="D1050" t="s">
        <v>36</v>
      </c>
      <c r="F1050" t="s">
        <v>60</v>
      </c>
    </row>
    <row r="1051" spans="1:6" x14ac:dyDescent="0.2">
      <c r="A1051" t="s">
        <v>132</v>
      </c>
      <c r="B1051" t="s">
        <v>28</v>
      </c>
      <c r="D1051" t="s">
        <v>27</v>
      </c>
      <c r="F1051" t="s">
        <v>60</v>
      </c>
    </row>
    <row r="1052" spans="1:6" x14ac:dyDescent="0.2">
      <c r="A1052" t="s">
        <v>132</v>
      </c>
      <c r="B1052" t="s">
        <v>25</v>
      </c>
      <c r="D1052" t="s">
        <v>37</v>
      </c>
      <c r="F1052" t="s">
        <v>60</v>
      </c>
    </row>
    <row r="1053" spans="1:6" x14ac:dyDescent="0.2">
      <c r="A1053" t="s">
        <v>132</v>
      </c>
      <c r="B1053" t="s">
        <v>14</v>
      </c>
      <c r="D1053" t="s">
        <v>55</v>
      </c>
      <c r="F1053" t="s">
        <v>60</v>
      </c>
    </row>
    <row r="1054" spans="1:6" x14ac:dyDescent="0.2">
      <c r="A1054" t="s">
        <v>132</v>
      </c>
      <c r="B1054" t="s">
        <v>32</v>
      </c>
      <c r="D1054" t="s">
        <v>38</v>
      </c>
      <c r="F1054" t="s">
        <v>60</v>
      </c>
    </row>
    <row r="1055" spans="1:6" x14ac:dyDescent="0.2">
      <c r="A1055" t="s">
        <v>132</v>
      </c>
      <c r="B1055" t="s">
        <v>10</v>
      </c>
      <c r="D1055" t="s">
        <v>20</v>
      </c>
      <c r="F1055" t="s">
        <v>60</v>
      </c>
    </row>
    <row r="1056" spans="1:6" x14ac:dyDescent="0.2">
      <c r="A1056" t="s">
        <v>132</v>
      </c>
      <c r="B1056" t="s">
        <v>12</v>
      </c>
      <c r="D1056" t="s">
        <v>40</v>
      </c>
      <c r="F1056" t="s">
        <v>60</v>
      </c>
    </row>
    <row r="1057" spans="1:6" x14ac:dyDescent="0.2">
      <c r="A1057" t="s">
        <v>132</v>
      </c>
      <c r="B1057" t="s">
        <v>21</v>
      </c>
      <c r="D1057" t="s">
        <v>22</v>
      </c>
      <c r="F1057" t="s">
        <v>60</v>
      </c>
    </row>
    <row r="1058" spans="1:6" x14ac:dyDescent="0.2">
      <c r="A1058" t="s">
        <v>133</v>
      </c>
      <c r="B1058" t="s">
        <v>29</v>
      </c>
      <c r="D1058" t="s">
        <v>17</v>
      </c>
      <c r="F1058" t="s">
        <v>60</v>
      </c>
    </row>
    <row r="1059" spans="1:6" x14ac:dyDescent="0.2">
      <c r="A1059" t="s">
        <v>133</v>
      </c>
      <c r="B1059" t="s">
        <v>19</v>
      </c>
      <c r="D1059" t="s">
        <v>34</v>
      </c>
      <c r="F1059" t="s">
        <v>60</v>
      </c>
    </row>
    <row r="1060" spans="1:6" x14ac:dyDescent="0.2">
      <c r="A1060" t="s">
        <v>133</v>
      </c>
      <c r="B1060" t="s">
        <v>31</v>
      </c>
      <c r="D1060" t="s">
        <v>18</v>
      </c>
      <c r="F1060" t="s">
        <v>60</v>
      </c>
    </row>
    <row r="1061" spans="1:6" x14ac:dyDescent="0.2">
      <c r="A1061" t="s">
        <v>133</v>
      </c>
      <c r="B1061" t="s">
        <v>33</v>
      </c>
      <c r="D1061" t="s">
        <v>36</v>
      </c>
      <c r="F1061" t="s">
        <v>60</v>
      </c>
    </row>
    <row r="1062" spans="1:6" x14ac:dyDescent="0.2">
      <c r="A1062" t="s">
        <v>133</v>
      </c>
      <c r="B1062" t="s">
        <v>11</v>
      </c>
      <c r="D1062" t="s">
        <v>32</v>
      </c>
      <c r="F1062" t="s">
        <v>60</v>
      </c>
    </row>
    <row r="1063" spans="1:6" x14ac:dyDescent="0.2">
      <c r="A1063" t="s">
        <v>133</v>
      </c>
      <c r="B1063" t="s">
        <v>35</v>
      </c>
      <c r="D1063" t="s">
        <v>40</v>
      </c>
      <c r="F1063" t="s">
        <v>60</v>
      </c>
    </row>
    <row r="1064" spans="1:6" x14ac:dyDescent="0.2">
      <c r="A1064" t="s">
        <v>134</v>
      </c>
      <c r="B1064" t="s">
        <v>14</v>
      </c>
      <c r="D1064" t="s">
        <v>12</v>
      </c>
      <c r="F1064" t="s">
        <v>60</v>
      </c>
    </row>
    <row r="1065" spans="1:6" x14ac:dyDescent="0.2">
      <c r="A1065" t="s">
        <v>134</v>
      </c>
      <c r="B1065" t="s">
        <v>55</v>
      </c>
      <c r="D1065" t="s">
        <v>39</v>
      </c>
      <c r="F1065" t="s">
        <v>60</v>
      </c>
    </row>
    <row r="1066" spans="1:6" x14ac:dyDescent="0.2">
      <c r="A1066" t="s">
        <v>134</v>
      </c>
      <c r="B1066" t="s">
        <v>16</v>
      </c>
      <c r="D1066" t="s">
        <v>26</v>
      </c>
      <c r="F1066" t="s">
        <v>60</v>
      </c>
    </row>
    <row r="1067" spans="1:6" x14ac:dyDescent="0.2">
      <c r="A1067" t="s">
        <v>134</v>
      </c>
      <c r="B1067" t="s">
        <v>21</v>
      </c>
      <c r="D1067" t="s">
        <v>24</v>
      </c>
      <c r="F1067" t="s">
        <v>60</v>
      </c>
    </row>
    <row r="1068" spans="1:6" x14ac:dyDescent="0.2">
      <c r="A1068" t="s">
        <v>134</v>
      </c>
      <c r="B1068" t="s">
        <v>13</v>
      </c>
      <c r="D1068" t="s">
        <v>15</v>
      </c>
      <c r="F1068" t="s">
        <v>60</v>
      </c>
    </row>
    <row r="1069" spans="1:6" x14ac:dyDescent="0.2">
      <c r="A1069" t="s">
        <v>135</v>
      </c>
      <c r="B1069" t="s">
        <v>25</v>
      </c>
      <c r="D1069" t="s">
        <v>28</v>
      </c>
      <c r="F1069" t="s">
        <v>60</v>
      </c>
    </row>
    <row r="1070" spans="1:6" x14ac:dyDescent="0.2">
      <c r="A1070" t="s">
        <v>135</v>
      </c>
      <c r="B1070" t="s">
        <v>34</v>
      </c>
      <c r="D1070" t="s">
        <v>10</v>
      </c>
      <c r="F1070" t="s">
        <v>60</v>
      </c>
    </row>
    <row r="1071" spans="1:6" x14ac:dyDescent="0.2">
      <c r="A1071" t="s">
        <v>135</v>
      </c>
      <c r="B1071" t="s">
        <v>33</v>
      </c>
      <c r="D1071" t="s">
        <v>17</v>
      </c>
      <c r="F1071" t="s">
        <v>60</v>
      </c>
    </row>
    <row r="1072" spans="1:6" x14ac:dyDescent="0.2">
      <c r="A1072" t="s">
        <v>135</v>
      </c>
      <c r="B1072" t="s">
        <v>21</v>
      </c>
      <c r="D1072" t="s">
        <v>18</v>
      </c>
      <c r="F1072" t="s">
        <v>60</v>
      </c>
    </row>
    <row r="1073" spans="1:6" x14ac:dyDescent="0.2">
      <c r="A1073" t="s">
        <v>135</v>
      </c>
      <c r="B1073" t="s">
        <v>37</v>
      </c>
      <c r="D1073" t="s">
        <v>32</v>
      </c>
      <c r="F1073" t="s">
        <v>60</v>
      </c>
    </row>
    <row r="1074" spans="1:6" x14ac:dyDescent="0.2">
      <c r="A1074" t="s">
        <v>135</v>
      </c>
      <c r="B1074" t="s">
        <v>30</v>
      </c>
      <c r="D1074" t="s">
        <v>19</v>
      </c>
      <c r="F1074" t="s">
        <v>60</v>
      </c>
    </row>
    <row r="1075" spans="1:6" x14ac:dyDescent="0.2">
      <c r="A1075" t="s">
        <v>135</v>
      </c>
      <c r="B1075" t="s">
        <v>11</v>
      </c>
      <c r="D1075" t="s">
        <v>38</v>
      </c>
      <c r="F1075" t="s">
        <v>60</v>
      </c>
    </row>
    <row r="1076" spans="1:6" x14ac:dyDescent="0.2">
      <c r="A1076" t="s">
        <v>135</v>
      </c>
      <c r="B1076" t="s">
        <v>23</v>
      </c>
      <c r="D1076" t="s">
        <v>20</v>
      </c>
      <c r="F1076" t="s">
        <v>60</v>
      </c>
    </row>
    <row r="1077" spans="1:6" x14ac:dyDescent="0.2">
      <c r="A1077" t="s">
        <v>135</v>
      </c>
      <c r="B1077" t="s">
        <v>29</v>
      </c>
      <c r="D1077" t="s">
        <v>40</v>
      </c>
      <c r="F1077" t="s">
        <v>60</v>
      </c>
    </row>
    <row r="1078" spans="1:6" x14ac:dyDescent="0.2">
      <c r="A1078" t="s">
        <v>136</v>
      </c>
      <c r="B1078" t="s">
        <v>27</v>
      </c>
      <c r="D1078" t="s">
        <v>31</v>
      </c>
      <c r="F1078" t="s">
        <v>60</v>
      </c>
    </row>
    <row r="1079" spans="1:6" x14ac:dyDescent="0.2">
      <c r="A1079" t="s">
        <v>136</v>
      </c>
      <c r="B1079" t="s">
        <v>14</v>
      </c>
      <c r="D1079" t="s">
        <v>25</v>
      </c>
      <c r="F1079" t="s">
        <v>60</v>
      </c>
    </row>
    <row r="1080" spans="1:6" x14ac:dyDescent="0.2">
      <c r="A1080" t="s">
        <v>136</v>
      </c>
      <c r="B1080" t="s">
        <v>35</v>
      </c>
      <c r="D1080" t="s">
        <v>16</v>
      </c>
      <c r="F1080" t="s">
        <v>60</v>
      </c>
    </row>
    <row r="1081" spans="1:6" x14ac:dyDescent="0.2">
      <c r="A1081" t="s">
        <v>136</v>
      </c>
      <c r="B1081" t="s">
        <v>39</v>
      </c>
      <c r="D1081" t="s">
        <v>12</v>
      </c>
      <c r="F1081" t="s">
        <v>60</v>
      </c>
    </row>
    <row r="1082" spans="1:6" x14ac:dyDescent="0.2">
      <c r="A1082" t="s">
        <v>136</v>
      </c>
      <c r="B1082" t="s">
        <v>24</v>
      </c>
      <c r="D1082" t="s">
        <v>15</v>
      </c>
      <c r="F1082" t="s">
        <v>60</v>
      </c>
    </row>
    <row r="1083" spans="1:6" x14ac:dyDescent="0.2">
      <c r="A1083" t="s">
        <v>136</v>
      </c>
      <c r="B1083" t="s">
        <v>36</v>
      </c>
      <c r="D1083" t="s">
        <v>22</v>
      </c>
      <c r="F1083" t="s">
        <v>60</v>
      </c>
    </row>
    <row r="1084" spans="1:6" x14ac:dyDescent="0.2">
      <c r="A1084" t="s">
        <v>137</v>
      </c>
      <c r="B1084" t="s">
        <v>40</v>
      </c>
      <c r="D1084" t="s">
        <v>21</v>
      </c>
      <c r="F1084" t="s">
        <v>60</v>
      </c>
    </row>
    <row r="1085" spans="1:6" x14ac:dyDescent="0.2">
      <c r="A1085" t="s">
        <v>137</v>
      </c>
      <c r="B1085" t="s">
        <v>15</v>
      </c>
      <c r="D1085" t="s">
        <v>28</v>
      </c>
      <c r="F1085" t="s">
        <v>60</v>
      </c>
    </row>
    <row r="1086" spans="1:6" x14ac:dyDescent="0.2">
      <c r="A1086" t="s">
        <v>137</v>
      </c>
      <c r="B1086" t="s">
        <v>18</v>
      </c>
      <c r="D1086" t="s">
        <v>26</v>
      </c>
      <c r="F1086" t="s">
        <v>60</v>
      </c>
    </row>
    <row r="1087" spans="1:6" x14ac:dyDescent="0.2">
      <c r="A1087" t="s">
        <v>137</v>
      </c>
      <c r="B1087" t="s">
        <v>11</v>
      </c>
      <c r="D1087" t="s">
        <v>17</v>
      </c>
      <c r="F1087" t="s">
        <v>60</v>
      </c>
    </row>
    <row r="1088" spans="1:6" x14ac:dyDescent="0.2">
      <c r="A1088" t="s">
        <v>137</v>
      </c>
      <c r="B1088" t="s">
        <v>27</v>
      </c>
      <c r="D1088" t="s">
        <v>13</v>
      </c>
      <c r="F1088" t="s">
        <v>60</v>
      </c>
    </row>
    <row r="1089" spans="1:6" x14ac:dyDescent="0.2">
      <c r="A1089" t="s">
        <v>137</v>
      </c>
      <c r="B1089" t="s">
        <v>10</v>
      </c>
      <c r="D1089" t="s">
        <v>34</v>
      </c>
      <c r="F1089" t="s">
        <v>60</v>
      </c>
    </row>
    <row r="1090" spans="1:6" x14ac:dyDescent="0.2">
      <c r="A1090" t="s">
        <v>137</v>
      </c>
      <c r="B1090" t="s">
        <v>32</v>
      </c>
      <c r="D1090" t="s">
        <v>29</v>
      </c>
      <c r="F1090" t="s">
        <v>60</v>
      </c>
    </row>
    <row r="1091" spans="1:6" x14ac:dyDescent="0.2">
      <c r="A1091" t="s">
        <v>137</v>
      </c>
      <c r="B1091" t="s">
        <v>30</v>
      </c>
      <c r="D1091" t="s">
        <v>36</v>
      </c>
      <c r="F1091" t="s">
        <v>60</v>
      </c>
    </row>
    <row r="1092" spans="1:6" x14ac:dyDescent="0.2">
      <c r="A1092" t="s">
        <v>137</v>
      </c>
      <c r="B1092" t="s">
        <v>23</v>
      </c>
      <c r="D1092" t="s">
        <v>33</v>
      </c>
      <c r="F1092" t="s">
        <v>60</v>
      </c>
    </row>
    <row r="1093" spans="1:6" x14ac:dyDescent="0.2">
      <c r="A1093" t="s">
        <v>137</v>
      </c>
      <c r="B1093" t="s">
        <v>37</v>
      </c>
      <c r="D1093" t="s">
        <v>38</v>
      </c>
      <c r="F1093" t="s">
        <v>60</v>
      </c>
    </row>
    <row r="1094" spans="1:6" x14ac:dyDescent="0.2">
      <c r="A1094" t="s">
        <v>137</v>
      </c>
      <c r="B1094" t="s">
        <v>55</v>
      </c>
      <c r="D1094" t="s">
        <v>20</v>
      </c>
      <c r="F1094" t="s">
        <v>60</v>
      </c>
    </row>
    <row r="1095" spans="1:6" x14ac:dyDescent="0.2">
      <c r="A1095" t="s">
        <v>138</v>
      </c>
      <c r="B1095" t="s">
        <v>11</v>
      </c>
      <c r="D1095" t="s">
        <v>16</v>
      </c>
      <c r="F1095" t="s">
        <v>60</v>
      </c>
    </row>
    <row r="1096" spans="1:6" x14ac:dyDescent="0.2">
      <c r="A1096" t="s">
        <v>138</v>
      </c>
      <c r="B1096" t="s">
        <v>12</v>
      </c>
      <c r="D1096" t="s">
        <v>10</v>
      </c>
      <c r="F1096" t="s">
        <v>60</v>
      </c>
    </row>
    <row r="1097" spans="1:6" x14ac:dyDescent="0.2">
      <c r="A1097" t="s">
        <v>138</v>
      </c>
      <c r="B1097" t="s">
        <v>25</v>
      </c>
      <c r="D1097" t="s">
        <v>19</v>
      </c>
      <c r="F1097" t="s">
        <v>60</v>
      </c>
    </row>
    <row r="1098" spans="1:6" x14ac:dyDescent="0.2">
      <c r="A1098" t="s">
        <v>138</v>
      </c>
      <c r="B1098" t="s">
        <v>31</v>
      </c>
      <c r="D1098" t="s">
        <v>55</v>
      </c>
      <c r="F1098" t="s">
        <v>60</v>
      </c>
    </row>
    <row r="1099" spans="1:6" x14ac:dyDescent="0.2">
      <c r="A1099" t="s">
        <v>138</v>
      </c>
      <c r="B1099" t="s">
        <v>24</v>
      </c>
      <c r="D1099" t="s">
        <v>22</v>
      </c>
      <c r="F1099" t="s">
        <v>60</v>
      </c>
    </row>
    <row r="1100" spans="1:6" x14ac:dyDescent="0.2">
      <c r="A1100" t="s">
        <v>139</v>
      </c>
      <c r="B1100" t="s">
        <v>32</v>
      </c>
      <c r="D1100" t="s">
        <v>28</v>
      </c>
      <c r="F1100" t="s">
        <v>60</v>
      </c>
    </row>
    <row r="1101" spans="1:6" x14ac:dyDescent="0.2">
      <c r="A1101" t="s">
        <v>139</v>
      </c>
      <c r="B1101" t="s">
        <v>21</v>
      </c>
      <c r="D1101" t="s">
        <v>26</v>
      </c>
      <c r="F1101" t="s">
        <v>60</v>
      </c>
    </row>
    <row r="1102" spans="1:6" x14ac:dyDescent="0.2">
      <c r="A1102" t="s">
        <v>139</v>
      </c>
      <c r="B1102" t="s">
        <v>37</v>
      </c>
      <c r="D1102" t="s">
        <v>17</v>
      </c>
      <c r="F1102" t="s">
        <v>60</v>
      </c>
    </row>
    <row r="1103" spans="1:6" x14ac:dyDescent="0.2">
      <c r="A1103" t="s">
        <v>139</v>
      </c>
      <c r="B1103" t="s">
        <v>23</v>
      </c>
      <c r="D1103" t="s">
        <v>13</v>
      </c>
      <c r="F1103" t="s">
        <v>60</v>
      </c>
    </row>
    <row r="1104" spans="1:6" x14ac:dyDescent="0.2">
      <c r="A1104" t="s">
        <v>139</v>
      </c>
      <c r="B1104" t="s">
        <v>39</v>
      </c>
      <c r="D1104" t="s">
        <v>34</v>
      </c>
      <c r="F1104" t="s">
        <v>60</v>
      </c>
    </row>
    <row r="1105" spans="1:6" x14ac:dyDescent="0.2">
      <c r="A1105" t="s">
        <v>139</v>
      </c>
      <c r="B1105" t="s">
        <v>30</v>
      </c>
      <c r="D1105" t="s">
        <v>18</v>
      </c>
      <c r="F1105" t="s">
        <v>60</v>
      </c>
    </row>
    <row r="1106" spans="1:6" x14ac:dyDescent="0.2">
      <c r="A1106" t="s">
        <v>139</v>
      </c>
      <c r="B1106" t="s">
        <v>20</v>
      </c>
      <c r="D1106" t="s">
        <v>29</v>
      </c>
      <c r="F1106" t="s">
        <v>60</v>
      </c>
    </row>
    <row r="1107" spans="1:6" x14ac:dyDescent="0.2">
      <c r="A1107" t="s">
        <v>139</v>
      </c>
      <c r="B1107" t="s">
        <v>19</v>
      </c>
      <c r="D1107" t="s">
        <v>36</v>
      </c>
      <c r="F1107" t="s">
        <v>60</v>
      </c>
    </row>
    <row r="1108" spans="1:6" x14ac:dyDescent="0.2">
      <c r="A1108" t="s">
        <v>139</v>
      </c>
      <c r="B1108" t="s">
        <v>40</v>
      </c>
      <c r="D1108" t="s">
        <v>14</v>
      </c>
      <c r="F1108" t="s">
        <v>60</v>
      </c>
    </row>
    <row r="1109" spans="1:6" x14ac:dyDescent="0.2">
      <c r="A1109" t="s">
        <v>139</v>
      </c>
      <c r="B1109" t="s">
        <v>27</v>
      </c>
      <c r="D1109" t="s">
        <v>33</v>
      </c>
      <c r="F1109" t="s">
        <v>60</v>
      </c>
    </row>
    <row r="1110" spans="1:6" x14ac:dyDescent="0.2">
      <c r="A1110" t="s">
        <v>139</v>
      </c>
      <c r="B1110" t="s">
        <v>35</v>
      </c>
      <c r="D1110" t="s">
        <v>38</v>
      </c>
      <c r="F1110" t="s">
        <v>60</v>
      </c>
    </row>
    <row r="1111" spans="1:6" x14ac:dyDescent="0.2">
      <c r="A1111" t="s">
        <v>140</v>
      </c>
      <c r="B1111" t="s">
        <v>23</v>
      </c>
      <c r="D1111" t="s">
        <v>31</v>
      </c>
      <c r="F1111" t="s">
        <v>60</v>
      </c>
    </row>
    <row r="1112" spans="1:6" x14ac:dyDescent="0.2">
      <c r="A1112" t="s">
        <v>140</v>
      </c>
      <c r="B1112" t="s">
        <v>37</v>
      </c>
      <c r="D1112" t="s">
        <v>16</v>
      </c>
      <c r="F1112" t="s">
        <v>60</v>
      </c>
    </row>
    <row r="1113" spans="1:6" x14ac:dyDescent="0.2">
      <c r="A1113" t="s">
        <v>140</v>
      </c>
      <c r="B1113" t="s">
        <v>29</v>
      </c>
      <c r="D1113" t="s">
        <v>10</v>
      </c>
      <c r="F1113" t="s">
        <v>60</v>
      </c>
    </row>
    <row r="1114" spans="1:6" x14ac:dyDescent="0.2">
      <c r="A1114" t="s">
        <v>140</v>
      </c>
      <c r="B1114" t="s">
        <v>20</v>
      </c>
      <c r="D1114" t="s">
        <v>39</v>
      </c>
      <c r="F1114" t="s">
        <v>60</v>
      </c>
    </row>
    <row r="1115" spans="1:6" x14ac:dyDescent="0.2">
      <c r="A1115" t="s">
        <v>140</v>
      </c>
      <c r="B1115" t="s">
        <v>28</v>
      </c>
      <c r="D1115" t="s">
        <v>30</v>
      </c>
      <c r="F1115" t="s">
        <v>60</v>
      </c>
    </row>
    <row r="1116" spans="1:6" x14ac:dyDescent="0.2">
      <c r="A1116" t="s">
        <v>140</v>
      </c>
      <c r="B1116" t="s">
        <v>40</v>
      </c>
      <c r="D1116" t="s">
        <v>15</v>
      </c>
      <c r="F1116" t="s">
        <v>60</v>
      </c>
    </row>
    <row r="1117" spans="1:6" x14ac:dyDescent="0.2">
      <c r="A1117" t="s">
        <v>140</v>
      </c>
      <c r="B1117" t="s">
        <v>25</v>
      </c>
      <c r="D1117" t="s">
        <v>14</v>
      </c>
      <c r="F1117" t="s">
        <v>60</v>
      </c>
    </row>
    <row r="1118" spans="1:6" x14ac:dyDescent="0.2">
      <c r="A1118" t="s">
        <v>140</v>
      </c>
      <c r="B1118" t="s">
        <v>13</v>
      </c>
      <c r="D1118" t="s">
        <v>55</v>
      </c>
      <c r="F1118" t="s">
        <v>60</v>
      </c>
    </row>
    <row r="1119" spans="1:6" x14ac:dyDescent="0.2">
      <c r="A1119" t="s">
        <v>140</v>
      </c>
      <c r="B1119" t="s">
        <v>12</v>
      </c>
      <c r="D1119" t="s">
        <v>22</v>
      </c>
      <c r="F1119" t="s">
        <v>60</v>
      </c>
    </row>
    <row r="1120" spans="1:6" x14ac:dyDescent="0.2">
      <c r="A1120" t="s">
        <v>141</v>
      </c>
      <c r="B1120" t="s">
        <v>36</v>
      </c>
      <c r="D1120" t="s">
        <v>15</v>
      </c>
      <c r="F1120" t="s">
        <v>60</v>
      </c>
    </row>
    <row r="1121" spans="1:6" x14ac:dyDescent="0.2">
      <c r="A1121" t="s">
        <v>142</v>
      </c>
      <c r="B1121" t="s">
        <v>19</v>
      </c>
      <c r="D1121" t="s">
        <v>21</v>
      </c>
      <c r="F1121" t="s">
        <v>60</v>
      </c>
    </row>
    <row r="1122" spans="1:6" x14ac:dyDescent="0.2">
      <c r="A1122" t="s">
        <v>142</v>
      </c>
      <c r="B1122" t="s">
        <v>13</v>
      </c>
      <c r="D1122" t="s">
        <v>16</v>
      </c>
      <c r="F1122" t="s">
        <v>60</v>
      </c>
    </row>
    <row r="1123" spans="1:6" x14ac:dyDescent="0.2">
      <c r="A1123" t="s">
        <v>142</v>
      </c>
      <c r="B1123" t="s">
        <v>24</v>
      </c>
      <c r="D1123" t="s">
        <v>39</v>
      </c>
      <c r="F1123" t="s">
        <v>60</v>
      </c>
    </row>
    <row r="1124" spans="1:6" x14ac:dyDescent="0.2">
      <c r="A1124" t="s">
        <v>142</v>
      </c>
      <c r="B1124" t="s">
        <v>36</v>
      </c>
      <c r="D1124" t="s">
        <v>26</v>
      </c>
      <c r="F1124" t="s">
        <v>60</v>
      </c>
    </row>
    <row r="1125" spans="1:6" x14ac:dyDescent="0.2">
      <c r="A1125" t="s">
        <v>142</v>
      </c>
      <c r="B1125" t="s">
        <v>32</v>
      </c>
      <c r="D1125" t="s">
        <v>11</v>
      </c>
      <c r="F1125" t="s">
        <v>60</v>
      </c>
    </row>
    <row r="1126" spans="1:6" x14ac:dyDescent="0.2">
      <c r="A1126" t="s">
        <v>142</v>
      </c>
      <c r="B1126" t="s">
        <v>25</v>
      </c>
      <c r="D1126" t="s">
        <v>18</v>
      </c>
      <c r="F1126" t="s">
        <v>60</v>
      </c>
    </row>
    <row r="1127" spans="1:6" x14ac:dyDescent="0.2">
      <c r="A1127" t="s">
        <v>142</v>
      </c>
      <c r="B1127" t="s">
        <v>33</v>
      </c>
      <c r="D1127" t="s">
        <v>29</v>
      </c>
      <c r="F1127" t="s">
        <v>60</v>
      </c>
    </row>
    <row r="1128" spans="1:6" x14ac:dyDescent="0.2">
      <c r="A1128" t="s">
        <v>142</v>
      </c>
      <c r="B1128" t="s">
        <v>10</v>
      </c>
      <c r="D1128" t="s">
        <v>30</v>
      </c>
      <c r="F1128" t="s">
        <v>60</v>
      </c>
    </row>
    <row r="1129" spans="1:6" x14ac:dyDescent="0.2">
      <c r="A1129" t="s">
        <v>142</v>
      </c>
      <c r="B1129" t="s">
        <v>28</v>
      </c>
      <c r="D1129" t="s">
        <v>27</v>
      </c>
      <c r="F1129" t="s">
        <v>60</v>
      </c>
    </row>
    <row r="1130" spans="1:6" x14ac:dyDescent="0.2">
      <c r="A1130" t="s">
        <v>142</v>
      </c>
      <c r="B1130" t="s">
        <v>12</v>
      </c>
      <c r="D1130" t="s">
        <v>14</v>
      </c>
      <c r="F1130" t="s">
        <v>60</v>
      </c>
    </row>
    <row r="1131" spans="1:6" x14ac:dyDescent="0.2">
      <c r="A1131" t="s">
        <v>142</v>
      </c>
      <c r="B1131" t="s">
        <v>22</v>
      </c>
      <c r="D1131" t="s">
        <v>35</v>
      </c>
      <c r="F1131" t="s">
        <v>60</v>
      </c>
    </row>
    <row r="1132" spans="1:6" x14ac:dyDescent="0.2">
      <c r="A1132" t="s">
        <v>142</v>
      </c>
      <c r="B1132" t="s">
        <v>34</v>
      </c>
      <c r="D1132" t="s">
        <v>37</v>
      </c>
      <c r="F1132" t="s">
        <v>60</v>
      </c>
    </row>
    <row r="1133" spans="1:6" x14ac:dyDescent="0.2">
      <c r="A1133" t="s">
        <v>142</v>
      </c>
      <c r="B1133" t="s">
        <v>17</v>
      </c>
      <c r="D1133" t="s">
        <v>55</v>
      </c>
      <c r="F1133" t="s">
        <v>60</v>
      </c>
    </row>
    <row r="1134" spans="1:6" x14ac:dyDescent="0.2">
      <c r="A1134" t="s">
        <v>142</v>
      </c>
      <c r="B1134" t="s">
        <v>31</v>
      </c>
      <c r="D1134" t="s">
        <v>38</v>
      </c>
      <c r="F1134" t="s">
        <v>60</v>
      </c>
    </row>
    <row r="1135" spans="1:6" x14ac:dyDescent="0.2">
      <c r="A1135" t="s">
        <v>142</v>
      </c>
      <c r="B1135" t="s">
        <v>20</v>
      </c>
      <c r="D1135" t="s">
        <v>40</v>
      </c>
      <c r="F1135" t="s">
        <v>60</v>
      </c>
    </row>
    <row r="1136" spans="1:6" x14ac:dyDescent="0.2">
      <c r="A1136" t="s">
        <v>143</v>
      </c>
      <c r="B1136" t="s">
        <v>21</v>
      </c>
      <c r="D1136" t="s">
        <v>23</v>
      </c>
      <c r="F1136" t="s">
        <v>60</v>
      </c>
    </row>
    <row r="1137" spans="1:6" x14ac:dyDescent="0.2">
      <c r="A1137" t="s">
        <v>143</v>
      </c>
      <c r="B1137" t="s">
        <v>15</v>
      </c>
      <c r="D1137" t="s">
        <v>19</v>
      </c>
      <c r="F1137" t="s">
        <v>60</v>
      </c>
    </row>
    <row r="1138" spans="1:6" x14ac:dyDescent="0.2">
      <c r="A1138" t="s">
        <v>144</v>
      </c>
      <c r="B1138" t="s">
        <v>31</v>
      </c>
      <c r="D1138" t="s">
        <v>16</v>
      </c>
      <c r="F1138" t="s">
        <v>60</v>
      </c>
    </row>
    <row r="1139" spans="1:6" x14ac:dyDescent="0.2">
      <c r="A1139" t="s">
        <v>144</v>
      </c>
      <c r="B1139" t="s">
        <v>34</v>
      </c>
      <c r="D1139" t="s">
        <v>11</v>
      </c>
      <c r="F1139" t="s">
        <v>60</v>
      </c>
    </row>
    <row r="1140" spans="1:6" x14ac:dyDescent="0.2">
      <c r="A1140" t="s">
        <v>144</v>
      </c>
      <c r="B1140" t="s">
        <v>28</v>
      </c>
      <c r="D1140" t="s">
        <v>18</v>
      </c>
      <c r="F1140" t="s">
        <v>60</v>
      </c>
    </row>
    <row r="1141" spans="1:6" x14ac:dyDescent="0.2">
      <c r="A1141" t="s">
        <v>144</v>
      </c>
      <c r="B1141" t="s">
        <v>24</v>
      </c>
      <c r="D1141" t="s">
        <v>29</v>
      </c>
      <c r="F1141" t="s">
        <v>60</v>
      </c>
    </row>
    <row r="1142" spans="1:6" x14ac:dyDescent="0.2">
      <c r="A1142" t="s">
        <v>144</v>
      </c>
      <c r="B1142" t="s">
        <v>39</v>
      </c>
      <c r="D1142" t="s">
        <v>30</v>
      </c>
      <c r="F1142" t="s">
        <v>60</v>
      </c>
    </row>
    <row r="1143" spans="1:6" x14ac:dyDescent="0.2">
      <c r="A1143" t="s">
        <v>144</v>
      </c>
      <c r="B1143" t="s">
        <v>14</v>
      </c>
      <c r="D1143" t="s">
        <v>36</v>
      </c>
      <c r="F1143" t="s">
        <v>60</v>
      </c>
    </row>
    <row r="1144" spans="1:6" x14ac:dyDescent="0.2">
      <c r="A1144" t="s">
        <v>144</v>
      </c>
      <c r="B1144" t="s">
        <v>10</v>
      </c>
      <c r="D1144" t="s">
        <v>27</v>
      </c>
      <c r="F1144" t="s">
        <v>60</v>
      </c>
    </row>
    <row r="1145" spans="1:6" x14ac:dyDescent="0.2">
      <c r="A1145" t="s">
        <v>144</v>
      </c>
      <c r="B1145" t="s">
        <v>33</v>
      </c>
      <c r="D1145" t="s">
        <v>35</v>
      </c>
      <c r="F1145" t="s">
        <v>60</v>
      </c>
    </row>
    <row r="1146" spans="1:6" x14ac:dyDescent="0.2">
      <c r="A1146" t="s">
        <v>144</v>
      </c>
      <c r="B1146" t="s">
        <v>32</v>
      </c>
      <c r="D1146" t="s">
        <v>37</v>
      </c>
      <c r="F1146" t="s">
        <v>60</v>
      </c>
    </row>
    <row r="1147" spans="1:6" x14ac:dyDescent="0.2">
      <c r="A1147" t="s">
        <v>144</v>
      </c>
      <c r="B1147" t="s">
        <v>22</v>
      </c>
      <c r="D1147" t="s">
        <v>55</v>
      </c>
      <c r="F1147" t="s">
        <v>60</v>
      </c>
    </row>
    <row r="1148" spans="1:6" x14ac:dyDescent="0.2">
      <c r="A1148" t="s">
        <v>144</v>
      </c>
      <c r="B1148" t="s">
        <v>13</v>
      </c>
      <c r="D1148" t="s">
        <v>38</v>
      </c>
      <c r="F1148" t="s">
        <v>60</v>
      </c>
    </row>
    <row r="1149" spans="1:6" x14ac:dyDescent="0.2">
      <c r="A1149" t="s">
        <v>144</v>
      </c>
      <c r="B1149" t="s">
        <v>17</v>
      </c>
      <c r="D1149" t="s">
        <v>20</v>
      </c>
      <c r="F1149" t="s">
        <v>60</v>
      </c>
    </row>
    <row r="1150" spans="1:6" x14ac:dyDescent="0.2">
      <c r="A1150" t="s">
        <v>144</v>
      </c>
      <c r="B1150" t="s">
        <v>12</v>
      </c>
      <c r="D1150" t="s">
        <v>40</v>
      </c>
      <c r="F1150" t="s">
        <v>60</v>
      </c>
    </row>
    <row r="1151" spans="1:6" x14ac:dyDescent="0.2">
      <c r="A1151" t="s">
        <v>145</v>
      </c>
      <c r="B1151" t="s">
        <v>26</v>
      </c>
      <c r="D1151" t="s">
        <v>23</v>
      </c>
      <c r="F1151" t="s">
        <v>60</v>
      </c>
    </row>
    <row r="1152" spans="1:6" x14ac:dyDescent="0.2">
      <c r="A1152" t="s">
        <v>145</v>
      </c>
      <c r="B1152" t="s">
        <v>10</v>
      </c>
      <c r="D1152" t="s">
        <v>15</v>
      </c>
      <c r="F1152" t="s">
        <v>60</v>
      </c>
    </row>
    <row r="1153" spans="1:6" x14ac:dyDescent="0.2">
      <c r="A1153" t="s">
        <v>146</v>
      </c>
      <c r="B1153" t="s">
        <v>34</v>
      </c>
      <c r="D1153" t="s">
        <v>21</v>
      </c>
      <c r="F1153" t="s">
        <v>60</v>
      </c>
    </row>
    <row r="1154" spans="1:6" x14ac:dyDescent="0.2">
      <c r="A1154" t="s">
        <v>146</v>
      </c>
      <c r="B1154" t="s">
        <v>32</v>
      </c>
      <c r="D1154" t="s">
        <v>23</v>
      </c>
      <c r="F1154" t="s">
        <v>60</v>
      </c>
    </row>
    <row r="1155" spans="1:6" x14ac:dyDescent="0.2">
      <c r="A1155" t="s">
        <v>146</v>
      </c>
      <c r="B1155" t="s">
        <v>24</v>
      </c>
      <c r="D1155" t="s">
        <v>25</v>
      </c>
      <c r="F1155" t="s">
        <v>60</v>
      </c>
    </row>
    <row r="1156" spans="1:6" x14ac:dyDescent="0.2">
      <c r="A1156" t="s">
        <v>146</v>
      </c>
      <c r="B1156" t="s">
        <v>33</v>
      </c>
      <c r="D1156" t="s">
        <v>28</v>
      </c>
      <c r="F1156" t="s">
        <v>60</v>
      </c>
    </row>
    <row r="1157" spans="1:6" x14ac:dyDescent="0.2">
      <c r="A1157" t="s">
        <v>146</v>
      </c>
      <c r="B1157" t="s">
        <v>38</v>
      </c>
      <c r="D1157" t="s">
        <v>16</v>
      </c>
      <c r="F1157" t="s">
        <v>60</v>
      </c>
    </row>
    <row r="1158" spans="1:6" x14ac:dyDescent="0.2">
      <c r="A1158" t="s">
        <v>146</v>
      </c>
      <c r="B1158" t="s">
        <v>40</v>
      </c>
      <c r="D1158" t="s">
        <v>12</v>
      </c>
      <c r="F1158" t="s">
        <v>60</v>
      </c>
    </row>
    <row r="1159" spans="1:6" x14ac:dyDescent="0.2">
      <c r="A1159" t="s">
        <v>146</v>
      </c>
      <c r="B1159" t="s">
        <v>27</v>
      </c>
      <c r="D1159" t="s">
        <v>26</v>
      </c>
      <c r="F1159" t="s">
        <v>60</v>
      </c>
    </row>
    <row r="1160" spans="1:6" x14ac:dyDescent="0.2">
      <c r="A1160" t="s">
        <v>146</v>
      </c>
      <c r="B1160" t="s">
        <v>31</v>
      </c>
      <c r="D1160" t="s">
        <v>17</v>
      </c>
      <c r="F1160" t="s">
        <v>60</v>
      </c>
    </row>
    <row r="1161" spans="1:6" x14ac:dyDescent="0.2">
      <c r="A1161" t="s">
        <v>146</v>
      </c>
      <c r="B1161" t="s">
        <v>55</v>
      </c>
      <c r="D1161" t="s">
        <v>13</v>
      </c>
      <c r="F1161" t="s">
        <v>60</v>
      </c>
    </row>
    <row r="1162" spans="1:6" x14ac:dyDescent="0.2">
      <c r="A1162" t="s">
        <v>146</v>
      </c>
      <c r="B1162" t="s">
        <v>18</v>
      </c>
      <c r="D1162" t="s">
        <v>29</v>
      </c>
      <c r="F1162" t="s">
        <v>60</v>
      </c>
    </row>
    <row r="1163" spans="1:6" x14ac:dyDescent="0.2">
      <c r="A1163" t="s">
        <v>146</v>
      </c>
      <c r="B1163" t="s">
        <v>11</v>
      </c>
      <c r="D1163" t="s">
        <v>30</v>
      </c>
      <c r="F1163" t="s">
        <v>60</v>
      </c>
    </row>
    <row r="1164" spans="1:6" x14ac:dyDescent="0.2">
      <c r="A1164" t="s">
        <v>146</v>
      </c>
      <c r="B1164" t="s">
        <v>39</v>
      </c>
      <c r="D1164" t="s">
        <v>14</v>
      </c>
      <c r="F1164" t="s">
        <v>60</v>
      </c>
    </row>
    <row r="1165" spans="1:6" x14ac:dyDescent="0.2">
      <c r="A1165" t="s">
        <v>146</v>
      </c>
      <c r="B1165" t="s">
        <v>19</v>
      </c>
      <c r="D1165" t="s">
        <v>35</v>
      </c>
      <c r="F1165" t="s">
        <v>60</v>
      </c>
    </row>
    <row r="1166" spans="1:6" x14ac:dyDescent="0.2">
      <c r="A1166" t="s">
        <v>146</v>
      </c>
      <c r="B1166" t="s">
        <v>36</v>
      </c>
      <c r="D1166" t="s">
        <v>37</v>
      </c>
      <c r="F1166" t="s">
        <v>60</v>
      </c>
    </row>
    <row r="1167" spans="1:6" x14ac:dyDescent="0.2">
      <c r="A1167" t="s">
        <v>146</v>
      </c>
      <c r="B1167" t="s">
        <v>22</v>
      </c>
      <c r="D1167" t="s">
        <v>20</v>
      </c>
      <c r="F1167" t="s">
        <v>60</v>
      </c>
    </row>
    <row r="1168" spans="1:6" x14ac:dyDescent="0.2">
      <c r="A1168" t="s">
        <v>147</v>
      </c>
      <c r="B1168" t="s">
        <v>18</v>
      </c>
      <c r="D1168" t="s">
        <v>25</v>
      </c>
      <c r="F1168" t="s">
        <v>60</v>
      </c>
    </row>
    <row r="1169" spans="1:6" x14ac:dyDescent="0.2">
      <c r="A1169" t="s">
        <v>147</v>
      </c>
      <c r="B1169" t="s">
        <v>21</v>
      </c>
      <c r="D1169" t="s">
        <v>28</v>
      </c>
      <c r="F1169" t="s">
        <v>60</v>
      </c>
    </row>
    <row r="1170" spans="1:6" x14ac:dyDescent="0.2">
      <c r="A1170" t="s">
        <v>147</v>
      </c>
      <c r="B1170" t="s">
        <v>10</v>
      </c>
      <c r="D1170" t="s">
        <v>24</v>
      </c>
      <c r="F1170" t="s">
        <v>60</v>
      </c>
    </row>
    <row r="1171" spans="1:6" x14ac:dyDescent="0.2">
      <c r="A1171" t="s">
        <v>147</v>
      </c>
      <c r="B1171" t="s">
        <v>11</v>
      </c>
      <c r="D1171" t="s">
        <v>15</v>
      </c>
      <c r="F1171" t="s">
        <v>60</v>
      </c>
    </row>
    <row r="1172" spans="1:6" x14ac:dyDescent="0.2">
      <c r="A1172" t="s">
        <v>147</v>
      </c>
      <c r="B1172" t="s">
        <v>39</v>
      </c>
      <c r="D1172" t="s">
        <v>27</v>
      </c>
      <c r="F1172" t="s">
        <v>60</v>
      </c>
    </row>
    <row r="1173" spans="1:6" x14ac:dyDescent="0.2">
      <c r="A1173" t="s">
        <v>147</v>
      </c>
      <c r="B1173" t="s">
        <v>29</v>
      </c>
      <c r="D1173" t="s">
        <v>37</v>
      </c>
      <c r="F1173" t="s">
        <v>60</v>
      </c>
    </row>
    <row r="1174" spans="1:6" x14ac:dyDescent="0.2">
      <c r="A1174" t="s">
        <v>148</v>
      </c>
      <c r="B1174" t="s">
        <v>19</v>
      </c>
      <c r="D1174" t="s">
        <v>31</v>
      </c>
      <c r="F1174" t="s">
        <v>60</v>
      </c>
    </row>
    <row r="1175" spans="1:6" x14ac:dyDescent="0.2">
      <c r="A1175" t="s">
        <v>148</v>
      </c>
      <c r="B1175" t="s">
        <v>16</v>
      </c>
      <c r="D1175" t="s">
        <v>12</v>
      </c>
      <c r="F1175" t="s">
        <v>60</v>
      </c>
    </row>
    <row r="1176" spans="1:6" x14ac:dyDescent="0.2">
      <c r="A1176" t="s">
        <v>148</v>
      </c>
      <c r="B1176" t="s">
        <v>14</v>
      </c>
      <c r="D1176" t="s">
        <v>30</v>
      </c>
      <c r="F1176" t="s">
        <v>60</v>
      </c>
    </row>
    <row r="1177" spans="1:6" x14ac:dyDescent="0.2">
      <c r="A1177" t="s">
        <v>148</v>
      </c>
      <c r="B1177" t="s">
        <v>35</v>
      </c>
      <c r="D1177" t="s">
        <v>33</v>
      </c>
      <c r="F1177" t="s">
        <v>60</v>
      </c>
    </row>
    <row r="1178" spans="1:6" x14ac:dyDescent="0.2">
      <c r="A1178" t="s">
        <v>148</v>
      </c>
      <c r="B1178" t="s">
        <v>38</v>
      </c>
      <c r="D1178" t="s">
        <v>20</v>
      </c>
      <c r="F1178" t="s">
        <v>60</v>
      </c>
    </row>
    <row r="1179" spans="1:6" x14ac:dyDescent="0.2">
      <c r="A1179" t="s">
        <v>149</v>
      </c>
      <c r="B1179" t="s">
        <v>39</v>
      </c>
      <c r="D1179" t="s">
        <v>21</v>
      </c>
      <c r="F1179" t="s">
        <v>60</v>
      </c>
    </row>
    <row r="1180" spans="1:6" x14ac:dyDescent="0.2">
      <c r="A1180" t="s">
        <v>149</v>
      </c>
      <c r="B1180" t="s">
        <v>30</v>
      </c>
      <c r="D1180" t="s">
        <v>23</v>
      </c>
      <c r="F1180" t="s">
        <v>60</v>
      </c>
    </row>
    <row r="1181" spans="1:6" x14ac:dyDescent="0.2">
      <c r="A1181" t="s">
        <v>149</v>
      </c>
      <c r="B1181" t="s">
        <v>25</v>
      </c>
      <c r="D1181" t="s">
        <v>28</v>
      </c>
      <c r="F1181" t="s">
        <v>60</v>
      </c>
    </row>
    <row r="1182" spans="1:6" x14ac:dyDescent="0.2">
      <c r="A1182" t="s">
        <v>149</v>
      </c>
      <c r="B1182" t="s">
        <v>40</v>
      </c>
      <c r="D1182" t="s">
        <v>10</v>
      </c>
      <c r="F1182" t="s">
        <v>60</v>
      </c>
    </row>
    <row r="1183" spans="1:6" x14ac:dyDescent="0.2">
      <c r="A1183" t="s">
        <v>149</v>
      </c>
      <c r="B1183" t="s">
        <v>32</v>
      </c>
      <c r="D1183" t="s">
        <v>17</v>
      </c>
      <c r="F1183" t="s">
        <v>60</v>
      </c>
    </row>
    <row r="1184" spans="1:6" x14ac:dyDescent="0.2">
      <c r="A1184" t="s">
        <v>149</v>
      </c>
      <c r="B1184" t="s">
        <v>36</v>
      </c>
      <c r="D1184" t="s">
        <v>11</v>
      </c>
      <c r="F1184" t="s">
        <v>60</v>
      </c>
    </row>
    <row r="1185" spans="1:6" x14ac:dyDescent="0.2">
      <c r="A1185" t="s">
        <v>149</v>
      </c>
      <c r="B1185" t="s">
        <v>24</v>
      </c>
      <c r="D1185" t="s">
        <v>15</v>
      </c>
      <c r="F1185" t="s">
        <v>60</v>
      </c>
    </row>
    <row r="1186" spans="1:6" x14ac:dyDescent="0.2">
      <c r="A1186" t="s">
        <v>149</v>
      </c>
      <c r="B1186" t="s">
        <v>26</v>
      </c>
      <c r="D1186" t="s">
        <v>14</v>
      </c>
      <c r="F1186" t="s">
        <v>60</v>
      </c>
    </row>
    <row r="1187" spans="1:6" x14ac:dyDescent="0.2">
      <c r="A1187" t="s">
        <v>149</v>
      </c>
      <c r="B1187" t="s">
        <v>18</v>
      </c>
      <c r="D1187" t="s">
        <v>37</v>
      </c>
      <c r="F1187" t="s">
        <v>60</v>
      </c>
    </row>
    <row r="1188" spans="1:6" x14ac:dyDescent="0.2">
      <c r="A1188" t="s">
        <v>149</v>
      </c>
      <c r="B1188" t="s">
        <v>27</v>
      </c>
      <c r="D1188" t="s">
        <v>22</v>
      </c>
      <c r="F1188" t="s">
        <v>60</v>
      </c>
    </row>
    <row r="1189" spans="1:6" x14ac:dyDescent="0.2">
      <c r="A1189" t="s">
        <v>150</v>
      </c>
      <c r="B1189" t="s">
        <v>38</v>
      </c>
      <c r="D1189" t="s">
        <v>12</v>
      </c>
      <c r="F1189" t="s">
        <v>60</v>
      </c>
    </row>
    <row r="1190" spans="1:6" x14ac:dyDescent="0.2">
      <c r="A1190" t="s">
        <v>150</v>
      </c>
      <c r="B1190" t="s">
        <v>35</v>
      </c>
      <c r="D1190" t="s">
        <v>13</v>
      </c>
      <c r="F1190" t="s">
        <v>60</v>
      </c>
    </row>
    <row r="1191" spans="1:6" x14ac:dyDescent="0.2">
      <c r="A1191" t="s">
        <v>150</v>
      </c>
      <c r="B1191" t="s">
        <v>31</v>
      </c>
      <c r="D1191" t="s">
        <v>33</v>
      </c>
      <c r="F1191" t="s">
        <v>60</v>
      </c>
    </row>
    <row r="1192" spans="1:6" x14ac:dyDescent="0.2">
      <c r="A1192" t="s">
        <v>151</v>
      </c>
      <c r="B1192" t="s">
        <v>28</v>
      </c>
      <c r="D1192" t="s">
        <v>25</v>
      </c>
      <c r="F1192" t="s">
        <v>60</v>
      </c>
    </row>
    <row r="1193" spans="1:6" x14ac:dyDescent="0.2">
      <c r="A1193" t="s">
        <v>151</v>
      </c>
      <c r="B1193" t="s">
        <v>40</v>
      </c>
      <c r="D1193" t="s">
        <v>39</v>
      </c>
      <c r="F1193" t="s">
        <v>60</v>
      </c>
    </row>
    <row r="1194" spans="1:6" x14ac:dyDescent="0.2">
      <c r="A1194" t="s">
        <v>151</v>
      </c>
      <c r="B1194" t="s">
        <v>10</v>
      </c>
      <c r="D1194" t="s">
        <v>17</v>
      </c>
      <c r="F1194" t="s">
        <v>60</v>
      </c>
    </row>
    <row r="1195" spans="1:6" x14ac:dyDescent="0.2">
      <c r="A1195" t="s">
        <v>151</v>
      </c>
      <c r="B1195" t="s">
        <v>21</v>
      </c>
      <c r="D1195" t="s">
        <v>11</v>
      </c>
      <c r="F1195" t="s">
        <v>60</v>
      </c>
    </row>
    <row r="1196" spans="1:6" x14ac:dyDescent="0.2">
      <c r="A1196" t="s">
        <v>151</v>
      </c>
      <c r="B1196" t="s">
        <v>29</v>
      </c>
      <c r="D1196" t="s">
        <v>13</v>
      </c>
      <c r="F1196" t="s">
        <v>60</v>
      </c>
    </row>
    <row r="1197" spans="1:6" x14ac:dyDescent="0.2">
      <c r="A1197" t="s">
        <v>151</v>
      </c>
      <c r="B1197" t="s">
        <v>38</v>
      </c>
      <c r="D1197" t="s">
        <v>34</v>
      </c>
      <c r="F1197" t="s">
        <v>60</v>
      </c>
    </row>
    <row r="1198" spans="1:6" x14ac:dyDescent="0.2">
      <c r="A1198" t="s">
        <v>151</v>
      </c>
      <c r="B1198" t="s">
        <v>22</v>
      </c>
      <c r="D1198" t="s">
        <v>24</v>
      </c>
      <c r="F1198" t="s">
        <v>60</v>
      </c>
    </row>
    <row r="1199" spans="1:6" x14ac:dyDescent="0.2">
      <c r="A1199" t="s">
        <v>151</v>
      </c>
      <c r="B1199" t="s">
        <v>18</v>
      </c>
      <c r="D1199" t="s">
        <v>15</v>
      </c>
      <c r="F1199" t="s">
        <v>60</v>
      </c>
    </row>
    <row r="1200" spans="1:6" x14ac:dyDescent="0.2">
      <c r="A1200" t="s">
        <v>151</v>
      </c>
      <c r="B1200" t="s">
        <v>23</v>
      </c>
      <c r="D1200" t="s">
        <v>36</v>
      </c>
      <c r="F1200" t="s">
        <v>60</v>
      </c>
    </row>
    <row r="1201" spans="1:6" x14ac:dyDescent="0.2">
      <c r="A1201" t="s">
        <v>151</v>
      </c>
      <c r="B1201" t="s">
        <v>26</v>
      </c>
      <c r="D1201" t="s">
        <v>27</v>
      </c>
      <c r="F1201" t="s">
        <v>60</v>
      </c>
    </row>
    <row r="1202" spans="1:6" x14ac:dyDescent="0.2">
      <c r="A1202" t="s">
        <v>151</v>
      </c>
      <c r="B1202" t="s">
        <v>55</v>
      </c>
      <c r="D1202" t="s">
        <v>32</v>
      </c>
      <c r="F1202" t="s">
        <v>60</v>
      </c>
    </row>
    <row r="1203" spans="1:6" x14ac:dyDescent="0.2">
      <c r="A1203" t="s">
        <v>151</v>
      </c>
      <c r="B1203" t="s">
        <v>19</v>
      </c>
      <c r="D1203" t="s">
        <v>33</v>
      </c>
      <c r="F1203" t="s">
        <v>60</v>
      </c>
    </row>
    <row r="1204" spans="1:6" x14ac:dyDescent="0.2">
      <c r="A1204" t="s">
        <v>151</v>
      </c>
      <c r="B1204" t="s">
        <v>14</v>
      </c>
      <c r="D1204" t="s">
        <v>37</v>
      </c>
      <c r="F1204" t="s">
        <v>60</v>
      </c>
    </row>
    <row r="1205" spans="1:6" x14ac:dyDescent="0.2">
      <c r="A1205" t="s">
        <v>151</v>
      </c>
      <c r="B1205" t="s">
        <v>16</v>
      </c>
      <c r="D1205" t="s">
        <v>20</v>
      </c>
      <c r="F1205" t="s">
        <v>60</v>
      </c>
    </row>
    <row r="1206" spans="1:6" x14ac:dyDescent="0.2">
      <c r="A1206" t="s">
        <v>152</v>
      </c>
      <c r="B1206" t="s">
        <v>35</v>
      </c>
      <c r="D1206" t="s">
        <v>31</v>
      </c>
      <c r="F1206" t="s">
        <v>60</v>
      </c>
    </row>
    <row r="1207" spans="1:6" x14ac:dyDescent="0.2">
      <c r="A1207" t="s">
        <v>152</v>
      </c>
      <c r="B1207" t="s">
        <v>27</v>
      </c>
      <c r="D1207" t="s">
        <v>30</v>
      </c>
      <c r="F1207" t="s">
        <v>60</v>
      </c>
    </row>
    <row r="1208" spans="1:6" x14ac:dyDescent="0.2">
      <c r="A1208" t="s">
        <v>153</v>
      </c>
      <c r="B1208" t="s">
        <v>16</v>
      </c>
      <c r="D1208" t="s">
        <v>31</v>
      </c>
      <c r="F1208" t="s">
        <v>60</v>
      </c>
    </row>
    <row r="1209" spans="1:6" x14ac:dyDescent="0.2">
      <c r="A1209" t="s">
        <v>153</v>
      </c>
      <c r="B1209" t="s">
        <v>30</v>
      </c>
      <c r="D1209" t="s">
        <v>25</v>
      </c>
      <c r="F1209" t="s">
        <v>60</v>
      </c>
    </row>
    <row r="1210" spans="1:6" x14ac:dyDescent="0.2">
      <c r="A1210" t="s">
        <v>153</v>
      </c>
      <c r="B1210" t="s">
        <v>40</v>
      </c>
      <c r="D1210" t="s">
        <v>28</v>
      </c>
      <c r="F1210" t="s">
        <v>60</v>
      </c>
    </row>
    <row r="1211" spans="1:6" x14ac:dyDescent="0.2">
      <c r="A1211" t="s">
        <v>153</v>
      </c>
      <c r="B1211" t="s">
        <v>12</v>
      </c>
      <c r="D1211" t="s">
        <v>39</v>
      </c>
      <c r="F1211" t="s">
        <v>60</v>
      </c>
    </row>
    <row r="1212" spans="1:6" x14ac:dyDescent="0.2">
      <c r="A1212" t="s">
        <v>153</v>
      </c>
      <c r="B1212" t="s">
        <v>20</v>
      </c>
      <c r="D1212" t="s">
        <v>17</v>
      </c>
      <c r="F1212" t="s">
        <v>60</v>
      </c>
    </row>
    <row r="1213" spans="1:6" x14ac:dyDescent="0.2">
      <c r="A1213" t="s">
        <v>153</v>
      </c>
      <c r="B1213" t="s">
        <v>19</v>
      </c>
      <c r="D1213" t="s">
        <v>13</v>
      </c>
      <c r="F1213" t="s">
        <v>60</v>
      </c>
    </row>
    <row r="1214" spans="1:6" x14ac:dyDescent="0.2">
      <c r="A1214" t="s">
        <v>153</v>
      </c>
      <c r="B1214" t="s">
        <v>18</v>
      </c>
      <c r="D1214" t="s">
        <v>24</v>
      </c>
      <c r="F1214" t="s">
        <v>60</v>
      </c>
    </row>
    <row r="1215" spans="1:6" x14ac:dyDescent="0.2">
      <c r="A1215" t="s">
        <v>153</v>
      </c>
      <c r="B1215" t="s">
        <v>26</v>
      </c>
      <c r="D1215" t="s">
        <v>15</v>
      </c>
      <c r="F1215" t="s">
        <v>60</v>
      </c>
    </row>
    <row r="1216" spans="1:6" x14ac:dyDescent="0.2">
      <c r="A1216" t="s">
        <v>153</v>
      </c>
      <c r="B1216" t="s">
        <v>34</v>
      </c>
      <c r="D1216" t="s">
        <v>36</v>
      </c>
      <c r="F1216" t="s">
        <v>60</v>
      </c>
    </row>
    <row r="1217" spans="1:6" x14ac:dyDescent="0.2">
      <c r="A1217" t="s">
        <v>153</v>
      </c>
      <c r="B1217" t="s">
        <v>11</v>
      </c>
      <c r="D1217" t="s">
        <v>14</v>
      </c>
      <c r="F1217" t="s">
        <v>60</v>
      </c>
    </row>
    <row r="1218" spans="1:6" x14ac:dyDescent="0.2">
      <c r="A1218" t="s">
        <v>153</v>
      </c>
      <c r="B1218" t="s">
        <v>10</v>
      </c>
      <c r="D1218" t="s">
        <v>32</v>
      </c>
      <c r="F1218" t="s">
        <v>60</v>
      </c>
    </row>
    <row r="1219" spans="1:6" x14ac:dyDescent="0.2">
      <c r="A1219" t="s">
        <v>153</v>
      </c>
      <c r="B1219" t="s">
        <v>29</v>
      </c>
      <c r="D1219" t="s">
        <v>33</v>
      </c>
      <c r="F1219" t="s">
        <v>60</v>
      </c>
    </row>
    <row r="1220" spans="1:6" x14ac:dyDescent="0.2">
      <c r="A1220" t="s">
        <v>153</v>
      </c>
      <c r="B1220" t="s">
        <v>21</v>
      </c>
      <c r="D1220" t="s">
        <v>37</v>
      </c>
      <c r="F1220" t="s">
        <v>60</v>
      </c>
    </row>
    <row r="1221" spans="1:6" x14ac:dyDescent="0.2">
      <c r="A1221" t="s">
        <v>153</v>
      </c>
      <c r="B1221" t="s">
        <v>55</v>
      </c>
      <c r="D1221" t="s">
        <v>38</v>
      </c>
      <c r="F1221" t="s">
        <v>60</v>
      </c>
    </row>
    <row r="1222" spans="1:6" x14ac:dyDescent="0.2">
      <c r="A1222" t="s">
        <v>153</v>
      </c>
      <c r="B1222" t="s">
        <v>23</v>
      </c>
      <c r="D1222" t="s">
        <v>22</v>
      </c>
      <c r="F1222" t="s">
        <v>60</v>
      </c>
    </row>
    <row r="1223" spans="1:6" x14ac:dyDescent="0.2">
      <c r="A1223" t="s">
        <v>154</v>
      </c>
      <c r="B1223" t="s">
        <v>35</v>
      </c>
      <c r="D1223" t="s">
        <v>12</v>
      </c>
      <c r="F1223" t="s">
        <v>60</v>
      </c>
    </row>
    <row r="1224" spans="1:6" x14ac:dyDescent="0.2">
      <c r="A1224" t="s">
        <v>154</v>
      </c>
      <c r="B1224" t="s">
        <v>34</v>
      </c>
      <c r="D1224" t="s">
        <v>26</v>
      </c>
      <c r="F1224" t="s">
        <v>60</v>
      </c>
    </row>
    <row r="1225" spans="1:6" x14ac:dyDescent="0.2">
      <c r="A1225" t="s">
        <v>154</v>
      </c>
      <c r="B1225" t="s">
        <v>24</v>
      </c>
      <c r="D1225" t="s">
        <v>18</v>
      </c>
      <c r="F1225" t="s">
        <v>60</v>
      </c>
    </row>
    <row r="1226" spans="1:6" x14ac:dyDescent="0.2">
      <c r="A1226" t="s">
        <v>154</v>
      </c>
      <c r="B1226" t="s">
        <v>22</v>
      </c>
      <c r="D1226" t="s">
        <v>15</v>
      </c>
      <c r="F1226" t="s">
        <v>60</v>
      </c>
    </row>
    <row r="1227" spans="1:6" x14ac:dyDescent="0.2">
      <c r="A1227" t="s">
        <v>154</v>
      </c>
      <c r="B1227" t="s">
        <v>25</v>
      </c>
      <c r="D1227" t="s">
        <v>36</v>
      </c>
      <c r="F1227" t="s">
        <v>60</v>
      </c>
    </row>
    <row r="1228" spans="1:6" x14ac:dyDescent="0.2">
      <c r="A1228" t="s">
        <v>154</v>
      </c>
      <c r="B1228" t="s">
        <v>21</v>
      </c>
      <c r="D1228" t="s">
        <v>27</v>
      </c>
      <c r="F1228" t="s">
        <v>60</v>
      </c>
    </row>
    <row r="1229" spans="1:6" x14ac:dyDescent="0.2">
      <c r="A1229" t="s">
        <v>154</v>
      </c>
      <c r="B1229" t="s">
        <v>11</v>
      </c>
      <c r="D1229" t="s">
        <v>14</v>
      </c>
      <c r="F1229" t="s">
        <v>60</v>
      </c>
    </row>
    <row r="1230" spans="1:6" x14ac:dyDescent="0.2">
      <c r="A1230" t="s">
        <v>155</v>
      </c>
      <c r="B1230" t="s">
        <v>37</v>
      </c>
      <c r="D1230" t="s">
        <v>23</v>
      </c>
      <c r="F1230" t="s">
        <v>60</v>
      </c>
    </row>
    <row r="1231" spans="1:6" x14ac:dyDescent="0.2">
      <c r="A1231" t="s">
        <v>155</v>
      </c>
      <c r="B1231" t="s">
        <v>29</v>
      </c>
      <c r="D1231" t="s">
        <v>13</v>
      </c>
      <c r="F1231" t="s">
        <v>60</v>
      </c>
    </row>
    <row r="1232" spans="1:6" x14ac:dyDescent="0.2">
      <c r="A1232" t="s">
        <v>155</v>
      </c>
      <c r="B1232" t="s">
        <v>10</v>
      </c>
      <c r="D1232" t="s">
        <v>33</v>
      </c>
      <c r="F1232" t="s">
        <v>60</v>
      </c>
    </row>
    <row r="1233" spans="1:6" x14ac:dyDescent="0.2">
      <c r="A1233" t="s">
        <v>155</v>
      </c>
      <c r="B1233" t="s">
        <v>32</v>
      </c>
      <c r="D1233" t="s">
        <v>40</v>
      </c>
      <c r="F1233" t="s">
        <v>60</v>
      </c>
    </row>
    <row r="1234" spans="1:6" x14ac:dyDescent="0.2">
      <c r="A1234" t="s">
        <v>156</v>
      </c>
      <c r="B1234" t="s">
        <v>29</v>
      </c>
      <c r="D1234" t="s">
        <v>31</v>
      </c>
      <c r="F1234" t="s">
        <v>60</v>
      </c>
    </row>
    <row r="1235" spans="1:6" x14ac:dyDescent="0.2">
      <c r="A1235" t="s">
        <v>156</v>
      </c>
      <c r="B1235" t="s">
        <v>21</v>
      </c>
      <c r="D1235" t="s">
        <v>25</v>
      </c>
      <c r="F1235" t="s">
        <v>60</v>
      </c>
    </row>
    <row r="1236" spans="1:6" x14ac:dyDescent="0.2">
      <c r="A1236" t="s">
        <v>156</v>
      </c>
      <c r="B1236" t="s">
        <v>16</v>
      </c>
      <c r="D1236" t="s">
        <v>39</v>
      </c>
      <c r="F1236" t="s">
        <v>60</v>
      </c>
    </row>
    <row r="1237" spans="1:6" x14ac:dyDescent="0.2">
      <c r="A1237" t="s">
        <v>156</v>
      </c>
      <c r="B1237" t="s">
        <v>28</v>
      </c>
      <c r="D1237" t="s">
        <v>26</v>
      </c>
      <c r="F1237" t="s">
        <v>60</v>
      </c>
    </row>
    <row r="1238" spans="1:6" x14ac:dyDescent="0.2">
      <c r="A1238" t="s">
        <v>156</v>
      </c>
      <c r="B1238" t="s">
        <v>32</v>
      </c>
      <c r="D1238" t="s">
        <v>34</v>
      </c>
      <c r="F1238" t="s">
        <v>60</v>
      </c>
    </row>
    <row r="1239" spans="1:6" x14ac:dyDescent="0.2">
      <c r="A1239" t="s">
        <v>156</v>
      </c>
      <c r="B1239" t="s">
        <v>11</v>
      </c>
      <c r="D1239" t="s">
        <v>18</v>
      </c>
      <c r="F1239" t="s">
        <v>60</v>
      </c>
    </row>
    <row r="1240" spans="1:6" x14ac:dyDescent="0.2">
      <c r="A1240" t="s">
        <v>156</v>
      </c>
      <c r="B1240" t="s">
        <v>27</v>
      </c>
      <c r="D1240" t="s">
        <v>24</v>
      </c>
      <c r="F1240" t="s">
        <v>60</v>
      </c>
    </row>
    <row r="1241" spans="1:6" x14ac:dyDescent="0.2">
      <c r="A1241" t="s">
        <v>156</v>
      </c>
      <c r="B1241" t="s">
        <v>37</v>
      </c>
      <c r="D1241" t="s">
        <v>36</v>
      </c>
      <c r="F1241" t="s">
        <v>60</v>
      </c>
    </row>
    <row r="1242" spans="1:6" x14ac:dyDescent="0.2">
      <c r="A1242" t="s">
        <v>156</v>
      </c>
      <c r="B1242" t="s">
        <v>12</v>
      </c>
      <c r="D1242" t="s">
        <v>35</v>
      </c>
      <c r="F1242" t="s">
        <v>60</v>
      </c>
    </row>
    <row r="1243" spans="1:6" x14ac:dyDescent="0.2">
      <c r="A1243" t="s">
        <v>156</v>
      </c>
      <c r="B1243" t="s">
        <v>17</v>
      </c>
      <c r="D1243" t="s">
        <v>55</v>
      </c>
      <c r="F1243" t="s">
        <v>60</v>
      </c>
    </row>
    <row r="1244" spans="1:6" x14ac:dyDescent="0.2">
      <c r="A1244" t="s">
        <v>156</v>
      </c>
      <c r="B1244" t="s">
        <v>20</v>
      </c>
      <c r="D1244" t="s">
        <v>38</v>
      </c>
      <c r="F1244" t="s">
        <v>60</v>
      </c>
    </row>
    <row r="1245" spans="1:6" x14ac:dyDescent="0.2">
      <c r="A1245" t="s">
        <v>157</v>
      </c>
      <c r="B1245" t="s">
        <v>23</v>
      </c>
      <c r="D1245" t="s">
        <v>15</v>
      </c>
      <c r="F1245" t="s">
        <v>60</v>
      </c>
    </row>
    <row r="1246" spans="1:6" x14ac:dyDescent="0.2">
      <c r="A1246" t="s">
        <v>157</v>
      </c>
      <c r="B1246" t="s">
        <v>17</v>
      </c>
      <c r="D1246" t="s">
        <v>33</v>
      </c>
      <c r="F1246" t="s">
        <v>60</v>
      </c>
    </row>
    <row r="1247" spans="1:6" x14ac:dyDescent="0.2">
      <c r="A1247" t="s">
        <v>157</v>
      </c>
      <c r="B1247" t="s">
        <v>22</v>
      </c>
      <c r="D1247" t="s">
        <v>19</v>
      </c>
      <c r="F1247" t="s">
        <v>60</v>
      </c>
    </row>
    <row r="1248" spans="1:6" x14ac:dyDescent="0.2">
      <c r="A1248" t="s">
        <v>158</v>
      </c>
      <c r="B1248" t="s">
        <v>33</v>
      </c>
      <c r="D1248" t="s">
        <v>31</v>
      </c>
      <c r="F1248" t="s">
        <v>60</v>
      </c>
    </row>
    <row r="1249" spans="1:6" x14ac:dyDescent="0.2">
      <c r="A1249" t="s">
        <v>158</v>
      </c>
      <c r="B1249" t="s">
        <v>28</v>
      </c>
      <c r="D1249" t="s">
        <v>23</v>
      </c>
      <c r="F1249" t="s">
        <v>60</v>
      </c>
    </row>
    <row r="1250" spans="1:6" x14ac:dyDescent="0.2">
      <c r="A1250" t="s">
        <v>158</v>
      </c>
      <c r="B1250" t="s">
        <v>25</v>
      </c>
      <c r="D1250" t="s">
        <v>10</v>
      </c>
      <c r="F1250" t="s">
        <v>60</v>
      </c>
    </row>
    <row r="1251" spans="1:6" x14ac:dyDescent="0.2">
      <c r="A1251" t="s">
        <v>158</v>
      </c>
      <c r="B1251" t="s">
        <v>16</v>
      </c>
      <c r="D1251" t="s">
        <v>12</v>
      </c>
      <c r="F1251" t="s">
        <v>60</v>
      </c>
    </row>
    <row r="1252" spans="1:6" x14ac:dyDescent="0.2">
      <c r="A1252" t="s">
        <v>158</v>
      </c>
      <c r="B1252" t="s">
        <v>34</v>
      </c>
      <c r="D1252" t="s">
        <v>39</v>
      </c>
      <c r="F1252" t="s">
        <v>60</v>
      </c>
    </row>
    <row r="1253" spans="1:6" x14ac:dyDescent="0.2">
      <c r="A1253" t="s">
        <v>158</v>
      </c>
      <c r="B1253" t="s">
        <v>27</v>
      </c>
      <c r="D1253" t="s">
        <v>26</v>
      </c>
      <c r="F1253" t="s">
        <v>60</v>
      </c>
    </row>
    <row r="1254" spans="1:6" x14ac:dyDescent="0.2">
      <c r="A1254" t="s">
        <v>158</v>
      </c>
      <c r="B1254" t="s">
        <v>38</v>
      </c>
      <c r="D1254" t="s">
        <v>13</v>
      </c>
      <c r="F1254" t="s">
        <v>60</v>
      </c>
    </row>
    <row r="1255" spans="1:6" x14ac:dyDescent="0.2">
      <c r="A1255" t="s">
        <v>158</v>
      </c>
      <c r="B1255" t="s">
        <v>37</v>
      </c>
      <c r="D1255" t="s">
        <v>18</v>
      </c>
      <c r="F1255" t="s">
        <v>60</v>
      </c>
    </row>
    <row r="1256" spans="1:6" x14ac:dyDescent="0.2">
      <c r="A1256" t="s">
        <v>158</v>
      </c>
      <c r="B1256" t="s">
        <v>14</v>
      </c>
      <c r="D1256" t="s">
        <v>24</v>
      </c>
      <c r="F1256" t="s">
        <v>60</v>
      </c>
    </row>
    <row r="1257" spans="1:6" x14ac:dyDescent="0.2">
      <c r="A1257" t="s">
        <v>158</v>
      </c>
      <c r="B1257" t="s">
        <v>19</v>
      </c>
      <c r="D1257" t="s">
        <v>30</v>
      </c>
      <c r="F1257" t="s">
        <v>60</v>
      </c>
    </row>
    <row r="1258" spans="1:6" x14ac:dyDescent="0.2">
      <c r="A1258" t="s">
        <v>158</v>
      </c>
      <c r="B1258" t="s">
        <v>11</v>
      </c>
      <c r="D1258" t="s">
        <v>36</v>
      </c>
      <c r="F1258" t="s">
        <v>60</v>
      </c>
    </row>
    <row r="1259" spans="1:6" x14ac:dyDescent="0.2">
      <c r="A1259" t="s">
        <v>158</v>
      </c>
      <c r="B1259" t="s">
        <v>20</v>
      </c>
      <c r="D1259" t="s">
        <v>32</v>
      </c>
      <c r="F1259" t="s">
        <v>60</v>
      </c>
    </row>
    <row r="1260" spans="1:6" x14ac:dyDescent="0.2">
      <c r="A1260" t="s">
        <v>158</v>
      </c>
      <c r="B1260" t="s">
        <v>40</v>
      </c>
      <c r="D1260" t="s">
        <v>35</v>
      </c>
      <c r="F1260" t="s">
        <v>60</v>
      </c>
    </row>
    <row r="1261" spans="1:6" x14ac:dyDescent="0.2">
      <c r="A1261" t="s">
        <v>158</v>
      </c>
      <c r="B1261" t="s">
        <v>29</v>
      </c>
      <c r="D1261" t="s">
        <v>55</v>
      </c>
      <c r="F1261" t="s">
        <v>60</v>
      </c>
    </row>
    <row r="1262" spans="1:6" x14ac:dyDescent="0.2">
      <c r="A1262" t="s">
        <v>159</v>
      </c>
      <c r="B1262" t="s">
        <v>37</v>
      </c>
      <c r="D1262" t="s">
        <v>21</v>
      </c>
      <c r="F1262" t="s">
        <v>60</v>
      </c>
    </row>
    <row r="1263" spans="1:6" x14ac:dyDescent="0.2">
      <c r="A1263" t="s">
        <v>159</v>
      </c>
      <c r="B1263" t="s">
        <v>35</v>
      </c>
      <c r="D1263" t="s">
        <v>10</v>
      </c>
      <c r="F1263" t="s">
        <v>60</v>
      </c>
    </row>
    <row r="1264" spans="1:6" x14ac:dyDescent="0.2">
      <c r="A1264" t="s">
        <v>159</v>
      </c>
      <c r="B1264" t="s">
        <v>20</v>
      </c>
      <c r="D1264" t="s">
        <v>12</v>
      </c>
      <c r="F1264" t="s">
        <v>60</v>
      </c>
    </row>
    <row r="1265" spans="1:6" x14ac:dyDescent="0.2">
      <c r="A1265" t="s">
        <v>159</v>
      </c>
      <c r="B1265" t="s">
        <v>15</v>
      </c>
      <c r="D1265" t="s">
        <v>39</v>
      </c>
      <c r="F1265" t="s">
        <v>60</v>
      </c>
    </row>
    <row r="1266" spans="1:6" x14ac:dyDescent="0.2">
      <c r="A1266" t="s">
        <v>159</v>
      </c>
      <c r="B1266" t="s">
        <v>24</v>
      </c>
      <c r="D1266" t="s">
        <v>26</v>
      </c>
      <c r="F1266" t="s">
        <v>60</v>
      </c>
    </row>
    <row r="1267" spans="1:6" x14ac:dyDescent="0.2">
      <c r="A1267" t="s">
        <v>159</v>
      </c>
      <c r="B1267" t="s">
        <v>17</v>
      </c>
      <c r="D1267" t="s">
        <v>13</v>
      </c>
      <c r="F1267" t="s">
        <v>60</v>
      </c>
    </row>
    <row r="1268" spans="1:6" x14ac:dyDescent="0.2">
      <c r="A1268" t="s">
        <v>159</v>
      </c>
      <c r="B1268" t="s">
        <v>28</v>
      </c>
      <c r="D1268" t="s">
        <v>18</v>
      </c>
      <c r="F1268" t="s">
        <v>60</v>
      </c>
    </row>
    <row r="1269" spans="1:6" x14ac:dyDescent="0.2">
      <c r="A1269" t="s">
        <v>159</v>
      </c>
      <c r="B1269" t="s">
        <v>34</v>
      </c>
      <c r="D1269" t="s">
        <v>29</v>
      </c>
      <c r="F1269" t="s">
        <v>60</v>
      </c>
    </row>
    <row r="1270" spans="1:6" x14ac:dyDescent="0.2">
      <c r="A1270" t="s">
        <v>159</v>
      </c>
      <c r="B1270" t="s">
        <v>36</v>
      </c>
      <c r="D1270" t="s">
        <v>30</v>
      </c>
      <c r="F1270" t="s">
        <v>60</v>
      </c>
    </row>
    <row r="1271" spans="1:6" x14ac:dyDescent="0.2">
      <c r="A1271" t="s">
        <v>159</v>
      </c>
      <c r="B1271" t="s">
        <v>22</v>
      </c>
      <c r="D1271" t="s">
        <v>14</v>
      </c>
      <c r="F1271" t="s">
        <v>60</v>
      </c>
    </row>
    <row r="1272" spans="1:6" x14ac:dyDescent="0.2">
      <c r="A1272" t="s">
        <v>159</v>
      </c>
      <c r="B1272" t="s">
        <v>16</v>
      </c>
      <c r="D1272" t="s">
        <v>32</v>
      </c>
      <c r="F1272" t="s">
        <v>60</v>
      </c>
    </row>
    <row r="1273" spans="1:6" x14ac:dyDescent="0.2">
      <c r="A1273" t="s">
        <v>159</v>
      </c>
      <c r="B1273" t="s">
        <v>38</v>
      </c>
      <c r="D1273" t="s">
        <v>33</v>
      </c>
      <c r="F1273" t="s">
        <v>60</v>
      </c>
    </row>
    <row r="1274" spans="1:6" x14ac:dyDescent="0.2">
      <c r="A1274" t="s">
        <v>159</v>
      </c>
      <c r="B1274" t="s">
        <v>11</v>
      </c>
      <c r="D1274" t="s">
        <v>19</v>
      </c>
      <c r="F1274" t="s">
        <v>60</v>
      </c>
    </row>
    <row r="1275" spans="1:6" x14ac:dyDescent="0.2">
      <c r="A1275" t="s">
        <v>159</v>
      </c>
      <c r="B1275" t="s">
        <v>25</v>
      </c>
      <c r="D1275" t="s">
        <v>55</v>
      </c>
      <c r="F1275" t="s">
        <v>60</v>
      </c>
    </row>
    <row r="1276" spans="1:6" x14ac:dyDescent="0.2">
      <c r="A1276" t="s">
        <v>159</v>
      </c>
      <c r="B1276" t="s">
        <v>27</v>
      </c>
      <c r="D1276" t="s">
        <v>40</v>
      </c>
      <c r="F1276" t="s">
        <v>60</v>
      </c>
    </row>
    <row r="1277" spans="1:6" x14ac:dyDescent="0.2">
      <c r="A1277" t="s">
        <v>160</v>
      </c>
      <c r="B1277" t="s">
        <v>38</v>
      </c>
      <c r="D1277" t="s">
        <v>31</v>
      </c>
      <c r="F1277" t="s">
        <v>60</v>
      </c>
    </row>
    <row r="1278" spans="1:6" x14ac:dyDescent="0.2">
      <c r="A1278" t="s">
        <v>160</v>
      </c>
      <c r="B1278" t="s">
        <v>21</v>
      </c>
      <c r="D1278" t="s">
        <v>28</v>
      </c>
      <c r="F1278" t="s">
        <v>60</v>
      </c>
    </row>
    <row r="1279" spans="1:6" x14ac:dyDescent="0.2">
      <c r="A1279" t="s">
        <v>160</v>
      </c>
      <c r="B1279" t="s">
        <v>55</v>
      </c>
      <c r="D1279" t="s">
        <v>16</v>
      </c>
      <c r="F1279" t="s">
        <v>60</v>
      </c>
    </row>
    <row r="1280" spans="1:6" x14ac:dyDescent="0.2">
      <c r="A1280" t="s">
        <v>160</v>
      </c>
      <c r="B1280" t="s">
        <v>36</v>
      </c>
      <c r="D1280" t="s">
        <v>24</v>
      </c>
      <c r="F1280" t="s">
        <v>60</v>
      </c>
    </row>
    <row r="1281" spans="1:6" x14ac:dyDescent="0.2">
      <c r="A1281" t="s">
        <v>160</v>
      </c>
      <c r="B1281" t="s">
        <v>18</v>
      </c>
      <c r="D1281" t="s">
        <v>30</v>
      </c>
      <c r="F1281" t="s">
        <v>60</v>
      </c>
    </row>
    <row r="1282" spans="1:6" x14ac:dyDescent="0.2">
      <c r="A1282" t="s">
        <v>160</v>
      </c>
      <c r="B1282" t="s">
        <v>14</v>
      </c>
      <c r="D1282" t="s">
        <v>22</v>
      </c>
      <c r="F1282" t="s">
        <v>60</v>
      </c>
    </row>
    <row r="1283" spans="1:6" x14ac:dyDescent="0.2">
      <c r="A1283" t="s">
        <v>161</v>
      </c>
      <c r="B1283" t="s">
        <v>23</v>
      </c>
      <c r="D1283" t="s">
        <v>10</v>
      </c>
      <c r="F1283" t="s">
        <v>60</v>
      </c>
    </row>
    <row r="1284" spans="1:6" x14ac:dyDescent="0.2">
      <c r="A1284" t="s">
        <v>161</v>
      </c>
      <c r="B1284" t="s">
        <v>12</v>
      </c>
      <c r="D1284" t="s">
        <v>17</v>
      </c>
      <c r="F1284" t="s">
        <v>60</v>
      </c>
    </row>
    <row r="1285" spans="1:6" x14ac:dyDescent="0.2">
      <c r="A1285" t="s">
        <v>161</v>
      </c>
      <c r="B1285" t="s">
        <v>15</v>
      </c>
      <c r="D1285" t="s">
        <v>11</v>
      </c>
      <c r="F1285" t="s">
        <v>60</v>
      </c>
    </row>
    <row r="1286" spans="1:6" x14ac:dyDescent="0.2">
      <c r="A1286" t="s">
        <v>161</v>
      </c>
      <c r="B1286" t="s">
        <v>33</v>
      </c>
      <c r="D1286" t="s">
        <v>29</v>
      </c>
      <c r="F1286" t="s">
        <v>60</v>
      </c>
    </row>
    <row r="1287" spans="1:6" x14ac:dyDescent="0.2">
      <c r="A1287" t="s">
        <v>161</v>
      </c>
      <c r="B1287" t="s">
        <v>25</v>
      </c>
      <c r="D1287" t="s">
        <v>27</v>
      </c>
      <c r="F1287" t="s">
        <v>60</v>
      </c>
    </row>
    <row r="1288" spans="1:6" x14ac:dyDescent="0.2">
      <c r="A1288" t="s">
        <v>161</v>
      </c>
      <c r="B1288" t="s">
        <v>13</v>
      </c>
      <c r="D1288" t="s">
        <v>32</v>
      </c>
      <c r="F1288" t="s">
        <v>60</v>
      </c>
    </row>
    <row r="1289" spans="1:6" x14ac:dyDescent="0.2">
      <c r="A1289" t="s">
        <v>161</v>
      </c>
      <c r="B1289" t="s">
        <v>34</v>
      </c>
      <c r="D1289" t="s">
        <v>35</v>
      </c>
      <c r="F1289" t="s">
        <v>60</v>
      </c>
    </row>
    <row r="1290" spans="1:6" x14ac:dyDescent="0.2">
      <c r="A1290" t="s">
        <v>161</v>
      </c>
      <c r="B1290" t="s">
        <v>26</v>
      </c>
      <c r="D1290" t="s">
        <v>37</v>
      </c>
      <c r="F1290" t="s">
        <v>60</v>
      </c>
    </row>
    <row r="1291" spans="1:6" x14ac:dyDescent="0.2">
      <c r="A1291" t="s">
        <v>161</v>
      </c>
      <c r="B1291" t="s">
        <v>39</v>
      </c>
      <c r="D1291" t="s">
        <v>19</v>
      </c>
      <c r="F1291" t="s">
        <v>60</v>
      </c>
    </row>
    <row r="1292" spans="1:6" x14ac:dyDescent="0.2">
      <c r="A1292" t="s">
        <v>161</v>
      </c>
      <c r="B1292" t="s">
        <v>40</v>
      </c>
      <c r="D1292" t="s">
        <v>20</v>
      </c>
      <c r="F1292" t="s">
        <v>60</v>
      </c>
    </row>
    <row r="1293" spans="1:6" x14ac:dyDescent="0.2">
      <c r="A1293" t="s">
        <v>162</v>
      </c>
      <c r="B1293" t="s">
        <v>24</v>
      </c>
      <c r="D1293" t="s">
        <v>21</v>
      </c>
      <c r="F1293" t="s">
        <v>60</v>
      </c>
    </row>
    <row r="1294" spans="1:6" x14ac:dyDescent="0.2">
      <c r="A1294" t="s">
        <v>162</v>
      </c>
      <c r="B1294" t="s">
        <v>22</v>
      </c>
      <c r="D1294" t="s">
        <v>28</v>
      </c>
      <c r="F1294" t="s">
        <v>60</v>
      </c>
    </row>
    <row r="1295" spans="1:6" x14ac:dyDescent="0.2">
      <c r="A1295" t="s">
        <v>162</v>
      </c>
      <c r="B1295" t="s">
        <v>12</v>
      </c>
      <c r="D1295" t="s">
        <v>16</v>
      </c>
      <c r="F1295" t="s">
        <v>60</v>
      </c>
    </row>
    <row r="1296" spans="1:6" x14ac:dyDescent="0.2">
      <c r="A1296" t="s">
        <v>162</v>
      </c>
      <c r="B1296" t="s">
        <v>31</v>
      </c>
      <c r="D1296" t="s">
        <v>34</v>
      </c>
      <c r="F1296" t="s">
        <v>60</v>
      </c>
    </row>
    <row r="1297" spans="1:6" x14ac:dyDescent="0.2">
      <c r="A1297" t="s">
        <v>162</v>
      </c>
      <c r="B1297" t="s">
        <v>25</v>
      </c>
      <c r="D1297" t="s">
        <v>30</v>
      </c>
      <c r="F1297" t="s">
        <v>60</v>
      </c>
    </row>
    <row r="1298" spans="1:6" x14ac:dyDescent="0.2">
      <c r="A1298" t="s">
        <v>162</v>
      </c>
      <c r="B1298" t="s">
        <v>18</v>
      </c>
      <c r="D1298" t="s">
        <v>27</v>
      </c>
      <c r="F1298" t="s">
        <v>60</v>
      </c>
    </row>
    <row r="1299" spans="1:6" x14ac:dyDescent="0.2">
      <c r="A1299" t="s">
        <v>162</v>
      </c>
      <c r="B1299" t="s">
        <v>14</v>
      </c>
      <c r="D1299" t="s">
        <v>35</v>
      </c>
      <c r="F1299" t="s">
        <v>60</v>
      </c>
    </row>
    <row r="1300" spans="1:6" x14ac:dyDescent="0.2">
      <c r="A1300" t="s">
        <v>162</v>
      </c>
      <c r="B1300" t="s">
        <v>40</v>
      </c>
      <c r="D1300" t="s">
        <v>55</v>
      </c>
      <c r="F1300" t="s">
        <v>60</v>
      </c>
    </row>
    <row r="1301" spans="1:6" x14ac:dyDescent="0.2">
      <c r="A1301" t="s">
        <v>162</v>
      </c>
      <c r="B1301" t="s">
        <v>13</v>
      </c>
      <c r="D1301" t="s">
        <v>38</v>
      </c>
      <c r="F1301" t="s">
        <v>60</v>
      </c>
    </row>
    <row r="1302" spans="1:6" x14ac:dyDescent="0.2">
      <c r="A1302" t="s">
        <v>163</v>
      </c>
      <c r="B1302" t="s">
        <v>39</v>
      </c>
      <c r="D1302" t="s">
        <v>23</v>
      </c>
      <c r="F1302" t="s">
        <v>60</v>
      </c>
    </row>
    <row r="1303" spans="1:6" x14ac:dyDescent="0.2">
      <c r="A1303" t="s">
        <v>163</v>
      </c>
      <c r="B1303" t="s">
        <v>33</v>
      </c>
      <c r="D1303" t="s">
        <v>10</v>
      </c>
      <c r="F1303" t="s">
        <v>60</v>
      </c>
    </row>
    <row r="1304" spans="1:6" x14ac:dyDescent="0.2">
      <c r="A1304" t="s">
        <v>163</v>
      </c>
      <c r="B1304" t="s">
        <v>26</v>
      </c>
      <c r="D1304" t="s">
        <v>11</v>
      </c>
      <c r="F1304" t="s">
        <v>60</v>
      </c>
    </row>
    <row r="1305" spans="1:6" x14ac:dyDescent="0.2">
      <c r="A1305" t="s">
        <v>163</v>
      </c>
      <c r="B1305" t="s">
        <v>19</v>
      </c>
      <c r="D1305" t="s">
        <v>36</v>
      </c>
      <c r="F1305" t="s">
        <v>60</v>
      </c>
    </row>
    <row r="1306" spans="1:6" x14ac:dyDescent="0.2">
      <c r="A1306" t="s">
        <v>163</v>
      </c>
      <c r="B1306" t="s">
        <v>15</v>
      </c>
      <c r="D1306" t="s">
        <v>37</v>
      </c>
      <c r="F1306" t="s">
        <v>60</v>
      </c>
    </row>
    <row r="1307" spans="1:6" x14ac:dyDescent="0.2">
      <c r="A1307" t="s">
        <v>163</v>
      </c>
      <c r="B1307" t="s">
        <v>32</v>
      </c>
      <c r="D1307" t="s">
        <v>20</v>
      </c>
      <c r="F1307" t="s">
        <v>60</v>
      </c>
    </row>
    <row r="1308" spans="1:6" x14ac:dyDescent="0.2">
      <c r="A1308" t="s">
        <v>164</v>
      </c>
      <c r="B1308" t="s">
        <v>13</v>
      </c>
      <c r="D1308" t="s">
        <v>16</v>
      </c>
      <c r="F1308" t="s">
        <v>60</v>
      </c>
    </row>
    <row r="1309" spans="1:6" x14ac:dyDescent="0.2">
      <c r="A1309" t="s">
        <v>164</v>
      </c>
      <c r="B1309" t="s">
        <v>32</v>
      </c>
      <c r="D1309" t="s">
        <v>12</v>
      </c>
      <c r="F1309" t="s">
        <v>60</v>
      </c>
    </row>
    <row r="1310" spans="1:6" x14ac:dyDescent="0.2">
      <c r="A1310" t="s">
        <v>164</v>
      </c>
      <c r="B1310" t="s">
        <v>38</v>
      </c>
      <c r="D1310" t="s">
        <v>17</v>
      </c>
      <c r="F1310" t="s">
        <v>60</v>
      </c>
    </row>
    <row r="1311" spans="1:6" x14ac:dyDescent="0.2">
      <c r="A1311" t="s">
        <v>164</v>
      </c>
      <c r="B1311" t="s">
        <v>31</v>
      </c>
      <c r="D1311" t="s">
        <v>29</v>
      </c>
      <c r="F1311" t="s">
        <v>60</v>
      </c>
    </row>
    <row r="1312" spans="1:6" x14ac:dyDescent="0.2">
      <c r="A1312" t="s">
        <v>164</v>
      </c>
      <c r="B1312" t="s">
        <v>35</v>
      </c>
      <c r="D1312" t="s">
        <v>55</v>
      </c>
      <c r="F1312" t="s">
        <v>60</v>
      </c>
    </row>
    <row r="1313" spans="1:6" x14ac:dyDescent="0.2">
      <c r="A1313" t="s">
        <v>164</v>
      </c>
      <c r="B1313" t="s">
        <v>33</v>
      </c>
      <c r="D1313" t="s">
        <v>40</v>
      </c>
      <c r="F1313" t="s">
        <v>60</v>
      </c>
    </row>
  </sheetData>
  <phoneticPr fontId="6" type="noConversion"/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042822-7092-1C4D-84DD-320397CB4560}">
  <sheetPr codeName="Sheet2"/>
  <dimension ref="A1:J1318"/>
  <sheetViews>
    <sheetView workbookViewId="0">
      <selection activeCell="J3" sqref="J3"/>
    </sheetView>
  </sheetViews>
  <sheetFormatPr baseColWidth="10" defaultColWidth="10.83203125" defaultRowHeight="16" x14ac:dyDescent="0.2"/>
  <cols>
    <col min="1" max="1" width="19.83203125" bestFit="1" customWidth="1"/>
    <col min="4" max="4" width="19.83203125" bestFit="1" customWidth="1"/>
    <col min="5" max="5" width="11.5" bestFit="1" customWidth="1"/>
    <col min="6" max="6" width="19.83203125" bestFit="1" customWidth="1"/>
    <col min="7" max="7" width="10.1640625" customWidth="1"/>
    <col min="8" max="8" width="14.1640625" customWidth="1"/>
    <col min="9" max="9" width="15.83203125" customWidth="1"/>
    <col min="10" max="10" width="19.33203125" customWidth="1"/>
  </cols>
  <sheetData>
    <row r="1" spans="1:10" x14ac:dyDescent="0.2">
      <c r="A1" s="3" t="s">
        <v>41</v>
      </c>
      <c r="B1">
        <v>0.16257230966231839</v>
      </c>
    </row>
    <row r="2" spans="1:10" x14ac:dyDescent="0.2">
      <c r="J2" s="3" t="s">
        <v>49</v>
      </c>
    </row>
    <row r="3" spans="1:10" x14ac:dyDescent="0.2">
      <c r="B3">
        <v>0</v>
      </c>
      <c r="J3">
        <f>SUM(Table3[Squared Difference])</f>
        <v>1518.8042896773281</v>
      </c>
    </row>
    <row r="6" spans="1:10" x14ac:dyDescent="0.2">
      <c r="A6" s="3" t="s">
        <v>42</v>
      </c>
      <c r="B6" s="3" t="s">
        <v>43</v>
      </c>
      <c r="D6" s="8" t="s">
        <v>2</v>
      </c>
      <c r="E6" s="8" t="s">
        <v>3</v>
      </c>
      <c r="F6" s="8" t="s">
        <v>4</v>
      </c>
      <c r="G6" s="8" t="s">
        <v>5</v>
      </c>
      <c r="H6" s="7" t="s">
        <v>46</v>
      </c>
      <c r="I6" s="6" t="s">
        <v>47</v>
      </c>
      <c r="J6" s="6" t="s">
        <v>48</v>
      </c>
    </row>
    <row r="7" spans="1:10" x14ac:dyDescent="0.2">
      <c r="A7" s="4" t="s">
        <v>31</v>
      </c>
      <c r="B7">
        <v>0.51775546328552802</v>
      </c>
      <c r="D7" t="s">
        <v>10</v>
      </c>
      <c r="E7">
        <f>'NHL2025-26Results'!C2</f>
        <v>2</v>
      </c>
      <c r="F7" t="s">
        <v>11</v>
      </c>
      <c r="G7">
        <f>'NHL2025-26Results'!E2</f>
        <v>3</v>
      </c>
      <c r="H7">
        <f>Table3[[#This Row],[G_1]]-Table3[[#This Row],[G]]</f>
        <v>1</v>
      </c>
      <c r="I7">
        <f>HomeEdge+VLOOKUP(Table3[[#This Row],[Home]],$A$6:$B$38,2,FALSE)-VLOOKUP(Table3[[#This Row],[Visitor]],$A$6:$B$38,2,FALSE)</f>
        <v>-0.42419661760732491</v>
      </c>
      <c r="J7">
        <f>(Table3[[#This Row],[HomeMargin]]-Table3[[#This Row],[HomeForecast]])^2</f>
        <v>2.0283360056041446</v>
      </c>
    </row>
    <row r="8" spans="1:10" x14ac:dyDescent="0.2">
      <c r="A8" s="4" t="s">
        <v>21</v>
      </c>
      <c r="B8">
        <v>4.029141914856392E-2</v>
      </c>
      <c r="D8" t="s">
        <v>12</v>
      </c>
      <c r="E8">
        <f>'NHL2025-26Results'!C3</f>
        <v>4</v>
      </c>
      <c r="F8" t="s">
        <v>13</v>
      </c>
      <c r="G8">
        <f>'NHL2025-26Results'!E3</f>
        <v>1</v>
      </c>
      <c r="H8">
        <f>Table3[[#This Row],[G_1]]-Table3[[#This Row],[G]]</f>
        <v>-3</v>
      </c>
      <c r="I8">
        <f>HomeEdge+VLOOKUP(Table3[[#This Row],[Home]],$A$6:$B$38,2,FALSE)-VLOOKUP(Table3[[#This Row],[Visitor]],$A$6:$B$38,2,FALSE)</f>
        <v>-1.4603887577856522</v>
      </c>
      <c r="J8">
        <f>(Table3[[#This Row],[HomeMargin]]-Table3[[#This Row],[HomeForecast]])^2</f>
        <v>2.3704027771528069</v>
      </c>
    </row>
    <row r="9" spans="1:10" x14ac:dyDescent="0.2">
      <c r="A9" s="4" t="s">
        <v>23</v>
      </c>
      <c r="B9">
        <v>-0.8683412362501769</v>
      </c>
      <c r="D9" t="s">
        <v>14</v>
      </c>
      <c r="E9">
        <f>'NHL2025-26Results'!C4</f>
        <v>3</v>
      </c>
      <c r="F9" t="s">
        <v>15</v>
      </c>
      <c r="G9">
        <f>'NHL2025-26Results'!E4</f>
        <v>0</v>
      </c>
      <c r="H9">
        <f>Table3[[#This Row],[G_1]]-Table3[[#This Row],[G]]</f>
        <v>-3</v>
      </c>
      <c r="I9">
        <f>HomeEdge+VLOOKUP(Table3[[#This Row],[Home]],$A$6:$B$38,2,FALSE)-VLOOKUP(Table3[[#This Row],[Visitor]],$A$6:$B$38,2,FALSE)</f>
        <v>-0.40751525529682864</v>
      </c>
      <c r="J9">
        <f>(Table3[[#This Row],[HomeMargin]]-Table3[[#This Row],[HomeForecast]])^2</f>
        <v>6.7209771515186674</v>
      </c>
    </row>
    <row r="10" spans="1:10" x14ac:dyDescent="0.2">
      <c r="A10" s="4" t="s">
        <v>16</v>
      </c>
      <c r="B10">
        <v>-1.3903684122795328</v>
      </c>
      <c r="D10" t="s">
        <v>16</v>
      </c>
      <c r="E10">
        <f>'NHL2025-26Results'!C5</f>
        <v>4</v>
      </c>
      <c r="F10" t="s">
        <v>17</v>
      </c>
      <c r="G10">
        <f>'NHL2025-26Results'!E5</f>
        <v>3</v>
      </c>
      <c r="H10">
        <f>Table3[[#This Row],[G_1]]-Table3[[#This Row],[G]]</f>
        <v>-1</v>
      </c>
      <c r="I10">
        <f>HomeEdge+VLOOKUP(Table3[[#This Row],[Home]],$A$6:$B$38,2,FALSE)-VLOOKUP(Table3[[#This Row],[Visitor]],$A$6:$B$38,2,FALSE)</f>
        <v>0.93313268056620835</v>
      </c>
      <c r="J10">
        <f>(Table3[[#This Row],[HomeMargin]]-Table3[[#This Row],[HomeForecast]])^2</f>
        <v>3.7370019606730942</v>
      </c>
    </row>
    <row r="11" spans="1:10" x14ac:dyDescent="0.2">
      <c r="A11" s="4" t="s">
        <v>25</v>
      </c>
      <c r="B11">
        <v>0.67193921242367816</v>
      </c>
      <c r="D11" t="s">
        <v>18</v>
      </c>
      <c r="E11">
        <f>'NHL2025-26Results'!C6</f>
        <v>2</v>
      </c>
      <c r="F11" t="s">
        <v>19</v>
      </c>
      <c r="G11">
        <f>'NHL2025-26Results'!E6</f>
        <v>5</v>
      </c>
      <c r="H11">
        <f>Table3[[#This Row],[G_1]]-Table3[[#This Row],[G]]</f>
        <v>3</v>
      </c>
      <c r="I11">
        <f>HomeEdge+VLOOKUP(Table3[[#This Row],[Home]],$A$6:$B$38,2,FALSE)-VLOOKUP(Table3[[#This Row],[Visitor]],$A$6:$B$38,2,FALSE)</f>
        <v>5.1384028202819731E-2</v>
      </c>
      <c r="J11">
        <f>(Table3[[#This Row],[HomeMargin]]-Table3[[#This Row],[HomeForecast]])^2</f>
        <v>8.6943361491374294</v>
      </c>
    </row>
    <row r="12" spans="1:10" x14ac:dyDescent="0.2">
      <c r="A12" s="4" t="s">
        <v>10</v>
      </c>
      <c r="B12">
        <v>0.30570968833820172</v>
      </c>
      <c r="D12" t="s">
        <v>13</v>
      </c>
      <c r="E12">
        <f>'NHL2025-26Results'!C7</f>
        <v>6</v>
      </c>
      <c r="F12" t="s">
        <v>20</v>
      </c>
      <c r="G12">
        <f>'NHL2025-26Results'!E7</f>
        <v>5</v>
      </c>
      <c r="H12">
        <f>Table3[[#This Row],[G_1]]-Table3[[#This Row],[G]]</f>
        <v>-1</v>
      </c>
      <c r="I12">
        <f>HomeEdge+VLOOKUP(Table3[[#This Row],[Home]],$A$6:$B$38,2,FALSE)-VLOOKUP(Table3[[#This Row],[Visitor]],$A$6:$B$38,2,FALSE)</f>
        <v>0.23739456005112031</v>
      </c>
      <c r="J12">
        <f>(Table3[[#This Row],[HomeMargin]]-Table3[[#This Row],[HomeForecast]])^2</f>
        <v>1.5311452972441055</v>
      </c>
    </row>
    <row r="13" spans="1:10" x14ac:dyDescent="0.2">
      <c r="A13" s="4" t="s">
        <v>12</v>
      </c>
      <c r="B13">
        <v>1.5475013591489768</v>
      </c>
      <c r="D13" t="s">
        <v>21</v>
      </c>
      <c r="E13">
        <f>'NHL2025-26Results'!C8</f>
        <v>3</v>
      </c>
      <c r="F13" t="s">
        <v>22</v>
      </c>
      <c r="G13">
        <f>'NHL2025-26Results'!E8</f>
        <v>1</v>
      </c>
      <c r="H13">
        <f>Table3[[#This Row],[G_1]]-Table3[[#This Row],[G]]</f>
        <v>-2</v>
      </c>
      <c r="I13">
        <f>HomeEdge+VLOOKUP(Table3[[#This Row],[Home]],$A$6:$B$38,2,FALSE)-VLOOKUP(Table3[[#This Row],[Visitor]],$A$6:$B$38,2,FALSE)</f>
        <v>6.0972051026969773E-2</v>
      </c>
      <c r="J13">
        <f>(Table3[[#This Row],[HomeMargin]]-Table3[[#This Row],[HomeForecast]])^2</f>
        <v>4.2476057951143149</v>
      </c>
    </row>
    <row r="14" spans="1:10" x14ac:dyDescent="0.2">
      <c r="A14" s="4" t="s">
        <v>28</v>
      </c>
      <c r="B14">
        <v>-0.40822279081308277</v>
      </c>
      <c r="D14" t="s">
        <v>10</v>
      </c>
      <c r="E14">
        <f>'NHL2025-26Results'!C9</f>
        <v>3</v>
      </c>
      <c r="F14" t="s">
        <v>21</v>
      </c>
      <c r="G14">
        <f>'NHL2025-26Results'!E9</f>
        <v>4</v>
      </c>
      <c r="H14">
        <f>Table3[[#This Row],[G_1]]-Table3[[#This Row],[G]]</f>
        <v>1</v>
      </c>
      <c r="I14">
        <f>HomeEdge+VLOOKUP(Table3[[#This Row],[Home]],$A$6:$B$38,2,FALSE)-VLOOKUP(Table3[[#This Row],[Visitor]],$A$6:$B$38,2,FALSE)</f>
        <v>-0.1028459595273194</v>
      </c>
      <c r="J14">
        <f>(Table3[[#This Row],[HomeMargin]]-Table3[[#This Row],[HomeForecast]])^2</f>
        <v>1.216269210445734</v>
      </c>
    </row>
    <row r="15" spans="1:10" x14ac:dyDescent="0.2">
      <c r="A15" s="4" t="s">
        <v>39</v>
      </c>
      <c r="B15">
        <v>0.19809534061227302</v>
      </c>
      <c r="D15" t="s">
        <v>15</v>
      </c>
      <c r="E15">
        <f>'NHL2025-26Results'!C10</f>
        <v>4</v>
      </c>
      <c r="F15" t="s">
        <v>23</v>
      </c>
      <c r="G15">
        <f>'NHL2025-26Results'!E10</f>
        <v>0</v>
      </c>
      <c r="H15">
        <f>Table3[[#This Row],[G_1]]-Table3[[#This Row],[G]]</f>
        <v>-4</v>
      </c>
      <c r="I15">
        <f>HomeEdge+VLOOKUP(Table3[[#This Row],[Home]],$A$6:$B$38,2,FALSE)-VLOOKUP(Table3[[#This Row],[Visitor]],$A$6:$B$38,2,FALSE)</f>
        <v>-0.39857227355746849</v>
      </c>
      <c r="J15">
        <f>(Table3[[#This Row],[HomeMargin]]-Table3[[#This Row],[HomeForecast]])^2</f>
        <v>12.970281668789022</v>
      </c>
    </row>
    <row r="16" spans="1:10" x14ac:dyDescent="0.2">
      <c r="A16" s="4" t="s">
        <v>26</v>
      </c>
      <c r="B16">
        <v>-0.513643833119658</v>
      </c>
      <c r="D16" t="s">
        <v>24</v>
      </c>
      <c r="E16">
        <f>'NHL2025-26Results'!C11</f>
        <v>3</v>
      </c>
      <c r="F16" t="s">
        <v>25</v>
      </c>
      <c r="G16">
        <f>'NHL2025-26Results'!E11</f>
        <v>6</v>
      </c>
      <c r="H16">
        <f>Table3[[#This Row],[G_1]]-Table3[[#This Row],[G]]</f>
        <v>3</v>
      </c>
      <c r="I16">
        <f>HomeEdge+VLOOKUP(Table3[[#This Row],[Home]],$A$6:$B$38,2,FALSE)-VLOOKUP(Table3[[#This Row],[Visitor]],$A$6:$B$38,2,FALSE)</f>
        <v>0.27507035871204355</v>
      </c>
      <c r="J16">
        <f>(Table3[[#This Row],[HomeMargin]]-Table3[[#This Row],[HomeForecast]])^2</f>
        <v>7.4252415499697113</v>
      </c>
    </row>
    <row r="17" spans="1:10" x14ac:dyDescent="0.2">
      <c r="A17" s="4" t="s">
        <v>17</v>
      </c>
      <c r="B17">
        <v>-0.61980804137564283</v>
      </c>
      <c r="D17" t="s">
        <v>55</v>
      </c>
      <c r="E17">
        <f>'NHL2025-26Results'!C12</f>
        <v>1</v>
      </c>
      <c r="F17" t="s">
        <v>12</v>
      </c>
      <c r="G17">
        <f>'NHL2025-26Results'!E12</f>
        <v>2</v>
      </c>
      <c r="H17">
        <f>Table3[[#This Row],[G_1]]-Table3[[#This Row],[G]]</f>
        <v>1</v>
      </c>
      <c r="I17">
        <f>HomeEdge+VLOOKUP(Table3[[#This Row],[Home]],$A$6:$B$38,2,FALSE)-VLOOKUP(Table3[[#This Row],[Visitor]],$A$6:$B$38,2,FALSE)</f>
        <v>1.8321967883598134</v>
      </c>
      <c r="J17">
        <f>(Table3[[#This Row],[HomeMargin]]-Table3[[#This Row],[HomeForecast]])^2</f>
        <v>0.69255149455638798</v>
      </c>
    </row>
    <row r="18" spans="1:10" x14ac:dyDescent="0.2">
      <c r="A18" s="4" t="s">
        <v>11</v>
      </c>
      <c r="B18">
        <v>-0.28105923893144158</v>
      </c>
      <c r="D18" t="s">
        <v>18</v>
      </c>
      <c r="E18">
        <f>'NHL2025-26Results'!C13</f>
        <v>5</v>
      </c>
      <c r="F18" t="s">
        <v>26</v>
      </c>
      <c r="G18">
        <f>'NHL2025-26Results'!E13</f>
        <v>1</v>
      </c>
      <c r="H18">
        <f>Table3[[#This Row],[G_1]]-Table3[[#This Row],[G]]</f>
        <v>-4</v>
      </c>
      <c r="I18">
        <f>HomeEdge+VLOOKUP(Table3[[#This Row],[Home]],$A$6:$B$38,2,FALSE)-VLOOKUP(Table3[[#This Row],[Visitor]],$A$6:$B$38,2,FALSE)</f>
        <v>0.17330573856114273</v>
      </c>
      <c r="J18">
        <f>(Table3[[#This Row],[HomeMargin]]-Table3[[#This Row],[HomeForecast]])^2</f>
        <v>17.416480787507368</v>
      </c>
    </row>
    <row r="19" spans="1:10" x14ac:dyDescent="0.2">
      <c r="A19" s="4" t="s">
        <v>13</v>
      </c>
      <c r="B19">
        <v>-7.5459708298993802E-2</v>
      </c>
      <c r="D19" t="s">
        <v>27</v>
      </c>
      <c r="E19">
        <f>'NHL2025-26Results'!C14</f>
        <v>1</v>
      </c>
      <c r="F19" t="s">
        <v>11</v>
      </c>
      <c r="G19">
        <f>'NHL2025-26Results'!E14</f>
        <v>2</v>
      </c>
      <c r="H19">
        <f>Table3[[#This Row],[G_1]]-Table3[[#This Row],[G]]</f>
        <v>1</v>
      </c>
      <c r="I19">
        <f>HomeEdge+VLOOKUP(Table3[[#This Row],[Home]],$A$6:$B$38,2,FALSE)-VLOOKUP(Table3[[#This Row],[Visitor]],$A$6:$B$38,2,FALSE)</f>
        <v>0.39509897570525299</v>
      </c>
      <c r="J19">
        <f>(Table3[[#This Row],[HomeMargin]]-Table3[[#This Row],[HomeForecast]])^2</f>
        <v>0.36590524919283413</v>
      </c>
    </row>
    <row r="20" spans="1:10" x14ac:dyDescent="0.2">
      <c r="A20" s="4" t="s">
        <v>34</v>
      </c>
      <c r="B20">
        <v>-0.53650300840565446</v>
      </c>
      <c r="D20" t="s">
        <v>28</v>
      </c>
      <c r="E20">
        <f>'NHL2025-26Results'!C15</f>
        <v>1</v>
      </c>
      <c r="F20" t="s">
        <v>29</v>
      </c>
      <c r="G20">
        <f>'NHL2025-26Results'!E15</f>
        <v>2</v>
      </c>
      <c r="H20">
        <f>Table3[[#This Row],[G_1]]-Table3[[#This Row],[G]]</f>
        <v>1</v>
      </c>
      <c r="I20">
        <f>HomeEdge+VLOOKUP(Table3[[#This Row],[Home]],$A$6:$B$38,2,FALSE)-VLOOKUP(Table3[[#This Row],[Visitor]],$A$6:$B$38,2,FALSE)</f>
        <v>-0.78082997023065948</v>
      </c>
      <c r="J20">
        <f>(Table3[[#This Row],[HomeMargin]]-Table3[[#This Row],[HomeForecast]])^2</f>
        <v>3.1713553828717318</v>
      </c>
    </row>
    <row r="21" spans="1:10" x14ac:dyDescent="0.2">
      <c r="A21" s="4" t="s">
        <v>18</v>
      </c>
      <c r="B21">
        <v>-0.52437726201848234</v>
      </c>
      <c r="D21" t="s">
        <v>30</v>
      </c>
      <c r="E21">
        <f>'NHL2025-26Results'!C16</f>
        <v>3</v>
      </c>
      <c r="F21" t="s">
        <v>14</v>
      </c>
      <c r="G21">
        <f>'NHL2025-26Results'!E16</f>
        <v>4</v>
      </c>
      <c r="H21">
        <f>Table3[[#This Row],[G_1]]-Table3[[#This Row],[G]]</f>
        <v>1</v>
      </c>
      <c r="I21">
        <f>HomeEdge+VLOOKUP(Table3[[#This Row],[Home]],$A$6:$B$38,2,FALSE)-VLOOKUP(Table3[[#This Row],[Visitor]],$A$6:$B$38,2,FALSE)</f>
        <v>0.49019278240943442</v>
      </c>
      <c r="J21">
        <f>(Table3[[#This Row],[HomeMargin]]-Table3[[#This Row],[HomeForecast]])^2</f>
        <v>0.25990339910743426</v>
      </c>
    </row>
    <row r="22" spans="1:10" x14ac:dyDescent="0.2">
      <c r="A22" s="4" t="s">
        <v>29</v>
      </c>
      <c r="B22">
        <v>-1.3516250707060606</v>
      </c>
      <c r="D22" t="s">
        <v>31</v>
      </c>
      <c r="E22">
        <f>'NHL2025-26Results'!C17</f>
        <v>1</v>
      </c>
      <c r="F22" t="s">
        <v>32</v>
      </c>
      <c r="G22">
        <f>'NHL2025-26Results'!E17</f>
        <v>3</v>
      </c>
      <c r="H22">
        <f>Table3[[#This Row],[G_1]]-Table3[[#This Row],[G]]</f>
        <v>2</v>
      </c>
      <c r="I22">
        <f>HomeEdge+VLOOKUP(Table3[[#This Row],[Home]],$A$6:$B$38,2,FALSE)-VLOOKUP(Table3[[#This Row],[Visitor]],$A$6:$B$38,2,FALSE)</f>
        <v>-0.71654446280165263</v>
      </c>
      <c r="J22">
        <f>(Table3[[#This Row],[HomeMargin]]-Table3[[#This Row],[HomeForecast]])^2</f>
        <v>7.3796138183783206</v>
      </c>
    </row>
    <row r="23" spans="1:10" x14ac:dyDescent="0.2">
      <c r="A23" s="4" t="s">
        <v>24</v>
      </c>
      <c r="B23">
        <v>0.559441163373953</v>
      </c>
      <c r="D23" t="s">
        <v>20</v>
      </c>
      <c r="E23">
        <f>'NHL2025-26Results'!C18</f>
        <v>4</v>
      </c>
      <c r="F23" t="s">
        <v>33</v>
      </c>
      <c r="G23">
        <f>'NHL2025-26Results'!E18</f>
        <v>3</v>
      </c>
      <c r="H23">
        <f>Table3[[#This Row],[G_1]]-Table3[[#This Row],[G]]</f>
        <v>-1</v>
      </c>
      <c r="I23">
        <f>HomeEdge+VLOOKUP(Table3[[#This Row],[Home]],$A$6:$B$38,2,FALSE)-VLOOKUP(Table3[[#This Row],[Visitor]],$A$6:$B$38,2,FALSE)</f>
        <v>-0.23097200496757456</v>
      </c>
      <c r="J23">
        <f>(Table3[[#This Row],[HomeMargin]]-Table3[[#This Row],[HomeForecast]])^2</f>
        <v>0.59140405714359223</v>
      </c>
    </row>
    <row r="24" spans="1:10" x14ac:dyDescent="0.2">
      <c r="A24" s="4" t="s">
        <v>30</v>
      </c>
      <c r="B24">
        <v>-6.4729560818359025E-2</v>
      </c>
      <c r="D24" t="s">
        <v>34</v>
      </c>
      <c r="E24">
        <f>'NHL2025-26Results'!C19</f>
        <v>5</v>
      </c>
      <c r="F24" t="s">
        <v>35</v>
      </c>
      <c r="G24">
        <f>'NHL2025-26Results'!E19</f>
        <v>0</v>
      </c>
      <c r="H24">
        <f>Table3[[#This Row],[G_1]]-Table3[[#This Row],[G]]</f>
        <v>-5</v>
      </c>
      <c r="I24">
        <f>HomeEdge+VLOOKUP(Table3[[#This Row],[Home]],$A$6:$B$38,2,FALSE)-VLOOKUP(Table3[[#This Row],[Visitor]],$A$6:$B$38,2,FALSE)</f>
        <v>-0.92208210597012774</v>
      </c>
      <c r="J24">
        <f>(Table3[[#This Row],[HomeMargin]]-Table3[[#This Row],[HomeForecast]])^2</f>
        <v>16.629414350449032</v>
      </c>
    </row>
    <row r="25" spans="1:10" x14ac:dyDescent="0.2">
      <c r="A25" s="4" t="s">
        <v>15</v>
      </c>
      <c r="B25">
        <v>-0.30719665303039001</v>
      </c>
      <c r="D25" t="s">
        <v>36</v>
      </c>
      <c r="E25">
        <f>'NHL2025-26Results'!C20</f>
        <v>5</v>
      </c>
      <c r="F25" t="s">
        <v>37</v>
      </c>
      <c r="G25">
        <f>'NHL2025-26Results'!E20</f>
        <v>4</v>
      </c>
      <c r="H25">
        <f>Table3[[#This Row],[G_1]]-Table3[[#This Row],[G]]</f>
        <v>-1</v>
      </c>
      <c r="I25">
        <f>HomeEdge+VLOOKUP(Table3[[#This Row],[Home]],$A$6:$B$38,2,FALSE)-VLOOKUP(Table3[[#This Row],[Visitor]],$A$6:$B$38,2,FALSE)</f>
        <v>0.45599732671999299</v>
      </c>
      <c r="J25">
        <f>(Table3[[#This Row],[HomeMargin]]-Table3[[#This Row],[HomeForecast]])^2</f>
        <v>2.1199282154157664</v>
      </c>
    </row>
    <row r="26" spans="1:10" x14ac:dyDescent="0.2">
      <c r="A26" s="4" t="s">
        <v>36</v>
      </c>
      <c r="B26">
        <v>-0.40651947573390851</v>
      </c>
      <c r="D26" t="s">
        <v>16</v>
      </c>
      <c r="E26">
        <f>'NHL2025-26Results'!C21</f>
        <v>1</v>
      </c>
      <c r="F26" t="s">
        <v>38</v>
      </c>
      <c r="G26">
        <f>'NHL2025-26Results'!E21</f>
        <v>5</v>
      </c>
      <c r="H26">
        <f>Table3[[#This Row],[G_1]]-Table3[[#This Row],[G]]</f>
        <v>4</v>
      </c>
      <c r="I26">
        <f>HomeEdge+VLOOKUP(Table3[[#This Row],[Home]],$A$6:$B$38,2,FALSE)-VLOOKUP(Table3[[#This Row],[Visitor]],$A$6:$B$38,2,FALSE)</f>
        <v>0.86273189084837087</v>
      </c>
      <c r="J26">
        <f>(Table3[[#This Row],[HomeMargin]]-Table3[[#This Row],[HomeForecast]])^2</f>
        <v>9.8424511886998385</v>
      </c>
    </row>
    <row r="27" spans="1:10" x14ac:dyDescent="0.2">
      <c r="A27" s="4" t="s">
        <v>27</v>
      </c>
      <c r="B27">
        <v>-0.51358590497437617</v>
      </c>
      <c r="D27" t="s">
        <v>39</v>
      </c>
      <c r="E27">
        <f>'NHL2025-26Results'!C22</f>
        <v>5</v>
      </c>
      <c r="F27" t="s">
        <v>40</v>
      </c>
      <c r="G27">
        <f>'NHL2025-26Results'!E22</f>
        <v>4</v>
      </c>
      <c r="H27">
        <f>Table3[[#This Row],[G_1]]-Table3[[#This Row],[G]]</f>
        <v>-1</v>
      </c>
      <c r="I27">
        <f>HomeEdge+VLOOKUP(Table3[[#This Row],[Home]],$A$6:$B$38,2,FALSE)-VLOOKUP(Table3[[#This Row],[Visitor]],$A$6:$B$38,2,FALSE)</f>
        <v>6.9582227419810405E-2</v>
      </c>
      <c r="J27">
        <f>(Table3[[#This Row],[HomeMargin]]-Table3[[#This Row],[HomeForecast]])^2</f>
        <v>1.1440061412123228</v>
      </c>
    </row>
    <row r="28" spans="1:10" x14ac:dyDescent="0.2">
      <c r="A28" s="4" t="s">
        <v>14</v>
      </c>
      <c r="B28">
        <v>0.26289091192875702</v>
      </c>
      <c r="D28" t="s">
        <v>23</v>
      </c>
      <c r="E28">
        <f>'NHL2025-26Results'!C23</f>
        <v>1</v>
      </c>
      <c r="F28" t="s">
        <v>21</v>
      </c>
      <c r="G28">
        <f>'NHL2025-26Results'!E23</f>
        <v>3</v>
      </c>
      <c r="H28">
        <f>Table3[[#This Row],[G_1]]-Table3[[#This Row],[G]]</f>
        <v>2</v>
      </c>
      <c r="I28">
        <f>HomeEdge+VLOOKUP(Table3[[#This Row],[Home]],$A$6:$B$38,2,FALSE)-VLOOKUP(Table3[[#This Row],[Visitor]],$A$6:$B$38,2,FALSE)</f>
        <v>1.0712049650610593</v>
      </c>
      <c r="J28">
        <f>(Table3[[#This Row],[HomeMargin]]-Table3[[#This Row],[HomeForecast]])^2</f>
        <v>0.86266021692722805</v>
      </c>
    </row>
    <row r="29" spans="1:10" x14ac:dyDescent="0.2">
      <c r="A29" s="4" t="s">
        <v>33</v>
      </c>
      <c r="B29">
        <v>-0.39418177254008485</v>
      </c>
      <c r="D29" t="s">
        <v>27</v>
      </c>
      <c r="E29">
        <f>'NHL2025-26Results'!C24</f>
        <v>3</v>
      </c>
      <c r="F29" t="s">
        <v>25</v>
      </c>
      <c r="G29">
        <f>'NHL2025-26Results'!E24</f>
        <v>4</v>
      </c>
      <c r="H29">
        <f>Table3[[#This Row],[G_1]]-Table3[[#This Row],[G]]</f>
        <v>1</v>
      </c>
      <c r="I29">
        <f>HomeEdge+VLOOKUP(Table3[[#This Row],[Home]],$A$6:$B$38,2,FALSE)-VLOOKUP(Table3[[#This Row],[Visitor]],$A$6:$B$38,2,FALSE)</f>
        <v>1.3480974270603727</v>
      </c>
      <c r="J29">
        <f>(Table3[[#This Row],[HomeMargin]]-Table3[[#This Row],[HomeForecast]])^2</f>
        <v>0.12117181872605151</v>
      </c>
    </row>
    <row r="30" spans="1:10" x14ac:dyDescent="0.2">
      <c r="A30" s="4" t="s">
        <v>32</v>
      </c>
      <c r="B30">
        <v>-0.361361309178443</v>
      </c>
      <c r="D30" t="s">
        <v>35</v>
      </c>
      <c r="E30">
        <f>'NHL2025-26Results'!C25</f>
        <v>4</v>
      </c>
      <c r="F30" t="s">
        <v>16</v>
      </c>
      <c r="G30">
        <f>'NHL2025-26Results'!E25</f>
        <v>2</v>
      </c>
      <c r="H30">
        <f>Table3[[#This Row],[G_1]]-Table3[[#This Row],[G]]</f>
        <v>-2</v>
      </c>
      <c r="I30">
        <f>HomeEdge+VLOOKUP(Table3[[#This Row],[Home]],$A$6:$B$38,2,FALSE)-VLOOKUP(Table3[[#This Row],[Visitor]],$A$6:$B$38,2,FALSE)</f>
        <v>0.3933613214208862</v>
      </c>
      <c r="J30">
        <f>(Table3[[#This Row],[HomeMargin]]-Table3[[#This Row],[HomeForecast]])^2</f>
        <v>5.7281784148735291</v>
      </c>
    </row>
    <row r="31" spans="1:10" x14ac:dyDescent="0.2">
      <c r="A31" s="4" t="s">
        <v>35</v>
      </c>
      <c r="B31">
        <v>-1.6211574240381006</v>
      </c>
      <c r="D31" t="s">
        <v>18</v>
      </c>
      <c r="E31">
        <f>'NHL2025-26Results'!C26</f>
        <v>3</v>
      </c>
      <c r="F31" t="s">
        <v>10</v>
      </c>
      <c r="G31">
        <f>'NHL2025-26Results'!E26</f>
        <v>2</v>
      </c>
      <c r="H31">
        <f>Table3[[#This Row],[G_1]]-Table3[[#This Row],[G]]</f>
        <v>-1</v>
      </c>
      <c r="I31">
        <f>HomeEdge+VLOOKUP(Table3[[#This Row],[Home]],$A$6:$B$38,2,FALSE)-VLOOKUP(Table3[[#This Row],[Visitor]],$A$6:$B$38,2,FALSE)</f>
        <v>0.99265926001900251</v>
      </c>
      <c r="J31">
        <f>(Table3[[#This Row],[HomeMargin]]-Table3[[#This Row],[HomeForecast]])^2</f>
        <v>3.9706909265394787</v>
      </c>
    </row>
    <row r="32" spans="1:10" x14ac:dyDescent="0.2">
      <c r="A32" s="4" t="s">
        <v>37</v>
      </c>
      <c r="B32">
        <v>-0.11309445867623392</v>
      </c>
      <c r="D32" t="s">
        <v>39</v>
      </c>
      <c r="E32">
        <f>'NHL2025-26Results'!C27</f>
        <v>5</v>
      </c>
      <c r="F32" t="s">
        <v>12</v>
      </c>
      <c r="G32">
        <f>'NHL2025-26Results'!E27</f>
        <v>4</v>
      </c>
      <c r="H32">
        <f>Table3[[#This Row],[G_1]]-Table3[[#This Row],[G]]</f>
        <v>-1</v>
      </c>
      <c r="I32">
        <f>HomeEdge+VLOOKUP(Table3[[#This Row],[Home]],$A$6:$B$38,2,FALSE)-VLOOKUP(Table3[[#This Row],[Visitor]],$A$6:$B$38,2,FALSE)</f>
        <v>1.5119783281990222</v>
      </c>
      <c r="J32">
        <f>(Table3[[#This Row],[HomeMargin]]-Table3[[#This Row],[HomeForecast]])^2</f>
        <v>6.3100351213415546</v>
      </c>
    </row>
    <row r="33" spans="1:10" x14ac:dyDescent="0.2">
      <c r="A33" s="4" t="s">
        <v>19</v>
      </c>
      <c r="B33">
        <v>-0.635565543477981</v>
      </c>
      <c r="D33" t="s">
        <v>19</v>
      </c>
      <c r="E33">
        <f>'NHL2025-26Results'!C28</f>
        <v>3</v>
      </c>
      <c r="F33" t="s">
        <v>26</v>
      </c>
      <c r="G33">
        <f>'NHL2025-26Results'!E28</f>
        <v>6</v>
      </c>
      <c r="H33">
        <f>Table3[[#This Row],[G_1]]-Table3[[#This Row],[G]]</f>
        <v>3</v>
      </c>
      <c r="I33">
        <f>HomeEdge+VLOOKUP(Table3[[#This Row],[Home]],$A$6:$B$38,2,FALSE)-VLOOKUP(Table3[[#This Row],[Visitor]],$A$6:$B$38,2,FALSE)</f>
        <v>0.28449402002064139</v>
      </c>
      <c r="J33">
        <f>(Table3[[#This Row],[HomeMargin]]-Table3[[#This Row],[HomeForecast]])^2</f>
        <v>7.3739727273036557</v>
      </c>
    </row>
    <row r="34" spans="1:10" x14ac:dyDescent="0.2">
      <c r="A34" t="s">
        <v>55</v>
      </c>
      <c r="B34">
        <v>-0.12212311954851815</v>
      </c>
      <c r="D34" t="s">
        <v>38</v>
      </c>
      <c r="E34">
        <f>'NHL2025-26Results'!C29</f>
        <v>1</v>
      </c>
      <c r="F34" t="s">
        <v>17</v>
      </c>
      <c r="G34">
        <f>'NHL2025-26Results'!E29</f>
        <v>3</v>
      </c>
      <c r="H34">
        <f>Table3[[#This Row],[G_1]]-Table3[[#This Row],[G]]</f>
        <v>2</v>
      </c>
      <c r="I34">
        <f>HomeEdge+VLOOKUP(Table3[[#This Row],[Home]],$A$6:$B$38,2,FALSE)-VLOOKUP(Table3[[#This Row],[Visitor]],$A$6:$B$38,2,FALSE)</f>
        <v>0.23297309938015587</v>
      </c>
      <c r="J34">
        <f>(Table3[[#This Row],[HomeMargin]]-Table3[[#This Row],[HomeForecast]])^2</f>
        <v>3.1223840675141723</v>
      </c>
    </row>
    <row r="35" spans="1:10" x14ac:dyDescent="0.2">
      <c r="A35" s="4" t="s">
        <v>38</v>
      </c>
      <c r="B35">
        <v>-0.6902088310934803</v>
      </c>
      <c r="D35" t="s">
        <v>36</v>
      </c>
      <c r="E35">
        <f>'NHL2025-26Results'!C30</f>
        <v>2</v>
      </c>
      <c r="F35" t="s">
        <v>11</v>
      </c>
      <c r="G35">
        <f>'NHL2025-26Results'!E30</f>
        <v>6</v>
      </c>
      <c r="H35">
        <f>Table3[[#This Row],[G_1]]-Table3[[#This Row],[G]]</f>
        <v>4</v>
      </c>
      <c r="I35">
        <f>HomeEdge+VLOOKUP(Table3[[#This Row],[Home]],$A$6:$B$38,2,FALSE)-VLOOKUP(Table3[[#This Row],[Visitor]],$A$6:$B$38,2,FALSE)</f>
        <v>0.28803254646478532</v>
      </c>
      <c r="J35">
        <f>(Table3[[#This Row],[HomeMargin]]-Table3[[#This Row],[HomeForecast]])^2</f>
        <v>13.778702376104707</v>
      </c>
    </row>
    <row r="36" spans="1:10" x14ac:dyDescent="0.2">
      <c r="A36" s="4" t="s">
        <v>20</v>
      </c>
      <c r="B36">
        <v>-6.3745791019188943E-4</v>
      </c>
      <c r="D36" t="s">
        <v>28</v>
      </c>
      <c r="E36">
        <f>'NHL2025-26Results'!C31</f>
        <v>7</v>
      </c>
      <c r="F36" t="s">
        <v>34</v>
      </c>
      <c r="G36">
        <f>'NHL2025-26Results'!E31</f>
        <v>4</v>
      </c>
      <c r="H36">
        <f>Table3[[#This Row],[G_1]]-Table3[[#This Row],[G]]</f>
        <v>-3</v>
      </c>
      <c r="I36">
        <f>HomeEdge+VLOOKUP(Table3[[#This Row],[Home]],$A$6:$B$38,2,FALSE)-VLOOKUP(Table3[[#This Row],[Visitor]],$A$6:$B$38,2,FALSE)</f>
        <v>3.4292092069746705E-2</v>
      </c>
      <c r="J36">
        <f>(Table3[[#This Row],[HomeMargin]]-Table3[[#This Row],[HomeForecast]])^2</f>
        <v>9.2069284999969998</v>
      </c>
    </row>
    <row r="37" spans="1:10" x14ac:dyDescent="0.2">
      <c r="A37" s="4" t="s">
        <v>22</v>
      </c>
      <c r="B37">
        <v>-6.1308839486784707E-2</v>
      </c>
      <c r="D37" t="s">
        <v>55</v>
      </c>
      <c r="E37">
        <f>'NHL2025-26Results'!C32</f>
        <v>3</v>
      </c>
      <c r="F37" t="s">
        <v>29</v>
      </c>
      <c r="G37">
        <f>'NHL2025-26Results'!E32</f>
        <v>2</v>
      </c>
      <c r="H37">
        <f>Table3[[#This Row],[G_1]]-Table3[[#This Row],[G]]</f>
        <v>-1</v>
      </c>
      <c r="I37">
        <f>HomeEdge+VLOOKUP(Table3[[#This Row],[Home]],$A$6:$B$38,2,FALSE)-VLOOKUP(Table3[[#This Row],[Visitor]],$A$6:$B$38,2,FALSE)</f>
        <v>-1.0669296414952241</v>
      </c>
      <c r="J37">
        <f>(Table3[[#This Row],[HomeMargin]]-Table3[[#This Row],[HomeForecast]])^2</f>
        <v>4.4795769106792194E-3</v>
      </c>
    </row>
    <row r="38" spans="1:10" x14ac:dyDescent="0.2">
      <c r="A38" s="4" t="s">
        <v>40</v>
      </c>
      <c r="B38">
        <v>0.105105258369765</v>
      </c>
      <c r="D38" t="s">
        <v>22</v>
      </c>
      <c r="E38">
        <f>'NHL2025-26Results'!C33</f>
        <v>4</v>
      </c>
      <c r="F38" t="s">
        <v>30</v>
      </c>
      <c r="G38">
        <f>'NHL2025-26Results'!E33</f>
        <v>2</v>
      </c>
      <c r="H38">
        <f>Table3[[#This Row],[G_1]]-Table3[[#This Row],[G]]</f>
        <v>-2</v>
      </c>
      <c r="I38">
        <f>HomeEdge+VLOOKUP(Table3[[#This Row],[Home]],$A$6:$B$38,2,FALSE)-VLOOKUP(Table3[[#This Row],[Visitor]],$A$6:$B$38,2,FALSE)</f>
        <v>0.15915158833074408</v>
      </c>
      <c r="J38">
        <f>(Table3[[#This Row],[HomeMargin]]-Table3[[#This Row],[HomeForecast]])^2</f>
        <v>4.6619355813911749</v>
      </c>
    </row>
    <row r="39" spans="1:10" x14ac:dyDescent="0.2">
      <c r="D39" t="s">
        <v>15</v>
      </c>
      <c r="E39">
        <f>'NHL2025-26Results'!C34</f>
        <v>6</v>
      </c>
      <c r="F39" t="s">
        <v>14</v>
      </c>
      <c r="G39">
        <f>'NHL2025-26Results'!E34</f>
        <v>1</v>
      </c>
      <c r="H39">
        <f>Table3[[#This Row],[G_1]]-Table3[[#This Row],[G]]</f>
        <v>-5</v>
      </c>
      <c r="I39">
        <f>HomeEdge+VLOOKUP(Table3[[#This Row],[Home]],$A$6:$B$38,2,FALSE)-VLOOKUP(Table3[[#This Row],[Visitor]],$A$6:$B$38,2,FALSE)</f>
        <v>0.73265987462146542</v>
      </c>
      <c r="J39">
        <f>(Table3[[#This Row],[HomeMargin]]-Table3[[#This Row],[HomeForecast]])^2</f>
        <v>32.863389238094989</v>
      </c>
    </row>
    <row r="40" spans="1:10" x14ac:dyDescent="0.2">
      <c r="D40" t="s">
        <v>20</v>
      </c>
      <c r="E40">
        <f>'NHL2025-26Results'!C35</f>
        <v>1</v>
      </c>
      <c r="F40" t="s">
        <v>32</v>
      </c>
      <c r="G40">
        <f>'NHL2025-26Results'!E35</f>
        <v>2</v>
      </c>
      <c r="H40">
        <f>Table3[[#This Row],[G_1]]-Table3[[#This Row],[G]]</f>
        <v>1</v>
      </c>
      <c r="I40">
        <f>HomeEdge+VLOOKUP(Table3[[#This Row],[Home]],$A$6:$B$38,2,FALSE)-VLOOKUP(Table3[[#This Row],[Visitor]],$A$6:$B$38,2,FALSE)</f>
        <v>-0.19815154160593271</v>
      </c>
      <c r="J40">
        <f>(Table3[[#This Row],[HomeMargin]]-Table3[[#This Row],[HomeForecast]])^2</f>
        <v>1.4355671166526731</v>
      </c>
    </row>
    <row r="41" spans="1:10" x14ac:dyDescent="0.2">
      <c r="D41" t="s">
        <v>31</v>
      </c>
      <c r="E41">
        <f>'NHL2025-26Results'!C36</f>
        <v>7</v>
      </c>
      <c r="F41" t="s">
        <v>33</v>
      </c>
      <c r="G41">
        <f>'NHL2025-26Results'!E36</f>
        <v>6</v>
      </c>
      <c r="H41">
        <f>Table3[[#This Row],[G_1]]-Table3[[#This Row],[G]]</f>
        <v>-1</v>
      </c>
      <c r="I41">
        <f>HomeEdge+VLOOKUP(Table3[[#This Row],[Home]],$A$6:$B$38,2,FALSE)-VLOOKUP(Table3[[#This Row],[Visitor]],$A$6:$B$38,2,FALSE)</f>
        <v>-0.74936492616329442</v>
      </c>
      <c r="J41">
        <f>(Table3[[#This Row],[HomeMargin]]-Table3[[#This Row],[HomeForecast]])^2</f>
        <v>6.2817940237130859E-2</v>
      </c>
    </row>
    <row r="42" spans="1:10" x14ac:dyDescent="0.2">
      <c r="D42" t="s">
        <v>24</v>
      </c>
      <c r="E42">
        <f>'NHL2025-26Results'!C37</f>
        <v>5</v>
      </c>
      <c r="F42" t="s">
        <v>37</v>
      </c>
      <c r="G42">
        <f>'NHL2025-26Results'!E37</f>
        <v>3</v>
      </c>
      <c r="H42">
        <f>Table3[[#This Row],[G_1]]-Table3[[#This Row],[G]]</f>
        <v>-2</v>
      </c>
      <c r="I42">
        <f>HomeEdge+VLOOKUP(Table3[[#This Row],[Home]],$A$6:$B$38,2,FALSE)-VLOOKUP(Table3[[#This Row],[Visitor]],$A$6:$B$38,2,FALSE)</f>
        <v>-0.50996331238786852</v>
      </c>
      <c r="J42">
        <f>(Table3[[#This Row],[HomeMargin]]-Table3[[#This Row],[HomeForecast]])^2</f>
        <v>2.2202093304301331</v>
      </c>
    </row>
    <row r="43" spans="1:10" x14ac:dyDescent="0.2">
      <c r="D43" t="s">
        <v>13</v>
      </c>
      <c r="E43">
        <f>'NHL2025-26Results'!C38</f>
        <v>2</v>
      </c>
      <c r="F43" t="s">
        <v>40</v>
      </c>
      <c r="G43">
        <f>'NHL2025-26Results'!E38</f>
        <v>3</v>
      </c>
      <c r="H43">
        <f>Table3[[#This Row],[G_1]]-Table3[[#This Row],[G]]</f>
        <v>1</v>
      </c>
      <c r="I43">
        <f>HomeEdge+VLOOKUP(Table3[[#This Row],[Home]],$A$6:$B$38,2,FALSE)-VLOOKUP(Table3[[#This Row],[Visitor]],$A$6:$B$38,2,FALSE)</f>
        <v>0.34313727633107721</v>
      </c>
      <c r="J43">
        <f>(Table3[[#This Row],[HomeMargin]]-Table3[[#This Row],[HomeForecast]])^2</f>
        <v>0.43146863774575567</v>
      </c>
    </row>
    <row r="44" spans="1:10" x14ac:dyDescent="0.2">
      <c r="D44" t="s">
        <v>22</v>
      </c>
      <c r="E44">
        <f>'NHL2025-26Results'!C39</f>
        <v>1</v>
      </c>
      <c r="F44" t="s">
        <v>15</v>
      </c>
      <c r="G44">
        <f>'NHL2025-26Results'!E39</f>
        <v>0</v>
      </c>
      <c r="H44">
        <f>Table3[[#This Row],[G_1]]-Table3[[#This Row],[G]]</f>
        <v>-1</v>
      </c>
      <c r="I44">
        <f>HomeEdge+VLOOKUP(Table3[[#This Row],[Home]],$A$6:$B$38,2,FALSE)-VLOOKUP(Table3[[#This Row],[Visitor]],$A$6:$B$38,2,FALSE)</f>
        <v>-8.3315503881286918E-2</v>
      </c>
      <c r="J44">
        <f>(Table3[[#This Row],[HomeMargin]]-Table3[[#This Row],[HomeForecast]])^2</f>
        <v>0.8403104654244189</v>
      </c>
    </row>
    <row r="45" spans="1:10" x14ac:dyDescent="0.2">
      <c r="D45" t="s">
        <v>37</v>
      </c>
      <c r="E45">
        <f>'NHL2025-26Results'!C40</f>
        <v>4</v>
      </c>
      <c r="F45" t="s">
        <v>21</v>
      </c>
      <c r="G45">
        <f>'NHL2025-26Results'!E40</f>
        <v>3</v>
      </c>
      <c r="H45">
        <f>Table3[[#This Row],[G_1]]-Table3[[#This Row],[G]]</f>
        <v>-1</v>
      </c>
      <c r="I45">
        <f>HomeEdge+VLOOKUP(Table3[[#This Row],[Home]],$A$6:$B$38,2,FALSE)-VLOOKUP(Table3[[#This Row],[Visitor]],$A$6:$B$38,2,FALSE)</f>
        <v>0.31595818748711624</v>
      </c>
      <c r="J45">
        <f>(Table3[[#This Row],[HomeMargin]]-Table3[[#This Row],[HomeForecast]])^2</f>
        <v>1.7317459512143762</v>
      </c>
    </row>
    <row r="46" spans="1:10" x14ac:dyDescent="0.2">
      <c r="D46" t="s">
        <v>12</v>
      </c>
      <c r="E46">
        <f>'NHL2025-26Results'!C41</f>
        <v>3</v>
      </c>
      <c r="F46" t="s">
        <v>23</v>
      </c>
      <c r="G46">
        <f>'NHL2025-26Results'!E41</f>
        <v>1</v>
      </c>
      <c r="H46">
        <f>Table3[[#This Row],[G_1]]-Table3[[#This Row],[G]]</f>
        <v>-2</v>
      </c>
      <c r="I46">
        <f>HomeEdge+VLOOKUP(Table3[[#This Row],[Home]],$A$6:$B$38,2,FALSE)-VLOOKUP(Table3[[#This Row],[Visitor]],$A$6:$B$38,2,FALSE)</f>
        <v>-2.2532702857368352</v>
      </c>
      <c r="J46">
        <f>(Table3[[#This Row],[HomeMargin]]-Table3[[#This Row],[HomeForecast]])^2</f>
        <v>6.4145837637218137E-2</v>
      </c>
    </row>
    <row r="47" spans="1:10" x14ac:dyDescent="0.2">
      <c r="D47" t="s">
        <v>24</v>
      </c>
      <c r="E47">
        <f>'NHL2025-26Results'!C42</f>
        <v>3</v>
      </c>
      <c r="F47" t="s">
        <v>28</v>
      </c>
      <c r="G47">
        <f>'NHL2025-26Results'!E42</f>
        <v>2</v>
      </c>
      <c r="H47">
        <f>Table3[[#This Row],[G_1]]-Table3[[#This Row],[G]]</f>
        <v>-1</v>
      </c>
      <c r="I47">
        <f>HomeEdge+VLOOKUP(Table3[[#This Row],[Home]],$A$6:$B$38,2,FALSE)-VLOOKUP(Table3[[#This Row],[Visitor]],$A$6:$B$38,2,FALSE)</f>
        <v>-0.80509164452471738</v>
      </c>
      <c r="J47">
        <f>(Table3[[#This Row],[HomeMargin]]-Table3[[#This Row],[HomeForecast]])^2</f>
        <v>3.7989267034079136E-2</v>
      </c>
    </row>
    <row r="48" spans="1:10" x14ac:dyDescent="0.2">
      <c r="D48" t="s">
        <v>55</v>
      </c>
      <c r="E48">
        <f>'NHL2025-26Results'!C43</f>
        <v>1</v>
      </c>
      <c r="F48" t="s">
        <v>10</v>
      </c>
      <c r="G48">
        <f>'NHL2025-26Results'!E43</f>
        <v>3</v>
      </c>
      <c r="H48">
        <f>Table3[[#This Row],[G_1]]-Table3[[#This Row],[G]]</f>
        <v>2</v>
      </c>
      <c r="I48">
        <f>HomeEdge+VLOOKUP(Table3[[#This Row],[Home]],$A$6:$B$38,2,FALSE)-VLOOKUP(Table3[[#This Row],[Visitor]],$A$6:$B$38,2,FALSE)</f>
        <v>0.59040511754903824</v>
      </c>
      <c r="J48">
        <f>(Table3[[#This Row],[HomeMargin]]-Table3[[#This Row],[HomeForecast]])^2</f>
        <v>1.986957732631941</v>
      </c>
    </row>
    <row r="49" spans="4:10" x14ac:dyDescent="0.2">
      <c r="D49" t="s">
        <v>13</v>
      </c>
      <c r="E49">
        <f>'NHL2025-26Results'!C44</f>
        <v>3</v>
      </c>
      <c r="F49" t="s">
        <v>34</v>
      </c>
      <c r="G49">
        <f>'NHL2025-26Results'!E44</f>
        <v>4</v>
      </c>
      <c r="H49">
        <f>Table3[[#This Row],[G_1]]-Table3[[#This Row],[G]]</f>
        <v>1</v>
      </c>
      <c r="I49">
        <f>HomeEdge+VLOOKUP(Table3[[#This Row],[Home]],$A$6:$B$38,2,FALSE)-VLOOKUP(Table3[[#This Row],[Visitor]],$A$6:$B$38,2,FALSE)</f>
        <v>-0.29847099044434228</v>
      </c>
      <c r="J49">
        <f>(Table3[[#This Row],[HomeMargin]]-Table3[[#This Row],[HomeForecast]])^2</f>
        <v>1.6860269130255114</v>
      </c>
    </row>
    <row r="50" spans="4:10" x14ac:dyDescent="0.2">
      <c r="D50" t="s">
        <v>40</v>
      </c>
      <c r="E50">
        <f>'NHL2025-26Results'!C45</f>
        <v>5</v>
      </c>
      <c r="F50" t="s">
        <v>30</v>
      </c>
      <c r="G50">
        <f>'NHL2025-26Results'!E45</f>
        <v>2</v>
      </c>
      <c r="H50">
        <f>Table3[[#This Row],[G_1]]-Table3[[#This Row],[G]]</f>
        <v>-3</v>
      </c>
      <c r="I50">
        <f>HomeEdge+VLOOKUP(Table3[[#This Row],[Home]],$A$6:$B$38,2,FALSE)-VLOOKUP(Table3[[#This Row],[Visitor]],$A$6:$B$38,2,FALSE)</f>
        <v>-7.2625095258056355E-3</v>
      </c>
      <c r="J50">
        <f>(Table3[[#This Row],[HomeMargin]]-Table3[[#This Row],[HomeForecast]])^2</f>
        <v>8.9564776868897802</v>
      </c>
    </row>
    <row r="51" spans="4:10" x14ac:dyDescent="0.2">
      <c r="D51" t="s">
        <v>29</v>
      </c>
      <c r="E51">
        <f>'NHL2025-26Results'!C46</f>
        <v>4</v>
      </c>
      <c r="F51" t="s">
        <v>36</v>
      </c>
      <c r="G51">
        <f>'NHL2025-26Results'!E46</f>
        <v>1</v>
      </c>
      <c r="H51">
        <f>Table3[[#This Row],[G_1]]-Table3[[#This Row],[G]]</f>
        <v>-3</v>
      </c>
      <c r="I51">
        <f>HomeEdge+VLOOKUP(Table3[[#This Row],[Home]],$A$6:$B$38,2,FALSE)-VLOOKUP(Table3[[#This Row],[Visitor]],$A$6:$B$38,2,FALSE)</f>
        <v>1.1076779046344705</v>
      </c>
      <c r="J51">
        <f>(Table3[[#This Row],[HomeMargin]]-Table3[[#This Row],[HomeForecast]])^2</f>
        <v>16.873017768222233</v>
      </c>
    </row>
    <row r="52" spans="4:10" x14ac:dyDescent="0.2">
      <c r="D52" t="s">
        <v>11</v>
      </c>
      <c r="E52">
        <f>'NHL2025-26Results'!C47</f>
        <v>2</v>
      </c>
      <c r="F52" t="s">
        <v>27</v>
      </c>
      <c r="G52">
        <f>'NHL2025-26Results'!E47</f>
        <v>5</v>
      </c>
      <c r="H52">
        <f>Table3[[#This Row],[G_1]]-Table3[[#This Row],[G]]</f>
        <v>3</v>
      </c>
      <c r="I52">
        <f>HomeEdge+VLOOKUP(Table3[[#This Row],[Home]],$A$6:$B$38,2,FALSE)-VLOOKUP(Table3[[#This Row],[Visitor]],$A$6:$B$38,2,FALSE)</f>
        <v>-6.9954356380616201E-2</v>
      </c>
      <c r="J52">
        <f>(Table3[[#This Row],[HomeMargin]]-Table3[[#This Row],[HomeForecast]])^2</f>
        <v>9.4246197502603231</v>
      </c>
    </row>
    <row r="53" spans="4:10" x14ac:dyDescent="0.2">
      <c r="D53" t="s">
        <v>26</v>
      </c>
      <c r="E53">
        <f>'NHL2025-26Results'!C48</f>
        <v>3</v>
      </c>
      <c r="F53" t="s">
        <v>19</v>
      </c>
      <c r="G53">
        <f>'NHL2025-26Results'!E48</f>
        <v>2</v>
      </c>
      <c r="H53">
        <f>Table3[[#This Row],[G_1]]-Table3[[#This Row],[G]]</f>
        <v>-1</v>
      </c>
      <c r="I53">
        <f>HomeEdge+VLOOKUP(Table3[[#This Row],[Home]],$A$6:$B$38,2,FALSE)-VLOOKUP(Table3[[#This Row],[Visitor]],$A$6:$B$38,2,FALSE)</f>
        <v>4.0650599303995394E-2</v>
      </c>
      <c r="J53">
        <f>(Table3[[#This Row],[HomeMargin]]-Table3[[#This Row],[HomeForecast]])^2</f>
        <v>1.0829536698317648</v>
      </c>
    </row>
    <row r="54" spans="4:10" x14ac:dyDescent="0.2">
      <c r="D54" t="s">
        <v>35</v>
      </c>
      <c r="E54">
        <f>'NHL2025-26Results'!C49</f>
        <v>5</v>
      </c>
      <c r="F54" t="s">
        <v>38</v>
      </c>
      <c r="G54">
        <f>'NHL2025-26Results'!E49</f>
        <v>2</v>
      </c>
      <c r="H54">
        <f>Table3[[#This Row],[G_1]]-Table3[[#This Row],[G]]</f>
        <v>-3</v>
      </c>
      <c r="I54">
        <f>HomeEdge+VLOOKUP(Table3[[#This Row],[Home]],$A$6:$B$38,2,FALSE)-VLOOKUP(Table3[[#This Row],[Visitor]],$A$6:$B$38,2,FALSE)</f>
        <v>1.0935209026069388</v>
      </c>
      <c r="J54">
        <f>(Table3[[#This Row],[HomeMargin]]-Table3[[#This Row],[HomeForecast]])^2</f>
        <v>16.756913380079922</v>
      </c>
    </row>
    <row r="55" spans="4:10" x14ac:dyDescent="0.2">
      <c r="D55" t="s">
        <v>14</v>
      </c>
      <c r="E55">
        <f>'NHL2025-26Results'!C50</f>
        <v>3</v>
      </c>
      <c r="F55" t="s">
        <v>31</v>
      </c>
      <c r="G55">
        <f>'NHL2025-26Results'!E50</f>
        <v>4</v>
      </c>
      <c r="H55">
        <f>Table3[[#This Row],[G_1]]-Table3[[#This Row],[G]]</f>
        <v>1</v>
      </c>
      <c r="I55">
        <f>HomeEdge+VLOOKUP(Table3[[#This Row],[Home]],$A$6:$B$38,2,FALSE)-VLOOKUP(Table3[[#This Row],[Visitor]],$A$6:$B$38,2,FALSE)</f>
        <v>0.41743686101908939</v>
      </c>
      <c r="J55">
        <f>(Table3[[#This Row],[HomeMargin]]-Table3[[#This Row],[HomeForecast]])^2</f>
        <v>0.33937981089929176</v>
      </c>
    </row>
    <row r="56" spans="4:10" x14ac:dyDescent="0.2">
      <c r="D56" t="s">
        <v>20</v>
      </c>
      <c r="E56">
        <f>'NHL2025-26Results'!C51</f>
        <v>4</v>
      </c>
      <c r="F56" t="s">
        <v>16</v>
      </c>
      <c r="G56">
        <f>'NHL2025-26Results'!E51</f>
        <v>2</v>
      </c>
      <c r="H56">
        <f>Table3[[#This Row],[G_1]]-Table3[[#This Row],[G]]</f>
        <v>-2</v>
      </c>
      <c r="I56">
        <f>HomeEdge+VLOOKUP(Table3[[#This Row],[Home]],$A$6:$B$38,2,FALSE)-VLOOKUP(Table3[[#This Row],[Visitor]],$A$6:$B$38,2,FALSE)</f>
        <v>-1.2271586447070224</v>
      </c>
      <c r="J56">
        <f>(Table3[[#This Row],[HomeMargin]]-Table3[[#This Row],[HomeForecast]])^2</f>
        <v>0.59728376045108644</v>
      </c>
    </row>
    <row r="57" spans="4:10" x14ac:dyDescent="0.2">
      <c r="D57" t="s">
        <v>34</v>
      </c>
      <c r="E57">
        <f>'NHL2025-26Results'!C52</f>
        <v>2</v>
      </c>
      <c r="F57" t="s">
        <v>39</v>
      </c>
      <c r="G57">
        <f>'NHL2025-26Results'!E52</f>
        <v>5</v>
      </c>
      <c r="H57">
        <f>Table3[[#This Row],[G_1]]-Table3[[#This Row],[G]]</f>
        <v>3</v>
      </c>
      <c r="I57">
        <f>HomeEdge+VLOOKUP(Table3[[#This Row],[Home]],$A$6:$B$38,2,FALSE)-VLOOKUP(Table3[[#This Row],[Visitor]],$A$6:$B$38,2,FALSE)</f>
        <v>0.89717065868024592</v>
      </c>
      <c r="J57">
        <f>(Table3[[#This Row],[HomeMargin]]-Table3[[#This Row],[HomeForecast]])^2</f>
        <v>4.4218912387152711</v>
      </c>
    </row>
    <row r="58" spans="4:10" x14ac:dyDescent="0.2">
      <c r="D58" t="s">
        <v>32</v>
      </c>
      <c r="E58">
        <f>'NHL2025-26Results'!C53</f>
        <v>4</v>
      </c>
      <c r="F58" t="s">
        <v>18</v>
      </c>
      <c r="G58">
        <f>'NHL2025-26Results'!E53</f>
        <v>5</v>
      </c>
      <c r="H58">
        <f>Table3[[#This Row],[G_1]]-Table3[[#This Row],[G]]</f>
        <v>1</v>
      </c>
      <c r="I58">
        <f>HomeEdge+VLOOKUP(Table3[[#This Row],[Home]],$A$6:$B$38,2,FALSE)-VLOOKUP(Table3[[#This Row],[Visitor]],$A$6:$B$38,2,FALSE)</f>
        <v>-4.4364317772094264E-4</v>
      </c>
      <c r="J58">
        <f>(Table3[[#This Row],[HomeMargin]]-Table3[[#This Row],[HomeForecast]])^2</f>
        <v>1.0008874831747112</v>
      </c>
    </row>
    <row r="59" spans="4:10" x14ac:dyDescent="0.2">
      <c r="D59" t="s">
        <v>17</v>
      </c>
      <c r="E59">
        <f>'NHL2025-26Results'!C54</f>
        <v>2</v>
      </c>
      <c r="F59" t="s">
        <v>15</v>
      </c>
      <c r="G59">
        <f>'NHL2025-26Results'!E54</f>
        <v>0</v>
      </c>
      <c r="H59">
        <f>Table3[[#This Row],[G_1]]-Table3[[#This Row],[G]]</f>
        <v>-2</v>
      </c>
      <c r="I59">
        <f>HomeEdge+VLOOKUP(Table3[[#This Row],[Home]],$A$6:$B$38,2,FALSE)-VLOOKUP(Table3[[#This Row],[Visitor]],$A$6:$B$38,2,FALSE)</f>
        <v>0.47518369800757121</v>
      </c>
      <c r="J59">
        <f>(Table3[[#This Row],[HomeMargin]]-Table3[[#This Row],[HomeForecast]])^2</f>
        <v>6.1265343388824354</v>
      </c>
    </row>
    <row r="60" spans="4:10" x14ac:dyDescent="0.2">
      <c r="D60" t="s">
        <v>25</v>
      </c>
      <c r="E60">
        <f>'NHL2025-26Results'!C55</f>
        <v>5</v>
      </c>
      <c r="F60" t="s">
        <v>33</v>
      </c>
      <c r="G60">
        <f>'NHL2025-26Results'!E55</f>
        <v>1</v>
      </c>
      <c r="H60">
        <f>Table3[[#This Row],[G_1]]-Table3[[#This Row],[G]]</f>
        <v>-4</v>
      </c>
      <c r="I60">
        <f>HomeEdge+VLOOKUP(Table3[[#This Row],[Home]],$A$6:$B$38,2,FALSE)-VLOOKUP(Table3[[#This Row],[Visitor]],$A$6:$B$38,2,FALSE)</f>
        <v>-0.90354867530144456</v>
      </c>
      <c r="J60">
        <f>(Table3[[#This Row],[HomeMargin]]-Table3[[#This Row],[HomeForecast]])^2</f>
        <v>9.5880108062274374</v>
      </c>
    </row>
    <row r="61" spans="4:10" x14ac:dyDescent="0.2">
      <c r="D61" t="s">
        <v>29</v>
      </c>
      <c r="E61">
        <f>'NHL2025-26Results'!C56</f>
        <v>4</v>
      </c>
      <c r="F61" t="s">
        <v>19</v>
      </c>
      <c r="G61">
        <f>'NHL2025-26Results'!E56</f>
        <v>7</v>
      </c>
      <c r="H61">
        <f>Table3[[#This Row],[G_1]]-Table3[[#This Row],[G]]</f>
        <v>3</v>
      </c>
      <c r="I61">
        <f>HomeEdge+VLOOKUP(Table3[[#This Row],[Home]],$A$6:$B$38,2,FALSE)-VLOOKUP(Table3[[#This Row],[Visitor]],$A$6:$B$38,2,FALSE)</f>
        <v>0.87863183689039803</v>
      </c>
      <c r="J61">
        <f>(Table3[[#This Row],[HomeMargin]]-Table3[[#This Row],[HomeForecast]])^2</f>
        <v>4.5002028834550059</v>
      </c>
    </row>
    <row r="62" spans="4:10" x14ac:dyDescent="0.2">
      <c r="D62" t="s">
        <v>37</v>
      </c>
      <c r="E62">
        <f>'NHL2025-26Results'!C57</f>
        <v>2</v>
      </c>
      <c r="F62" t="s">
        <v>22</v>
      </c>
      <c r="G62">
        <f>'NHL2025-26Results'!E57</f>
        <v>3</v>
      </c>
      <c r="H62">
        <f>Table3[[#This Row],[G_1]]-Table3[[#This Row],[G]]</f>
        <v>1</v>
      </c>
      <c r="I62">
        <f>HomeEdge+VLOOKUP(Table3[[#This Row],[Home]],$A$6:$B$38,2,FALSE)-VLOOKUP(Table3[[#This Row],[Visitor]],$A$6:$B$38,2,FALSE)</f>
        <v>0.21435792885176763</v>
      </c>
      <c r="J62">
        <f>(Table3[[#This Row],[HomeMargin]]-Table3[[#This Row],[HomeForecast]])^2</f>
        <v>0.61723346395808421</v>
      </c>
    </row>
    <row r="63" spans="4:10" x14ac:dyDescent="0.2">
      <c r="D63" t="s">
        <v>36</v>
      </c>
      <c r="E63">
        <f>'NHL2025-26Results'!C58</f>
        <v>4</v>
      </c>
      <c r="F63" t="s">
        <v>23</v>
      </c>
      <c r="G63">
        <f>'NHL2025-26Results'!E58</f>
        <v>8</v>
      </c>
      <c r="H63">
        <f>Table3[[#This Row],[G_1]]-Table3[[#This Row],[G]]</f>
        <v>4</v>
      </c>
      <c r="I63">
        <f>HomeEdge+VLOOKUP(Table3[[#This Row],[Home]],$A$6:$B$38,2,FALSE)-VLOOKUP(Table3[[#This Row],[Visitor]],$A$6:$B$38,2,FALSE)</f>
        <v>-0.29924945085394999</v>
      </c>
      <c r="J63">
        <f>(Table3[[#This Row],[HomeMargin]]-Table3[[#This Row],[HomeForecast]])^2</f>
        <v>18.483545840667993</v>
      </c>
    </row>
    <row r="64" spans="4:10" x14ac:dyDescent="0.2">
      <c r="D64" t="s">
        <v>11</v>
      </c>
      <c r="E64">
        <f>'NHL2025-26Results'!C59</f>
        <v>1</v>
      </c>
      <c r="F64" t="s">
        <v>26</v>
      </c>
      <c r="G64">
        <f>'NHL2025-26Results'!E59</f>
        <v>4</v>
      </c>
      <c r="H64">
        <f>Table3[[#This Row],[G_1]]-Table3[[#This Row],[G]]</f>
        <v>3</v>
      </c>
      <c r="I64">
        <f>HomeEdge+VLOOKUP(Table3[[#This Row],[Home]],$A$6:$B$38,2,FALSE)-VLOOKUP(Table3[[#This Row],[Visitor]],$A$6:$B$38,2,FALSE)</f>
        <v>-7.0012284525898028E-2</v>
      </c>
      <c r="J64">
        <f>(Table3[[#This Row],[HomeMargin]]-Table3[[#This Row],[HomeForecast]])^2</f>
        <v>9.4249754271399233</v>
      </c>
    </row>
    <row r="65" spans="4:10" x14ac:dyDescent="0.2">
      <c r="D65" t="s">
        <v>10</v>
      </c>
      <c r="E65">
        <f>'NHL2025-26Results'!C60</f>
        <v>8</v>
      </c>
      <c r="F65" t="s">
        <v>35</v>
      </c>
      <c r="G65">
        <f>'NHL2025-26Results'!E60</f>
        <v>3</v>
      </c>
      <c r="H65">
        <f>Table3[[#This Row],[G_1]]-Table3[[#This Row],[G]]</f>
        <v>-5</v>
      </c>
      <c r="I65">
        <f>HomeEdge+VLOOKUP(Table3[[#This Row],[Home]],$A$6:$B$38,2,FALSE)-VLOOKUP(Table3[[#This Row],[Visitor]],$A$6:$B$38,2,FALSE)</f>
        <v>-1.764294802713984</v>
      </c>
      <c r="J65">
        <f>(Table3[[#This Row],[HomeMargin]]-Table3[[#This Row],[HomeForecast]])^2</f>
        <v>10.469788123743736</v>
      </c>
    </row>
    <row r="66" spans="4:10" x14ac:dyDescent="0.2">
      <c r="D66" t="s">
        <v>16</v>
      </c>
      <c r="E66">
        <f>'NHL2025-26Results'!C61</f>
        <v>1</v>
      </c>
      <c r="F66" t="s">
        <v>55</v>
      </c>
      <c r="G66">
        <f>'NHL2025-26Results'!E61</f>
        <v>3</v>
      </c>
      <c r="H66">
        <f>Table3[[#This Row],[G_1]]-Table3[[#This Row],[G]]</f>
        <v>2</v>
      </c>
      <c r="I66">
        <f>HomeEdge+VLOOKUP(Table3[[#This Row],[Home]],$A$6:$B$38,2,FALSE)-VLOOKUP(Table3[[#This Row],[Visitor]],$A$6:$B$38,2,FALSE)</f>
        <v>1.430817602393333</v>
      </c>
      <c r="J66">
        <f>(Table3[[#This Row],[HomeMargin]]-Table3[[#This Row],[HomeForecast]])^2</f>
        <v>0.32396860174527398</v>
      </c>
    </row>
    <row r="67" spans="4:10" x14ac:dyDescent="0.2">
      <c r="D67" t="s">
        <v>25</v>
      </c>
      <c r="E67">
        <f>'NHL2025-26Results'!C62</f>
        <v>4</v>
      </c>
      <c r="F67" t="s">
        <v>31</v>
      </c>
      <c r="G67">
        <f>'NHL2025-26Results'!E62</f>
        <v>1</v>
      </c>
      <c r="H67">
        <f>Table3[[#This Row],[G_1]]-Table3[[#This Row],[G]]</f>
        <v>-3</v>
      </c>
      <c r="I67">
        <f>HomeEdge+VLOOKUP(Table3[[#This Row],[Home]],$A$6:$B$38,2,FALSE)-VLOOKUP(Table3[[#This Row],[Visitor]],$A$6:$B$38,2,FALSE)</f>
        <v>8.3885605241682537E-3</v>
      </c>
      <c r="J67">
        <f>(Table3[[#This Row],[HomeMargin]]-Table3[[#This Row],[HomeForecast]])^2</f>
        <v>9.0504017310926788</v>
      </c>
    </row>
    <row r="68" spans="4:10" x14ac:dyDescent="0.2">
      <c r="D68" t="s">
        <v>12</v>
      </c>
      <c r="E68">
        <f>'NHL2025-26Results'!C63</f>
        <v>4</v>
      </c>
      <c r="F68" t="s">
        <v>28</v>
      </c>
      <c r="G68">
        <f>'NHL2025-26Results'!E63</f>
        <v>1</v>
      </c>
      <c r="H68">
        <f>Table3[[#This Row],[G_1]]-Table3[[#This Row],[G]]</f>
        <v>-3</v>
      </c>
      <c r="I68">
        <f>HomeEdge+VLOOKUP(Table3[[#This Row],[Home]],$A$6:$B$38,2,FALSE)-VLOOKUP(Table3[[#This Row],[Visitor]],$A$6:$B$38,2,FALSE)</f>
        <v>-1.7931518402997413</v>
      </c>
      <c r="J68">
        <f>(Table3[[#This Row],[HomeMargin]]-Table3[[#This Row],[HomeForecast]])^2</f>
        <v>1.4564824805719012</v>
      </c>
    </row>
    <row r="69" spans="4:10" x14ac:dyDescent="0.2">
      <c r="D69" t="s">
        <v>38</v>
      </c>
      <c r="E69">
        <f>'NHL2025-26Results'!C64</f>
        <v>5</v>
      </c>
      <c r="F69" t="s">
        <v>39</v>
      </c>
      <c r="G69">
        <f>'NHL2025-26Results'!E64</f>
        <v>3</v>
      </c>
      <c r="H69">
        <f>Table3[[#This Row],[G_1]]-Table3[[#This Row],[G]]</f>
        <v>-2</v>
      </c>
      <c r="I69">
        <f>HomeEdge+VLOOKUP(Table3[[#This Row],[Home]],$A$6:$B$38,2,FALSE)-VLOOKUP(Table3[[#This Row],[Visitor]],$A$6:$B$38,2,FALSE)</f>
        <v>1.0508764813680718</v>
      </c>
      <c r="J69">
        <f>(Table3[[#This Row],[HomeMargin]]-Table3[[#This Row],[HomeForecast]])^2</f>
        <v>9.3078473045648256</v>
      </c>
    </row>
    <row r="70" spans="4:10" x14ac:dyDescent="0.2">
      <c r="D70" t="s">
        <v>14</v>
      </c>
      <c r="E70">
        <f>'NHL2025-26Results'!C65</f>
        <v>4</v>
      </c>
      <c r="F70" t="s">
        <v>13</v>
      </c>
      <c r="G70">
        <f>'NHL2025-26Results'!E65</f>
        <v>2</v>
      </c>
      <c r="H70">
        <f>Table3[[#This Row],[G_1]]-Table3[[#This Row],[G]]</f>
        <v>-2</v>
      </c>
      <c r="I70">
        <f>HomeEdge+VLOOKUP(Table3[[#This Row],[Home]],$A$6:$B$38,2,FALSE)-VLOOKUP(Table3[[#This Row],[Visitor]],$A$6:$B$38,2,FALSE)</f>
        <v>-0.17577831056543242</v>
      </c>
      <c r="J70">
        <f>(Table3[[#This Row],[HomeMargin]]-Table3[[#This Row],[HomeForecast]])^2</f>
        <v>3.3277847722035077</v>
      </c>
    </row>
    <row r="71" spans="4:10" x14ac:dyDescent="0.2">
      <c r="D71" t="s">
        <v>29</v>
      </c>
      <c r="E71">
        <f>'NHL2025-26Results'!C66</f>
        <v>2</v>
      </c>
      <c r="F71" t="s">
        <v>18</v>
      </c>
      <c r="G71">
        <f>'NHL2025-26Results'!E66</f>
        <v>3</v>
      </c>
      <c r="H71">
        <f>Table3[[#This Row],[G_1]]-Table3[[#This Row],[G]]</f>
        <v>1</v>
      </c>
      <c r="I71">
        <f>HomeEdge+VLOOKUP(Table3[[#This Row],[Home]],$A$6:$B$38,2,FALSE)-VLOOKUP(Table3[[#This Row],[Visitor]],$A$6:$B$38,2,FALSE)</f>
        <v>0.98982011834989669</v>
      </c>
      <c r="J71">
        <f>(Table3[[#This Row],[HomeMargin]]-Table3[[#This Row],[HomeForecast]])^2</f>
        <v>1.0362999041011001E-4</v>
      </c>
    </row>
    <row r="72" spans="4:10" x14ac:dyDescent="0.2">
      <c r="D72" t="s">
        <v>11</v>
      </c>
      <c r="E72">
        <f>'NHL2025-26Results'!C67</f>
        <v>1</v>
      </c>
      <c r="F72" t="s">
        <v>24</v>
      </c>
      <c r="G72">
        <f>'NHL2025-26Results'!E67</f>
        <v>3</v>
      </c>
      <c r="H72">
        <f>Table3[[#This Row],[G_1]]-Table3[[#This Row],[G]]</f>
        <v>2</v>
      </c>
      <c r="I72">
        <f>HomeEdge+VLOOKUP(Table3[[#This Row],[Home]],$A$6:$B$38,2,FALSE)-VLOOKUP(Table3[[#This Row],[Visitor]],$A$6:$B$38,2,FALSE)</f>
        <v>1.003072711967713</v>
      </c>
      <c r="J72">
        <f>(Table3[[#This Row],[HomeMargin]]-Table3[[#This Row],[HomeForecast]])^2</f>
        <v>0.99386401762341059</v>
      </c>
    </row>
    <row r="73" spans="4:10" x14ac:dyDescent="0.2">
      <c r="D73" t="s">
        <v>17</v>
      </c>
      <c r="E73">
        <f>'NHL2025-26Results'!C68</f>
        <v>2</v>
      </c>
      <c r="F73" t="s">
        <v>30</v>
      </c>
      <c r="G73">
        <f>'NHL2025-26Results'!E68</f>
        <v>4</v>
      </c>
      <c r="H73">
        <f>Table3[[#This Row],[G_1]]-Table3[[#This Row],[G]]</f>
        <v>2</v>
      </c>
      <c r="I73">
        <f>HomeEdge+VLOOKUP(Table3[[#This Row],[Home]],$A$6:$B$38,2,FALSE)-VLOOKUP(Table3[[#This Row],[Visitor]],$A$6:$B$38,2,FALSE)</f>
        <v>0.71765079021960221</v>
      </c>
      <c r="J73">
        <f>(Table3[[#This Row],[HomeMargin]]-Table3[[#This Row],[HomeForecast]])^2</f>
        <v>1.6444194958244109</v>
      </c>
    </row>
    <row r="74" spans="4:10" x14ac:dyDescent="0.2">
      <c r="D74" t="s">
        <v>32</v>
      </c>
      <c r="E74">
        <f>'NHL2025-26Results'!C69</f>
        <v>3</v>
      </c>
      <c r="F74" t="s">
        <v>36</v>
      </c>
      <c r="G74">
        <f>'NHL2025-26Results'!E69</f>
        <v>4</v>
      </c>
      <c r="H74">
        <f>Table3[[#This Row],[G_1]]-Table3[[#This Row],[G]]</f>
        <v>1</v>
      </c>
      <c r="I74">
        <f>HomeEdge+VLOOKUP(Table3[[#This Row],[Home]],$A$6:$B$38,2,FALSE)-VLOOKUP(Table3[[#This Row],[Visitor]],$A$6:$B$38,2,FALSE)</f>
        <v>0.11741414310685289</v>
      </c>
      <c r="J74">
        <f>(Table3[[#This Row],[HomeMargin]]-Table3[[#This Row],[HomeForecast]])^2</f>
        <v>0.77895779478781069</v>
      </c>
    </row>
    <row r="75" spans="4:10" x14ac:dyDescent="0.2">
      <c r="D75" t="s">
        <v>40</v>
      </c>
      <c r="E75">
        <f>'NHL2025-26Results'!C70</f>
        <v>5</v>
      </c>
      <c r="F75" t="s">
        <v>27</v>
      </c>
      <c r="G75">
        <f>'NHL2025-26Results'!E70</f>
        <v>2</v>
      </c>
      <c r="H75">
        <f>Table3[[#This Row],[G_1]]-Table3[[#This Row],[G]]</f>
        <v>-3</v>
      </c>
      <c r="I75">
        <f>HomeEdge+VLOOKUP(Table3[[#This Row],[Home]],$A$6:$B$38,2,FALSE)-VLOOKUP(Table3[[#This Row],[Visitor]],$A$6:$B$38,2,FALSE)</f>
        <v>-0.45611885368182281</v>
      </c>
      <c r="J75">
        <f>(Table3[[#This Row],[HomeMargin]]-Table3[[#This Row],[HomeForecast]])^2</f>
        <v>6.4713312865930819</v>
      </c>
    </row>
    <row r="76" spans="4:10" x14ac:dyDescent="0.2">
      <c r="D76" t="s">
        <v>15</v>
      </c>
      <c r="E76">
        <f>'NHL2025-26Results'!C71</f>
        <v>1</v>
      </c>
      <c r="F76" t="s">
        <v>19</v>
      </c>
      <c r="G76">
        <f>'NHL2025-26Results'!E71</f>
        <v>2</v>
      </c>
      <c r="H76">
        <f>Table3[[#This Row],[G_1]]-Table3[[#This Row],[G]]</f>
        <v>1</v>
      </c>
      <c r="I76">
        <f>HomeEdge+VLOOKUP(Table3[[#This Row],[Home]],$A$6:$B$38,2,FALSE)-VLOOKUP(Table3[[#This Row],[Visitor]],$A$6:$B$38,2,FALSE)</f>
        <v>-0.1657965807852726</v>
      </c>
      <c r="J76">
        <f>(Table3[[#This Row],[HomeMargin]]-Table3[[#This Row],[HomeForecast]])^2</f>
        <v>1.3590816677706326</v>
      </c>
    </row>
    <row r="77" spans="4:10" x14ac:dyDescent="0.2">
      <c r="D77" t="s">
        <v>21</v>
      </c>
      <c r="E77">
        <f>'NHL2025-26Results'!C72</f>
        <v>5</v>
      </c>
      <c r="F77" t="s">
        <v>20</v>
      </c>
      <c r="G77">
        <f>'NHL2025-26Results'!E72</f>
        <v>6</v>
      </c>
      <c r="H77">
        <f>Table3[[#This Row],[G_1]]-Table3[[#This Row],[G]]</f>
        <v>1</v>
      </c>
      <c r="I77">
        <f>HomeEdge+VLOOKUP(Table3[[#This Row],[Home]],$A$6:$B$38,2,FALSE)-VLOOKUP(Table3[[#This Row],[Visitor]],$A$6:$B$38,2,FALSE)</f>
        <v>0.12164343260356257</v>
      </c>
      <c r="J77">
        <f>(Table3[[#This Row],[HomeMargin]]-Table3[[#This Row],[HomeForecast]])^2</f>
        <v>0.77151025948845231</v>
      </c>
    </row>
    <row r="78" spans="4:10" x14ac:dyDescent="0.2">
      <c r="D78" t="s">
        <v>38</v>
      </c>
      <c r="E78">
        <f>'NHL2025-26Results'!C73</f>
        <v>3</v>
      </c>
      <c r="F78" t="s">
        <v>10</v>
      </c>
      <c r="G78">
        <f>'NHL2025-26Results'!E73</f>
        <v>2</v>
      </c>
      <c r="H78">
        <f>Table3[[#This Row],[G_1]]-Table3[[#This Row],[G]]</f>
        <v>-1</v>
      </c>
      <c r="I78">
        <f>HomeEdge+VLOOKUP(Table3[[#This Row],[Home]],$A$6:$B$38,2,FALSE)-VLOOKUP(Table3[[#This Row],[Visitor]],$A$6:$B$38,2,FALSE)</f>
        <v>1.1584908290940004</v>
      </c>
      <c r="J78">
        <f>(Table3[[#This Row],[HomeMargin]]-Table3[[#This Row],[HomeForecast]])^2</f>
        <v>4.6590826592829044</v>
      </c>
    </row>
    <row r="79" spans="4:10" x14ac:dyDescent="0.2">
      <c r="D79" t="s">
        <v>37</v>
      </c>
      <c r="E79">
        <f>'NHL2025-26Results'!C74</f>
        <v>1</v>
      </c>
      <c r="F79" t="s">
        <v>26</v>
      </c>
      <c r="G79">
        <f>'NHL2025-26Results'!E74</f>
        <v>2</v>
      </c>
      <c r="H79">
        <f>Table3[[#This Row],[G_1]]-Table3[[#This Row],[G]]</f>
        <v>1</v>
      </c>
      <c r="I79">
        <f>HomeEdge+VLOOKUP(Table3[[#This Row],[Home]],$A$6:$B$38,2,FALSE)-VLOOKUP(Table3[[#This Row],[Visitor]],$A$6:$B$38,2,FALSE)</f>
        <v>-0.2379770647811057</v>
      </c>
      <c r="J79">
        <f>(Table3[[#This Row],[HomeMargin]]-Table3[[#This Row],[HomeForecast]])^2</f>
        <v>1.5325872129240419</v>
      </c>
    </row>
    <row r="80" spans="4:10" x14ac:dyDescent="0.2">
      <c r="D80" t="s">
        <v>33</v>
      </c>
      <c r="E80">
        <f>'NHL2025-26Results'!C75</f>
        <v>3</v>
      </c>
      <c r="F80" t="s">
        <v>55</v>
      </c>
      <c r="G80">
        <f>'NHL2025-26Results'!E75</f>
        <v>6</v>
      </c>
      <c r="H80">
        <f>Table3[[#This Row],[G_1]]-Table3[[#This Row],[G]]</f>
        <v>3</v>
      </c>
      <c r="I80">
        <f>HomeEdge+VLOOKUP(Table3[[#This Row],[Home]],$A$6:$B$38,2,FALSE)-VLOOKUP(Table3[[#This Row],[Visitor]],$A$6:$B$38,2,FALSE)</f>
        <v>0.43463096265388512</v>
      </c>
      <c r="J80">
        <f>(Table3[[#This Row],[HomeMargin]]-Table3[[#This Row],[HomeForecast]])^2</f>
        <v>6.5811182977741334</v>
      </c>
    </row>
    <row r="81" spans="4:10" x14ac:dyDescent="0.2">
      <c r="D81" t="s">
        <v>34</v>
      </c>
      <c r="E81">
        <f>'NHL2025-26Results'!C76</f>
        <v>1</v>
      </c>
      <c r="F81" t="s">
        <v>22</v>
      </c>
      <c r="G81">
        <f>'NHL2025-26Results'!E76</f>
        <v>5</v>
      </c>
      <c r="H81">
        <f>Table3[[#This Row],[G_1]]-Table3[[#This Row],[G]]</f>
        <v>4</v>
      </c>
      <c r="I81">
        <f>HomeEdge+VLOOKUP(Table3[[#This Row],[Home]],$A$6:$B$38,2,FALSE)-VLOOKUP(Table3[[#This Row],[Visitor]],$A$6:$B$38,2,FALSE)</f>
        <v>0.63776647858118818</v>
      </c>
      <c r="J81">
        <f>(Table3[[#This Row],[HomeMargin]]-Table3[[#This Row],[HomeForecast]])^2</f>
        <v>11.304614252552344</v>
      </c>
    </row>
    <row r="82" spans="4:10" x14ac:dyDescent="0.2">
      <c r="D82" t="s">
        <v>11</v>
      </c>
      <c r="E82">
        <f>'NHL2025-26Results'!C77</f>
        <v>0</v>
      </c>
      <c r="F82" t="s">
        <v>23</v>
      </c>
      <c r="G82">
        <f>'NHL2025-26Results'!E77</f>
        <v>3</v>
      </c>
      <c r="H82">
        <f>Table3[[#This Row],[G_1]]-Table3[[#This Row],[G]]</f>
        <v>3</v>
      </c>
      <c r="I82">
        <f>HomeEdge+VLOOKUP(Table3[[#This Row],[Home]],$A$6:$B$38,2,FALSE)-VLOOKUP(Table3[[#This Row],[Visitor]],$A$6:$B$38,2,FALSE)</f>
        <v>-0.42470968765641692</v>
      </c>
      <c r="J82">
        <f>(Table3[[#This Row],[HomeMargin]]-Table3[[#This Row],[HomeForecast]])^2</f>
        <v>11.728636444727714</v>
      </c>
    </row>
    <row r="83" spans="4:10" x14ac:dyDescent="0.2">
      <c r="D83" t="s">
        <v>37</v>
      </c>
      <c r="E83">
        <f>'NHL2025-26Results'!C78</f>
        <v>2</v>
      </c>
      <c r="F83" t="s">
        <v>28</v>
      </c>
      <c r="G83">
        <f>'NHL2025-26Results'!E78</f>
        <v>3</v>
      </c>
      <c r="H83">
        <f>Table3[[#This Row],[G_1]]-Table3[[#This Row],[G]]</f>
        <v>1</v>
      </c>
      <c r="I83">
        <f>HomeEdge+VLOOKUP(Table3[[#This Row],[Home]],$A$6:$B$38,2,FALSE)-VLOOKUP(Table3[[#This Row],[Visitor]],$A$6:$B$38,2,FALSE)</f>
        <v>-0.13255602247453047</v>
      </c>
      <c r="J83">
        <f>(Table3[[#This Row],[HomeMargin]]-Table3[[#This Row],[HomeForecast]])^2</f>
        <v>1.2826831440433288</v>
      </c>
    </row>
    <row r="84" spans="4:10" x14ac:dyDescent="0.2">
      <c r="D84" t="s">
        <v>21</v>
      </c>
      <c r="E84">
        <f>'NHL2025-26Results'!C79</f>
        <v>1</v>
      </c>
      <c r="F84" t="s">
        <v>12</v>
      </c>
      <c r="G84">
        <f>'NHL2025-26Results'!E79</f>
        <v>4</v>
      </c>
      <c r="H84">
        <f>Table3[[#This Row],[G_1]]-Table3[[#This Row],[G]]</f>
        <v>3</v>
      </c>
      <c r="I84">
        <f>HomeEdge+VLOOKUP(Table3[[#This Row],[Home]],$A$6:$B$38,2,FALSE)-VLOOKUP(Table3[[#This Row],[Visitor]],$A$6:$B$38,2,FALSE)</f>
        <v>1.6697822496627313</v>
      </c>
      <c r="J84">
        <f>(Table3[[#This Row],[HomeMargin]]-Table3[[#This Row],[HomeForecast]])^2</f>
        <v>1.7694792633123442</v>
      </c>
    </row>
    <row r="85" spans="4:10" x14ac:dyDescent="0.2">
      <c r="D85" t="s">
        <v>25</v>
      </c>
      <c r="E85">
        <f>'NHL2025-26Results'!C80</f>
        <v>4</v>
      </c>
      <c r="F85" t="s">
        <v>13</v>
      </c>
      <c r="G85">
        <f>'NHL2025-26Results'!E80</f>
        <v>3</v>
      </c>
      <c r="H85">
        <f>Table3[[#This Row],[G_1]]-Table3[[#This Row],[G]]</f>
        <v>-1</v>
      </c>
      <c r="I85">
        <f>HomeEdge+VLOOKUP(Table3[[#This Row],[Home]],$A$6:$B$38,2,FALSE)-VLOOKUP(Table3[[#This Row],[Visitor]],$A$6:$B$38,2,FALSE)</f>
        <v>-0.58482661106035361</v>
      </c>
      <c r="J85">
        <f>(Table3[[#This Row],[HomeMargin]]-Table3[[#This Row],[HomeForecast]])^2</f>
        <v>0.17236894288363089</v>
      </c>
    </row>
    <row r="86" spans="4:10" x14ac:dyDescent="0.2">
      <c r="D86" t="s">
        <v>15</v>
      </c>
      <c r="E86">
        <f>'NHL2025-26Results'!C81</f>
        <v>4</v>
      </c>
      <c r="F86" t="s">
        <v>18</v>
      </c>
      <c r="G86">
        <f>'NHL2025-26Results'!E81</f>
        <v>3</v>
      </c>
      <c r="H86">
        <f>Table3[[#This Row],[G_1]]-Table3[[#This Row],[G]]</f>
        <v>-1</v>
      </c>
      <c r="I86">
        <f>HomeEdge+VLOOKUP(Table3[[#This Row],[Home]],$A$6:$B$38,2,FALSE)-VLOOKUP(Table3[[#This Row],[Visitor]],$A$6:$B$38,2,FALSE)</f>
        <v>-5.4608299325773935E-2</v>
      </c>
      <c r="J86">
        <f>(Table3[[#This Row],[HomeMargin]]-Table3[[#This Row],[HomeForecast]])^2</f>
        <v>0.89376546770370546</v>
      </c>
    </row>
    <row r="87" spans="4:10" x14ac:dyDescent="0.2">
      <c r="D87" t="s">
        <v>17</v>
      </c>
      <c r="E87">
        <f>'NHL2025-26Results'!C82</f>
        <v>3</v>
      </c>
      <c r="F87" t="s">
        <v>24</v>
      </c>
      <c r="G87">
        <f>'NHL2025-26Results'!E82</f>
        <v>5</v>
      </c>
      <c r="H87">
        <f>Table3[[#This Row],[G_1]]-Table3[[#This Row],[G]]</f>
        <v>2</v>
      </c>
      <c r="I87">
        <f>HomeEdge+VLOOKUP(Table3[[#This Row],[Home]],$A$6:$B$38,2,FALSE)-VLOOKUP(Table3[[#This Row],[Visitor]],$A$6:$B$38,2,FALSE)</f>
        <v>1.3418215144119143</v>
      </c>
      <c r="J87">
        <f>(Table3[[#This Row],[HomeMargin]]-Table3[[#This Row],[HomeForecast]])^2</f>
        <v>0.43319891889102591</v>
      </c>
    </row>
    <row r="88" spans="4:10" x14ac:dyDescent="0.2">
      <c r="D88" t="s">
        <v>30</v>
      </c>
      <c r="E88">
        <f>'NHL2025-26Results'!C83</f>
        <v>5</v>
      </c>
      <c r="F88" t="s">
        <v>36</v>
      </c>
      <c r="G88">
        <f>'NHL2025-26Results'!E83</f>
        <v>4</v>
      </c>
      <c r="H88">
        <f>Table3[[#This Row],[G_1]]-Table3[[#This Row],[G]]</f>
        <v>-1</v>
      </c>
      <c r="I88">
        <f>HomeEdge+VLOOKUP(Table3[[#This Row],[Home]],$A$6:$B$38,2,FALSE)-VLOOKUP(Table3[[#This Row],[Visitor]],$A$6:$B$38,2,FALSE)</f>
        <v>-0.1792176052532311</v>
      </c>
      <c r="J88">
        <f>(Table3[[#This Row],[HomeMargin]]-Table3[[#This Row],[HomeForecast]])^2</f>
        <v>0.67368373952624083</v>
      </c>
    </row>
    <row r="89" spans="4:10" x14ac:dyDescent="0.2">
      <c r="D89" t="s">
        <v>34</v>
      </c>
      <c r="E89">
        <f>'NHL2025-26Results'!C84</f>
        <v>1</v>
      </c>
      <c r="F89" t="s">
        <v>27</v>
      </c>
      <c r="G89">
        <f>'NHL2025-26Results'!E84</f>
        <v>2</v>
      </c>
      <c r="H89">
        <f>Table3[[#This Row],[G_1]]-Table3[[#This Row],[G]]</f>
        <v>1</v>
      </c>
      <c r="I89">
        <f>HomeEdge+VLOOKUP(Table3[[#This Row],[Home]],$A$6:$B$38,2,FALSE)-VLOOKUP(Table3[[#This Row],[Visitor]],$A$6:$B$38,2,FALSE)</f>
        <v>0.18548941309359668</v>
      </c>
      <c r="J89">
        <f>(Table3[[#This Row],[HomeMargin]]-Table3[[#This Row],[HomeForecast]])^2</f>
        <v>0.66342749618261365</v>
      </c>
    </row>
    <row r="90" spans="4:10" x14ac:dyDescent="0.2">
      <c r="D90" t="s">
        <v>14</v>
      </c>
      <c r="E90">
        <f>'NHL2025-26Results'!C85</f>
        <v>3</v>
      </c>
      <c r="F90" t="s">
        <v>33</v>
      </c>
      <c r="G90">
        <f>'NHL2025-26Results'!E85</f>
        <v>0</v>
      </c>
      <c r="H90">
        <f>Table3[[#This Row],[G_1]]-Table3[[#This Row],[G]]</f>
        <v>-3</v>
      </c>
      <c r="I90">
        <f>HomeEdge+VLOOKUP(Table3[[#This Row],[Home]],$A$6:$B$38,2,FALSE)-VLOOKUP(Table3[[#This Row],[Visitor]],$A$6:$B$38,2,FALSE)</f>
        <v>-0.49450037480652348</v>
      </c>
      <c r="J90">
        <f>(Table3[[#This Row],[HomeMargin]]-Table3[[#This Row],[HomeForecast]])^2</f>
        <v>6.2775283718446513</v>
      </c>
    </row>
    <row r="91" spans="4:10" x14ac:dyDescent="0.2">
      <c r="D91" t="s">
        <v>39</v>
      </c>
      <c r="E91">
        <f>'NHL2025-26Results'!C86</f>
        <v>1</v>
      </c>
      <c r="F91" t="s">
        <v>35</v>
      </c>
      <c r="G91">
        <f>'NHL2025-26Results'!E86</f>
        <v>3</v>
      </c>
      <c r="H91">
        <f>Table3[[#This Row],[G_1]]-Table3[[#This Row],[G]]</f>
        <v>2</v>
      </c>
      <c r="I91">
        <f>HomeEdge+VLOOKUP(Table3[[#This Row],[Home]],$A$6:$B$38,2,FALSE)-VLOOKUP(Table3[[#This Row],[Visitor]],$A$6:$B$38,2,FALSE)</f>
        <v>-1.6566804549880552</v>
      </c>
      <c r="J91">
        <f>(Table3[[#This Row],[HomeMargin]]-Table3[[#This Row],[HomeForecast]])^2</f>
        <v>13.371311949891648</v>
      </c>
    </row>
    <row r="92" spans="4:10" x14ac:dyDescent="0.2">
      <c r="D92" t="s">
        <v>32</v>
      </c>
      <c r="E92">
        <f>'NHL2025-26Results'!C87</f>
        <v>4</v>
      </c>
      <c r="F92" t="s">
        <v>19</v>
      </c>
      <c r="G92">
        <f>'NHL2025-26Results'!E87</f>
        <v>3</v>
      </c>
      <c r="H92">
        <f>Table3[[#This Row],[G_1]]-Table3[[#This Row],[G]]</f>
        <v>-1</v>
      </c>
      <c r="I92">
        <f>HomeEdge+VLOOKUP(Table3[[#This Row],[Home]],$A$6:$B$38,2,FALSE)-VLOOKUP(Table3[[#This Row],[Visitor]],$A$6:$B$38,2,FALSE)</f>
        <v>-0.1116319246372196</v>
      </c>
      <c r="J92">
        <f>(Table3[[#This Row],[HomeMargin]]-Table3[[#This Row],[HomeForecast]])^2</f>
        <v>0.78919783732377069</v>
      </c>
    </row>
    <row r="93" spans="4:10" x14ac:dyDescent="0.2">
      <c r="D93" t="s">
        <v>16</v>
      </c>
      <c r="E93">
        <f>'NHL2025-26Results'!C88</f>
        <v>1</v>
      </c>
      <c r="F93" t="s">
        <v>20</v>
      </c>
      <c r="G93">
        <f>'NHL2025-26Results'!E88</f>
        <v>6</v>
      </c>
      <c r="H93">
        <f>Table3[[#This Row],[G_1]]-Table3[[#This Row],[G]]</f>
        <v>5</v>
      </c>
      <c r="I93">
        <f>HomeEdge+VLOOKUP(Table3[[#This Row],[Home]],$A$6:$B$38,2,FALSE)-VLOOKUP(Table3[[#This Row],[Visitor]],$A$6:$B$38,2,FALSE)</f>
        <v>1.5523032640316592</v>
      </c>
      <c r="J93">
        <f>(Table3[[#This Row],[HomeMargin]]-Table3[[#This Row],[HomeForecast]])^2</f>
        <v>11.886612783206752</v>
      </c>
    </row>
    <row r="94" spans="4:10" x14ac:dyDescent="0.2">
      <c r="D94" t="s">
        <v>29</v>
      </c>
      <c r="E94">
        <f>'NHL2025-26Results'!C89</f>
        <v>1</v>
      </c>
      <c r="F94" t="s">
        <v>40</v>
      </c>
      <c r="G94">
        <f>'NHL2025-26Results'!E89</f>
        <v>4</v>
      </c>
      <c r="H94">
        <f>Table3[[#This Row],[G_1]]-Table3[[#This Row],[G]]</f>
        <v>3</v>
      </c>
      <c r="I94">
        <f>HomeEdge+VLOOKUP(Table3[[#This Row],[Home]],$A$6:$B$38,2,FALSE)-VLOOKUP(Table3[[#This Row],[Visitor]],$A$6:$B$38,2,FALSE)</f>
        <v>1.619302638738144</v>
      </c>
      <c r="J94">
        <f>(Table3[[#This Row],[HomeMargin]]-Table3[[#This Row],[HomeForecast]])^2</f>
        <v>1.9063252033954523</v>
      </c>
    </row>
    <row r="95" spans="4:10" x14ac:dyDescent="0.2">
      <c r="D95" t="s">
        <v>31</v>
      </c>
      <c r="E95">
        <f>'NHL2025-26Results'!C90</f>
        <v>1</v>
      </c>
      <c r="F95" t="s">
        <v>10</v>
      </c>
      <c r="G95">
        <f>'NHL2025-26Results'!E90</f>
        <v>2</v>
      </c>
      <c r="H95">
        <f>Table3[[#This Row],[G_1]]-Table3[[#This Row],[G]]</f>
        <v>1</v>
      </c>
      <c r="I95">
        <f>HomeEdge+VLOOKUP(Table3[[#This Row],[Home]],$A$6:$B$38,2,FALSE)-VLOOKUP(Table3[[#This Row],[Visitor]],$A$6:$B$38,2,FALSE)</f>
        <v>-4.94734652850079E-2</v>
      </c>
      <c r="J95">
        <f>(Table3[[#This Row],[HomeMargin]]-Table3[[#This Row],[HomeForecast]])^2</f>
        <v>1.1013945543373227</v>
      </c>
    </row>
    <row r="96" spans="4:10" x14ac:dyDescent="0.2">
      <c r="D96" t="s">
        <v>17</v>
      </c>
      <c r="E96">
        <f>'NHL2025-26Results'!C91</f>
        <v>2</v>
      </c>
      <c r="F96" t="s">
        <v>26</v>
      </c>
      <c r="G96">
        <f>'NHL2025-26Results'!E91</f>
        <v>4</v>
      </c>
      <c r="H96">
        <f>Table3[[#This Row],[G_1]]-Table3[[#This Row],[G]]</f>
        <v>2</v>
      </c>
      <c r="I96">
        <f>HomeEdge+VLOOKUP(Table3[[#This Row],[Home]],$A$6:$B$38,2,FALSE)-VLOOKUP(Table3[[#This Row],[Visitor]],$A$6:$B$38,2,FALSE)</f>
        <v>0.26873651791830322</v>
      </c>
      <c r="J96">
        <f>(Table3[[#This Row],[HomeMargin]]-Table3[[#This Row],[HomeForecast]])^2</f>
        <v>2.9972732443896417</v>
      </c>
    </row>
    <row r="97" spans="4:10" x14ac:dyDescent="0.2">
      <c r="D97" t="s">
        <v>21</v>
      </c>
      <c r="E97">
        <f>'NHL2025-26Results'!C92</f>
        <v>2</v>
      </c>
      <c r="F97" t="s">
        <v>55</v>
      </c>
      <c r="G97">
        <f>'NHL2025-26Results'!E92</f>
        <v>3</v>
      </c>
      <c r="H97">
        <f>Table3[[#This Row],[G_1]]-Table3[[#This Row],[G]]</f>
        <v>1</v>
      </c>
      <c r="I97">
        <f>HomeEdge+VLOOKUP(Table3[[#This Row],[Home]],$A$6:$B$38,2,FALSE)-VLOOKUP(Table3[[#This Row],[Visitor]],$A$6:$B$38,2,FALSE)</f>
        <v>1.5777096523632295E-4</v>
      </c>
      <c r="J97">
        <f>(Table3[[#This Row],[HomeMargin]]-Table3[[#This Row],[HomeForecast]])^2</f>
        <v>0.99968448296120493</v>
      </c>
    </row>
    <row r="98" spans="4:10" x14ac:dyDescent="0.2">
      <c r="D98" t="s">
        <v>38</v>
      </c>
      <c r="E98">
        <f>'NHL2025-26Results'!C93</f>
        <v>4</v>
      </c>
      <c r="F98" t="s">
        <v>22</v>
      </c>
      <c r="G98">
        <f>'NHL2025-26Results'!E93</f>
        <v>3</v>
      </c>
      <c r="H98">
        <f>Table3[[#This Row],[G_1]]-Table3[[#This Row],[G]]</f>
        <v>-1</v>
      </c>
      <c r="I98">
        <f>HomeEdge+VLOOKUP(Table3[[#This Row],[Home]],$A$6:$B$38,2,FALSE)-VLOOKUP(Table3[[#This Row],[Visitor]],$A$6:$B$38,2,FALSE)</f>
        <v>0.79147230126901402</v>
      </c>
      <c r="J98">
        <f>(Table3[[#This Row],[HomeMargin]]-Table3[[#This Row],[HomeForecast]])^2</f>
        <v>3.2093730062140966</v>
      </c>
    </row>
    <row r="99" spans="4:10" x14ac:dyDescent="0.2">
      <c r="D99" t="s">
        <v>40</v>
      </c>
      <c r="E99">
        <f>'NHL2025-26Results'!C94</f>
        <v>2</v>
      </c>
      <c r="F99" t="s">
        <v>16</v>
      </c>
      <c r="G99">
        <f>'NHL2025-26Results'!E94</f>
        <v>1</v>
      </c>
      <c r="H99">
        <f>Table3[[#This Row],[G_1]]-Table3[[#This Row],[G]]</f>
        <v>-1</v>
      </c>
      <c r="I99">
        <f>HomeEdge+VLOOKUP(Table3[[#This Row],[Home]],$A$6:$B$38,2,FALSE)-VLOOKUP(Table3[[#This Row],[Visitor]],$A$6:$B$38,2,FALSE)</f>
        <v>-1.3329013609869793</v>
      </c>
      <c r="J99">
        <f>(Table3[[#This Row],[HomeMargin]]-Table3[[#This Row],[HomeForecast]])^2</f>
        <v>0.11082331614698311</v>
      </c>
    </row>
    <row r="100" spans="4:10" x14ac:dyDescent="0.2">
      <c r="D100" t="s">
        <v>23</v>
      </c>
      <c r="E100">
        <f>'NHL2025-26Results'!C95</f>
        <v>2</v>
      </c>
      <c r="F100" t="s">
        <v>18</v>
      </c>
      <c r="G100">
        <f>'NHL2025-26Results'!E95</f>
        <v>4</v>
      </c>
      <c r="H100">
        <f>Table3[[#This Row],[G_1]]-Table3[[#This Row],[G]]</f>
        <v>2</v>
      </c>
      <c r="I100">
        <f>HomeEdge+VLOOKUP(Table3[[#This Row],[Home]],$A$6:$B$38,2,FALSE)-VLOOKUP(Table3[[#This Row],[Visitor]],$A$6:$B$38,2,FALSE)</f>
        <v>0.50653628389401295</v>
      </c>
      <c r="J100">
        <f>(Table3[[#This Row],[HomeMargin]]-Table3[[#This Row],[HomeForecast]])^2</f>
        <v>2.2304338713251046</v>
      </c>
    </row>
    <row r="101" spans="4:10" x14ac:dyDescent="0.2">
      <c r="D101" t="s">
        <v>34</v>
      </c>
      <c r="E101">
        <f>'NHL2025-26Results'!C96</f>
        <v>3</v>
      </c>
      <c r="F101" t="s">
        <v>15</v>
      </c>
      <c r="G101">
        <f>'NHL2025-26Results'!E96</f>
        <v>1</v>
      </c>
      <c r="H101">
        <f>Table3[[#This Row],[G_1]]-Table3[[#This Row],[G]]</f>
        <v>-2</v>
      </c>
      <c r="I101">
        <f>HomeEdge+VLOOKUP(Table3[[#This Row],[Home]],$A$6:$B$38,2,FALSE)-VLOOKUP(Table3[[#This Row],[Visitor]],$A$6:$B$38,2,FALSE)</f>
        <v>0.39187866503758284</v>
      </c>
      <c r="J101">
        <f>(Table3[[#This Row],[HomeMargin]]-Table3[[#This Row],[HomeForecast]])^2</f>
        <v>5.7210835482619702</v>
      </c>
    </row>
    <row r="102" spans="4:10" x14ac:dyDescent="0.2">
      <c r="D102" t="s">
        <v>32</v>
      </c>
      <c r="E102">
        <f>'NHL2025-26Results'!C97</f>
        <v>2</v>
      </c>
      <c r="F102" t="s">
        <v>27</v>
      </c>
      <c r="G102">
        <f>'NHL2025-26Results'!E97</f>
        <v>5</v>
      </c>
      <c r="H102">
        <f>Table3[[#This Row],[G_1]]-Table3[[#This Row],[G]]</f>
        <v>3</v>
      </c>
      <c r="I102">
        <f>HomeEdge+VLOOKUP(Table3[[#This Row],[Home]],$A$6:$B$38,2,FALSE)-VLOOKUP(Table3[[#This Row],[Visitor]],$A$6:$B$38,2,FALSE)</f>
        <v>1.0347713866385222E-2</v>
      </c>
      <c r="J102">
        <f>(Table3[[#This Row],[HomeMargin]]-Table3[[#This Row],[HomeForecast]])^2</f>
        <v>8.9380207919839503</v>
      </c>
    </row>
    <row r="103" spans="4:10" x14ac:dyDescent="0.2">
      <c r="D103" t="s">
        <v>25</v>
      </c>
      <c r="E103">
        <f>'NHL2025-26Results'!C98</f>
        <v>1</v>
      </c>
      <c r="F103" t="s">
        <v>20</v>
      </c>
      <c r="G103">
        <f>'NHL2025-26Results'!E98</f>
        <v>4</v>
      </c>
      <c r="H103">
        <f>Table3[[#This Row],[G_1]]-Table3[[#This Row],[G]]</f>
        <v>3</v>
      </c>
      <c r="I103">
        <f>HomeEdge+VLOOKUP(Table3[[#This Row],[Home]],$A$6:$B$38,2,FALSE)-VLOOKUP(Table3[[#This Row],[Visitor]],$A$6:$B$38,2,FALSE)</f>
        <v>-0.51000436067155164</v>
      </c>
      <c r="J103">
        <f>(Table3[[#This Row],[HomeMargin]]-Table3[[#This Row],[HomeForecast]])^2</f>
        <v>12.320130611933308</v>
      </c>
    </row>
    <row r="104" spans="4:10" x14ac:dyDescent="0.2">
      <c r="D104" t="s">
        <v>11</v>
      </c>
      <c r="E104">
        <f>'NHL2025-26Results'!C99</f>
        <v>4</v>
      </c>
      <c r="F104" t="s">
        <v>21</v>
      </c>
      <c r="G104">
        <f>'NHL2025-26Results'!E99</f>
        <v>3</v>
      </c>
      <c r="H104">
        <f>Table3[[#This Row],[G_1]]-Table3[[#This Row],[G]]</f>
        <v>-1</v>
      </c>
      <c r="I104">
        <f>HomeEdge+VLOOKUP(Table3[[#This Row],[Home]],$A$6:$B$38,2,FALSE)-VLOOKUP(Table3[[#This Row],[Visitor]],$A$6:$B$38,2,FALSE)</f>
        <v>0.48392296774232391</v>
      </c>
      <c r="J104">
        <f>(Table3[[#This Row],[HomeMargin]]-Table3[[#This Row],[HomeForecast]])^2</f>
        <v>2.2020273741931859</v>
      </c>
    </row>
    <row r="105" spans="4:10" x14ac:dyDescent="0.2">
      <c r="D105" t="s">
        <v>28</v>
      </c>
      <c r="E105">
        <f>'NHL2025-26Results'!C100</f>
        <v>5</v>
      </c>
      <c r="F105" t="s">
        <v>39</v>
      </c>
      <c r="G105">
        <f>'NHL2025-26Results'!E100</f>
        <v>1</v>
      </c>
      <c r="H105">
        <f>Table3[[#This Row],[G_1]]-Table3[[#This Row],[G]]</f>
        <v>-4</v>
      </c>
      <c r="I105">
        <f>HomeEdge+VLOOKUP(Table3[[#This Row],[Home]],$A$6:$B$38,2,FALSE)-VLOOKUP(Table3[[#This Row],[Visitor]],$A$6:$B$38,2,FALSE)</f>
        <v>0.76889044108767424</v>
      </c>
      <c r="J105">
        <f>(Table3[[#This Row],[HomeMargin]]-Table3[[#This Row],[HomeForecast]])^2</f>
        <v>22.742316039097389</v>
      </c>
    </row>
    <row r="106" spans="4:10" x14ac:dyDescent="0.2">
      <c r="D106" t="s">
        <v>31</v>
      </c>
      <c r="E106">
        <f>'NHL2025-26Results'!C101</f>
        <v>5</v>
      </c>
      <c r="F106" t="s">
        <v>29</v>
      </c>
      <c r="G106">
        <f>'NHL2025-26Results'!E101</f>
        <v>2</v>
      </c>
      <c r="H106">
        <f>Table3[[#This Row],[G_1]]-Table3[[#This Row],[G]]</f>
        <v>-3</v>
      </c>
      <c r="I106">
        <f>HomeEdge+VLOOKUP(Table3[[#This Row],[Home]],$A$6:$B$38,2,FALSE)-VLOOKUP(Table3[[#This Row],[Visitor]],$A$6:$B$38,2,FALSE)</f>
        <v>-1.7068082243292704</v>
      </c>
      <c r="J106">
        <f>(Table3[[#This Row],[HomeMargin]]-Table3[[#This Row],[HomeForecast]])^2</f>
        <v>1.6723449686624148</v>
      </c>
    </row>
    <row r="107" spans="4:10" x14ac:dyDescent="0.2">
      <c r="D107" t="s">
        <v>33</v>
      </c>
      <c r="E107">
        <f>'NHL2025-26Results'!C102</f>
        <v>3</v>
      </c>
      <c r="F107" t="s">
        <v>30</v>
      </c>
      <c r="G107">
        <f>'NHL2025-26Results'!E102</f>
        <v>4</v>
      </c>
      <c r="H107">
        <f>Table3[[#This Row],[G_1]]-Table3[[#This Row],[G]]</f>
        <v>1</v>
      </c>
      <c r="I107">
        <f>HomeEdge+VLOOKUP(Table3[[#This Row],[Home]],$A$6:$B$38,2,FALSE)-VLOOKUP(Table3[[#This Row],[Visitor]],$A$6:$B$38,2,FALSE)</f>
        <v>0.49202452138404423</v>
      </c>
      <c r="J107">
        <f>(Table3[[#This Row],[HomeMargin]]-Table3[[#This Row],[HomeForecast]])^2</f>
        <v>0.2580390868751094</v>
      </c>
    </row>
    <row r="108" spans="4:10" x14ac:dyDescent="0.2">
      <c r="D108" t="s">
        <v>17</v>
      </c>
      <c r="E108">
        <f>'NHL2025-26Results'!C103</f>
        <v>3</v>
      </c>
      <c r="F108" t="s">
        <v>36</v>
      </c>
      <c r="G108">
        <f>'NHL2025-26Results'!E103</f>
        <v>2</v>
      </c>
      <c r="H108">
        <f>Table3[[#This Row],[G_1]]-Table3[[#This Row],[G]]</f>
        <v>-1</v>
      </c>
      <c r="I108">
        <f>HomeEdge+VLOOKUP(Table3[[#This Row],[Home]],$A$6:$B$38,2,FALSE)-VLOOKUP(Table3[[#This Row],[Visitor]],$A$6:$B$38,2,FALSE)</f>
        <v>0.37586087530405271</v>
      </c>
      <c r="J108">
        <f>(Table3[[#This Row],[HomeMargin]]-Table3[[#This Row],[HomeForecast]])^2</f>
        <v>1.892993148192434</v>
      </c>
    </row>
    <row r="109" spans="4:10" x14ac:dyDescent="0.2">
      <c r="D109" t="s">
        <v>38</v>
      </c>
      <c r="E109">
        <f>'NHL2025-26Results'!C104</f>
        <v>1</v>
      </c>
      <c r="F109" t="s">
        <v>14</v>
      </c>
      <c r="G109">
        <f>'NHL2025-26Results'!E104</f>
        <v>5</v>
      </c>
      <c r="H109">
        <f>Table3[[#This Row],[G_1]]-Table3[[#This Row],[G]]</f>
        <v>4</v>
      </c>
      <c r="I109">
        <f>HomeEdge+VLOOKUP(Table3[[#This Row],[Home]],$A$6:$B$38,2,FALSE)-VLOOKUP(Table3[[#This Row],[Visitor]],$A$6:$B$38,2,FALSE)</f>
        <v>1.1156720526845558</v>
      </c>
      <c r="J109">
        <f>(Table3[[#This Row],[HomeMargin]]-Table3[[#This Row],[HomeForecast]])^2</f>
        <v>8.3193477076649245</v>
      </c>
    </row>
    <row r="110" spans="4:10" x14ac:dyDescent="0.2">
      <c r="D110" t="s">
        <v>13</v>
      </c>
      <c r="E110">
        <f>'NHL2025-26Results'!C105</f>
        <v>2</v>
      </c>
      <c r="F110" t="s">
        <v>35</v>
      </c>
      <c r="G110">
        <f>'NHL2025-26Results'!E105</f>
        <v>1</v>
      </c>
      <c r="H110">
        <f>Table3[[#This Row],[G_1]]-Table3[[#This Row],[G]]</f>
        <v>-1</v>
      </c>
      <c r="I110">
        <f>HomeEdge+VLOOKUP(Table3[[#This Row],[Home]],$A$6:$B$38,2,FALSE)-VLOOKUP(Table3[[#This Row],[Visitor]],$A$6:$B$38,2,FALSE)</f>
        <v>-1.3831254060767884</v>
      </c>
      <c r="J110">
        <f>(Table3[[#This Row],[HomeMargin]]-Table3[[#This Row],[HomeForecast]])^2</f>
        <v>0.14678507678150399</v>
      </c>
    </row>
    <row r="111" spans="4:10" x14ac:dyDescent="0.2">
      <c r="D111" t="s">
        <v>24</v>
      </c>
      <c r="E111">
        <f>'NHL2025-26Results'!C106</f>
        <v>5</v>
      </c>
      <c r="F111" t="s">
        <v>19</v>
      </c>
      <c r="G111">
        <f>'NHL2025-26Results'!E106</f>
        <v>2</v>
      </c>
      <c r="H111">
        <f>Table3[[#This Row],[G_1]]-Table3[[#This Row],[G]]</f>
        <v>-3</v>
      </c>
      <c r="I111">
        <f>HomeEdge+VLOOKUP(Table3[[#This Row],[Home]],$A$6:$B$38,2,FALSE)-VLOOKUP(Table3[[#This Row],[Visitor]],$A$6:$B$38,2,FALSE)</f>
        <v>-1.0324343971896157</v>
      </c>
      <c r="J111">
        <f>(Table3[[#This Row],[HomeMargin]]-Table3[[#This Row],[HomeForecast]])^2</f>
        <v>3.8713144013625911</v>
      </c>
    </row>
    <row r="112" spans="4:10" x14ac:dyDescent="0.2">
      <c r="D112" t="s">
        <v>12</v>
      </c>
      <c r="E112">
        <f>'NHL2025-26Results'!C107</f>
        <v>3</v>
      </c>
      <c r="F112" t="s">
        <v>55</v>
      </c>
      <c r="G112">
        <f>'NHL2025-26Results'!E107</f>
        <v>4</v>
      </c>
      <c r="H112">
        <f>Table3[[#This Row],[G_1]]-Table3[[#This Row],[G]]</f>
        <v>1</v>
      </c>
      <c r="I112">
        <f>HomeEdge+VLOOKUP(Table3[[#This Row],[Home]],$A$6:$B$38,2,FALSE)-VLOOKUP(Table3[[#This Row],[Visitor]],$A$6:$B$38,2,FALSE)</f>
        <v>-1.5070521690351766</v>
      </c>
      <c r="J112">
        <f>(Table3[[#This Row],[HomeMargin]]-Table3[[#This Row],[HomeForecast]])^2</f>
        <v>6.2853105782639851</v>
      </c>
    </row>
    <row r="113" spans="4:10" x14ac:dyDescent="0.2">
      <c r="D113" t="s">
        <v>32</v>
      </c>
      <c r="E113">
        <f>'NHL2025-26Results'!C108</f>
        <v>1</v>
      </c>
      <c r="F113" t="s">
        <v>22</v>
      </c>
      <c r="G113">
        <f>'NHL2025-26Results'!E108</f>
        <v>4</v>
      </c>
      <c r="H113">
        <f>Table3[[#This Row],[G_1]]-Table3[[#This Row],[G]]</f>
        <v>3</v>
      </c>
      <c r="I113">
        <f>HomeEdge+VLOOKUP(Table3[[#This Row],[Home]],$A$6:$B$38,2,FALSE)-VLOOKUP(Table3[[#This Row],[Visitor]],$A$6:$B$38,2,FALSE)</f>
        <v>0.46262477935397672</v>
      </c>
      <c r="J113">
        <f>(Table3[[#This Row],[HomeMargin]]-Table3[[#This Row],[HomeForecast]])^2</f>
        <v>6.4382730103484551</v>
      </c>
    </row>
    <row r="114" spans="4:10" x14ac:dyDescent="0.2">
      <c r="D114" t="s">
        <v>26</v>
      </c>
      <c r="E114">
        <f>'NHL2025-26Results'!C109</f>
        <v>2</v>
      </c>
      <c r="F114" t="s">
        <v>23</v>
      </c>
      <c r="G114">
        <f>'NHL2025-26Results'!E109</f>
        <v>4</v>
      </c>
      <c r="H114">
        <f>Table3[[#This Row],[G_1]]-Table3[[#This Row],[G]]</f>
        <v>2</v>
      </c>
      <c r="I114">
        <f>HomeEdge+VLOOKUP(Table3[[#This Row],[Home]],$A$6:$B$38,2,FALSE)-VLOOKUP(Table3[[#This Row],[Visitor]],$A$6:$B$38,2,FALSE)</f>
        <v>-0.1921250934682005</v>
      </c>
      <c r="J114">
        <f>(Table3[[#This Row],[HomeMargin]]-Table3[[#This Row],[HomeForecast]])^2</f>
        <v>4.8054124254129675</v>
      </c>
    </row>
    <row r="115" spans="4:10" x14ac:dyDescent="0.2">
      <c r="D115" t="s">
        <v>18</v>
      </c>
      <c r="E115">
        <f>'NHL2025-26Results'!C110</f>
        <v>2</v>
      </c>
      <c r="F115" t="s">
        <v>16</v>
      </c>
      <c r="G115">
        <f>'NHL2025-26Results'!E110</f>
        <v>1</v>
      </c>
      <c r="H115">
        <f>Table3[[#This Row],[G_1]]-Table3[[#This Row],[G]]</f>
        <v>-1</v>
      </c>
      <c r="I115">
        <f>HomeEdge+VLOOKUP(Table3[[#This Row],[Home]],$A$6:$B$38,2,FALSE)-VLOOKUP(Table3[[#This Row],[Visitor]],$A$6:$B$38,2,FALSE)</f>
        <v>-0.70341884059873205</v>
      </c>
      <c r="J115">
        <f>(Table3[[#This Row],[HomeMargin]]-Table3[[#This Row],[HomeForecast]])^2</f>
        <v>8.7960384111800308E-2</v>
      </c>
    </row>
    <row r="116" spans="4:10" x14ac:dyDescent="0.2">
      <c r="D116" t="s">
        <v>34</v>
      </c>
      <c r="E116">
        <f>'NHL2025-26Results'!C111</f>
        <v>1</v>
      </c>
      <c r="F116" t="s">
        <v>24</v>
      </c>
      <c r="G116">
        <f>'NHL2025-26Results'!E111</f>
        <v>4</v>
      </c>
      <c r="H116">
        <f>Table3[[#This Row],[G_1]]-Table3[[#This Row],[G]]</f>
        <v>3</v>
      </c>
      <c r="I116">
        <f>HomeEdge+VLOOKUP(Table3[[#This Row],[Home]],$A$6:$B$38,2,FALSE)-VLOOKUP(Table3[[#This Row],[Visitor]],$A$6:$B$38,2,FALSE)</f>
        <v>1.2585164814419258</v>
      </c>
      <c r="J116">
        <f>(Table3[[#This Row],[HomeMargin]]-Table3[[#This Row],[HomeForecast]])^2</f>
        <v>3.0327648454094103</v>
      </c>
    </row>
    <row r="117" spans="4:10" x14ac:dyDescent="0.2">
      <c r="D117" t="s">
        <v>31</v>
      </c>
      <c r="E117">
        <f>'NHL2025-26Results'!C112</f>
        <v>7</v>
      </c>
      <c r="F117" t="s">
        <v>21</v>
      </c>
      <c r="G117">
        <f>'NHL2025-26Results'!E112</f>
        <v>5</v>
      </c>
      <c r="H117">
        <f>Table3[[#This Row],[G_1]]-Table3[[#This Row],[G]]</f>
        <v>-2</v>
      </c>
      <c r="I117">
        <f>HomeEdge+VLOOKUP(Table3[[#This Row],[Home]],$A$6:$B$38,2,FALSE)-VLOOKUP(Table3[[#This Row],[Visitor]],$A$6:$B$38,2,FALSE)</f>
        <v>-0.31489173447464569</v>
      </c>
      <c r="J117">
        <f>(Table3[[#This Row],[HomeMargin]]-Table3[[#This Row],[HomeForecast]])^2</f>
        <v>2.8395898665418677</v>
      </c>
    </row>
    <row r="118" spans="4:10" x14ac:dyDescent="0.2">
      <c r="D118" t="s">
        <v>25</v>
      </c>
      <c r="E118">
        <f>'NHL2025-26Results'!C113</f>
        <v>5</v>
      </c>
      <c r="F118" t="s">
        <v>12</v>
      </c>
      <c r="G118">
        <f>'NHL2025-26Results'!E113</f>
        <v>4</v>
      </c>
      <c r="H118">
        <f>Table3[[#This Row],[G_1]]-Table3[[#This Row],[G]]</f>
        <v>-1</v>
      </c>
      <c r="I118">
        <f>HomeEdge+VLOOKUP(Table3[[#This Row],[Home]],$A$6:$B$38,2,FALSE)-VLOOKUP(Table3[[#This Row],[Visitor]],$A$6:$B$38,2,FALSE)</f>
        <v>1.0381344563876169</v>
      </c>
      <c r="J118">
        <f>(Table3[[#This Row],[HomeMargin]]-Table3[[#This Row],[HomeForecast]])^2</f>
        <v>4.1539920623144466</v>
      </c>
    </row>
    <row r="119" spans="4:10" x14ac:dyDescent="0.2">
      <c r="D119" t="s">
        <v>13</v>
      </c>
      <c r="E119">
        <f>'NHL2025-26Results'!C114</f>
        <v>3</v>
      </c>
      <c r="F119" t="s">
        <v>39</v>
      </c>
      <c r="G119">
        <f>'NHL2025-26Results'!E114</f>
        <v>2</v>
      </c>
      <c r="H119">
        <f>Table3[[#This Row],[G_1]]-Table3[[#This Row],[G]]</f>
        <v>-1</v>
      </c>
      <c r="I119">
        <f>HomeEdge+VLOOKUP(Table3[[#This Row],[Home]],$A$6:$B$38,2,FALSE)-VLOOKUP(Table3[[#This Row],[Visitor]],$A$6:$B$38,2,FALSE)</f>
        <v>0.4361273585735852</v>
      </c>
      <c r="J119">
        <f>(Table3[[#This Row],[HomeMargin]]-Table3[[#This Row],[HomeForecast]])^2</f>
        <v>2.0624617900435429</v>
      </c>
    </row>
    <row r="120" spans="4:10" x14ac:dyDescent="0.2">
      <c r="D120" t="s">
        <v>18</v>
      </c>
      <c r="E120">
        <f>'NHL2025-26Results'!C115</f>
        <v>5</v>
      </c>
      <c r="F120" t="s">
        <v>17</v>
      </c>
      <c r="G120">
        <f>'NHL2025-26Results'!E115</f>
        <v>6</v>
      </c>
      <c r="H120">
        <f>Table3[[#This Row],[G_1]]-Table3[[#This Row],[G]]</f>
        <v>1</v>
      </c>
      <c r="I120">
        <f>HomeEdge+VLOOKUP(Table3[[#This Row],[Home]],$A$6:$B$38,2,FALSE)-VLOOKUP(Table3[[#This Row],[Visitor]],$A$6:$B$38,2,FALSE)</f>
        <v>6.7141530305157904E-2</v>
      </c>
      <c r="J120">
        <f>(Table3[[#This Row],[HomeMargin]]-Table3[[#This Row],[HomeForecast]])^2</f>
        <v>0.87022492448140265</v>
      </c>
    </row>
    <row r="121" spans="4:10" x14ac:dyDescent="0.2">
      <c r="D121" t="s">
        <v>14</v>
      </c>
      <c r="E121">
        <f>'NHL2025-26Results'!C116</f>
        <v>5</v>
      </c>
      <c r="F121" t="s">
        <v>11</v>
      </c>
      <c r="G121">
        <f>'NHL2025-26Results'!E116</f>
        <v>3</v>
      </c>
      <c r="H121">
        <f>Table3[[#This Row],[G_1]]-Table3[[#This Row],[G]]</f>
        <v>-2</v>
      </c>
      <c r="I121">
        <f>HomeEdge+VLOOKUP(Table3[[#This Row],[Home]],$A$6:$B$38,2,FALSE)-VLOOKUP(Table3[[#This Row],[Visitor]],$A$6:$B$38,2,FALSE)</f>
        <v>-0.38137784119788021</v>
      </c>
      <c r="J121">
        <f>(Table3[[#This Row],[HomeMargin]]-Table3[[#This Row],[HomeForecast]])^2</f>
        <v>2.6199376929652343</v>
      </c>
    </row>
    <row r="122" spans="4:10" x14ac:dyDescent="0.2">
      <c r="D122" t="s">
        <v>38</v>
      </c>
      <c r="E122">
        <f>'NHL2025-26Results'!C117</f>
        <v>1</v>
      </c>
      <c r="F122" t="s">
        <v>29</v>
      </c>
      <c r="G122">
        <f>'NHL2025-26Results'!E117</f>
        <v>2</v>
      </c>
      <c r="H122">
        <f>Table3[[#This Row],[G_1]]-Table3[[#This Row],[G]]</f>
        <v>1</v>
      </c>
      <c r="I122">
        <f>HomeEdge+VLOOKUP(Table3[[#This Row],[Home]],$A$6:$B$38,2,FALSE)-VLOOKUP(Table3[[#This Row],[Visitor]],$A$6:$B$38,2,FALSE)</f>
        <v>-0.49884392995026194</v>
      </c>
      <c r="J122">
        <f>(Table3[[#This Row],[HomeMargin]]-Table3[[#This Row],[HomeForecast]])^2</f>
        <v>2.246533126348746</v>
      </c>
    </row>
    <row r="123" spans="4:10" x14ac:dyDescent="0.2">
      <c r="D123" t="s">
        <v>26</v>
      </c>
      <c r="E123">
        <f>'NHL2025-26Results'!C118</f>
        <v>2</v>
      </c>
      <c r="F123" t="s">
        <v>30</v>
      </c>
      <c r="G123">
        <f>'NHL2025-26Results'!E118</f>
        <v>7</v>
      </c>
      <c r="H123">
        <f>Table3[[#This Row],[G_1]]-Table3[[#This Row],[G]]</f>
        <v>5</v>
      </c>
      <c r="I123">
        <f>HomeEdge+VLOOKUP(Table3[[#This Row],[Home]],$A$6:$B$38,2,FALSE)-VLOOKUP(Table3[[#This Row],[Visitor]],$A$6:$B$38,2,FALSE)</f>
        <v>0.61148658196361738</v>
      </c>
      <c r="J123">
        <f>(Table3[[#This Row],[HomeMargin]]-Table3[[#This Row],[HomeForecast]])^2</f>
        <v>19.259050020285375</v>
      </c>
    </row>
    <row r="124" spans="4:10" x14ac:dyDescent="0.2">
      <c r="D124" t="s">
        <v>33</v>
      </c>
      <c r="E124">
        <f>'NHL2025-26Results'!C119</f>
        <v>6</v>
      </c>
      <c r="F124" t="s">
        <v>15</v>
      </c>
      <c r="G124">
        <f>'NHL2025-26Results'!E119</f>
        <v>5</v>
      </c>
      <c r="H124">
        <f>Table3[[#This Row],[G_1]]-Table3[[#This Row],[G]]</f>
        <v>-1</v>
      </c>
      <c r="I124">
        <f>HomeEdge+VLOOKUP(Table3[[#This Row],[Home]],$A$6:$B$38,2,FALSE)-VLOOKUP(Table3[[#This Row],[Visitor]],$A$6:$B$38,2,FALSE)</f>
        <v>0.24955742917201323</v>
      </c>
      <c r="J124">
        <f>(Table3[[#This Row],[HomeMargin]]-Table3[[#This Row],[HomeForecast]])^2</f>
        <v>1.561393768798971</v>
      </c>
    </row>
    <row r="125" spans="4:10" x14ac:dyDescent="0.2">
      <c r="D125" t="s">
        <v>27</v>
      </c>
      <c r="E125">
        <f>'NHL2025-26Results'!C120</f>
        <v>1</v>
      </c>
      <c r="F125" t="s">
        <v>36</v>
      </c>
      <c r="G125">
        <f>'NHL2025-26Results'!E120</f>
        <v>2</v>
      </c>
      <c r="H125">
        <f>Table3[[#This Row],[G_1]]-Table3[[#This Row],[G]]</f>
        <v>1</v>
      </c>
      <c r="I125">
        <f>HomeEdge+VLOOKUP(Table3[[#This Row],[Home]],$A$6:$B$38,2,FALSE)-VLOOKUP(Table3[[#This Row],[Visitor]],$A$6:$B$38,2,FALSE)</f>
        <v>0.26963873890278606</v>
      </c>
      <c r="J125">
        <f>(Table3[[#This Row],[HomeMargin]]-Table3[[#This Row],[HomeForecast]])^2</f>
        <v>0.53342757171151267</v>
      </c>
    </row>
    <row r="126" spans="4:10" x14ac:dyDescent="0.2">
      <c r="D126" t="s">
        <v>55</v>
      </c>
      <c r="E126">
        <f>'NHL2025-26Results'!C121</f>
        <v>7</v>
      </c>
      <c r="F126" t="s">
        <v>35</v>
      </c>
      <c r="G126">
        <f>'NHL2025-26Results'!E121</f>
        <v>4</v>
      </c>
      <c r="H126">
        <f>Table3[[#This Row],[G_1]]-Table3[[#This Row],[G]]</f>
        <v>-3</v>
      </c>
      <c r="I126">
        <f>HomeEdge+VLOOKUP(Table3[[#This Row],[Home]],$A$6:$B$38,2,FALSE)-VLOOKUP(Table3[[#This Row],[Visitor]],$A$6:$B$38,2,FALSE)</f>
        <v>-1.336461994827264</v>
      </c>
      <c r="J126">
        <f>(Table3[[#This Row],[HomeMargin]]-Table3[[#This Row],[HomeForecast]])^2</f>
        <v>2.7673586946540856</v>
      </c>
    </row>
    <row r="127" spans="4:10" x14ac:dyDescent="0.2">
      <c r="D127" t="s">
        <v>10</v>
      </c>
      <c r="E127">
        <f>'NHL2025-26Results'!C122</f>
        <v>3</v>
      </c>
      <c r="F127" t="s">
        <v>37</v>
      </c>
      <c r="G127">
        <f>'NHL2025-26Results'!E122</f>
        <v>2</v>
      </c>
      <c r="H127">
        <f>Table3[[#This Row],[G_1]]-Table3[[#This Row],[G]]</f>
        <v>-1</v>
      </c>
      <c r="I127">
        <f>HomeEdge+VLOOKUP(Table3[[#This Row],[Home]],$A$6:$B$38,2,FALSE)-VLOOKUP(Table3[[#This Row],[Visitor]],$A$6:$B$38,2,FALSE)</f>
        <v>-0.25623183735211724</v>
      </c>
      <c r="J127">
        <f>(Table3[[#This Row],[HomeMargin]]-Table3[[#This Row],[HomeForecast]])^2</f>
        <v>0.55319107976860726</v>
      </c>
    </row>
    <row r="128" spans="4:10" x14ac:dyDescent="0.2">
      <c r="D128" t="s">
        <v>32</v>
      </c>
      <c r="E128">
        <f>'NHL2025-26Results'!C123</f>
        <v>3</v>
      </c>
      <c r="F128" t="s">
        <v>40</v>
      </c>
      <c r="G128">
        <f>'NHL2025-26Results'!E123</f>
        <v>0</v>
      </c>
      <c r="H128">
        <f>Table3[[#This Row],[G_1]]-Table3[[#This Row],[G]]</f>
        <v>-3</v>
      </c>
      <c r="I128">
        <f>HomeEdge+VLOOKUP(Table3[[#This Row],[Home]],$A$6:$B$38,2,FALSE)-VLOOKUP(Table3[[#This Row],[Visitor]],$A$6:$B$38,2,FALSE)</f>
        <v>0.62903887721052643</v>
      </c>
      <c r="J128">
        <f>(Table3[[#This Row],[HomeMargin]]-Table3[[#This Row],[HomeForecast]])^2</f>
        <v>13.169923172305438</v>
      </c>
    </row>
    <row r="129" spans="4:10" x14ac:dyDescent="0.2">
      <c r="D129" t="s">
        <v>19</v>
      </c>
      <c r="E129">
        <f>'NHL2025-26Results'!C124</f>
        <v>3</v>
      </c>
      <c r="F129" t="s">
        <v>23</v>
      </c>
      <c r="G129">
        <f>'NHL2025-26Results'!E124</f>
        <v>5</v>
      </c>
      <c r="H129">
        <f>Table3[[#This Row],[G_1]]-Table3[[#This Row],[G]]</f>
        <v>2</v>
      </c>
      <c r="I129">
        <f>HomeEdge+VLOOKUP(Table3[[#This Row],[Home]],$A$6:$B$38,2,FALSE)-VLOOKUP(Table3[[#This Row],[Visitor]],$A$6:$B$38,2,FALSE)</f>
        <v>-7.0203383109877504E-2</v>
      </c>
      <c r="J129">
        <f>(Table3[[#This Row],[HomeMargin]]-Table3[[#This Row],[HomeForecast]])^2</f>
        <v>4.285742047439582</v>
      </c>
    </row>
    <row r="130" spans="4:10" x14ac:dyDescent="0.2">
      <c r="D130" t="s">
        <v>22</v>
      </c>
      <c r="E130">
        <f>'NHL2025-26Results'!C125</f>
        <v>5</v>
      </c>
      <c r="F130" t="s">
        <v>28</v>
      </c>
      <c r="G130">
        <f>'NHL2025-26Results'!E125</f>
        <v>1</v>
      </c>
      <c r="H130">
        <f>Table3[[#This Row],[G_1]]-Table3[[#This Row],[G]]</f>
        <v>-4</v>
      </c>
      <c r="I130">
        <f>HomeEdge+VLOOKUP(Table3[[#This Row],[Home]],$A$6:$B$38,2,FALSE)-VLOOKUP(Table3[[#This Row],[Visitor]],$A$6:$B$38,2,FALSE)</f>
        <v>-0.18434164166397968</v>
      </c>
      <c r="J130">
        <f>(Table3[[#This Row],[HomeMargin]]-Table3[[#This Row],[HomeForecast]])^2</f>
        <v>14.559248707539535</v>
      </c>
    </row>
    <row r="131" spans="4:10" x14ac:dyDescent="0.2">
      <c r="D131" t="s">
        <v>33</v>
      </c>
      <c r="E131">
        <f>'NHL2025-26Results'!C126</f>
        <v>1</v>
      </c>
      <c r="F131" t="s">
        <v>24</v>
      </c>
      <c r="G131">
        <f>'NHL2025-26Results'!E126</f>
        <v>3</v>
      </c>
      <c r="H131">
        <f>Table3[[#This Row],[G_1]]-Table3[[#This Row],[G]]</f>
        <v>2</v>
      </c>
      <c r="I131">
        <f>HomeEdge+VLOOKUP(Table3[[#This Row],[Home]],$A$6:$B$38,2,FALSE)-VLOOKUP(Table3[[#This Row],[Visitor]],$A$6:$B$38,2,FALSE)</f>
        <v>1.1161952455763562</v>
      </c>
      <c r="J131">
        <f>(Table3[[#This Row],[HomeMargin]]-Table3[[#This Row],[HomeForecast]])^2</f>
        <v>0.78111084394183738</v>
      </c>
    </row>
    <row r="132" spans="4:10" x14ac:dyDescent="0.2">
      <c r="D132" t="s">
        <v>16</v>
      </c>
      <c r="E132">
        <f>'NHL2025-26Results'!C127</f>
        <v>3</v>
      </c>
      <c r="F132" t="s">
        <v>40</v>
      </c>
      <c r="G132">
        <f>'NHL2025-26Results'!E127</f>
        <v>5</v>
      </c>
      <c r="H132">
        <f>Table3[[#This Row],[G_1]]-Table3[[#This Row],[G]]</f>
        <v>2</v>
      </c>
      <c r="I132">
        <f>HomeEdge+VLOOKUP(Table3[[#This Row],[Home]],$A$6:$B$38,2,FALSE)-VLOOKUP(Table3[[#This Row],[Visitor]],$A$6:$B$38,2,FALSE)</f>
        <v>1.6580459803116163</v>
      </c>
      <c r="J132">
        <f>(Table3[[#This Row],[HomeMargin]]-Table3[[#This Row],[HomeForecast]])^2</f>
        <v>0.1169325515810435</v>
      </c>
    </row>
    <row r="133" spans="4:10" x14ac:dyDescent="0.2">
      <c r="D133" t="s">
        <v>12</v>
      </c>
      <c r="E133">
        <f>'NHL2025-26Results'!C128</f>
        <v>2</v>
      </c>
      <c r="F133" t="s">
        <v>21</v>
      </c>
      <c r="G133">
        <f>'NHL2025-26Results'!E128</f>
        <v>3</v>
      </c>
      <c r="H133">
        <f>Table3[[#This Row],[G_1]]-Table3[[#This Row],[G]]</f>
        <v>1</v>
      </c>
      <c r="I133">
        <f>HomeEdge+VLOOKUP(Table3[[#This Row],[Home]],$A$6:$B$38,2,FALSE)-VLOOKUP(Table3[[#This Row],[Visitor]],$A$6:$B$38,2,FALSE)</f>
        <v>-1.3446376303380945</v>
      </c>
      <c r="J133">
        <f>(Table3[[#This Row],[HomeMargin]]-Table3[[#This Row],[HomeForecast]])^2</f>
        <v>5.4973256175974337</v>
      </c>
    </row>
    <row r="134" spans="4:10" x14ac:dyDescent="0.2">
      <c r="D134" t="s">
        <v>25</v>
      </c>
      <c r="E134">
        <f>'NHL2025-26Results'!C129</f>
        <v>2</v>
      </c>
      <c r="F134" t="s">
        <v>39</v>
      </c>
      <c r="G134">
        <f>'NHL2025-26Results'!E129</f>
        <v>3</v>
      </c>
      <c r="H134">
        <f>Table3[[#This Row],[G_1]]-Table3[[#This Row],[G]]</f>
        <v>1</v>
      </c>
      <c r="I134">
        <f>HomeEdge+VLOOKUP(Table3[[#This Row],[Home]],$A$6:$B$38,2,FALSE)-VLOOKUP(Table3[[#This Row],[Visitor]],$A$6:$B$38,2,FALSE)</f>
        <v>-0.31127156214908674</v>
      </c>
      <c r="J134">
        <f>(Table3[[#This Row],[HomeMargin]]-Table3[[#This Row],[HomeForecast]])^2</f>
        <v>1.7194331097009061</v>
      </c>
    </row>
    <row r="135" spans="4:10" x14ac:dyDescent="0.2">
      <c r="D135" t="s">
        <v>35</v>
      </c>
      <c r="E135">
        <f>'NHL2025-26Results'!C130</f>
        <v>4</v>
      </c>
      <c r="F135" t="s">
        <v>26</v>
      </c>
      <c r="G135">
        <f>'NHL2025-26Results'!E130</f>
        <v>6</v>
      </c>
      <c r="H135">
        <f>Table3[[#This Row],[G_1]]-Table3[[#This Row],[G]]</f>
        <v>2</v>
      </c>
      <c r="I135">
        <f>HomeEdge+VLOOKUP(Table3[[#This Row],[Home]],$A$6:$B$38,2,FALSE)-VLOOKUP(Table3[[#This Row],[Visitor]],$A$6:$B$38,2,FALSE)</f>
        <v>1.270085900580761</v>
      </c>
      <c r="J135">
        <f>(Table3[[#This Row],[HomeMargin]]-Table3[[#This Row],[HomeForecast]])^2</f>
        <v>0.53277459253099879</v>
      </c>
    </row>
    <row r="136" spans="4:10" x14ac:dyDescent="0.2">
      <c r="D136" t="s">
        <v>20</v>
      </c>
      <c r="E136">
        <f>'NHL2025-26Results'!C131</f>
        <v>0</v>
      </c>
      <c r="F136" t="s">
        <v>11</v>
      </c>
      <c r="G136">
        <f>'NHL2025-26Results'!E131</f>
        <v>3</v>
      </c>
      <c r="H136">
        <f>Table3[[#This Row],[G_1]]-Table3[[#This Row],[G]]</f>
        <v>3</v>
      </c>
      <c r="I136">
        <f>HomeEdge+VLOOKUP(Table3[[#This Row],[Home]],$A$6:$B$38,2,FALSE)-VLOOKUP(Table3[[#This Row],[Visitor]],$A$6:$B$38,2,FALSE)</f>
        <v>-0.1178494713589313</v>
      </c>
      <c r="J136">
        <f>(Table3[[#This Row],[HomeMargin]]-Table3[[#This Row],[HomeForecast]])^2</f>
        <v>9.7209853260531656</v>
      </c>
    </row>
    <row r="137" spans="4:10" x14ac:dyDescent="0.2">
      <c r="D137" t="s">
        <v>55</v>
      </c>
      <c r="E137">
        <f>'NHL2025-26Results'!C132</f>
        <v>6</v>
      </c>
      <c r="F137" t="s">
        <v>34</v>
      </c>
      <c r="G137">
        <f>'NHL2025-26Results'!E132</f>
        <v>2</v>
      </c>
      <c r="H137">
        <f>Table3[[#This Row],[G_1]]-Table3[[#This Row],[G]]</f>
        <v>-4</v>
      </c>
      <c r="I137">
        <f>HomeEdge+VLOOKUP(Table3[[#This Row],[Home]],$A$6:$B$38,2,FALSE)-VLOOKUP(Table3[[#This Row],[Visitor]],$A$6:$B$38,2,FALSE)</f>
        <v>-0.25180757919481789</v>
      </c>
      <c r="J137">
        <f>(Table3[[#This Row],[HomeMargin]]-Table3[[#This Row],[HomeForecast]])^2</f>
        <v>14.048946423381413</v>
      </c>
    </row>
    <row r="138" spans="4:10" x14ac:dyDescent="0.2">
      <c r="D138" t="s">
        <v>13</v>
      </c>
      <c r="E138">
        <f>'NHL2025-26Results'!C133</f>
        <v>4</v>
      </c>
      <c r="F138" t="s">
        <v>29</v>
      </c>
      <c r="G138">
        <f>'NHL2025-26Results'!E133</f>
        <v>5</v>
      </c>
      <c r="H138">
        <f>Table3[[#This Row],[G_1]]-Table3[[#This Row],[G]]</f>
        <v>1</v>
      </c>
      <c r="I138">
        <f>HomeEdge+VLOOKUP(Table3[[#This Row],[Home]],$A$6:$B$38,2,FALSE)-VLOOKUP(Table3[[#This Row],[Visitor]],$A$6:$B$38,2,FALSE)</f>
        <v>-1.1135930527447484</v>
      </c>
      <c r="J138">
        <f>(Table3[[#This Row],[HomeMargin]]-Table3[[#This Row],[HomeForecast]])^2</f>
        <v>4.4672755926108652</v>
      </c>
    </row>
    <row r="139" spans="4:10" x14ac:dyDescent="0.2">
      <c r="D139" t="s">
        <v>30</v>
      </c>
      <c r="E139">
        <f>'NHL2025-26Results'!C134</f>
        <v>3</v>
      </c>
      <c r="F139" t="s">
        <v>27</v>
      </c>
      <c r="G139">
        <f>'NHL2025-26Results'!E134</f>
        <v>4</v>
      </c>
      <c r="H139">
        <f>Table3[[#This Row],[G_1]]-Table3[[#This Row],[G]]</f>
        <v>1</v>
      </c>
      <c r="I139">
        <f>HomeEdge+VLOOKUP(Table3[[#This Row],[Home]],$A$6:$B$38,2,FALSE)-VLOOKUP(Table3[[#This Row],[Visitor]],$A$6:$B$38,2,FALSE)</f>
        <v>-0.28628403449369877</v>
      </c>
      <c r="J139">
        <f>(Table3[[#This Row],[HomeMargin]]-Table3[[#This Row],[HomeForecast]])^2</f>
        <v>1.6545266173933868</v>
      </c>
    </row>
    <row r="140" spans="4:10" x14ac:dyDescent="0.2">
      <c r="D140" t="s">
        <v>28</v>
      </c>
      <c r="E140">
        <f>'NHL2025-26Results'!C135</f>
        <v>5</v>
      </c>
      <c r="F140" t="s">
        <v>14</v>
      </c>
      <c r="G140">
        <f>'NHL2025-26Results'!E135</f>
        <v>4</v>
      </c>
      <c r="H140">
        <f>Table3[[#This Row],[G_1]]-Table3[[#This Row],[G]]</f>
        <v>-1</v>
      </c>
      <c r="I140">
        <f>HomeEdge+VLOOKUP(Table3[[#This Row],[Home]],$A$6:$B$38,2,FALSE)-VLOOKUP(Table3[[#This Row],[Visitor]],$A$6:$B$38,2,FALSE)</f>
        <v>0.83368601240415818</v>
      </c>
      <c r="J140">
        <f>(Table3[[#This Row],[HomeMargin]]-Table3[[#This Row],[HomeForecast]])^2</f>
        <v>3.3624043920866629</v>
      </c>
    </row>
    <row r="141" spans="4:10" x14ac:dyDescent="0.2">
      <c r="D141" t="s">
        <v>17</v>
      </c>
      <c r="E141">
        <f>'NHL2025-26Results'!C136</f>
        <v>2</v>
      </c>
      <c r="F141" t="s">
        <v>32</v>
      </c>
      <c r="G141">
        <f>'NHL2025-26Results'!E136</f>
        <v>3</v>
      </c>
      <c r="H141">
        <f>Table3[[#This Row],[G_1]]-Table3[[#This Row],[G]]</f>
        <v>1</v>
      </c>
      <c r="I141">
        <f>HomeEdge+VLOOKUP(Table3[[#This Row],[Home]],$A$6:$B$38,2,FALSE)-VLOOKUP(Table3[[#This Row],[Visitor]],$A$6:$B$38,2,FALSE)</f>
        <v>0.42101904185951822</v>
      </c>
      <c r="J141">
        <f>(Table3[[#This Row],[HomeMargin]]-Table3[[#This Row],[HomeForecast]])^2</f>
        <v>0.33521894988927031</v>
      </c>
    </row>
    <row r="142" spans="4:10" x14ac:dyDescent="0.2">
      <c r="D142" t="s">
        <v>31</v>
      </c>
      <c r="E142">
        <f>'NHL2025-26Results'!C137</f>
        <v>3</v>
      </c>
      <c r="F142" t="s">
        <v>37</v>
      </c>
      <c r="G142">
        <f>'NHL2025-26Results'!E137</f>
        <v>4</v>
      </c>
      <c r="H142">
        <f>Table3[[#This Row],[G_1]]-Table3[[#This Row],[G]]</f>
        <v>1</v>
      </c>
      <c r="I142">
        <f>HomeEdge+VLOOKUP(Table3[[#This Row],[Home]],$A$6:$B$38,2,FALSE)-VLOOKUP(Table3[[#This Row],[Visitor]],$A$6:$B$38,2,FALSE)</f>
        <v>-0.46827761229944354</v>
      </c>
      <c r="J142">
        <f>(Table3[[#This Row],[HomeMargin]]-Table3[[#This Row],[HomeForecast]])^2</f>
        <v>2.1558391467797553</v>
      </c>
    </row>
    <row r="143" spans="4:10" x14ac:dyDescent="0.2">
      <c r="D143" t="s">
        <v>23</v>
      </c>
      <c r="E143">
        <f>'NHL2025-26Results'!C138</f>
        <v>3</v>
      </c>
      <c r="F143" t="s">
        <v>19</v>
      </c>
      <c r="G143">
        <f>'NHL2025-26Results'!E138</f>
        <v>4</v>
      </c>
      <c r="H143">
        <f>Table3[[#This Row],[G_1]]-Table3[[#This Row],[G]]</f>
        <v>1</v>
      </c>
      <c r="I143">
        <f>HomeEdge+VLOOKUP(Table3[[#This Row],[Home]],$A$6:$B$38,2,FALSE)-VLOOKUP(Table3[[#This Row],[Visitor]],$A$6:$B$38,2,FALSE)</f>
        <v>0.39534800243451429</v>
      </c>
      <c r="J143">
        <f>(Table3[[#This Row],[HomeMargin]]-Table3[[#This Row],[HomeForecast]])^2</f>
        <v>0.36560403815993214</v>
      </c>
    </row>
    <row r="144" spans="4:10" x14ac:dyDescent="0.2">
      <c r="D144" t="s">
        <v>18</v>
      </c>
      <c r="E144">
        <f>'NHL2025-26Results'!C139</f>
        <v>4</v>
      </c>
      <c r="F144" t="s">
        <v>38</v>
      </c>
      <c r="G144">
        <f>'NHL2025-26Results'!E139</f>
        <v>3</v>
      </c>
      <c r="H144">
        <f>Table3[[#This Row],[G_1]]-Table3[[#This Row],[G]]</f>
        <v>-1</v>
      </c>
      <c r="I144">
        <f>HomeEdge+VLOOKUP(Table3[[#This Row],[Home]],$A$6:$B$38,2,FALSE)-VLOOKUP(Table3[[#This Row],[Visitor]],$A$6:$B$38,2,FALSE)</f>
        <v>-3.2592594126795715E-3</v>
      </c>
      <c r="J144">
        <f>(Table3[[#This Row],[HomeMargin]]-Table3[[#This Row],[HomeForecast]])^2</f>
        <v>0.99349210394655996</v>
      </c>
    </row>
    <row r="145" spans="4:10" x14ac:dyDescent="0.2">
      <c r="D145" t="s">
        <v>36</v>
      </c>
      <c r="E145">
        <f>'NHL2025-26Results'!C140</f>
        <v>7</v>
      </c>
      <c r="F145" t="s">
        <v>22</v>
      </c>
      <c r="G145">
        <f>'NHL2025-26Results'!E140</f>
        <v>1</v>
      </c>
      <c r="H145">
        <f>Table3[[#This Row],[G_1]]-Table3[[#This Row],[G]]</f>
        <v>-6</v>
      </c>
      <c r="I145">
        <f>HomeEdge+VLOOKUP(Table3[[#This Row],[Home]],$A$6:$B$38,2,FALSE)-VLOOKUP(Table3[[#This Row],[Visitor]],$A$6:$B$38,2,FALSE)</f>
        <v>0.50778294590944217</v>
      </c>
      <c r="J145">
        <f>(Table3[[#This Row],[HomeMargin]]-Table3[[#This Row],[HomeForecast]])^2</f>
        <v>42.351238871069775</v>
      </c>
    </row>
    <row r="146" spans="4:10" x14ac:dyDescent="0.2">
      <c r="D146" t="s">
        <v>15</v>
      </c>
      <c r="E146">
        <f>'NHL2025-26Results'!C141</f>
        <v>1</v>
      </c>
      <c r="F146" t="s">
        <v>16</v>
      </c>
      <c r="G146">
        <f>'NHL2025-26Results'!E141</f>
        <v>5</v>
      </c>
      <c r="H146">
        <f>Table3[[#This Row],[G_1]]-Table3[[#This Row],[G]]</f>
        <v>4</v>
      </c>
      <c r="I146">
        <f>HomeEdge+VLOOKUP(Table3[[#This Row],[Home]],$A$6:$B$38,2,FALSE)-VLOOKUP(Table3[[#This Row],[Visitor]],$A$6:$B$38,2,FALSE)</f>
        <v>-0.92059944958682438</v>
      </c>
      <c r="J146">
        <f>(Table3[[#This Row],[HomeMargin]]-Table3[[#This Row],[HomeForecast]])^2</f>
        <v>24.212298943274156</v>
      </c>
    </row>
    <row r="147" spans="4:10" x14ac:dyDescent="0.2">
      <c r="D147" t="s">
        <v>13</v>
      </c>
      <c r="E147">
        <f>'NHL2025-26Results'!C142</f>
        <v>3</v>
      </c>
      <c r="F147" t="s">
        <v>10</v>
      </c>
      <c r="G147">
        <f>'NHL2025-26Results'!E142</f>
        <v>1</v>
      </c>
      <c r="H147">
        <f>Table3[[#This Row],[G_1]]-Table3[[#This Row],[G]]</f>
        <v>-2</v>
      </c>
      <c r="I147">
        <f>HomeEdge+VLOOKUP(Table3[[#This Row],[Home]],$A$6:$B$38,2,FALSE)-VLOOKUP(Table3[[#This Row],[Visitor]],$A$6:$B$38,2,FALSE)</f>
        <v>0.5437417062995139</v>
      </c>
      <c r="J147">
        <f>(Table3[[#This Row],[HomeMargin]]-Table3[[#This Row],[HomeForecast]])^2</f>
        <v>6.4706218683675623</v>
      </c>
    </row>
    <row r="148" spans="4:10" x14ac:dyDescent="0.2">
      <c r="D148" t="s">
        <v>33</v>
      </c>
      <c r="E148">
        <f>'NHL2025-26Results'!C143</f>
        <v>6</v>
      </c>
      <c r="F148" t="s">
        <v>34</v>
      </c>
      <c r="G148">
        <f>'NHL2025-26Results'!E143</f>
        <v>5</v>
      </c>
      <c r="H148">
        <f>Table3[[#This Row],[G_1]]-Table3[[#This Row],[G]]</f>
        <v>-1</v>
      </c>
      <c r="I148">
        <f>HomeEdge+VLOOKUP(Table3[[#This Row],[Home]],$A$6:$B$38,2,FALSE)-VLOOKUP(Table3[[#This Row],[Visitor]],$A$6:$B$38,2,FALSE)</f>
        <v>2.0251073796748786E-2</v>
      </c>
      <c r="J148">
        <f>(Table3[[#This Row],[HomeMargin]]-Table3[[#This Row],[HomeForecast]])^2</f>
        <v>1.0409122535834188</v>
      </c>
    </row>
    <row r="149" spans="4:10" x14ac:dyDescent="0.2">
      <c r="D149" t="s">
        <v>12</v>
      </c>
      <c r="E149">
        <f>'NHL2025-26Results'!C144</f>
        <v>3</v>
      </c>
      <c r="F149" t="s">
        <v>24</v>
      </c>
      <c r="G149">
        <f>'NHL2025-26Results'!E144</f>
        <v>4</v>
      </c>
      <c r="H149">
        <f>Table3[[#This Row],[G_1]]-Table3[[#This Row],[G]]</f>
        <v>1</v>
      </c>
      <c r="I149">
        <f>HomeEdge+VLOOKUP(Table3[[#This Row],[Home]],$A$6:$B$38,2,FALSE)-VLOOKUP(Table3[[#This Row],[Visitor]],$A$6:$B$38,2,FALSE)</f>
        <v>-0.8254878861127054</v>
      </c>
      <c r="J149">
        <f>(Table3[[#This Row],[HomeMargin]]-Table3[[#This Row],[HomeForecast]])^2</f>
        <v>3.3324060223442333</v>
      </c>
    </row>
    <row r="150" spans="4:10" x14ac:dyDescent="0.2">
      <c r="D150" t="s">
        <v>39</v>
      </c>
      <c r="E150">
        <f>'NHL2025-26Results'!C145</f>
        <v>3</v>
      </c>
      <c r="F150" t="s">
        <v>29</v>
      </c>
      <c r="G150">
        <f>'NHL2025-26Results'!E145</f>
        <v>2</v>
      </c>
      <c r="H150">
        <f>Table3[[#This Row],[G_1]]-Table3[[#This Row],[G]]</f>
        <v>-1</v>
      </c>
      <c r="I150">
        <f>HomeEdge+VLOOKUP(Table3[[#This Row],[Home]],$A$6:$B$38,2,FALSE)-VLOOKUP(Table3[[#This Row],[Visitor]],$A$6:$B$38,2,FALSE)</f>
        <v>-1.3871481016560152</v>
      </c>
      <c r="J150">
        <f>(Table3[[#This Row],[HomeMargin]]-Table3[[#This Row],[HomeForecast]])^2</f>
        <v>0.14988365261585629</v>
      </c>
    </row>
    <row r="151" spans="4:10" x14ac:dyDescent="0.2">
      <c r="D151" t="s">
        <v>20</v>
      </c>
      <c r="E151">
        <f>'NHL2025-26Results'!C146</f>
        <v>1</v>
      </c>
      <c r="F151" t="s">
        <v>37</v>
      </c>
      <c r="G151">
        <f>'NHL2025-26Results'!E146</f>
        <v>2</v>
      </c>
      <c r="H151">
        <f>Table3[[#This Row],[G_1]]-Table3[[#This Row],[G]]</f>
        <v>1</v>
      </c>
      <c r="I151">
        <f>HomeEdge+VLOOKUP(Table3[[#This Row],[Home]],$A$6:$B$38,2,FALSE)-VLOOKUP(Table3[[#This Row],[Visitor]],$A$6:$B$38,2,FALSE)</f>
        <v>5.0115308896276356E-2</v>
      </c>
      <c r="J151">
        <f>(Table3[[#This Row],[HomeMargin]]-Table3[[#This Row],[HomeForecast]])^2</f>
        <v>0.90228092639321644</v>
      </c>
    </row>
    <row r="152" spans="4:10" x14ac:dyDescent="0.2">
      <c r="D152" t="s">
        <v>17</v>
      </c>
      <c r="E152">
        <f>'NHL2025-26Results'!C147</f>
        <v>3</v>
      </c>
      <c r="F152" t="s">
        <v>38</v>
      </c>
      <c r="G152">
        <f>'NHL2025-26Results'!E147</f>
        <v>4</v>
      </c>
      <c r="H152">
        <f>Table3[[#This Row],[G_1]]-Table3[[#This Row],[G]]</f>
        <v>1</v>
      </c>
      <c r="I152">
        <f>HomeEdge+VLOOKUP(Table3[[#This Row],[Home]],$A$6:$B$38,2,FALSE)-VLOOKUP(Table3[[#This Row],[Visitor]],$A$6:$B$38,2,FALSE)</f>
        <v>9.2171519944480917E-2</v>
      </c>
      <c r="J152">
        <f>(Table3[[#This Row],[HomeMargin]]-Table3[[#This Row],[HomeForecast]])^2</f>
        <v>0.82415254919991399</v>
      </c>
    </row>
    <row r="153" spans="4:10" x14ac:dyDescent="0.2">
      <c r="D153" t="s">
        <v>55</v>
      </c>
      <c r="E153">
        <f>'NHL2025-26Results'!C148</f>
        <v>3</v>
      </c>
      <c r="F153" t="s">
        <v>40</v>
      </c>
      <c r="G153">
        <f>'NHL2025-26Results'!E148</f>
        <v>2</v>
      </c>
      <c r="H153">
        <f>Table3[[#This Row],[G_1]]-Table3[[#This Row],[G]]</f>
        <v>-1</v>
      </c>
      <c r="I153">
        <f>HomeEdge+VLOOKUP(Table3[[#This Row],[Home]],$A$6:$B$38,2,FALSE)-VLOOKUP(Table3[[#This Row],[Visitor]],$A$6:$B$38,2,FALSE)</f>
        <v>0.3898006875806016</v>
      </c>
      <c r="J153">
        <f>(Table3[[#This Row],[HomeMargin]]-Table3[[#This Row],[HomeForecast]])^2</f>
        <v>1.9315459511995128</v>
      </c>
    </row>
    <row r="154" spans="4:10" x14ac:dyDescent="0.2">
      <c r="D154" t="s">
        <v>21</v>
      </c>
      <c r="E154">
        <f>'NHL2025-26Results'!C149</f>
        <v>2</v>
      </c>
      <c r="F154" t="s">
        <v>36</v>
      </c>
      <c r="G154">
        <f>'NHL2025-26Results'!E149</f>
        <v>7</v>
      </c>
      <c r="H154">
        <f>Table3[[#This Row],[G_1]]-Table3[[#This Row],[G]]</f>
        <v>5</v>
      </c>
      <c r="I154">
        <f>HomeEdge+VLOOKUP(Table3[[#This Row],[Home]],$A$6:$B$38,2,FALSE)-VLOOKUP(Table3[[#This Row],[Visitor]],$A$6:$B$38,2,FALSE)</f>
        <v>-0.28423858522015405</v>
      </c>
      <c r="J154">
        <f>(Table3[[#This Row],[HomeMargin]]-Table3[[#This Row],[HomeForecast]])^2</f>
        <v>27.923177425529499</v>
      </c>
    </row>
    <row r="155" spans="4:10" x14ac:dyDescent="0.2">
      <c r="D155" t="s">
        <v>35</v>
      </c>
      <c r="E155">
        <f>'NHL2025-26Results'!C150</f>
        <v>3</v>
      </c>
      <c r="F155" t="s">
        <v>14</v>
      </c>
      <c r="G155">
        <f>'NHL2025-26Results'!E150</f>
        <v>6</v>
      </c>
      <c r="H155">
        <f>Table3[[#This Row],[G_1]]-Table3[[#This Row],[G]]</f>
        <v>3</v>
      </c>
      <c r="I155">
        <f>HomeEdge+VLOOKUP(Table3[[#This Row],[Home]],$A$6:$B$38,2,FALSE)-VLOOKUP(Table3[[#This Row],[Visitor]],$A$6:$B$38,2,FALSE)</f>
        <v>2.0466206456291758</v>
      </c>
      <c r="J155">
        <f>(Table3[[#This Row],[HomeMargin]]-Table3[[#This Row],[HomeForecast]])^2</f>
        <v>0.90893219334052966</v>
      </c>
    </row>
    <row r="156" spans="4:10" x14ac:dyDescent="0.2">
      <c r="D156" t="s">
        <v>30</v>
      </c>
      <c r="E156">
        <f>'NHL2025-26Results'!C151</f>
        <v>2</v>
      </c>
      <c r="F156" t="s">
        <v>21</v>
      </c>
      <c r="G156">
        <f>'NHL2025-26Results'!E151</f>
        <v>5</v>
      </c>
      <c r="H156">
        <f>Table3[[#This Row],[G_1]]-Table3[[#This Row],[G]]</f>
        <v>3</v>
      </c>
      <c r="I156">
        <f>HomeEdge+VLOOKUP(Table3[[#This Row],[Home]],$A$6:$B$38,2,FALSE)-VLOOKUP(Table3[[#This Row],[Visitor]],$A$6:$B$38,2,FALSE)</f>
        <v>0.26759328962924134</v>
      </c>
      <c r="J156">
        <f>(Table3[[#This Row],[HomeMargin]]-Table3[[#This Row],[HomeForecast]])^2</f>
        <v>7.4660464308791514</v>
      </c>
    </row>
    <row r="157" spans="4:10" x14ac:dyDescent="0.2">
      <c r="D157" t="s">
        <v>28</v>
      </c>
      <c r="E157">
        <f>'NHL2025-26Results'!C152</f>
        <v>4</v>
      </c>
      <c r="F157" t="s">
        <v>23</v>
      </c>
      <c r="G157">
        <f>'NHL2025-26Results'!E152</f>
        <v>3</v>
      </c>
      <c r="H157">
        <f>Table3[[#This Row],[G_1]]-Table3[[#This Row],[G]]</f>
        <v>-1</v>
      </c>
      <c r="I157">
        <f>HomeEdge+VLOOKUP(Table3[[#This Row],[Home]],$A$6:$B$38,2,FALSE)-VLOOKUP(Table3[[#This Row],[Visitor]],$A$6:$B$38,2,FALSE)</f>
        <v>-0.29754613577477573</v>
      </c>
      <c r="J157">
        <f>(Table3[[#This Row],[HomeMargin]]-Table3[[#This Row],[HomeForecast]])^2</f>
        <v>0.49344143136494983</v>
      </c>
    </row>
    <row r="158" spans="4:10" x14ac:dyDescent="0.2">
      <c r="D158" t="s">
        <v>20</v>
      </c>
      <c r="E158">
        <f>'NHL2025-26Results'!C153</f>
        <v>6</v>
      </c>
      <c r="F158" t="s">
        <v>25</v>
      </c>
      <c r="G158">
        <f>'NHL2025-26Results'!E153</f>
        <v>3</v>
      </c>
      <c r="H158">
        <f>Table3[[#This Row],[G_1]]-Table3[[#This Row],[G]]</f>
        <v>-3</v>
      </c>
      <c r="I158">
        <f>HomeEdge+VLOOKUP(Table3[[#This Row],[Home]],$A$6:$B$38,2,FALSE)-VLOOKUP(Table3[[#This Row],[Visitor]],$A$6:$B$38,2,FALSE)</f>
        <v>0.83514897999618842</v>
      </c>
      <c r="J158">
        <f>(Table3[[#This Row],[HomeMargin]]-Table3[[#This Row],[HomeForecast]])^2</f>
        <v>14.708367698765805</v>
      </c>
    </row>
    <row r="159" spans="4:10" x14ac:dyDescent="0.2">
      <c r="D159" t="s">
        <v>36</v>
      </c>
      <c r="E159">
        <f>'NHL2025-26Results'!C154</f>
        <v>3</v>
      </c>
      <c r="F159" t="s">
        <v>10</v>
      </c>
      <c r="G159">
        <f>'NHL2025-26Results'!E154</f>
        <v>7</v>
      </c>
      <c r="H159">
        <f>Table3[[#This Row],[G_1]]-Table3[[#This Row],[G]]</f>
        <v>4</v>
      </c>
      <c r="I159">
        <f>HomeEdge+VLOOKUP(Table3[[#This Row],[Home]],$A$6:$B$38,2,FALSE)-VLOOKUP(Table3[[#This Row],[Visitor]],$A$6:$B$38,2,FALSE)</f>
        <v>0.87480147373442863</v>
      </c>
      <c r="J159">
        <f>(Table3[[#This Row],[HomeMargin]]-Table3[[#This Row],[HomeForecast]])^2</f>
        <v>9.7668658285724987</v>
      </c>
    </row>
    <row r="160" spans="4:10" x14ac:dyDescent="0.2">
      <c r="D160" t="s">
        <v>24</v>
      </c>
      <c r="E160">
        <f>'NHL2025-26Results'!C155</f>
        <v>4</v>
      </c>
      <c r="F160" t="s">
        <v>12</v>
      </c>
      <c r="G160">
        <f>'NHL2025-26Results'!E155</f>
        <v>8</v>
      </c>
      <c r="H160">
        <f>Table3[[#This Row],[G_1]]-Table3[[#This Row],[G]]</f>
        <v>4</v>
      </c>
      <c r="I160">
        <f>HomeEdge+VLOOKUP(Table3[[#This Row],[Home]],$A$6:$B$38,2,FALSE)-VLOOKUP(Table3[[#This Row],[Visitor]],$A$6:$B$38,2,FALSE)</f>
        <v>1.1506325054373421</v>
      </c>
      <c r="J160">
        <f>(Table3[[#This Row],[HomeMargin]]-Table3[[#This Row],[HomeForecast]])^2</f>
        <v>8.1188951190702792</v>
      </c>
    </row>
    <row r="161" spans="4:10" x14ac:dyDescent="0.2">
      <c r="D161" t="s">
        <v>22</v>
      </c>
      <c r="E161">
        <f>'NHL2025-26Results'!C156</f>
        <v>0</v>
      </c>
      <c r="F161" t="s">
        <v>39</v>
      </c>
      <c r="G161">
        <f>'NHL2025-26Results'!E156</f>
        <v>1</v>
      </c>
      <c r="H161">
        <f>Table3[[#This Row],[G_1]]-Table3[[#This Row],[G]]</f>
        <v>1</v>
      </c>
      <c r="I161">
        <f>HomeEdge+VLOOKUP(Table3[[#This Row],[Home]],$A$6:$B$38,2,FALSE)-VLOOKUP(Table3[[#This Row],[Visitor]],$A$6:$B$38,2,FALSE)</f>
        <v>0.42197648976137614</v>
      </c>
      <c r="J161">
        <f>(Table3[[#This Row],[HomeMargin]]-Table3[[#This Row],[HomeForecast]])^2</f>
        <v>0.33411117838858051</v>
      </c>
    </row>
    <row r="162" spans="4:10" x14ac:dyDescent="0.2">
      <c r="D162" t="s">
        <v>55</v>
      </c>
      <c r="E162">
        <f>'NHL2025-26Results'!C157</f>
        <v>3</v>
      </c>
      <c r="F162" t="s">
        <v>17</v>
      </c>
      <c r="G162">
        <f>'NHL2025-26Results'!E157</f>
        <v>6</v>
      </c>
      <c r="H162">
        <f>Table3[[#This Row],[G_1]]-Table3[[#This Row],[G]]</f>
        <v>3</v>
      </c>
      <c r="I162">
        <f>HomeEdge+VLOOKUP(Table3[[#This Row],[Home]],$A$6:$B$38,2,FALSE)-VLOOKUP(Table3[[#This Row],[Visitor]],$A$6:$B$38,2,FALSE)</f>
        <v>-0.33511261216480626</v>
      </c>
      <c r="J162">
        <f>(Table3[[#This Row],[HomeMargin]]-Table3[[#This Row],[HomeForecast]])^2</f>
        <v>11.122976135820759</v>
      </c>
    </row>
    <row r="163" spans="4:10" x14ac:dyDescent="0.2">
      <c r="D163" t="s">
        <v>31</v>
      </c>
      <c r="E163">
        <f>'NHL2025-26Results'!C158</f>
        <v>3</v>
      </c>
      <c r="F163" t="s">
        <v>11</v>
      </c>
      <c r="G163">
        <f>'NHL2025-26Results'!E158</f>
        <v>2</v>
      </c>
      <c r="H163">
        <f>Table3[[#This Row],[G_1]]-Table3[[#This Row],[G]]</f>
        <v>-1</v>
      </c>
      <c r="I163">
        <f>HomeEdge+VLOOKUP(Table3[[#This Row],[Home]],$A$6:$B$38,2,FALSE)-VLOOKUP(Table3[[#This Row],[Visitor]],$A$6:$B$38,2,FALSE)</f>
        <v>-0.6362423925546512</v>
      </c>
      <c r="J163">
        <f>(Table3[[#This Row],[HomeMargin]]-Table3[[#This Row],[HomeForecast]])^2</f>
        <v>0.13231959697436446</v>
      </c>
    </row>
    <row r="164" spans="4:10" x14ac:dyDescent="0.2">
      <c r="D164" t="s">
        <v>40</v>
      </c>
      <c r="E164">
        <f>'NHL2025-26Results'!C159</f>
        <v>4</v>
      </c>
      <c r="F164" t="s">
        <v>34</v>
      </c>
      <c r="G164">
        <f>'NHL2025-26Results'!E159</f>
        <v>3</v>
      </c>
      <c r="H164">
        <f>Table3[[#This Row],[G_1]]-Table3[[#This Row],[G]]</f>
        <v>-1</v>
      </c>
      <c r="I164">
        <f>HomeEdge+VLOOKUP(Table3[[#This Row],[Home]],$A$6:$B$38,2,FALSE)-VLOOKUP(Table3[[#This Row],[Visitor]],$A$6:$B$38,2,FALSE)</f>
        <v>-0.4790359571131011</v>
      </c>
      <c r="J164">
        <f>(Table3[[#This Row],[HomeMargin]]-Table3[[#This Row],[HomeForecast]])^2</f>
        <v>0.27140353398106265</v>
      </c>
    </row>
    <row r="165" spans="4:10" x14ac:dyDescent="0.2">
      <c r="D165" t="s">
        <v>37</v>
      </c>
      <c r="E165">
        <f>'NHL2025-26Results'!C160</f>
        <v>5</v>
      </c>
      <c r="F165" t="s">
        <v>29</v>
      </c>
      <c r="G165">
        <f>'NHL2025-26Results'!E160</f>
        <v>2</v>
      </c>
      <c r="H165">
        <f>Table3[[#This Row],[G_1]]-Table3[[#This Row],[G]]</f>
        <v>-3</v>
      </c>
      <c r="I165">
        <f>HomeEdge+VLOOKUP(Table3[[#This Row],[Home]],$A$6:$B$38,2,FALSE)-VLOOKUP(Table3[[#This Row],[Visitor]],$A$6:$B$38,2,FALSE)</f>
        <v>-1.0759583023675083</v>
      </c>
      <c r="J165">
        <f>(Table3[[#This Row],[HomeMargin]]-Table3[[#This Row],[HomeForecast]])^2</f>
        <v>3.7019364542285205</v>
      </c>
    </row>
    <row r="166" spans="4:10" x14ac:dyDescent="0.2">
      <c r="D166" t="s">
        <v>14</v>
      </c>
      <c r="E166">
        <f>'NHL2025-26Results'!C161</f>
        <v>2</v>
      </c>
      <c r="F166" t="s">
        <v>27</v>
      </c>
      <c r="G166">
        <f>'NHL2025-26Results'!E161</f>
        <v>3</v>
      </c>
      <c r="H166">
        <f>Table3[[#This Row],[G_1]]-Table3[[#This Row],[G]]</f>
        <v>1</v>
      </c>
      <c r="I166">
        <f>HomeEdge+VLOOKUP(Table3[[#This Row],[Home]],$A$6:$B$38,2,FALSE)-VLOOKUP(Table3[[#This Row],[Visitor]],$A$6:$B$38,2,FALSE)</f>
        <v>-0.6139045072408148</v>
      </c>
      <c r="J166">
        <f>(Table3[[#This Row],[HomeMargin]]-Table3[[#This Row],[HomeForecast]])^2</f>
        <v>2.6046877584922177</v>
      </c>
    </row>
    <row r="167" spans="4:10" x14ac:dyDescent="0.2">
      <c r="D167" t="s">
        <v>18</v>
      </c>
      <c r="E167">
        <f>'NHL2025-26Results'!C162</f>
        <v>4</v>
      </c>
      <c r="F167" t="s">
        <v>32</v>
      </c>
      <c r="G167">
        <f>'NHL2025-26Results'!E162</f>
        <v>3</v>
      </c>
      <c r="H167">
        <f>Table3[[#This Row],[G_1]]-Table3[[#This Row],[G]]</f>
        <v>-1</v>
      </c>
      <c r="I167">
        <f>HomeEdge+VLOOKUP(Table3[[#This Row],[Home]],$A$6:$B$38,2,FALSE)-VLOOKUP(Table3[[#This Row],[Visitor]],$A$6:$B$38,2,FALSE)</f>
        <v>0.32558826250235773</v>
      </c>
      <c r="J167">
        <f>(Table3[[#This Row],[HomeMargin]]-Table3[[#This Row],[HomeForecast]])^2</f>
        <v>1.75718424168402</v>
      </c>
    </row>
    <row r="168" spans="4:10" x14ac:dyDescent="0.2">
      <c r="D168" t="s">
        <v>13</v>
      </c>
      <c r="E168">
        <f>'NHL2025-26Results'!C163</f>
        <v>4</v>
      </c>
      <c r="F168" t="s">
        <v>33</v>
      </c>
      <c r="G168">
        <f>'NHL2025-26Results'!E163</f>
        <v>3</v>
      </c>
      <c r="H168">
        <f>Table3[[#This Row],[G_1]]-Table3[[#This Row],[G]]</f>
        <v>-1</v>
      </c>
      <c r="I168">
        <f>HomeEdge+VLOOKUP(Table3[[#This Row],[Home]],$A$6:$B$38,2,FALSE)-VLOOKUP(Table3[[#This Row],[Visitor]],$A$6:$B$38,2,FALSE)</f>
        <v>-0.15614975457877267</v>
      </c>
      <c r="J168">
        <f>(Table3[[#This Row],[HomeMargin]]-Table3[[#This Row],[HomeForecast]])^2</f>
        <v>0.71208323669746565</v>
      </c>
    </row>
    <row r="169" spans="4:10" x14ac:dyDescent="0.2">
      <c r="D169" t="s">
        <v>26</v>
      </c>
      <c r="E169">
        <f>'NHL2025-26Results'!C164</f>
        <v>5</v>
      </c>
      <c r="F169" t="s">
        <v>35</v>
      </c>
      <c r="G169">
        <f>'NHL2025-26Results'!E164</f>
        <v>2</v>
      </c>
      <c r="H169">
        <f>Table3[[#This Row],[G_1]]-Table3[[#This Row],[G]]</f>
        <v>-3</v>
      </c>
      <c r="I169">
        <f>HomeEdge+VLOOKUP(Table3[[#This Row],[Home]],$A$6:$B$38,2,FALSE)-VLOOKUP(Table3[[#This Row],[Visitor]],$A$6:$B$38,2,FALSE)</f>
        <v>-0.9449412812561242</v>
      </c>
      <c r="J169">
        <f>(Table3[[#This Row],[HomeMargin]]-Table3[[#This Row],[HomeForecast]])^2</f>
        <v>4.2232663374852208</v>
      </c>
    </row>
    <row r="170" spans="4:10" x14ac:dyDescent="0.2">
      <c r="D170" t="s">
        <v>16</v>
      </c>
      <c r="E170">
        <f>'NHL2025-26Results'!C165</f>
        <v>3</v>
      </c>
      <c r="F170" t="s">
        <v>19</v>
      </c>
      <c r="G170">
        <f>'NHL2025-26Results'!E165</f>
        <v>4</v>
      </c>
      <c r="H170">
        <f>Table3[[#This Row],[G_1]]-Table3[[#This Row],[G]]</f>
        <v>1</v>
      </c>
      <c r="I170">
        <f>HomeEdge+VLOOKUP(Table3[[#This Row],[Home]],$A$6:$B$38,2,FALSE)-VLOOKUP(Table3[[#This Row],[Visitor]],$A$6:$B$38,2,FALSE)</f>
        <v>0.91737517846387018</v>
      </c>
      <c r="J170">
        <f>(Table3[[#This Row],[HomeMargin]]-Table3[[#This Row],[HomeForecast]])^2</f>
        <v>6.8268611338773025E-3</v>
      </c>
    </row>
    <row r="171" spans="4:10" x14ac:dyDescent="0.2">
      <c r="D171" t="s">
        <v>15</v>
      </c>
      <c r="E171">
        <f>'NHL2025-26Results'!C166</f>
        <v>2</v>
      </c>
      <c r="F171" t="s">
        <v>38</v>
      </c>
      <c r="G171">
        <f>'NHL2025-26Results'!E166</f>
        <v>0</v>
      </c>
      <c r="H171">
        <f>Table3[[#This Row],[G_1]]-Table3[[#This Row],[G]]</f>
        <v>-2</v>
      </c>
      <c r="I171">
        <f>HomeEdge+VLOOKUP(Table3[[#This Row],[Home]],$A$6:$B$38,2,FALSE)-VLOOKUP(Table3[[#This Row],[Visitor]],$A$6:$B$38,2,FALSE)</f>
        <v>-0.2204398684007719</v>
      </c>
      <c r="J171">
        <f>(Table3[[#This Row],[HomeMargin]]-Table3[[#This Row],[HomeForecast]])^2</f>
        <v>3.1668342619774617</v>
      </c>
    </row>
    <row r="172" spans="4:10" x14ac:dyDescent="0.2">
      <c r="D172" t="s">
        <v>19</v>
      </c>
      <c r="E172">
        <f>'NHL2025-26Results'!C167</f>
        <v>3</v>
      </c>
      <c r="F172" t="s">
        <v>28</v>
      </c>
      <c r="G172">
        <f>'NHL2025-26Results'!E167</f>
        <v>6</v>
      </c>
      <c r="H172">
        <f>Table3[[#This Row],[G_1]]-Table3[[#This Row],[G]]</f>
        <v>3</v>
      </c>
      <c r="I172">
        <f>HomeEdge+VLOOKUP(Table3[[#This Row],[Home]],$A$6:$B$38,2,FALSE)-VLOOKUP(Table3[[#This Row],[Visitor]],$A$6:$B$38,2,FALSE)</f>
        <v>0.38991506232721662</v>
      </c>
      <c r="J172">
        <f>(Table3[[#This Row],[HomeMargin]]-Table3[[#This Row],[HomeForecast]])^2</f>
        <v>6.8125433818663383</v>
      </c>
    </row>
    <row r="173" spans="4:10" x14ac:dyDescent="0.2">
      <c r="D173" t="s">
        <v>23</v>
      </c>
      <c r="E173">
        <f>'NHL2025-26Results'!C168</f>
        <v>3</v>
      </c>
      <c r="F173" t="s">
        <v>21</v>
      </c>
      <c r="G173">
        <f>'NHL2025-26Results'!E168</f>
        <v>4</v>
      </c>
      <c r="H173">
        <f>Table3[[#This Row],[G_1]]-Table3[[#This Row],[G]]</f>
        <v>1</v>
      </c>
      <c r="I173">
        <f>HomeEdge+VLOOKUP(Table3[[#This Row],[Home]],$A$6:$B$38,2,FALSE)-VLOOKUP(Table3[[#This Row],[Visitor]],$A$6:$B$38,2,FALSE)</f>
        <v>1.0712049650610593</v>
      </c>
      <c r="J173">
        <f>(Table3[[#This Row],[HomeMargin]]-Table3[[#This Row],[HomeForecast]])^2</f>
        <v>5.0701470493466801E-3</v>
      </c>
    </row>
    <row r="174" spans="4:10" x14ac:dyDescent="0.2">
      <c r="D174" t="s">
        <v>30</v>
      </c>
      <c r="E174">
        <f>'NHL2025-26Results'!C169</f>
        <v>2</v>
      </c>
      <c r="F174" t="s">
        <v>25</v>
      </c>
      <c r="G174">
        <f>'NHL2025-26Results'!E169</f>
        <v>6</v>
      </c>
      <c r="H174">
        <f>Table3[[#This Row],[G_1]]-Table3[[#This Row],[G]]</f>
        <v>4</v>
      </c>
      <c r="I174">
        <f>HomeEdge+VLOOKUP(Table3[[#This Row],[Home]],$A$6:$B$38,2,FALSE)-VLOOKUP(Table3[[#This Row],[Visitor]],$A$6:$B$38,2,FALSE)</f>
        <v>0.89924108290435556</v>
      </c>
      <c r="J174">
        <f>(Table3[[#This Row],[HomeMargin]]-Table3[[#This Row],[HomeForecast]])^2</f>
        <v>9.6147058619481545</v>
      </c>
    </row>
    <row r="175" spans="4:10" x14ac:dyDescent="0.2">
      <c r="D175" t="s">
        <v>15</v>
      </c>
      <c r="E175">
        <f>'NHL2025-26Results'!C170</f>
        <v>4</v>
      </c>
      <c r="F175" t="s">
        <v>17</v>
      </c>
      <c r="G175">
        <f>'NHL2025-26Results'!E170</f>
        <v>3</v>
      </c>
      <c r="H175">
        <f>Table3[[#This Row],[G_1]]-Table3[[#This Row],[G]]</f>
        <v>-1</v>
      </c>
      <c r="I175">
        <f>HomeEdge+VLOOKUP(Table3[[#This Row],[Home]],$A$6:$B$38,2,FALSE)-VLOOKUP(Table3[[#This Row],[Visitor]],$A$6:$B$38,2,FALSE)</f>
        <v>-0.15003907868293442</v>
      </c>
      <c r="J175">
        <f>(Table3[[#This Row],[HomeMargin]]-Table3[[#This Row],[HomeForecast]])^2</f>
        <v>0.72243356776615497</v>
      </c>
    </row>
    <row r="176" spans="4:10" x14ac:dyDescent="0.2">
      <c r="D176" t="s">
        <v>26</v>
      </c>
      <c r="E176">
        <f>'NHL2025-26Results'!C171</f>
        <v>4</v>
      </c>
      <c r="F176" t="s">
        <v>13</v>
      </c>
      <c r="G176">
        <f>'NHL2025-26Results'!E171</f>
        <v>3</v>
      </c>
      <c r="H176">
        <f>Table3[[#This Row],[G_1]]-Table3[[#This Row],[G]]</f>
        <v>-1</v>
      </c>
      <c r="I176">
        <f>HomeEdge+VLOOKUP(Table3[[#This Row],[Home]],$A$6:$B$38,2,FALSE)-VLOOKUP(Table3[[#This Row],[Visitor]],$A$6:$B$38,2,FALSE)</f>
        <v>0.60075643448298255</v>
      </c>
      <c r="J176">
        <f>(Table3[[#This Row],[HomeMargin]]-Table3[[#This Row],[HomeForecast]])^2</f>
        <v>2.562421162538671</v>
      </c>
    </row>
    <row r="177" spans="4:10" x14ac:dyDescent="0.2">
      <c r="D177" t="s">
        <v>14</v>
      </c>
      <c r="E177">
        <f>'NHL2025-26Results'!C172</f>
        <v>4</v>
      </c>
      <c r="F177" t="s">
        <v>34</v>
      </c>
      <c r="G177">
        <f>'NHL2025-26Results'!E172</f>
        <v>1</v>
      </c>
      <c r="H177">
        <f>Table3[[#This Row],[G_1]]-Table3[[#This Row],[G]]</f>
        <v>-3</v>
      </c>
      <c r="I177">
        <f>HomeEdge+VLOOKUP(Table3[[#This Row],[Home]],$A$6:$B$38,2,FALSE)-VLOOKUP(Table3[[#This Row],[Visitor]],$A$6:$B$38,2,FALSE)</f>
        <v>-0.63682161067209309</v>
      </c>
      <c r="J177">
        <f>(Table3[[#This Row],[HomeMargin]]-Table3[[#This Row],[HomeForecast]])^2</f>
        <v>5.5846120997864395</v>
      </c>
    </row>
    <row r="178" spans="4:10" x14ac:dyDescent="0.2">
      <c r="D178" t="s">
        <v>16</v>
      </c>
      <c r="E178">
        <f>'NHL2025-26Results'!C173</f>
        <v>3</v>
      </c>
      <c r="F178" t="s">
        <v>36</v>
      </c>
      <c r="G178">
        <f>'NHL2025-26Results'!E173</f>
        <v>4</v>
      </c>
      <c r="H178">
        <f>Table3[[#This Row],[G_1]]-Table3[[#This Row],[G]]</f>
        <v>1</v>
      </c>
      <c r="I178">
        <f>HomeEdge+VLOOKUP(Table3[[#This Row],[Home]],$A$6:$B$38,2,FALSE)-VLOOKUP(Table3[[#This Row],[Visitor]],$A$6:$B$38,2,FALSE)</f>
        <v>1.1464212462079426</v>
      </c>
      <c r="J178">
        <f>(Table3[[#This Row],[HomeMargin]]-Table3[[#This Row],[HomeForecast]])^2</f>
        <v>2.1439181341086948E-2</v>
      </c>
    </row>
    <row r="179" spans="4:10" x14ac:dyDescent="0.2">
      <c r="D179" t="s">
        <v>29</v>
      </c>
      <c r="E179">
        <f>'NHL2025-26Results'!C174</f>
        <v>1</v>
      </c>
      <c r="F179" t="s">
        <v>27</v>
      </c>
      <c r="G179">
        <f>'NHL2025-26Results'!E174</f>
        <v>4</v>
      </c>
      <c r="H179">
        <f>Table3[[#This Row],[G_1]]-Table3[[#This Row],[G]]</f>
        <v>3</v>
      </c>
      <c r="I179">
        <f>HomeEdge+VLOOKUP(Table3[[#This Row],[Home]],$A$6:$B$38,2,FALSE)-VLOOKUP(Table3[[#This Row],[Visitor]],$A$6:$B$38,2,FALSE)</f>
        <v>1.000611475394003</v>
      </c>
      <c r="J179">
        <f>(Table3[[#This Row],[HomeMargin]]-Table3[[#This Row],[HomeForecast]])^2</f>
        <v>3.9975544723261458</v>
      </c>
    </row>
    <row r="180" spans="4:10" x14ac:dyDescent="0.2">
      <c r="D180" t="s">
        <v>24</v>
      </c>
      <c r="E180">
        <f>'NHL2025-26Results'!C175</f>
        <v>2</v>
      </c>
      <c r="F180" t="s">
        <v>33</v>
      </c>
      <c r="G180">
        <f>'NHL2025-26Results'!E175</f>
        <v>5</v>
      </c>
      <c r="H180">
        <f>Table3[[#This Row],[G_1]]-Table3[[#This Row],[G]]</f>
        <v>3</v>
      </c>
      <c r="I180">
        <f>HomeEdge+VLOOKUP(Table3[[#This Row],[Home]],$A$6:$B$38,2,FALSE)-VLOOKUP(Table3[[#This Row],[Visitor]],$A$6:$B$38,2,FALSE)</f>
        <v>-0.7910506262517194</v>
      </c>
      <c r="J180">
        <f>(Table3[[#This Row],[HomeMargin]]-Table3[[#This Row],[HomeForecast]])^2</f>
        <v>14.372064850803552</v>
      </c>
    </row>
    <row r="181" spans="4:10" x14ac:dyDescent="0.2">
      <c r="D181" t="s">
        <v>38</v>
      </c>
      <c r="E181">
        <f>'NHL2025-26Results'!C176</f>
        <v>4</v>
      </c>
      <c r="F181" t="s">
        <v>35</v>
      </c>
      <c r="G181">
        <f>'NHL2025-26Results'!E176</f>
        <v>3</v>
      </c>
      <c r="H181">
        <f>Table3[[#This Row],[G_1]]-Table3[[#This Row],[G]]</f>
        <v>-1</v>
      </c>
      <c r="I181">
        <f>HomeEdge+VLOOKUP(Table3[[#This Row],[Home]],$A$6:$B$38,2,FALSE)-VLOOKUP(Table3[[#This Row],[Visitor]],$A$6:$B$38,2,FALSE)</f>
        <v>-0.7683762832823019</v>
      </c>
      <c r="J181">
        <f>(Table3[[#This Row],[HomeMargin]]-Table3[[#This Row],[HomeForecast]])^2</f>
        <v>5.3649546146120462E-2</v>
      </c>
    </row>
    <row r="182" spans="4:10" x14ac:dyDescent="0.2">
      <c r="D182" t="s">
        <v>39</v>
      </c>
      <c r="E182">
        <f>'NHL2025-26Results'!C177</f>
        <v>1</v>
      </c>
      <c r="F182" t="s">
        <v>37</v>
      </c>
      <c r="G182">
        <f>'NHL2025-26Results'!E177</f>
        <v>2</v>
      </c>
      <c r="H182">
        <f>Table3[[#This Row],[G_1]]-Table3[[#This Row],[G]]</f>
        <v>1</v>
      </c>
      <c r="I182">
        <f>HomeEdge+VLOOKUP(Table3[[#This Row],[Home]],$A$6:$B$38,2,FALSE)-VLOOKUP(Table3[[#This Row],[Visitor]],$A$6:$B$38,2,FALSE)</f>
        <v>-0.14861748962618854</v>
      </c>
      <c r="J182">
        <f>(Table3[[#This Row],[HomeMargin]]-Table3[[#This Row],[HomeForecast]])^2</f>
        <v>1.3193221374751671</v>
      </c>
    </row>
    <row r="183" spans="4:10" x14ac:dyDescent="0.2">
      <c r="D183" t="s">
        <v>10</v>
      </c>
      <c r="E183">
        <f>'NHL2025-26Results'!C178</f>
        <v>3</v>
      </c>
      <c r="F183" t="s">
        <v>40</v>
      </c>
      <c r="G183">
        <f>'NHL2025-26Results'!E178</f>
        <v>6</v>
      </c>
      <c r="H183">
        <f>Table3[[#This Row],[G_1]]-Table3[[#This Row],[G]]</f>
        <v>3</v>
      </c>
      <c r="I183">
        <f>HomeEdge+VLOOKUP(Table3[[#This Row],[Home]],$A$6:$B$38,2,FALSE)-VLOOKUP(Table3[[#This Row],[Visitor]],$A$6:$B$38,2,FALSE)</f>
        <v>-3.80321203061183E-2</v>
      </c>
      <c r="J183">
        <f>(Table3[[#This Row],[HomeMargin]]-Table3[[#This Row],[HomeForecast]])^2</f>
        <v>9.2296391640116884</v>
      </c>
    </row>
    <row r="184" spans="4:10" x14ac:dyDescent="0.2">
      <c r="D184" t="s">
        <v>26</v>
      </c>
      <c r="E184">
        <f>'NHL2025-26Results'!C179</f>
        <v>2</v>
      </c>
      <c r="F184" t="s">
        <v>31</v>
      </c>
      <c r="G184">
        <f>'NHL2025-26Results'!E179</f>
        <v>5</v>
      </c>
      <c r="H184">
        <f>Table3[[#This Row],[G_1]]-Table3[[#This Row],[G]]</f>
        <v>3</v>
      </c>
      <c r="I184">
        <f>HomeEdge+VLOOKUP(Table3[[#This Row],[Home]],$A$6:$B$38,2,FALSE)-VLOOKUP(Table3[[#This Row],[Visitor]],$A$6:$B$38,2,FALSE)</f>
        <v>1.1939716060675045</v>
      </c>
      <c r="J184">
        <f>(Table3[[#This Row],[HomeMargin]]-Table3[[#This Row],[HomeForecast]])^2</f>
        <v>3.2617385596903889</v>
      </c>
    </row>
    <row r="185" spans="4:10" x14ac:dyDescent="0.2">
      <c r="D185" t="s">
        <v>12</v>
      </c>
      <c r="E185">
        <f>'NHL2025-26Results'!C180</f>
        <v>4</v>
      </c>
      <c r="F185" t="s">
        <v>20</v>
      </c>
      <c r="G185">
        <f>'NHL2025-26Results'!E180</f>
        <v>2</v>
      </c>
      <c r="H185">
        <f>Table3[[#This Row],[G_1]]-Table3[[#This Row],[G]]</f>
        <v>-2</v>
      </c>
      <c r="I185">
        <f>HomeEdge+VLOOKUP(Table3[[#This Row],[Home]],$A$6:$B$38,2,FALSE)-VLOOKUP(Table3[[#This Row],[Visitor]],$A$6:$B$38,2,FALSE)</f>
        <v>-1.3855665073968504</v>
      </c>
      <c r="J185">
        <f>(Table3[[#This Row],[HomeMargin]]-Table3[[#This Row],[HomeForecast]])^2</f>
        <v>0.37752851683250471</v>
      </c>
    </row>
    <row r="186" spans="4:10" x14ac:dyDescent="0.2">
      <c r="D186" t="s">
        <v>30</v>
      </c>
      <c r="E186">
        <f>'NHL2025-26Results'!C181</f>
        <v>3</v>
      </c>
      <c r="F186" t="s">
        <v>22</v>
      </c>
      <c r="G186">
        <f>'NHL2025-26Results'!E181</f>
        <v>1</v>
      </c>
      <c r="H186">
        <f>Table3[[#This Row],[G_1]]-Table3[[#This Row],[G]]</f>
        <v>-2</v>
      </c>
      <c r="I186">
        <f>HomeEdge+VLOOKUP(Table3[[#This Row],[Home]],$A$6:$B$38,2,FALSE)-VLOOKUP(Table3[[#This Row],[Visitor]],$A$6:$B$38,2,FALSE)</f>
        <v>0.16599303099389273</v>
      </c>
      <c r="J186">
        <f>(Table3[[#This Row],[HomeMargin]]-Table3[[#This Row],[HomeForecast]])^2</f>
        <v>4.6915258103141095</v>
      </c>
    </row>
    <row r="187" spans="4:10" x14ac:dyDescent="0.2">
      <c r="D187" t="s">
        <v>25</v>
      </c>
      <c r="E187">
        <f>'NHL2025-26Results'!C182</f>
        <v>1</v>
      </c>
      <c r="F187" t="s">
        <v>21</v>
      </c>
      <c r="G187">
        <f>'NHL2025-26Results'!E182</f>
        <v>2</v>
      </c>
      <c r="H187">
        <f>Table3[[#This Row],[G_1]]-Table3[[#This Row],[G]]</f>
        <v>1</v>
      </c>
      <c r="I187">
        <f>HomeEdge+VLOOKUP(Table3[[#This Row],[Home]],$A$6:$B$38,2,FALSE)-VLOOKUP(Table3[[#This Row],[Visitor]],$A$6:$B$38,2,FALSE)</f>
        <v>-0.46907548361279583</v>
      </c>
      <c r="J187">
        <f>(Table3[[#This Row],[HomeMargin]]-Table3[[#This Row],[HomeForecast]])^2</f>
        <v>2.1581827765521697</v>
      </c>
    </row>
    <row r="188" spans="4:10" x14ac:dyDescent="0.2">
      <c r="D188" t="s">
        <v>22</v>
      </c>
      <c r="E188">
        <f>'NHL2025-26Results'!C183</f>
        <v>3</v>
      </c>
      <c r="F188" t="s">
        <v>23</v>
      </c>
      <c r="G188">
        <f>'NHL2025-26Results'!E183</f>
        <v>4</v>
      </c>
      <c r="H188">
        <f>Table3[[#This Row],[G_1]]-Table3[[#This Row],[G]]</f>
        <v>1</v>
      </c>
      <c r="I188">
        <f>HomeEdge+VLOOKUP(Table3[[#This Row],[Home]],$A$6:$B$38,2,FALSE)-VLOOKUP(Table3[[#This Row],[Visitor]],$A$6:$B$38,2,FALSE)</f>
        <v>-0.64446008710107383</v>
      </c>
      <c r="J188">
        <f>(Table3[[#This Row],[HomeMargin]]-Table3[[#This Row],[HomeForecast]])^2</f>
        <v>2.7042489780684718</v>
      </c>
    </row>
    <row r="189" spans="4:10" x14ac:dyDescent="0.2">
      <c r="D189" t="s">
        <v>35</v>
      </c>
      <c r="E189">
        <f>'NHL2025-26Results'!C184</f>
        <v>2</v>
      </c>
      <c r="F189" t="s">
        <v>28</v>
      </c>
      <c r="G189">
        <f>'NHL2025-26Results'!E184</f>
        <v>3</v>
      </c>
      <c r="H189">
        <f>Table3[[#This Row],[G_1]]-Table3[[#This Row],[G]]</f>
        <v>1</v>
      </c>
      <c r="I189">
        <f>HomeEdge+VLOOKUP(Table3[[#This Row],[Home]],$A$6:$B$38,2,FALSE)-VLOOKUP(Table3[[#This Row],[Visitor]],$A$6:$B$38,2,FALSE)</f>
        <v>1.3755069428873363</v>
      </c>
      <c r="J189">
        <f>(Table3[[#This Row],[HomeMargin]]-Table3[[#This Row],[HomeForecast]])^2</f>
        <v>0.14100546415659326</v>
      </c>
    </row>
    <row r="190" spans="4:10" x14ac:dyDescent="0.2">
      <c r="D190" t="s">
        <v>10</v>
      </c>
      <c r="E190">
        <f>'NHL2025-26Results'!C185</f>
        <v>2</v>
      </c>
      <c r="F190" t="s">
        <v>17</v>
      </c>
      <c r="G190">
        <f>'NHL2025-26Results'!E185</f>
        <v>3</v>
      </c>
      <c r="H190">
        <f>Table3[[#This Row],[G_1]]-Table3[[#This Row],[G]]</f>
        <v>1</v>
      </c>
      <c r="I190">
        <f>HomeEdge+VLOOKUP(Table3[[#This Row],[Home]],$A$6:$B$38,2,FALSE)-VLOOKUP(Table3[[#This Row],[Visitor]],$A$6:$B$38,2,FALSE)</f>
        <v>-0.76294542005152621</v>
      </c>
      <c r="J190">
        <f>(Table3[[#This Row],[HomeMargin]]-Table3[[#This Row],[HomeForecast]])^2</f>
        <v>3.1079765540806523</v>
      </c>
    </row>
    <row r="191" spans="4:10" x14ac:dyDescent="0.2">
      <c r="D191" t="s">
        <v>39</v>
      </c>
      <c r="E191">
        <f>'NHL2025-26Results'!C186</f>
        <v>3</v>
      </c>
      <c r="F191" t="s">
        <v>11</v>
      </c>
      <c r="G191">
        <f>'NHL2025-26Results'!E186</f>
        <v>4</v>
      </c>
      <c r="H191">
        <f>Table3[[#This Row],[G_1]]-Table3[[#This Row],[G]]</f>
        <v>1</v>
      </c>
      <c r="I191">
        <f>HomeEdge+VLOOKUP(Table3[[#This Row],[Home]],$A$6:$B$38,2,FALSE)-VLOOKUP(Table3[[#This Row],[Visitor]],$A$6:$B$38,2,FALSE)</f>
        <v>-0.31658226988139621</v>
      </c>
      <c r="J191">
        <f>(Table3[[#This Row],[HomeMargin]]-Table3[[#This Row],[HomeForecast]])^2</f>
        <v>1.7333888733660496</v>
      </c>
    </row>
    <row r="192" spans="4:10" x14ac:dyDescent="0.2">
      <c r="D192" t="s">
        <v>24</v>
      </c>
      <c r="E192">
        <f>'NHL2025-26Results'!C187</f>
        <v>4</v>
      </c>
      <c r="F192" t="s">
        <v>13</v>
      </c>
      <c r="G192">
        <f>'NHL2025-26Results'!E187</f>
        <v>1</v>
      </c>
      <c r="H192">
        <f>Table3[[#This Row],[G_1]]-Table3[[#This Row],[G]]</f>
        <v>-3</v>
      </c>
      <c r="I192">
        <f>HomeEdge+VLOOKUP(Table3[[#This Row],[Home]],$A$6:$B$38,2,FALSE)-VLOOKUP(Table3[[#This Row],[Visitor]],$A$6:$B$38,2,FALSE)</f>
        <v>-0.47232856201062839</v>
      </c>
      <c r="J192">
        <f>(Table3[[#This Row],[HomeMargin]]-Table3[[#This Row],[HomeForecast]])^2</f>
        <v>6.3891228984272583</v>
      </c>
    </row>
    <row r="193" spans="4:10" x14ac:dyDescent="0.2">
      <c r="D193" t="s">
        <v>38</v>
      </c>
      <c r="E193">
        <f>'NHL2025-26Results'!C188</f>
        <v>2</v>
      </c>
      <c r="F193" t="s">
        <v>34</v>
      </c>
      <c r="G193">
        <f>'NHL2025-26Results'!E188</f>
        <v>5</v>
      </c>
      <c r="H193">
        <f>Table3[[#This Row],[G_1]]-Table3[[#This Row],[G]]</f>
        <v>3</v>
      </c>
      <c r="I193">
        <f>HomeEdge+VLOOKUP(Table3[[#This Row],[Home]],$A$6:$B$38,2,FALSE)-VLOOKUP(Table3[[#This Row],[Visitor]],$A$6:$B$38,2,FALSE)</f>
        <v>0.31627813235014424</v>
      </c>
      <c r="J193">
        <f>(Table3[[#This Row],[HomeMargin]]-Table3[[#This Row],[HomeForecast]])^2</f>
        <v>7.2023630629020303</v>
      </c>
    </row>
    <row r="194" spans="4:10" x14ac:dyDescent="0.2">
      <c r="D194" t="s">
        <v>36</v>
      </c>
      <c r="E194">
        <f>'NHL2025-26Results'!C189</f>
        <v>3</v>
      </c>
      <c r="F194" t="s">
        <v>18</v>
      </c>
      <c r="G194">
        <f>'NHL2025-26Results'!E189</f>
        <v>4</v>
      </c>
      <c r="H194">
        <f>Table3[[#This Row],[G_1]]-Table3[[#This Row],[G]]</f>
        <v>1</v>
      </c>
      <c r="I194">
        <f>HomeEdge+VLOOKUP(Table3[[#This Row],[Home]],$A$6:$B$38,2,FALSE)-VLOOKUP(Table3[[#This Row],[Visitor]],$A$6:$B$38,2,FALSE)</f>
        <v>4.4714523377744564E-2</v>
      </c>
      <c r="J194">
        <f>(Table3[[#This Row],[HomeMargin]]-Table3[[#This Row],[HomeForecast]])^2</f>
        <v>0.91257034184540964</v>
      </c>
    </row>
    <row r="195" spans="4:10" x14ac:dyDescent="0.2">
      <c r="D195" t="s">
        <v>16</v>
      </c>
      <c r="E195">
        <f>'NHL2025-26Results'!C190</f>
        <v>2</v>
      </c>
      <c r="F195" t="s">
        <v>29</v>
      </c>
      <c r="G195">
        <f>'NHL2025-26Results'!E190</f>
        <v>4</v>
      </c>
      <c r="H195">
        <f>Table3[[#This Row],[G_1]]-Table3[[#This Row],[G]]</f>
        <v>2</v>
      </c>
      <c r="I195">
        <f>HomeEdge+VLOOKUP(Table3[[#This Row],[Home]],$A$6:$B$38,2,FALSE)-VLOOKUP(Table3[[#This Row],[Visitor]],$A$6:$B$38,2,FALSE)</f>
        <v>0.20131565123579054</v>
      </c>
      <c r="J195">
        <f>(Table3[[#This Row],[HomeMargin]]-Table3[[#This Row],[HomeForecast]])^2</f>
        <v>3.2352653864893282</v>
      </c>
    </row>
    <row r="196" spans="4:10" x14ac:dyDescent="0.2">
      <c r="D196" t="s">
        <v>19</v>
      </c>
      <c r="E196">
        <f>'NHL2025-26Results'!C191</f>
        <v>5</v>
      </c>
      <c r="F196" t="s">
        <v>27</v>
      </c>
      <c r="G196">
        <f>'NHL2025-26Results'!E191</f>
        <v>2</v>
      </c>
      <c r="H196">
        <f>Table3[[#This Row],[G_1]]-Table3[[#This Row],[G]]</f>
        <v>-3</v>
      </c>
      <c r="I196">
        <f>HomeEdge+VLOOKUP(Table3[[#This Row],[Home]],$A$6:$B$38,2,FALSE)-VLOOKUP(Table3[[#This Row],[Visitor]],$A$6:$B$38,2,FALSE)</f>
        <v>0.28455194816592322</v>
      </c>
      <c r="J196">
        <f>(Table3[[#This Row],[HomeMargin]]-Table3[[#This Row],[HomeForecast]])^2</f>
        <v>10.788281500200561</v>
      </c>
    </row>
    <row r="197" spans="4:10" x14ac:dyDescent="0.2">
      <c r="D197" t="s">
        <v>15</v>
      </c>
      <c r="E197">
        <f>'NHL2025-26Results'!C192</f>
        <v>3</v>
      </c>
      <c r="F197" t="s">
        <v>32</v>
      </c>
      <c r="G197">
        <f>'NHL2025-26Results'!E192</f>
        <v>2</v>
      </c>
      <c r="H197">
        <f>Table3[[#This Row],[G_1]]-Table3[[#This Row],[G]]</f>
        <v>-1</v>
      </c>
      <c r="I197">
        <f>HomeEdge+VLOOKUP(Table3[[#This Row],[Home]],$A$6:$B$38,2,FALSE)-VLOOKUP(Table3[[#This Row],[Visitor]],$A$6:$B$38,2,FALSE)</f>
        <v>0.1084076535142654</v>
      </c>
      <c r="J197">
        <f>(Table3[[#This Row],[HomeMargin]]-Table3[[#This Row],[HomeForecast]])^2</f>
        <v>1.2285675263690001</v>
      </c>
    </row>
    <row r="198" spans="4:10" x14ac:dyDescent="0.2">
      <c r="D198" t="s">
        <v>12</v>
      </c>
      <c r="E198">
        <f>'NHL2025-26Results'!C193</f>
        <v>2</v>
      </c>
      <c r="F198" t="s">
        <v>33</v>
      </c>
      <c r="G198">
        <f>'NHL2025-26Results'!E193</f>
        <v>3</v>
      </c>
      <c r="H198">
        <f>Table3[[#This Row],[G_1]]-Table3[[#This Row],[G]]</f>
        <v>1</v>
      </c>
      <c r="I198">
        <f>HomeEdge+VLOOKUP(Table3[[#This Row],[Home]],$A$6:$B$38,2,FALSE)-VLOOKUP(Table3[[#This Row],[Visitor]],$A$6:$B$38,2,FALSE)</f>
        <v>-1.7791108220267433</v>
      </c>
      <c r="J198">
        <f>(Table3[[#This Row],[HomeMargin]]-Table3[[#This Row],[HomeForecast]])^2</f>
        <v>7.7234569611061605</v>
      </c>
    </row>
    <row r="199" spans="4:10" x14ac:dyDescent="0.2">
      <c r="D199" t="s">
        <v>14</v>
      </c>
      <c r="E199">
        <f>'NHL2025-26Results'!C194</f>
        <v>2</v>
      </c>
      <c r="F199" t="s">
        <v>40</v>
      </c>
      <c r="G199">
        <f>'NHL2025-26Results'!E194</f>
        <v>5</v>
      </c>
      <c r="H199">
        <f>Table3[[#This Row],[G_1]]-Table3[[#This Row],[G]]</f>
        <v>3</v>
      </c>
      <c r="I199">
        <f>HomeEdge+VLOOKUP(Table3[[#This Row],[Home]],$A$6:$B$38,2,FALSE)-VLOOKUP(Table3[[#This Row],[Visitor]],$A$6:$B$38,2,FALSE)</f>
        <v>4.7866561033264032E-3</v>
      </c>
      <c r="J199">
        <f>(Table3[[#This Row],[HomeMargin]]-Table3[[#This Row],[HomeForecast]])^2</f>
        <v>8.9713029754566929</v>
      </c>
    </row>
    <row r="200" spans="4:10" x14ac:dyDescent="0.2">
      <c r="D200" t="s">
        <v>24</v>
      </c>
      <c r="E200">
        <f>'NHL2025-26Results'!C195</f>
        <v>1</v>
      </c>
      <c r="F200" t="s">
        <v>31</v>
      </c>
      <c r="G200">
        <f>'NHL2025-26Results'!E195</f>
        <v>4</v>
      </c>
      <c r="H200">
        <f>Table3[[#This Row],[G_1]]-Table3[[#This Row],[G]]</f>
        <v>3</v>
      </c>
      <c r="I200">
        <f>HomeEdge+VLOOKUP(Table3[[#This Row],[Home]],$A$6:$B$38,2,FALSE)-VLOOKUP(Table3[[#This Row],[Visitor]],$A$6:$B$38,2,FALSE)</f>
        <v>0.12088660957389341</v>
      </c>
      <c r="J200">
        <f>(Table3[[#This Row],[HomeMargin]]-Table3[[#This Row],[HomeForecast]])^2</f>
        <v>8.2892939149309122</v>
      </c>
    </row>
    <row r="201" spans="4:10" x14ac:dyDescent="0.2">
      <c r="D201" t="s">
        <v>28</v>
      </c>
      <c r="E201">
        <f>'NHL2025-26Results'!C196</f>
        <v>2</v>
      </c>
      <c r="F201" t="s">
        <v>30</v>
      </c>
      <c r="G201">
        <f>'NHL2025-26Results'!E196</f>
        <v>3</v>
      </c>
      <c r="H201">
        <f>Table3[[#This Row],[G_1]]-Table3[[#This Row],[G]]</f>
        <v>1</v>
      </c>
      <c r="I201">
        <f>HomeEdge+VLOOKUP(Table3[[#This Row],[Home]],$A$6:$B$38,2,FALSE)-VLOOKUP(Table3[[#This Row],[Visitor]],$A$6:$B$38,2,FALSE)</f>
        <v>0.50606553965704215</v>
      </c>
      <c r="J201">
        <f>(Table3[[#This Row],[HomeMargin]]-Table3[[#This Row],[HomeForecast]])^2</f>
        <v>0.243971251114289</v>
      </c>
    </row>
    <row r="202" spans="4:10" x14ac:dyDescent="0.2">
      <c r="D202" t="s">
        <v>16</v>
      </c>
      <c r="E202">
        <f>'NHL2025-26Results'!C197</f>
        <v>2</v>
      </c>
      <c r="F202" t="s">
        <v>27</v>
      </c>
      <c r="G202">
        <f>'NHL2025-26Results'!E197</f>
        <v>1</v>
      </c>
      <c r="H202">
        <f>Table3[[#This Row],[G_1]]-Table3[[#This Row],[G]]</f>
        <v>-1</v>
      </c>
      <c r="I202">
        <f>HomeEdge+VLOOKUP(Table3[[#This Row],[Home]],$A$6:$B$38,2,FALSE)-VLOOKUP(Table3[[#This Row],[Visitor]],$A$6:$B$38,2,FALSE)</f>
        <v>1.0393548169674749</v>
      </c>
      <c r="J202">
        <f>(Table3[[#This Row],[HomeMargin]]-Table3[[#This Row],[HomeForecast]])^2</f>
        <v>4.1589680694884432</v>
      </c>
    </row>
    <row r="203" spans="4:10" x14ac:dyDescent="0.2">
      <c r="D203" t="s">
        <v>26</v>
      </c>
      <c r="E203">
        <f>'NHL2025-26Results'!C198</f>
        <v>3</v>
      </c>
      <c r="F203" t="s">
        <v>33</v>
      </c>
      <c r="G203">
        <f>'NHL2025-26Results'!E198</f>
        <v>2</v>
      </c>
      <c r="H203">
        <f>Table3[[#This Row],[G_1]]-Table3[[#This Row],[G]]</f>
        <v>-1</v>
      </c>
      <c r="I203">
        <f>HomeEdge+VLOOKUP(Table3[[#This Row],[Home]],$A$6:$B$38,2,FALSE)-VLOOKUP(Table3[[#This Row],[Visitor]],$A$6:$B$38,2,FALSE)</f>
        <v>0.28203437024189154</v>
      </c>
      <c r="J203">
        <f>(Table3[[#This Row],[HomeMargin]]-Table3[[#This Row],[HomeForecast]])^2</f>
        <v>1.6436121264815233</v>
      </c>
    </row>
    <row r="204" spans="4:10" x14ac:dyDescent="0.2">
      <c r="D204" t="s">
        <v>37</v>
      </c>
      <c r="E204">
        <f>'NHL2025-26Results'!C199</f>
        <v>4</v>
      </c>
      <c r="F204" t="s">
        <v>55</v>
      </c>
      <c r="G204">
        <f>'NHL2025-26Results'!E199</f>
        <v>2</v>
      </c>
      <c r="H204">
        <f>Table3[[#This Row],[G_1]]-Table3[[#This Row],[G]]</f>
        <v>-2</v>
      </c>
      <c r="I204">
        <f>HomeEdge+VLOOKUP(Table3[[#This Row],[Home]],$A$6:$B$38,2,FALSE)-VLOOKUP(Table3[[#This Row],[Visitor]],$A$6:$B$38,2,FALSE)</f>
        <v>0.15354364879003418</v>
      </c>
      <c r="J204">
        <f>(Table3[[#This Row],[HomeMargin]]-Table3[[#This Row],[HomeForecast]])^2</f>
        <v>4.6377502472438943</v>
      </c>
    </row>
    <row r="205" spans="4:10" x14ac:dyDescent="0.2">
      <c r="D205" t="s">
        <v>38</v>
      </c>
      <c r="E205">
        <f>'NHL2025-26Results'!C200</f>
        <v>5</v>
      </c>
      <c r="F205" t="s">
        <v>29</v>
      </c>
      <c r="G205">
        <f>'NHL2025-26Results'!E200</f>
        <v>4</v>
      </c>
      <c r="H205">
        <f>Table3[[#This Row],[G_1]]-Table3[[#This Row],[G]]</f>
        <v>-1</v>
      </c>
      <c r="I205">
        <f>HomeEdge+VLOOKUP(Table3[[#This Row],[Home]],$A$6:$B$38,2,FALSE)-VLOOKUP(Table3[[#This Row],[Visitor]],$A$6:$B$38,2,FALSE)</f>
        <v>-0.49884392995026194</v>
      </c>
      <c r="J205">
        <f>(Table3[[#This Row],[HomeMargin]]-Table3[[#This Row],[HomeForecast]])^2</f>
        <v>0.25115740654769797</v>
      </c>
    </row>
    <row r="206" spans="4:10" x14ac:dyDescent="0.2">
      <c r="D206" t="s">
        <v>10</v>
      </c>
      <c r="E206">
        <f>'NHL2025-26Results'!C201</f>
        <v>1</v>
      </c>
      <c r="F206" t="s">
        <v>32</v>
      </c>
      <c r="G206">
        <f>'NHL2025-26Results'!E201</f>
        <v>3</v>
      </c>
      <c r="H206">
        <f>Table3[[#This Row],[G_1]]-Table3[[#This Row],[G]]</f>
        <v>2</v>
      </c>
      <c r="I206">
        <f>HomeEdge+VLOOKUP(Table3[[#This Row],[Home]],$A$6:$B$38,2,FALSE)-VLOOKUP(Table3[[#This Row],[Visitor]],$A$6:$B$38,2,FALSE)</f>
        <v>-0.50449868785432628</v>
      </c>
      <c r="J206">
        <f>(Table3[[#This Row],[HomeMargin]]-Table3[[#This Row],[HomeForecast]])^2</f>
        <v>6.2725136774640422</v>
      </c>
    </row>
    <row r="207" spans="4:10" x14ac:dyDescent="0.2">
      <c r="D207" t="s">
        <v>17</v>
      </c>
      <c r="E207">
        <f>'NHL2025-26Results'!C202</f>
        <v>2</v>
      </c>
      <c r="F207" t="s">
        <v>35</v>
      </c>
      <c r="G207">
        <f>'NHL2025-26Results'!E202</f>
        <v>3</v>
      </c>
      <c r="H207">
        <f>Table3[[#This Row],[G_1]]-Table3[[#This Row],[G]]</f>
        <v>1</v>
      </c>
      <c r="I207">
        <f>HomeEdge+VLOOKUP(Table3[[#This Row],[Home]],$A$6:$B$38,2,FALSE)-VLOOKUP(Table3[[#This Row],[Visitor]],$A$6:$B$38,2,FALSE)</f>
        <v>-0.83877707300013937</v>
      </c>
      <c r="J207">
        <f>(Table3[[#This Row],[HomeMargin]]-Table3[[#This Row],[HomeForecast]])^2</f>
        <v>3.3811011241909599</v>
      </c>
    </row>
    <row r="208" spans="4:10" x14ac:dyDescent="0.2">
      <c r="D208" t="s">
        <v>14</v>
      </c>
      <c r="E208">
        <f>'NHL2025-26Results'!C203</f>
        <v>3</v>
      </c>
      <c r="F208" t="s">
        <v>19</v>
      </c>
      <c r="G208">
        <f>'NHL2025-26Results'!E203</f>
        <v>4</v>
      </c>
      <c r="H208">
        <f>Table3[[#This Row],[G_1]]-Table3[[#This Row],[G]]</f>
        <v>1</v>
      </c>
      <c r="I208">
        <f>HomeEdge+VLOOKUP(Table3[[#This Row],[Home]],$A$6:$B$38,2,FALSE)-VLOOKUP(Table3[[#This Row],[Visitor]],$A$6:$B$38,2,FALSE)</f>
        <v>-0.73588414574441963</v>
      </c>
      <c r="J208">
        <f>(Table3[[#This Row],[HomeMargin]]-Table3[[#This Row],[HomeForecast]])^2</f>
        <v>3.0132937674468336</v>
      </c>
    </row>
    <row r="209" spans="4:10" x14ac:dyDescent="0.2">
      <c r="D209" t="s">
        <v>11</v>
      </c>
      <c r="E209">
        <f>'NHL2025-26Results'!C204</f>
        <v>3</v>
      </c>
      <c r="F209" t="s">
        <v>31</v>
      </c>
      <c r="G209">
        <f>'NHL2025-26Results'!E204</f>
        <v>7</v>
      </c>
      <c r="H209">
        <f>Table3[[#This Row],[G_1]]-Table3[[#This Row],[G]]</f>
        <v>4</v>
      </c>
      <c r="I209">
        <f>HomeEdge+VLOOKUP(Table3[[#This Row],[Home]],$A$6:$B$38,2,FALSE)-VLOOKUP(Table3[[#This Row],[Visitor]],$A$6:$B$38,2,FALSE)</f>
        <v>0.96138701187928799</v>
      </c>
      <c r="J209">
        <f>(Table3[[#This Row],[HomeMargin]]-Table3[[#This Row],[HomeForecast]])^2</f>
        <v>9.2331688915758825</v>
      </c>
    </row>
    <row r="210" spans="4:10" x14ac:dyDescent="0.2">
      <c r="D210" t="s">
        <v>55</v>
      </c>
      <c r="E210">
        <f>'NHL2025-26Results'!C205</f>
        <v>2</v>
      </c>
      <c r="F210" t="s">
        <v>23</v>
      </c>
      <c r="G210">
        <f>'NHL2025-26Results'!E205</f>
        <v>1</v>
      </c>
      <c r="H210">
        <f>Table3[[#This Row],[G_1]]-Table3[[#This Row],[G]]</f>
        <v>-1</v>
      </c>
      <c r="I210">
        <f>HomeEdge+VLOOKUP(Table3[[#This Row],[Home]],$A$6:$B$38,2,FALSE)-VLOOKUP(Table3[[#This Row],[Visitor]],$A$6:$B$38,2,FALSE)</f>
        <v>-0.58364580703934033</v>
      </c>
      <c r="J210">
        <f>(Table3[[#This Row],[HomeMargin]]-Table3[[#This Row],[HomeForecast]])^2</f>
        <v>0.17335081399592223</v>
      </c>
    </row>
    <row r="211" spans="4:10" x14ac:dyDescent="0.2">
      <c r="D211" t="s">
        <v>37</v>
      </c>
      <c r="E211">
        <f>'NHL2025-26Results'!C206</f>
        <v>2</v>
      </c>
      <c r="F211" t="s">
        <v>12</v>
      </c>
      <c r="G211">
        <f>'NHL2025-26Results'!E206</f>
        <v>3</v>
      </c>
      <c r="H211">
        <f>Table3[[#This Row],[G_1]]-Table3[[#This Row],[G]]</f>
        <v>1</v>
      </c>
      <c r="I211">
        <f>HomeEdge+VLOOKUP(Table3[[#This Row],[Home]],$A$6:$B$38,2,FALSE)-VLOOKUP(Table3[[#This Row],[Visitor]],$A$6:$B$38,2,FALSE)</f>
        <v>1.8231681274875291</v>
      </c>
      <c r="J211">
        <f>(Table3[[#This Row],[HomeMargin]]-Table3[[#This Row],[HomeForecast]])^2</f>
        <v>0.67760576611132495</v>
      </c>
    </row>
    <row r="212" spans="4:10" x14ac:dyDescent="0.2">
      <c r="D212" t="s">
        <v>17</v>
      </c>
      <c r="E212">
        <f>'NHL2025-26Results'!C207</f>
        <v>3</v>
      </c>
      <c r="F212" t="s">
        <v>39</v>
      </c>
      <c r="G212">
        <f>'NHL2025-26Results'!E207</f>
        <v>4</v>
      </c>
      <c r="H212">
        <f>Table3[[#This Row],[G_1]]-Table3[[#This Row],[G]]</f>
        <v>1</v>
      </c>
      <c r="I212">
        <f>HomeEdge+VLOOKUP(Table3[[#This Row],[Home]],$A$6:$B$38,2,FALSE)-VLOOKUP(Table3[[#This Row],[Visitor]],$A$6:$B$38,2,FALSE)</f>
        <v>0.98047569165023418</v>
      </c>
      <c r="J212">
        <f>(Table3[[#This Row],[HomeMargin]]-Table3[[#This Row],[HomeForecast]])^2</f>
        <v>3.811986165367352E-4</v>
      </c>
    </row>
    <row r="213" spans="4:10" x14ac:dyDescent="0.2">
      <c r="D213" t="s">
        <v>40</v>
      </c>
      <c r="E213">
        <f>'NHL2025-26Results'!C208</f>
        <v>0</v>
      </c>
      <c r="F213" t="s">
        <v>13</v>
      </c>
      <c r="G213">
        <f>'NHL2025-26Results'!E208</f>
        <v>3</v>
      </c>
      <c r="H213">
        <f>Table3[[#This Row],[G_1]]-Table3[[#This Row],[G]]</f>
        <v>3</v>
      </c>
      <c r="I213">
        <f>HomeEdge+VLOOKUP(Table3[[#This Row],[Home]],$A$6:$B$38,2,FALSE)-VLOOKUP(Table3[[#This Row],[Visitor]],$A$6:$B$38,2,FALSE)</f>
        <v>-1.7992657006440413E-2</v>
      </c>
      <c r="J213">
        <f>(Table3[[#This Row],[HomeMargin]]-Table3[[#This Row],[HomeForecast]])^2</f>
        <v>9.1082796777447932</v>
      </c>
    </row>
    <row r="214" spans="4:10" x14ac:dyDescent="0.2">
      <c r="D214" t="s">
        <v>29</v>
      </c>
      <c r="E214">
        <f>'NHL2025-26Results'!C209</f>
        <v>2</v>
      </c>
      <c r="F214" t="s">
        <v>34</v>
      </c>
      <c r="G214">
        <f>'NHL2025-26Results'!E209</f>
        <v>3</v>
      </c>
      <c r="H214">
        <f>Table3[[#This Row],[G_1]]-Table3[[#This Row],[G]]</f>
        <v>1</v>
      </c>
      <c r="I214">
        <f>HomeEdge+VLOOKUP(Table3[[#This Row],[Home]],$A$6:$B$38,2,FALSE)-VLOOKUP(Table3[[#This Row],[Visitor]],$A$6:$B$38,2,FALSE)</f>
        <v>0.97769437196272457</v>
      </c>
      <c r="J214">
        <f>(Table3[[#This Row],[HomeMargin]]-Table3[[#This Row],[HomeForecast]])^2</f>
        <v>4.9754104213728758E-4</v>
      </c>
    </row>
    <row r="215" spans="4:10" x14ac:dyDescent="0.2">
      <c r="D215" t="s">
        <v>27</v>
      </c>
      <c r="E215">
        <f>'NHL2025-26Results'!C210</f>
        <v>5</v>
      </c>
      <c r="F215" t="s">
        <v>18</v>
      </c>
      <c r="G215">
        <f>'NHL2025-26Results'!E210</f>
        <v>4</v>
      </c>
      <c r="H215">
        <f>Table3[[#This Row],[G_1]]-Table3[[#This Row],[G]]</f>
        <v>-1</v>
      </c>
      <c r="I215">
        <f>HomeEdge+VLOOKUP(Table3[[#This Row],[Home]],$A$6:$B$38,2,FALSE)-VLOOKUP(Table3[[#This Row],[Visitor]],$A$6:$B$38,2,FALSE)</f>
        <v>0.15178095261821223</v>
      </c>
      <c r="J215">
        <f>(Table3[[#This Row],[HomeMargin]]-Table3[[#This Row],[HomeForecast]])^2</f>
        <v>1.3265993628141166</v>
      </c>
    </row>
    <row r="216" spans="4:10" x14ac:dyDescent="0.2">
      <c r="D216" t="s">
        <v>21</v>
      </c>
      <c r="E216">
        <f>'NHL2025-26Results'!C211</f>
        <v>4</v>
      </c>
      <c r="F216" t="s">
        <v>30</v>
      </c>
      <c r="G216">
        <f>'NHL2025-26Results'!E211</f>
        <v>3</v>
      </c>
      <c r="H216">
        <f>Table3[[#This Row],[G_1]]-Table3[[#This Row],[G]]</f>
        <v>-1</v>
      </c>
      <c r="I216">
        <f>HomeEdge+VLOOKUP(Table3[[#This Row],[Home]],$A$6:$B$38,2,FALSE)-VLOOKUP(Table3[[#This Row],[Visitor]],$A$6:$B$38,2,FALSE)</f>
        <v>5.7551329695395448E-2</v>
      </c>
      <c r="J216">
        <f>(Table3[[#This Row],[HomeMargin]]-Table3[[#This Row],[HomeForecast]])^2</f>
        <v>1.1184148149404993</v>
      </c>
    </row>
    <row r="217" spans="4:10" x14ac:dyDescent="0.2">
      <c r="D217" t="s">
        <v>25</v>
      </c>
      <c r="E217">
        <f>'NHL2025-26Results'!C212</f>
        <v>3</v>
      </c>
      <c r="F217" t="s">
        <v>15</v>
      </c>
      <c r="G217">
        <f>'NHL2025-26Results'!E212</f>
        <v>0</v>
      </c>
      <c r="H217">
        <f>Table3[[#This Row],[G_1]]-Table3[[#This Row],[G]]</f>
        <v>-3</v>
      </c>
      <c r="I217">
        <f>HomeEdge+VLOOKUP(Table3[[#This Row],[Home]],$A$6:$B$38,2,FALSE)-VLOOKUP(Table3[[#This Row],[Visitor]],$A$6:$B$38,2,FALSE)</f>
        <v>-0.81656355579174977</v>
      </c>
      <c r="J217">
        <f>(Table3[[#This Row],[HomeMargin]]-Table3[[#This Row],[HomeForecast]])^2</f>
        <v>4.7673947058967672</v>
      </c>
    </row>
    <row r="218" spans="4:10" x14ac:dyDescent="0.2">
      <c r="D218" t="s">
        <v>26</v>
      </c>
      <c r="E218">
        <f>'NHL2025-26Results'!C213</f>
        <v>0</v>
      </c>
      <c r="F218" t="s">
        <v>20</v>
      </c>
      <c r="G218">
        <f>'NHL2025-26Results'!E213</f>
        <v>1</v>
      </c>
      <c r="H218">
        <f>Table3[[#This Row],[G_1]]-Table3[[#This Row],[G]]</f>
        <v>1</v>
      </c>
      <c r="I218">
        <f>HomeEdge+VLOOKUP(Table3[[#This Row],[Home]],$A$6:$B$38,2,FALSE)-VLOOKUP(Table3[[#This Row],[Visitor]],$A$6:$B$38,2,FALSE)</f>
        <v>0.67557868487178452</v>
      </c>
      <c r="J218">
        <f>(Table3[[#This Row],[HomeMargin]]-Table3[[#This Row],[HomeForecast]])^2</f>
        <v>0.10524918970952089</v>
      </c>
    </row>
    <row r="219" spans="4:10" x14ac:dyDescent="0.2">
      <c r="D219" t="s">
        <v>28</v>
      </c>
      <c r="E219">
        <f>'NHL2025-26Results'!C214</f>
        <v>1</v>
      </c>
      <c r="F219" t="s">
        <v>16</v>
      </c>
      <c r="G219">
        <f>'NHL2025-26Results'!E214</f>
        <v>5</v>
      </c>
      <c r="H219">
        <f>Table3[[#This Row],[G_1]]-Table3[[#This Row],[G]]</f>
        <v>4</v>
      </c>
      <c r="I219">
        <f>HomeEdge+VLOOKUP(Table3[[#This Row],[Home]],$A$6:$B$38,2,FALSE)-VLOOKUP(Table3[[#This Row],[Visitor]],$A$6:$B$38,2,FALSE)</f>
        <v>-0.81957331180413162</v>
      </c>
      <c r="J219">
        <f>(Table3[[#This Row],[HomeMargin]]-Table3[[#This Row],[HomeForecast]])^2</f>
        <v>23.228286907854649</v>
      </c>
    </row>
    <row r="220" spans="4:10" x14ac:dyDescent="0.2">
      <c r="D220" t="s">
        <v>33</v>
      </c>
      <c r="E220">
        <f>'NHL2025-26Results'!C215</f>
        <v>6</v>
      </c>
      <c r="F220" t="s">
        <v>32</v>
      </c>
      <c r="G220">
        <f>'NHL2025-26Results'!E215</f>
        <v>1</v>
      </c>
      <c r="H220">
        <f>Table3[[#This Row],[G_1]]-Table3[[#This Row],[G]]</f>
        <v>-5</v>
      </c>
      <c r="I220">
        <f>HomeEdge+VLOOKUP(Table3[[#This Row],[Home]],$A$6:$B$38,2,FALSE)-VLOOKUP(Table3[[#This Row],[Visitor]],$A$6:$B$38,2,FALSE)</f>
        <v>0.19539277302396024</v>
      </c>
      <c r="J220">
        <f>(Table3[[#This Row],[HomeMargin]]-Table3[[#This Row],[HomeForecast]])^2</f>
        <v>26.992106065989596</v>
      </c>
    </row>
    <row r="221" spans="4:10" x14ac:dyDescent="0.2">
      <c r="D221" t="s">
        <v>55</v>
      </c>
      <c r="E221">
        <f>'NHL2025-26Results'!C216</f>
        <v>3</v>
      </c>
      <c r="F221" t="s">
        <v>19</v>
      </c>
      <c r="G221">
        <f>'NHL2025-26Results'!E216</f>
        <v>5</v>
      </c>
      <c r="H221">
        <f>Table3[[#This Row],[G_1]]-Table3[[#This Row],[G]]</f>
        <v>2</v>
      </c>
      <c r="I221">
        <f>HomeEdge+VLOOKUP(Table3[[#This Row],[Home]],$A$6:$B$38,2,FALSE)-VLOOKUP(Table3[[#This Row],[Visitor]],$A$6:$B$38,2,FALSE)</f>
        <v>-0.35087011426714443</v>
      </c>
      <c r="J221">
        <f>(Table3[[#This Row],[HomeMargin]]-Table3[[#This Row],[HomeForecast]])^2</f>
        <v>5.5265902941544178</v>
      </c>
    </row>
    <row r="222" spans="4:10" x14ac:dyDescent="0.2">
      <c r="D222" t="s">
        <v>10</v>
      </c>
      <c r="E222">
        <f>'NHL2025-26Results'!C217</f>
        <v>5</v>
      </c>
      <c r="F222" t="s">
        <v>38</v>
      </c>
      <c r="G222">
        <f>'NHL2025-26Results'!E217</f>
        <v>2</v>
      </c>
      <c r="H222">
        <f>Table3[[#This Row],[G_1]]-Table3[[#This Row],[G]]</f>
        <v>-3</v>
      </c>
      <c r="I222">
        <f>HomeEdge+VLOOKUP(Table3[[#This Row],[Home]],$A$6:$B$38,2,FALSE)-VLOOKUP(Table3[[#This Row],[Visitor]],$A$6:$B$38,2,FALSE)</f>
        <v>-0.83334620976936358</v>
      </c>
      <c r="J222">
        <f>(Table3[[#This Row],[HomeMargin]]-Table3[[#This Row],[HomeForecast]])^2</f>
        <v>4.6943886467207836</v>
      </c>
    </row>
    <row r="223" spans="4:10" x14ac:dyDescent="0.2">
      <c r="D223" t="s">
        <v>35</v>
      </c>
      <c r="E223">
        <f>'NHL2025-26Results'!C218</f>
        <v>1</v>
      </c>
      <c r="F223" t="s">
        <v>22</v>
      </c>
      <c r="G223">
        <f>'NHL2025-26Results'!E218</f>
        <v>6</v>
      </c>
      <c r="H223">
        <f>Table3[[#This Row],[G_1]]-Table3[[#This Row],[G]]</f>
        <v>5</v>
      </c>
      <c r="I223">
        <f>HomeEdge+VLOOKUP(Table3[[#This Row],[Home]],$A$6:$B$38,2,FALSE)-VLOOKUP(Table3[[#This Row],[Visitor]],$A$6:$B$38,2,FALSE)</f>
        <v>1.7224208942136343</v>
      </c>
      <c r="J223">
        <f>(Table3[[#This Row],[HomeMargin]]-Table3[[#This Row],[HomeForecast]])^2</f>
        <v>10.742524794687352</v>
      </c>
    </row>
    <row r="224" spans="4:10" x14ac:dyDescent="0.2">
      <c r="D224" t="s">
        <v>36</v>
      </c>
      <c r="E224">
        <f>'NHL2025-26Results'!C219</f>
        <v>2</v>
      </c>
      <c r="F224" t="s">
        <v>21</v>
      </c>
      <c r="G224">
        <f>'NHL2025-26Results'!E219</f>
        <v>3</v>
      </c>
      <c r="H224">
        <f>Table3[[#This Row],[G_1]]-Table3[[#This Row],[G]]</f>
        <v>1</v>
      </c>
      <c r="I224">
        <f>HomeEdge+VLOOKUP(Table3[[#This Row],[Home]],$A$6:$B$38,2,FALSE)-VLOOKUP(Table3[[#This Row],[Visitor]],$A$6:$B$38,2,FALSE)</f>
        <v>0.60938320454479089</v>
      </c>
      <c r="J224">
        <f>(Table3[[#This Row],[HomeMargin]]-Table3[[#This Row],[HomeForecast]])^2</f>
        <v>0.15258148089169668</v>
      </c>
    </row>
    <row r="225" spans="4:10" x14ac:dyDescent="0.2">
      <c r="D225" t="s">
        <v>35</v>
      </c>
      <c r="E225">
        <f>'NHL2025-26Results'!C220</f>
        <v>3</v>
      </c>
      <c r="F225" t="s">
        <v>23</v>
      </c>
      <c r="G225">
        <f>'NHL2025-26Results'!E220</f>
        <v>0</v>
      </c>
      <c r="H225">
        <f>Table3[[#This Row],[G_1]]-Table3[[#This Row],[G]]</f>
        <v>-3</v>
      </c>
      <c r="I225">
        <f>HomeEdge+VLOOKUP(Table3[[#This Row],[Home]],$A$6:$B$38,2,FALSE)-VLOOKUP(Table3[[#This Row],[Visitor]],$A$6:$B$38,2,FALSE)</f>
        <v>0.91538849745024209</v>
      </c>
      <c r="J225">
        <f>(Table3[[#This Row],[HomeMargin]]-Table3[[#This Row],[HomeForecast]])^2</f>
        <v>15.330267085965664</v>
      </c>
    </row>
    <row r="226" spans="4:10" x14ac:dyDescent="0.2">
      <c r="D226" t="s">
        <v>34</v>
      </c>
      <c r="E226">
        <f>'NHL2025-26Results'!C221</f>
        <v>3</v>
      </c>
      <c r="F226" t="s">
        <v>25</v>
      </c>
      <c r="G226">
        <f>'NHL2025-26Results'!E221</f>
        <v>4</v>
      </c>
      <c r="H226">
        <f>Table3[[#This Row],[G_1]]-Table3[[#This Row],[G]]</f>
        <v>1</v>
      </c>
      <c r="I226">
        <f>HomeEdge+VLOOKUP(Table3[[#This Row],[Home]],$A$6:$B$38,2,FALSE)-VLOOKUP(Table3[[#This Row],[Visitor]],$A$6:$B$38,2,FALSE)</f>
        <v>1.371014530491651</v>
      </c>
      <c r="J226">
        <f>(Table3[[#This Row],[HomeMargin]]-Table3[[#This Row],[HomeForecast]])^2</f>
        <v>0.13765178183594023</v>
      </c>
    </row>
    <row r="227" spans="4:10" x14ac:dyDescent="0.2">
      <c r="D227" t="s">
        <v>31</v>
      </c>
      <c r="E227">
        <f>'NHL2025-26Results'!C222</f>
        <v>7</v>
      </c>
      <c r="F227" t="s">
        <v>39</v>
      </c>
      <c r="G227">
        <f>'NHL2025-26Results'!E222</f>
        <v>5</v>
      </c>
      <c r="H227">
        <f>Table3[[#This Row],[G_1]]-Table3[[#This Row],[G]]</f>
        <v>-2</v>
      </c>
      <c r="I227">
        <f>HomeEdge+VLOOKUP(Table3[[#This Row],[Home]],$A$6:$B$38,2,FALSE)-VLOOKUP(Table3[[#This Row],[Visitor]],$A$6:$B$38,2,FALSE)</f>
        <v>-0.15708781301093661</v>
      </c>
      <c r="J227">
        <f>(Table3[[#This Row],[HomeMargin]]-Table3[[#This Row],[HomeForecast]])^2</f>
        <v>3.3963253289528126</v>
      </c>
    </row>
    <row r="228" spans="4:10" x14ac:dyDescent="0.2">
      <c r="D228" t="s">
        <v>11</v>
      </c>
      <c r="E228">
        <f>'NHL2025-26Results'!C223</f>
        <v>5</v>
      </c>
      <c r="F228" t="s">
        <v>13</v>
      </c>
      <c r="G228">
        <f>'NHL2025-26Results'!E223</f>
        <v>2</v>
      </c>
      <c r="H228">
        <f>Table3[[#This Row],[G_1]]-Table3[[#This Row],[G]]</f>
        <v>-3</v>
      </c>
      <c r="I228">
        <f>HomeEdge+VLOOKUP(Table3[[#This Row],[Home]],$A$6:$B$38,2,FALSE)-VLOOKUP(Table3[[#This Row],[Visitor]],$A$6:$B$38,2,FALSE)</f>
        <v>0.36817184029476618</v>
      </c>
      <c r="J228">
        <f>(Table3[[#This Row],[HomeMargin]]-Table3[[#This Row],[HomeForecast]])^2</f>
        <v>11.344581545754631</v>
      </c>
    </row>
    <row r="229" spans="4:10" x14ac:dyDescent="0.2">
      <c r="D229" t="s">
        <v>18</v>
      </c>
      <c r="E229">
        <f>'NHL2025-26Results'!C224</f>
        <v>3</v>
      </c>
      <c r="F229" t="s">
        <v>24</v>
      </c>
      <c r="G229">
        <f>'NHL2025-26Results'!E224</f>
        <v>4</v>
      </c>
      <c r="H229">
        <f>Table3[[#This Row],[G_1]]-Table3[[#This Row],[G]]</f>
        <v>1</v>
      </c>
      <c r="I229">
        <f>HomeEdge+VLOOKUP(Table3[[#This Row],[Home]],$A$6:$B$38,2,FALSE)-VLOOKUP(Table3[[#This Row],[Visitor]],$A$6:$B$38,2,FALSE)</f>
        <v>1.2463907350547538</v>
      </c>
      <c r="J229">
        <f>(Table3[[#This Row],[HomeMargin]]-Table3[[#This Row],[HomeForecast]])^2</f>
        <v>6.0708394320821903E-2</v>
      </c>
    </row>
    <row r="230" spans="4:10" x14ac:dyDescent="0.2">
      <c r="D230" t="s">
        <v>27</v>
      </c>
      <c r="E230">
        <f>'NHL2025-26Results'!C225</f>
        <v>3</v>
      </c>
      <c r="F230" t="s">
        <v>29</v>
      </c>
      <c r="G230">
        <f>'NHL2025-26Results'!E225</f>
        <v>1</v>
      </c>
      <c r="H230">
        <f>Table3[[#This Row],[G_1]]-Table3[[#This Row],[G]]</f>
        <v>-2</v>
      </c>
      <c r="I230">
        <f>HomeEdge+VLOOKUP(Table3[[#This Row],[Home]],$A$6:$B$38,2,FALSE)-VLOOKUP(Table3[[#This Row],[Visitor]],$A$6:$B$38,2,FALSE)</f>
        <v>-0.67546685606936607</v>
      </c>
      <c r="J230">
        <f>(Table3[[#This Row],[HomeMargin]]-Table3[[#This Row],[HomeForecast]])^2</f>
        <v>1.7543880493707691</v>
      </c>
    </row>
    <row r="231" spans="4:10" x14ac:dyDescent="0.2">
      <c r="D231" t="s">
        <v>22</v>
      </c>
      <c r="E231">
        <f>'NHL2025-26Results'!C226</f>
        <v>3</v>
      </c>
      <c r="F231" t="s">
        <v>14</v>
      </c>
      <c r="G231">
        <f>'NHL2025-26Results'!E226</f>
        <v>5</v>
      </c>
      <c r="H231">
        <f>Table3[[#This Row],[G_1]]-Table3[[#This Row],[G]]</f>
        <v>2</v>
      </c>
      <c r="I231">
        <f>HomeEdge+VLOOKUP(Table3[[#This Row],[Home]],$A$6:$B$38,2,FALSE)-VLOOKUP(Table3[[#This Row],[Visitor]],$A$6:$B$38,2,FALSE)</f>
        <v>0.48677206107786014</v>
      </c>
      <c r="J231">
        <f>(Table3[[#This Row],[HomeMargin]]-Table3[[#This Row],[HomeForecast]])^2</f>
        <v>2.2898587951345477</v>
      </c>
    </row>
    <row r="232" spans="4:10" x14ac:dyDescent="0.2">
      <c r="D232" t="s">
        <v>37</v>
      </c>
      <c r="E232">
        <f>'NHL2025-26Results'!C227</f>
        <v>6</v>
      </c>
      <c r="F232" t="s">
        <v>20</v>
      </c>
      <c r="G232">
        <f>'NHL2025-26Results'!E227</f>
        <v>3</v>
      </c>
      <c r="H232">
        <f>Table3[[#This Row],[G_1]]-Table3[[#This Row],[G]]</f>
        <v>-3</v>
      </c>
      <c r="I232">
        <f>HomeEdge+VLOOKUP(Table3[[#This Row],[Home]],$A$6:$B$38,2,FALSE)-VLOOKUP(Table3[[#This Row],[Visitor]],$A$6:$B$38,2,FALSE)</f>
        <v>0.27502931042836043</v>
      </c>
      <c r="J232">
        <f>(Table3[[#This Row],[HomeMargin]]-Table3[[#This Row],[HomeForecast]])^2</f>
        <v>10.725816984164862</v>
      </c>
    </row>
    <row r="233" spans="4:10" x14ac:dyDescent="0.2">
      <c r="D233" t="s">
        <v>10</v>
      </c>
      <c r="E233">
        <f>'NHL2025-26Results'!C228</f>
        <v>4</v>
      </c>
      <c r="F233" t="s">
        <v>16</v>
      </c>
      <c r="G233">
        <f>'NHL2025-26Results'!E228</f>
        <v>0</v>
      </c>
      <c r="H233">
        <f>Table3[[#This Row],[G_1]]-Table3[[#This Row],[G]]</f>
        <v>-4</v>
      </c>
      <c r="I233">
        <f>HomeEdge+VLOOKUP(Table3[[#This Row],[Home]],$A$6:$B$38,2,FALSE)-VLOOKUP(Table3[[#This Row],[Visitor]],$A$6:$B$38,2,FALSE)</f>
        <v>-1.5335057909554162</v>
      </c>
      <c r="J233">
        <f>(Table3[[#This Row],[HomeMargin]]-Table3[[#This Row],[HomeForecast]])^2</f>
        <v>6.0835936832504673</v>
      </c>
    </row>
    <row r="234" spans="4:10" x14ac:dyDescent="0.2">
      <c r="D234" t="s">
        <v>15</v>
      </c>
      <c r="E234">
        <f>'NHL2025-26Results'!C229</f>
        <v>4</v>
      </c>
      <c r="F234" t="s">
        <v>26</v>
      </c>
      <c r="G234">
        <f>'NHL2025-26Results'!E229</f>
        <v>1</v>
      </c>
      <c r="H234">
        <f>Table3[[#This Row],[G_1]]-Table3[[#This Row],[G]]</f>
        <v>-3</v>
      </c>
      <c r="I234">
        <f>HomeEdge+VLOOKUP(Table3[[#This Row],[Home]],$A$6:$B$38,2,FALSE)-VLOOKUP(Table3[[#This Row],[Visitor]],$A$6:$B$38,2,FALSE)</f>
        <v>-4.3874870426949597E-2</v>
      </c>
      <c r="J234">
        <f>(Table3[[#This Row],[HomeMargin]]-Table3[[#This Row],[HomeForecast]])^2</f>
        <v>8.7386757816932832</v>
      </c>
    </row>
    <row r="235" spans="4:10" x14ac:dyDescent="0.2">
      <c r="D235" t="s">
        <v>34</v>
      </c>
      <c r="E235">
        <f>'NHL2025-26Results'!C230</f>
        <v>5</v>
      </c>
      <c r="F235" t="s">
        <v>30</v>
      </c>
      <c r="G235">
        <f>'NHL2025-26Results'!E230</f>
        <v>2</v>
      </c>
      <c r="H235">
        <f>Table3[[#This Row],[G_1]]-Table3[[#This Row],[G]]</f>
        <v>-3</v>
      </c>
      <c r="I235">
        <f>HomeEdge+VLOOKUP(Table3[[#This Row],[Home]],$A$6:$B$38,2,FALSE)-VLOOKUP(Table3[[#This Row],[Visitor]],$A$6:$B$38,2,FALSE)</f>
        <v>0.63434575724961384</v>
      </c>
      <c r="J235">
        <f>(Table3[[#This Row],[HomeMargin]]-Table3[[#This Row],[HomeForecast]])^2</f>
        <v>13.208469083238269</v>
      </c>
    </row>
    <row r="236" spans="4:10" x14ac:dyDescent="0.2">
      <c r="D236" t="s">
        <v>40</v>
      </c>
      <c r="E236">
        <f>'NHL2025-26Results'!C231</f>
        <v>1</v>
      </c>
      <c r="F236" t="s">
        <v>33</v>
      </c>
      <c r="G236">
        <f>'NHL2025-26Results'!E231</f>
        <v>2</v>
      </c>
      <c r="H236">
        <f>Table3[[#This Row],[G_1]]-Table3[[#This Row],[G]]</f>
        <v>1</v>
      </c>
      <c r="I236">
        <f>HomeEdge+VLOOKUP(Table3[[#This Row],[Home]],$A$6:$B$38,2,FALSE)-VLOOKUP(Table3[[#This Row],[Visitor]],$A$6:$B$38,2,FALSE)</f>
        <v>-0.33671472124753143</v>
      </c>
      <c r="J236">
        <f>(Table3[[#This Row],[HomeMargin]]-Table3[[#This Row],[HomeForecast]])^2</f>
        <v>1.7868062459998657</v>
      </c>
    </row>
    <row r="237" spans="4:10" x14ac:dyDescent="0.2">
      <c r="D237" t="s">
        <v>23</v>
      </c>
      <c r="E237">
        <f>'NHL2025-26Results'!C232</f>
        <v>3</v>
      </c>
      <c r="F237" t="s">
        <v>25</v>
      </c>
      <c r="G237">
        <f>'NHL2025-26Results'!E232</f>
        <v>6</v>
      </c>
      <c r="H237">
        <f>Table3[[#This Row],[G_1]]-Table3[[#This Row],[G]]</f>
        <v>3</v>
      </c>
      <c r="I237">
        <f>HomeEdge+VLOOKUP(Table3[[#This Row],[Home]],$A$6:$B$38,2,FALSE)-VLOOKUP(Table3[[#This Row],[Visitor]],$A$6:$B$38,2,FALSE)</f>
        <v>1.7028527583361734</v>
      </c>
      <c r="J237">
        <f>(Table3[[#This Row],[HomeMargin]]-Table3[[#This Row],[HomeForecast]])^2</f>
        <v>1.6825909665560737</v>
      </c>
    </row>
    <row r="238" spans="4:10" x14ac:dyDescent="0.2">
      <c r="D238" t="s">
        <v>12</v>
      </c>
      <c r="E238">
        <f>'NHL2025-26Results'!C233</f>
        <v>9</v>
      </c>
      <c r="F238" t="s">
        <v>17</v>
      </c>
      <c r="G238">
        <f>'NHL2025-26Results'!E233</f>
        <v>1</v>
      </c>
      <c r="H238">
        <f>Table3[[#This Row],[G_1]]-Table3[[#This Row],[G]]</f>
        <v>-8</v>
      </c>
      <c r="I238">
        <f>HomeEdge+VLOOKUP(Table3[[#This Row],[Home]],$A$6:$B$38,2,FALSE)-VLOOKUP(Table3[[#This Row],[Visitor]],$A$6:$B$38,2,FALSE)</f>
        <v>-2.0047370908623012</v>
      </c>
      <c r="J238">
        <f>(Table3[[#This Row],[HomeMargin]]-Table3[[#This Row],[HomeForecast]])^2</f>
        <v>35.943177349682223</v>
      </c>
    </row>
    <row r="239" spans="4:10" x14ac:dyDescent="0.2">
      <c r="D239" t="s">
        <v>55</v>
      </c>
      <c r="E239">
        <f>'NHL2025-26Results'!C234</f>
        <v>2</v>
      </c>
      <c r="F239" t="s">
        <v>18</v>
      </c>
      <c r="G239">
        <f>'NHL2025-26Results'!E234</f>
        <v>6</v>
      </c>
      <c r="H239">
        <f>Table3[[#This Row],[G_1]]-Table3[[#This Row],[G]]</f>
        <v>4</v>
      </c>
      <c r="I239">
        <f>HomeEdge+VLOOKUP(Table3[[#This Row],[Home]],$A$6:$B$38,2,FALSE)-VLOOKUP(Table3[[#This Row],[Visitor]],$A$6:$B$38,2,FALSE)</f>
        <v>-0.23968183280764579</v>
      </c>
      <c r="J239">
        <f>(Table3[[#This Row],[HomeMargin]]-Table3[[#This Row],[HomeForecast]])^2</f>
        <v>17.974902043439201</v>
      </c>
    </row>
    <row r="240" spans="4:10" x14ac:dyDescent="0.2">
      <c r="D240" t="s">
        <v>14</v>
      </c>
      <c r="E240">
        <f>'NHL2025-26Results'!C235</f>
        <v>1</v>
      </c>
      <c r="F240" t="s">
        <v>24</v>
      </c>
      <c r="G240">
        <f>'NHL2025-26Results'!E235</f>
        <v>2</v>
      </c>
      <c r="H240">
        <f>Table3[[#This Row],[G_1]]-Table3[[#This Row],[G]]</f>
        <v>1</v>
      </c>
      <c r="I240">
        <f>HomeEdge+VLOOKUP(Table3[[#This Row],[Home]],$A$6:$B$38,2,FALSE)-VLOOKUP(Table3[[#This Row],[Visitor]],$A$6:$B$38,2,FALSE)</f>
        <v>0.45912256110751437</v>
      </c>
      <c r="J240">
        <f>(Table3[[#This Row],[HomeMargin]]-Table3[[#This Row],[HomeForecast]])^2</f>
        <v>0.29254840390289455</v>
      </c>
    </row>
    <row r="241" spans="4:10" x14ac:dyDescent="0.2">
      <c r="D241" t="s">
        <v>39</v>
      </c>
      <c r="E241">
        <f>'NHL2025-26Results'!C236</f>
        <v>5</v>
      </c>
      <c r="F241" t="s">
        <v>29</v>
      </c>
      <c r="G241">
        <f>'NHL2025-26Results'!E236</f>
        <v>4</v>
      </c>
      <c r="H241">
        <f>Table3[[#This Row],[G_1]]-Table3[[#This Row],[G]]</f>
        <v>-1</v>
      </c>
      <c r="I241">
        <f>HomeEdge+VLOOKUP(Table3[[#This Row],[Home]],$A$6:$B$38,2,FALSE)-VLOOKUP(Table3[[#This Row],[Visitor]],$A$6:$B$38,2,FALSE)</f>
        <v>-1.3871481016560152</v>
      </c>
      <c r="J241">
        <f>(Table3[[#This Row],[HomeMargin]]-Table3[[#This Row],[HomeForecast]])^2</f>
        <v>0.14988365261585629</v>
      </c>
    </row>
    <row r="242" spans="4:10" x14ac:dyDescent="0.2">
      <c r="D242" t="s">
        <v>30</v>
      </c>
      <c r="E242">
        <f>'NHL2025-26Results'!C237</f>
        <v>5</v>
      </c>
      <c r="F242" t="s">
        <v>15</v>
      </c>
      <c r="G242">
        <f>'NHL2025-26Results'!E237</f>
        <v>0</v>
      </c>
      <c r="H242">
        <f>Table3[[#This Row],[G_1]]-Table3[[#This Row],[G]]</f>
        <v>-5</v>
      </c>
      <c r="I242">
        <f>HomeEdge+VLOOKUP(Table3[[#This Row],[Home]],$A$6:$B$38,2,FALSE)-VLOOKUP(Table3[[#This Row],[Visitor]],$A$6:$B$38,2,FALSE)</f>
        <v>-7.9894782549712592E-2</v>
      </c>
      <c r="J242">
        <f>(Table3[[#This Row],[HomeMargin]]-Table3[[#This Row],[HomeForecast]])^2</f>
        <v>24.207435350781541</v>
      </c>
    </row>
    <row r="243" spans="4:10" x14ac:dyDescent="0.2">
      <c r="D243" t="s">
        <v>36</v>
      </c>
      <c r="E243">
        <f>'NHL2025-26Results'!C238</f>
        <v>3</v>
      </c>
      <c r="F243" t="s">
        <v>27</v>
      </c>
      <c r="G243">
        <f>'NHL2025-26Results'!E238</f>
        <v>2</v>
      </c>
      <c r="H243">
        <f>Table3[[#This Row],[G_1]]-Table3[[#This Row],[G]]</f>
        <v>-1</v>
      </c>
      <c r="I243">
        <f>HomeEdge+VLOOKUP(Table3[[#This Row],[Home]],$A$6:$B$38,2,FALSE)-VLOOKUP(Table3[[#This Row],[Visitor]],$A$6:$B$38,2,FALSE)</f>
        <v>5.5505880421850728E-2</v>
      </c>
      <c r="J243">
        <f>(Table3[[#This Row],[HomeMargin]]-Table3[[#This Row],[HomeForecast]])^2</f>
        <v>1.1140926636051061</v>
      </c>
    </row>
    <row r="244" spans="4:10" x14ac:dyDescent="0.2">
      <c r="D244" t="s">
        <v>11</v>
      </c>
      <c r="E244">
        <f>'NHL2025-26Results'!C239</f>
        <v>1</v>
      </c>
      <c r="F244" t="s">
        <v>33</v>
      </c>
      <c r="G244">
        <f>'NHL2025-26Results'!E239</f>
        <v>3</v>
      </c>
      <c r="H244">
        <f>Table3[[#This Row],[G_1]]-Table3[[#This Row],[G]]</f>
        <v>2</v>
      </c>
      <c r="I244">
        <f>HomeEdge+VLOOKUP(Table3[[#This Row],[Home]],$A$6:$B$38,2,FALSE)-VLOOKUP(Table3[[#This Row],[Visitor]],$A$6:$B$38,2,FALSE)</f>
        <v>4.9449776053675121E-2</v>
      </c>
      <c r="J244">
        <f>(Table3[[#This Row],[HomeMargin]]-Table3[[#This Row],[HomeForecast]])^2</f>
        <v>3.8046461761370578</v>
      </c>
    </row>
    <row r="245" spans="4:10" x14ac:dyDescent="0.2">
      <c r="D245" t="s">
        <v>32</v>
      </c>
      <c r="E245">
        <f>'NHL2025-26Results'!C240</f>
        <v>4</v>
      </c>
      <c r="F245" t="s">
        <v>35</v>
      </c>
      <c r="G245">
        <f>'NHL2025-26Results'!E240</f>
        <v>3</v>
      </c>
      <c r="H245">
        <f>Table3[[#This Row],[G_1]]-Table3[[#This Row],[G]]</f>
        <v>-1</v>
      </c>
      <c r="I245">
        <f>HomeEdge+VLOOKUP(Table3[[#This Row],[Home]],$A$6:$B$38,2,FALSE)-VLOOKUP(Table3[[#This Row],[Visitor]],$A$6:$B$38,2,FALSE)</f>
        <v>-1.0972238051973391</v>
      </c>
      <c r="J245">
        <f>(Table3[[#This Row],[HomeMargin]]-Table3[[#This Row],[HomeForecast]])^2</f>
        <v>9.4524682970501383E-3</v>
      </c>
    </row>
    <row r="246" spans="4:10" x14ac:dyDescent="0.2">
      <c r="D246" t="s">
        <v>22</v>
      </c>
      <c r="E246">
        <f>'NHL2025-26Results'!C241</f>
        <v>2</v>
      </c>
      <c r="F246" t="s">
        <v>37</v>
      </c>
      <c r="G246">
        <f>'NHL2025-26Results'!E241</f>
        <v>3</v>
      </c>
      <c r="H246">
        <f>Table3[[#This Row],[G_1]]-Table3[[#This Row],[G]]</f>
        <v>1</v>
      </c>
      <c r="I246">
        <f>HomeEdge+VLOOKUP(Table3[[#This Row],[Home]],$A$6:$B$38,2,FALSE)-VLOOKUP(Table3[[#This Row],[Visitor]],$A$6:$B$38,2,FALSE)</f>
        <v>0.11078669047286918</v>
      </c>
      <c r="J246">
        <f>(Table3[[#This Row],[HomeMargin]]-Table3[[#This Row],[HomeForecast]])^2</f>
        <v>0.79070030984019302</v>
      </c>
    </row>
    <row r="247" spans="4:10" x14ac:dyDescent="0.2">
      <c r="D247" t="s">
        <v>21</v>
      </c>
      <c r="E247">
        <f>'NHL2025-26Results'!C242</f>
        <v>5</v>
      </c>
      <c r="F247" t="s">
        <v>19</v>
      </c>
      <c r="G247">
        <f>'NHL2025-26Results'!E242</f>
        <v>3</v>
      </c>
      <c r="H247">
        <f>Table3[[#This Row],[G_1]]-Table3[[#This Row],[G]]</f>
        <v>-2</v>
      </c>
      <c r="I247">
        <f>HomeEdge+VLOOKUP(Table3[[#This Row],[Home]],$A$6:$B$38,2,FALSE)-VLOOKUP(Table3[[#This Row],[Visitor]],$A$6:$B$38,2,FALSE)</f>
        <v>-0.51328465296422654</v>
      </c>
      <c r="J247">
        <f>(Table3[[#This Row],[HomeMargin]]-Table3[[#This Row],[HomeForecast]])^2</f>
        <v>2.2103225231117003</v>
      </c>
    </row>
    <row r="248" spans="4:10" x14ac:dyDescent="0.2">
      <c r="D248" t="s">
        <v>28</v>
      </c>
      <c r="E248">
        <f>'NHL2025-26Results'!C243</f>
        <v>3</v>
      </c>
      <c r="F248" t="s">
        <v>38</v>
      </c>
      <c r="G248">
        <f>'NHL2025-26Results'!E243</f>
        <v>4</v>
      </c>
      <c r="H248">
        <f>Table3[[#This Row],[G_1]]-Table3[[#This Row],[G]]</f>
        <v>1</v>
      </c>
      <c r="I248">
        <f>HomeEdge+VLOOKUP(Table3[[#This Row],[Home]],$A$6:$B$38,2,FALSE)-VLOOKUP(Table3[[#This Row],[Visitor]],$A$6:$B$38,2,FALSE)</f>
        <v>-0.11941373061807914</v>
      </c>
      <c r="J248">
        <f>(Table3[[#This Row],[HomeMargin]]-Table3[[#This Row],[HomeForecast]])^2</f>
        <v>1.2530871002962853</v>
      </c>
    </row>
    <row r="249" spans="4:10" x14ac:dyDescent="0.2">
      <c r="D249" t="s">
        <v>31</v>
      </c>
      <c r="E249">
        <f>'NHL2025-26Results'!C244</f>
        <v>4</v>
      </c>
      <c r="F249" t="s">
        <v>20</v>
      </c>
      <c r="G249">
        <f>'NHL2025-26Results'!E244</f>
        <v>3</v>
      </c>
      <c r="H249">
        <f>Table3[[#This Row],[G_1]]-Table3[[#This Row],[G]]</f>
        <v>-1</v>
      </c>
      <c r="I249">
        <f>HomeEdge+VLOOKUP(Table3[[#This Row],[Home]],$A$6:$B$38,2,FALSE)-VLOOKUP(Table3[[#This Row],[Visitor]],$A$6:$B$38,2,FALSE)</f>
        <v>-0.3558206115334015</v>
      </c>
      <c r="J249">
        <f>(Table3[[#This Row],[HomeMargin]]-Table3[[#This Row],[HomeForecast]])^2</f>
        <v>0.41496708452520081</v>
      </c>
    </row>
    <row r="250" spans="4:10" x14ac:dyDescent="0.2">
      <c r="D250" t="s">
        <v>40</v>
      </c>
      <c r="E250">
        <f>'NHL2025-26Results'!C245</f>
        <v>1</v>
      </c>
      <c r="F250" t="s">
        <v>31</v>
      </c>
      <c r="G250">
        <f>'NHL2025-26Results'!E245</f>
        <v>4</v>
      </c>
      <c r="H250">
        <f>Table3[[#This Row],[G_1]]-Table3[[#This Row],[G]]</f>
        <v>3</v>
      </c>
      <c r="I250">
        <f>HomeEdge+VLOOKUP(Table3[[#This Row],[Home]],$A$6:$B$38,2,FALSE)-VLOOKUP(Table3[[#This Row],[Visitor]],$A$6:$B$38,2,FALSE)</f>
        <v>0.57522251457808138</v>
      </c>
      <c r="J250">
        <f>(Table3[[#This Row],[HomeMargin]]-Table3[[#This Row],[HomeForecast]])^2</f>
        <v>5.8795458538090415</v>
      </c>
    </row>
    <row r="251" spans="4:10" x14ac:dyDescent="0.2">
      <c r="D251" t="s">
        <v>32</v>
      </c>
      <c r="E251">
        <f>'NHL2025-26Results'!C246</f>
        <v>1</v>
      </c>
      <c r="F251" t="s">
        <v>39</v>
      </c>
      <c r="G251">
        <f>'NHL2025-26Results'!E246</f>
        <v>2</v>
      </c>
      <c r="H251">
        <f>Table3[[#This Row],[G_1]]-Table3[[#This Row],[G]]</f>
        <v>1</v>
      </c>
      <c r="I251">
        <f>HomeEdge+VLOOKUP(Table3[[#This Row],[Home]],$A$6:$B$38,2,FALSE)-VLOOKUP(Table3[[#This Row],[Visitor]],$A$6:$B$38,2,FALSE)</f>
        <v>0.72202895945303447</v>
      </c>
      <c r="J251">
        <f>(Table3[[#This Row],[HomeMargin]]-Table3[[#This Row],[HomeForecast]])^2</f>
        <v>7.7267899382762753E-2</v>
      </c>
    </row>
    <row r="252" spans="4:10" x14ac:dyDescent="0.2">
      <c r="D252" t="s">
        <v>10</v>
      </c>
      <c r="E252">
        <f>'NHL2025-26Results'!C247</f>
        <v>5</v>
      </c>
      <c r="F252" t="s">
        <v>26</v>
      </c>
      <c r="G252">
        <f>'NHL2025-26Results'!E247</f>
        <v>1</v>
      </c>
      <c r="H252">
        <f>Table3[[#This Row],[G_1]]-Table3[[#This Row],[G]]</f>
        <v>-4</v>
      </c>
      <c r="I252">
        <f>HomeEdge+VLOOKUP(Table3[[#This Row],[Home]],$A$6:$B$38,2,FALSE)-VLOOKUP(Table3[[#This Row],[Visitor]],$A$6:$B$38,2,FALSE)</f>
        <v>-0.65678121179554139</v>
      </c>
      <c r="J252">
        <f>(Table3[[#This Row],[HomeMargin]]-Table3[[#This Row],[HomeForecast]])^2</f>
        <v>11.177111865803287</v>
      </c>
    </row>
    <row r="253" spans="4:10" x14ac:dyDescent="0.2">
      <c r="D253" t="s">
        <v>16</v>
      </c>
      <c r="E253">
        <f>'NHL2025-26Results'!C248</f>
        <v>0</v>
      </c>
      <c r="F253" t="s">
        <v>34</v>
      </c>
      <c r="G253">
        <f>'NHL2025-26Results'!E248</f>
        <v>2</v>
      </c>
      <c r="H253">
        <f>Table3[[#This Row],[G_1]]-Table3[[#This Row],[G]]</f>
        <v>2</v>
      </c>
      <c r="I253">
        <f>HomeEdge+VLOOKUP(Table3[[#This Row],[Home]],$A$6:$B$38,2,FALSE)-VLOOKUP(Table3[[#This Row],[Visitor]],$A$6:$B$38,2,FALSE)</f>
        <v>1.0164377135361966</v>
      </c>
      <c r="J253">
        <f>(Table3[[#This Row],[HomeMargin]]-Table3[[#This Row],[HomeForecast]])^2</f>
        <v>0.96739477135390484</v>
      </c>
    </row>
    <row r="254" spans="4:10" x14ac:dyDescent="0.2">
      <c r="D254" t="s">
        <v>55</v>
      </c>
      <c r="E254">
        <f>'NHL2025-26Results'!C249</f>
        <v>2</v>
      </c>
      <c r="F254" t="s">
        <v>36</v>
      </c>
      <c r="G254">
        <f>'NHL2025-26Results'!E249</f>
        <v>4</v>
      </c>
      <c r="H254">
        <f>Table3[[#This Row],[G_1]]-Table3[[#This Row],[G]]</f>
        <v>2</v>
      </c>
      <c r="I254">
        <f>HomeEdge+VLOOKUP(Table3[[#This Row],[Home]],$A$6:$B$38,2,FALSE)-VLOOKUP(Table3[[#This Row],[Visitor]],$A$6:$B$38,2,FALSE)</f>
        <v>-0.12182404652307197</v>
      </c>
      <c r="J254">
        <f>(Table3[[#This Row],[HomeMargin]]-Table3[[#This Row],[HomeForecast]])^2</f>
        <v>4.5021372844035428</v>
      </c>
    </row>
    <row r="255" spans="4:10" x14ac:dyDescent="0.2">
      <c r="D255" t="s">
        <v>13</v>
      </c>
      <c r="E255">
        <f>'NHL2025-26Results'!C250</f>
        <v>3</v>
      </c>
      <c r="F255" t="s">
        <v>14</v>
      </c>
      <c r="G255">
        <f>'NHL2025-26Results'!E250</f>
        <v>2</v>
      </c>
      <c r="H255">
        <f>Table3[[#This Row],[G_1]]-Table3[[#This Row],[G]]</f>
        <v>-1</v>
      </c>
      <c r="I255">
        <f>HomeEdge+VLOOKUP(Table3[[#This Row],[Home]],$A$6:$B$38,2,FALSE)-VLOOKUP(Table3[[#This Row],[Visitor]],$A$6:$B$38,2,FALSE)</f>
        <v>0.50092292989006926</v>
      </c>
      <c r="J255">
        <f>(Table3[[#This Row],[HomeMargin]]-Table3[[#This Row],[HomeForecast]])^2</f>
        <v>2.25276964146979</v>
      </c>
    </row>
    <row r="256" spans="4:10" x14ac:dyDescent="0.2">
      <c r="D256" t="s">
        <v>25</v>
      </c>
      <c r="E256">
        <f>'NHL2025-26Results'!C251</f>
        <v>5</v>
      </c>
      <c r="F256" t="s">
        <v>19</v>
      </c>
      <c r="G256">
        <f>'NHL2025-26Results'!E251</f>
        <v>4</v>
      </c>
      <c r="H256">
        <f>Table3[[#This Row],[G_1]]-Table3[[#This Row],[G]]</f>
        <v>-1</v>
      </c>
      <c r="I256">
        <f>HomeEdge+VLOOKUP(Table3[[#This Row],[Home]],$A$6:$B$38,2,FALSE)-VLOOKUP(Table3[[#This Row],[Visitor]],$A$6:$B$38,2,FALSE)</f>
        <v>-1.1449324462393409</v>
      </c>
      <c r="J256">
        <f>(Table3[[#This Row],[HomeMargin]]-Table3[[#This Row],[HomeForecast]])^2</f>
        <v>2.1005413972919433E-2</v>
      </c>
    </row>
    <row r="257" spans="4:10" x14ac:dyDescent="0.2">
      <c r="D257" t="s">
        <v>12</v>
      </c>
      <c r="E257">
        <f>'NHL2025-26Results'!C252</f>
        <v>5</v>
      </c>
      <c r="F257" t="s">
        <v>38</v>
      </c>
      <c r="G257">
        <f>'NHL2025-26Results'!E252</f>
        <v>4</v>
      </c>
      <c r="H257">
        <f>Table3[[#This Row],[G_1]]-Table3[[#This Row],[G]]</f>
        <v>-1</v>
      </c>
      <c r="I257">
        <f>HomeEdge+VLOOKUP(Table3[[#This Row],[Home]],$A$6:$B$38,2,FALSE)-VLOOKUP(Table3[[#This Row],[Visitor]],$A$6:$B$38,2,FALSE)</f>
        <v>-2.0751378805801388</v>
      </c>
      <c r="J257">
        <f>(Table3[[#This Row],[HomeMargin]]-Table3[[#This Row],[HomeForecast]])^2</f>
        <v>1.1559214622583529</v>
      </c>
    </row>
    <row r="258" spans="4:10" x14ac:dyDescent="0.2">
      <c r="D258" t="s">
        <v>28</v>
      </c>
      <c r="E258">
        <f>'NHL2025-26Results'!C253</f>
        <v>4</v>
      </c>
      <c r="F258" t="s">
        <v>17</v>
      </c>
      <c r="G258">
        <f>'NHL2025-26Results'!E253</f>
        <v>5</v>
      </c>
      <c r="H258">
        <f>Table3[[#This Row],[G_1]]-Table3[[#This Row],[G]]</f>
        <v>1</v>
      </c>
      <c r="I258">
        <f>HomeEdge+VLOOKUP(Table3[[#This Row],[Home]],$A$6:$B$38,2,FALSE)-VLOOKUP(Table3[[#This Row],[Visitor]],$A$6:$B$38,2,FALSE)</f>
        <v>-4.9012940900241664E-2</v>
      </c>
      <c r="J258">
        <f>(Table3[[#This Row],[HomeMargin]]-Table3[[#This Row],[HomeForecast]])^2</f>
        <v>1.1004281501761737</v>
      </c>
    </row>
    <row r="259" spans="4:10" x14ac:dyDescent="0.2">
      <c r="D259" t="s">
        <v>30</v>
      </c>
      <c r="E259">
        <f>'NHL2025-26Results'!C254</f>
        <v>3</v>
      </c>
      <c r="F259" t="s">
        <v>24</v>
      </c>
      <c r="G259">
        <f>'NHL2025-26Results'!E254</f>
        <v>2</v>
      </c>
      <c r="H259">
        <f>Table3[[#This Row],[G_1]]-Table3[[#This Row],[G]]</f>
        <v>-1</v>
      </c>
      <c r="I259">
        <f>HomeEdge+VLOOKUP(Table3[[#This Row],[Home]],$A$6:$B$38,2,FALSE)-VLOOKUP(Table3[[#This Row],[Visitor]],$A$6:$B$38,2,FALSE)</f>
        <v>0.7867430338546304</v>
      </c>
      <c r="J259">
        <f>(Table3[[#This Row],[HomeMargin]]-Table3[[#This Row],[HomeForecast]])^2</f>
        <v>3.192450669028049</v>
      </c>
    </row>
    <row r="260" spans="4:10" x14ac:dyDescent="0.2">
      <c r="D260" t="s">
        <v>29</v>
      </c>
      <c r="E260">
        <f>'NHL2025-26Results'!C255</f>
        <v>3</v>
      </c>
      <c r="F260" t="s">
        <v>15</v>
      </c>
      <c r="G260">
        <f>'NHL2025-26Results'!E255</f>
        <v>6</v>
      </c>
      <c r="H260">
        <f>Table3[[#This Row],[G_1]]-Table3[[#This Row],[G]]</f>
        <v>3</v>
      </c>
      <c r="I260">
        <f>HomeEdge+VLOOKUP(Table3[[#This Row],[Home]],$A$6:$B$38,2,FALSE)-VLOOKUP(Table3[[#This Row],[Visitor]],$A$6:$B$38,2,FALSE)</f>
        <v>1.207000727337989</v>
      </c>
      <c r="J260">
        <f>(Table3[[#This Row],[HomeMargin]]-Table3[[#This Row],[HomeForecast]])^2</f>
        <v>3.2148463917665002</v>
      </c>
    </row>
    <row r="261" spans="4:10" x14ac:dyDescent="0.2">
      <c r="D261" t="s">
        <v>11</v>
      </c>
      <c r="E261">
        <f>'NHL2025-26Results'!C256</f>
        <v>3</v>
      </c>
      <c r="F261" t="s">
        <v>20</v>
      </c>
      <c r="G261">
        <f>'NHL2025-26Results'!E256</f>
        <v>2</v>
      </c>
      <c r="H261">
        <f>Table3[[#This Row],[G_1]]-Table3[[#This Row],[G]]</f>
        <v>-1</v>
      </c>
      <c r="I261">
        <f>HomeEdge+VLOOKUP(Table3[[#This Row],[Home]],$A$6:$B$38,2,FALSE)-VLOOKUP(Table3[[#This Row],[Visitor]],$A$6:$B$38,2,FALSE)</f>
        <v>0.4429940906835681</v>
      </c>
      <c r="J261">
        <f>(Table3[[#This Row],[HomeMargin]]-Table3[[#This Row],[HomeForecast]])^2</f>
        <v>2.0822319457476977</v>
      </c>
    </row>
    <row r="262" spans="4:10" x14ac:dyDescent="0.2">
      <c r="D262" t="s">
        <v>19</v>
      </c>
      <c r="E262">
        <f>'NHL2025-26Results'!C257</f>
        <v>3</v>
      </c>
      <c r="F262" t="s">
        <v>21</v>
      </c>
      <c r="G262">
        <f>'NHL2025-26Results'!E257</f>
        <v>5</v>
      </c>
      <c r="H262">
        <f>Table3[[#This Row],[G_1]]-Table3[[#This Row],[G]]</f>
        <v>2</v>
      </c>
      <c r="I262">
        <f>HomeEdge+VLOOKUP(Table3[[#This Row],[Home]],$A$6:$B$38,2,FALSE)-VLOOKUP(Table3[[#This Row],[Visitor]],$A$6:$B$38,2,FALSE)</f>
        <v>0.83842927228886333</v>
      </c>
      <c r="J262">
        <f>(Table3[[#This Row],[HomeMargin]]-Table3[[#This Row],[HomeForecast]])^2</f>
        <v>1.3492465554753796</v>
      </c>
    </row>
    <row r="263" spans="4:10" x14ac:dyDescent="0.2">
      <c r="D263" t="s">
        <v>22</v>
      </c>
      <c r="E263">
        <f>'NHL2025-26Results'!C258</f>
        <v>4</v>
      </c>
      <c r="F263" t="s">
        <v>25</v>
      </c>
      <c r="G263">
        <f>'NHL2025-26Results'!E258</f>
        <v>1</v>
      </c>
      <c r="H263">
        <f>Table3[[#This Row],[G_1]]-Table3[[#This Row],[G]]</f>
        <v>-3</v>
      </c>
      <c r="I263">
        <f>HomeEdge+VLOOKUP(Table3[[#This Row],[Home]],$A$6:$B$38,2,FALSE)-VLOOKUP(Table3[[#This Row],[Visitor]],$A$6:$B$38,2,FALSE)</f>
        <v>0.89582036157278122</v>
      </c>
      <c r="J263">
        <f>(Table3[[#This Row],[HomeMargin]]-Table3[[#This Row],[HomeForecast]])^2</f>
        <v>15.177416289645075</v>
      </c>
    </row>
    <row r="264" spans="4:10" x14ac:dyDescent="0.2">
      <c r="D264" t="s">
        <v>31</v>
      </c>
      <c r="E264">
        <f>'NHL2025-26Results'!C259</f>
        <v>1</v>
      </c>
      <c r="F264" t="s">
        <v>12</v>
      </c>
      <c r="G264">
        <f>'NHL2025-26Results'!E259</f>
        <v>4</v>
      </c>
      <c r="H264">
        <f>Table3[[#This Row],[G_1]]-Table3[[#This Row],[G]]</f>
        <v>3</v>
      </c>
      <c r="I264">
        <f>HomeEdge+VLOOKUP(Table3[[#This Row],[Home]],$A$6:$B$38,2,FALSE)-VLOOKUP(Table3[[#This Row],[Visitor]],$A$6:$B$38,2,FALSE)</f>
        <v>1.1923182055257673</v>
      </c>
      <c r="J264">
        <f>(Table3[[#This Row],[HomeMargin]]-Table3[[#This Row],[HomeForecast]])^2</f>
        <v>3.2677134700735819</v>
      </c>
    </row>
    <row r="265" spans="4:10" x14ac:dyDescent="0.2">
      <c r="D265" t="s">
        <v>33</v>
      </c>
      <c r="E265">
        <f>'NHL2025-26Results'!C260</f>
        <v>2</v>
      </c>
      <c r="F265" t="s">
        <v>34</v>
      </c>
      <c r="G265">
        <f>'NHL2025-26Results'!E260</f>
        <v>1</v>
      </c>
      <c r="H265">
        <f>Table3[[#This Row],[G_1]]-Table3[[#This Row],[G]]</f>
        <v>-1</v>
      </c>
      <c r="I265">
        <f>HomeEdge+VLOOKUP(Table3[[#This Row],[Home]],$A$6:$B$38,2,FALSE)-VLOOKUP(Table3[[#This Row],[Visitor]],$A$6:$B$38,2,FALSE)</f>
        <v>2.0251073796748786E-2</v>
      </c>
      <c r="J265">
        <f>(Table3[[#This Row],[HomeMargin]]-Table3[[#This Row],[HomeForecast]])^2</f>
        <v>1.0409122535834188</v>
      </c>
    </row>
    <row r="266" spans="4:10" x14ac:dyDescent="0.2">
      <c r="D266" t="s">
        <v>13</v>
      </c>
      <c r="E266">
        <f>'NHL2025-26Results'!C261</f>
        <v>5</v>
      </c>
      <c r="F266" t="s">
        <v>18</v>
      </c>
      <c r="G266">
        <f>'NHL2025-26Results'!E261</f>
        <v>1</v>
      </c>
      <c r="H266">
        <f>Table3[[#This Row],[G_1]]-Table3[[#This Row],[G]]</f>
        <v>-4</v>
      </c>
      <c r="I266">
        <f>HomeEdge+VLOOKUP(Table3[[#This Row],[Home]],$A$6:$B$38,2,FALSE)-VLOOKUP(Table3[[#This Row],[Visitor]],$A$6:$B$38,2,FALSE)</f>
        <v>-0.28634524405717016</v>
      </c>
      <c r="J266">
        <f>(Table3[[#This Row],[HomeMargin]]-Table3[[#This Row],[HomeForecast]])^2</f>
        <v>13.791231646336797</v>
      </c>
    </row>
    <row r="267" spans="4:10" x14ac:dyDescent="0.2">
      <c r="D267" t="s">
        <v>39</v>
      </c>
      <c r="E267">
        <f>'NHL2025-26Results'!C262</f>
        <v>3</v>
      </c>
      <c r="F267" t="s">
        <v>36</v>
      </c>
      <c r="G267">
        <f>'NHL2025-26Results'!E262</f>
        <v>2</v>
      </c>
      <c r="H267">
        <f>Table3[[#This Row],[G_1]]-Table3[[#This Row],[G]]</f>
        <v>-1</v>
      </c>
      <c r="I267">
        <f>HomeEdge+VLOOKUP(Table3[[#This Row],[Home]],$A$6:$B$38,2,FALSE)-VLOOKUP(Table3[[#This Row],[Visitor]],$A$6:$B$38,2,FALSE)</f>
        <v>-0.44204250668386313</v>
      </c>
      <c r="J267">
        <f>(Table3[[#This Row],[HomeMargin]]-Table3[[#This Row],[HomeForecast]])^2</f>
        <v>0.31131656434762689</v>
      </c>
    </row>
    <row r="268" spans="4:10" x14ac:dyDescent="0.2">
      <c r="D268" t="s">
        <v>28</v>
      </c>
      <c r="E268">
        <f>'NHL2025-26Results'!C263</f>
        <v>2</v>
      </c>
      <c r="F268" t="s">
        <v>32</v>
      </c>
      <c r="G268">
        <f>'NHL2025-26Results'!E263</f>
        <v>1</v>
      </c>
      <c r="H268">
        <f>Table3[[#This Row],[G_1]]-Table3[[#This Row],[G]]</f>
        <v>-1</v>
      </c>
      <c r="I268">
        <f>HomeEdge+VLOOKUP(Table3[[#This Row],[Home]],$A$6:$B$38,2,FALSE)-VLOOKUP(Table3[[#This Row],[Visitor]],$A$6:$B$38,2,FALSE)</f>
        <v>0.20943379129695816</v>
      </c>
      <c r="J268">
        <f>(Table3[[#This Row],[HomeMargin]]-Table3[[#This Row],[HomeForecast]])^2</f>
        <v>1.4627300955309341</v>
      </c>
    </row>
    <row r="269" spans="4:10" x14ac:dyDescent="0.2">
      <c r="D269" t="s">
        <v>16</v>
      </c>
      <c r="E269">
        <f>'NHL2025-26Results'!C264</f>
        <v>2</v>
      </c>
      <c r="F269" t="s">
        <v>35</v>
      </c>
      <c r="G269">
        <f>'NHL2025-26Results'!E264</f>
        <v>3</v>
      </c>
      <c r="H269">
        <f>Table3[[#This Row],[G_1]]-Table3[[#This Row],[G]]</f>
        <v>1</v>
      </c>
      <c r="I269">
        <f>HomeEdge+VLOOKUP(Table3[[#This Row],[Home]],$A$6:$B$38,2,FALSE)-VLOOKUP(Table3[[#This Row],[Visitor]],$A$6:$B$38,2,FALSE)</f>
        <v>-6.8216702096249415E-2</v>
      </c>
      <c r="J269">
        <f>(Table3[[#This Row],[HomeMargin]]-Table3[[#This Row],[HomeForecast]])^2</f>
        <v>1.1410869226373872</v>
      </c>
    </row>
    <row r="270" spans="4:10" x14ac:dyDescent="0.2">
      <c r="D270" t="s">
        <v>40</v>
      </c>
      <c r="E270">
        <f>'NHL2025-26Results'!C265</f>
        <v>5</v>
      </c>
      <c r="F270" t="s">
        <v>38</v>
      </c>
      <c r="G270">
        <f>'NHL2025-26Results'!E265</f>
        <v>3</v>
      </c>
      <c r="H270">
        <f>Table3[[#This Row],[G_1]]-Table3[[#This Row],[G]]</f>
        <v>-2</v>
      </c>
      <c r="I270">
        <f>HomeEdge+VLOOKUP(Table3[[#This Row],[Home]],$A$6:$B$38,2,FALSE)-VLOOKUP(Table3[[#This Row],[Visitor]],$A$6:$B$38,2,FALSE)</f>
        <v>-0.63274177980092694</v>
      </c>
      <c r="J270">
        <f>(Table3[[#This Row],[HomeMargin]]-Table3[[#This Row],[HomeForecast]])^2</f>
        <v>1.8693950407019368</v>
      </c>
    </row>
    <row r="271" spans="4:10" x14ac:dyDescent="0.2">
      <c r="D271" t="s">
        <v>24</v>
      </c>
      <c r="E271">
        <f>'NHL2025-26Results'!C266</f>
        <v>4</v>
      </c>
      <c r="F271" t="s">
        <v>10</v>
      </c>
      <c r="G271">
        <f>'NHL2025-26Results'!E266</f>
        <v>3</v>
      </c>
      <c r="H271">
        <f>Table3[[#This Row],[G_1]]-Table3[[#This Row],[G]]</f>
        <v>-1</v>
      </c>
      <c r="I271">
        <f>HomeEdge+VLOOKUP(Table3[[#This Row],[Home]],$A$6:$B$38,2,FALSE)-VLOOKUP(Table3[[#This Row],[Visitor]],$A$6:$B$38,2,FALSE)</f>
        <v>-9.1159165373432882E-2</v>
      </c>
      <c r="J271">
        <f>(Table3[[#This Row],[HomeMargin]]-Table3[[#This Row],[HomeForecast]])^2</f>
        <v>0.82599166268471502</v>
      </c>
    </row>
    <row r="272" spans="4:10" x14ac:dyDescent="0.2">
      <c r="D272" t="s">
        <v>17</v>
      </c>
      <c r="E272">
        <f>'NHL2025-26Results'!C267</f>
        <v>2</v>
      </c>
      <c r="F272" t="s">
        <v>27</v>
      </c>
      <c r="G272">
        <f>'NHL2025-26Results'!E267</f>
        <v>1</v>
      </c>
      <c r="H272">
        <f>Table3[[#This Row],[G_1]]-Table3[[#This Row],[G]]</f>
        <v>-1</v>
      </c>
      <c r="I272">
        <f>HomeEdge+VLOOKUP(Table3[[#This Row],[Home]],$A$6:$B$38,2,FALSE)-VLOOKUP(Table3[[#This Row],[Visitor]],$A$6:$B$38,2,FALSE)</f>
        <v>0.26879444606358505</v>
      </c>
      <c r="J272">
        <f>(Table3[[#This Row],[HomeMargin]]-Table3[[#This Row],[HomeForecast]])^2</f>
        <v>1.6098393463617993</v>
      </c>
    </row>
    <row r="273" spans="4:10" x14ac:dyDescent="0.2">
      <c r="D273" t="s">
        <v>15</v>
      </c>
      <c r="E273">
        <f>'NHL2025-26Results'!C268</f>
        <v>7</v>
      </c>
      <c r="F273" t="s">
        <v>37</v>
      </c>
      <c r="G273">
        <f>'NHL2025-26Results'!E268</f>
        <v>3</v>
      </c>
      <c r="H273">
        <f>Table3[[#This Row],[G_1]]-Table3[[#This Row],[G]]</f>
        <v>-4</v>
      </c>
      <c r="I273">
        <f>HomeEdge+VLOOKUP(Table3[[#This Row],[Home]],$A$6:$B$38,2,FALSE)-VLOOKUP(Table3[[#This Row],[Visitor]],$A$6:$B$38,2,FALSE)</f>
        <v>0.35667450401647449</v>
      </c>
      <c r="J273">
        <f>(Table3[[#This Row],[HomeMargin]]-Table3[[#This Row],[HomeForecast]])^2</f>
        <v>18.980612733947197</v>
      </c>
    </row>
    <row r="274" spans="4:10" x14ac:dyDescent="0.2">
      <c r="D274" t="s">
        <v>23</v>
      </c>
      <c r="E274">
        <f>'NHL2025-26Results'!C269</f>
        <v>2</v>
      </c>
      <c r="F274" t="s">
        <v>55</v>
      </c>
      <c r="G274">
        <f>'NHL2025-26Results'!E269</f>
        <v>5</v>
      </c>
      <c r="H274">
        <f>Table3[[#This Row],[G_1]]-Table3[[#This Row],[G]]</f>
        <v>3</v>
      </c>
      <c r="I274">
        <f>HomeEdge+VLOOKUP(Table3[[#This Row],[Home]],$A$6:$B$38,2,FALSE)-VLOOKUP(Table3[[#This Row],[Visitor]],$A$6:$B$38,2,FALSE)</f>
        <v>0.90879042636397711</v>
      </c>
      <c r="J274">
        <f>(Table3[[#This Row],[HomeMargin]]-Table3[[#This Row],[HomeForecast]])^2</f>
        <v>4.373157480866956</v>
      </c>
    </row>
    <row r="275" spans="4:10" x14ac:dyDescent="0.2">
      <c r="D275" t="s">
        <v>17</v>
      </c>
      <c r="E275">
        <f>'NHL2025-26Results'!C270</f>
        <v>4</v>
      </c>
      <c r="F275" t="s">
        <v>28</v>
      </c>
      <c r="G275">
        <f>'NHL2025-26Results'!E270</f>
        <v>5</v>
      </c>
      <c r="H275">
        <f>Table3[[#This Row],[G_1]]-Table3[[#This Row],[G]]</f>
        <v>1</v>
      </c>
      <c r="I275">
        <f>HomeEdge+VLOOKUP(Table3[[#This Row],[Home]],$A$6:$B$38,2,FALSE)-VLOOKUP(Table3[[#This Row],[Visitor]],$A$6:$B$38,2,FALSE)</f>
        <v>0.37415756022487845</v>
      </c>
      <c r="J275">
        <f>(Table3[[#This Row],[HomeMargin]]-Table3[[#This Row],[HomeForecast]])^2</f>
        <v>0.39167875942367664</v>
      </c>
    </row>
    <row r="276" spans="4:10" x14ac:dyDescent="0.2">
      <c r="D276" t="s">
        <v>33</v>
      </c>
      <c r="E276">
        <f>'NHL2025-26Results'!C271</f>
        <v>0</v>
      </c>
      <c r="F276" t="s">
        <v>16</v>
      </c>
      <c r="G276">
        <f>'NHL2025-26Results'!E271</f>
        <v>2</v>
      </c>
      <c r="H276">
        <f>Table3[[#This Row],[G_1]]-Table3[[#This Row],[G]]</f>
        <v>2</v>
      </c>
      <c r="I276">
        <f>HomeEdge+VLOOKUP(Table3[[#This Row],[Home]],$A$6:$B$38,2,FALSE)-VLOOKUP(Table3[[#This Row],[Visitor]],$A$6:$B$38,2,FALSE)</f>
        <v>-0.83361433007712948</v>
      </c>
      <c r="J276">
        <f>(Table3[[#This Row],[HomeMargin]]-Table3[[#This Row],[HomeForecast]])^2</f>
        <v>8.02937017161846</v>
      </c>
    </row>
    <row r="277" spans="4:10" x14ac:dyDescent="0.2">
      <c r="D277" t="s">
        <v>23</v>
      </c>
      <c r="E277">
        <f>'NHL2025-26Results'!C272</f>
        <v>3</v>
      </c>
      <c r="F277" t="s">
        <v>12</v>
      </c>
      <c r="G277">
        <f>'NHL2025-26Results'!E272</f>
        <v>6</v>
      </c>
      <c r="H277">
        <f>Table3[[#This Row],[G_1]]-Table3[[#This Row],[G]]</f>
        <v>3</v>
      </c>
      <c r="I277">
        <f>HomeEdge+VLOOKUP(Table3[[#This Row],[Home]],$A$6:$B$38,2,FALSE)-VLOOKUP(Table3[[#This Row],[Visitor]],$A$6:$B$38,2,FALSE)</f>
        <v>2.578414905061472</v>
      </c>
      <c r="J277">
        <f>(Table3[[#This Row],[HomeMargin]]-Table3[[#This Row],[HomeForecast]])^2</f>
        <v>0.17773399227432768</v>
      </c>
    </row>
    <row r="278" spans="4:10" x14ac:dyDescent="0.2">
      <c r="D278" t="s">
        <v>31</v>
      </c>
      <c r="E278">
        <f>'NHL2025-26Results'!C273</f>
        <v>3</v>
      </c>
      <c r="F278" t="s">
        <v>26</v>
      </c>
      <c r="G278">
        <f>'NHL2025-26Results'!E273</f>
        <v>6</v>
      </c>
      <c r="H278">
        <f>Table3[[#This Row],[G_1]]-Table3[[#This Row],[G]]</f>
        <v>3</v>
      </c>
      <c r="I278">
        <f>HomeEdge+VLOOKUP(Table3[[#This Row],[Home]],$A$6:$B$38,2,FALSE)-VLOOKUP(Table3[[#This Row],[Visitor]],$A$6:$B$38,2,FALSE)</f>
        <v>-0.86882698674286762</v>
      </c>
      <c r="J278">
        <f>(Table3[[#This Row],[HomeMargin]]-Table3[[#This Row],[HomeForecast]])^2</f>
        <v>14.967822253349897</v>
      </c>
    </row>
    <row r="279" spans="4:10" x14ac:dyDescent="0.2">
      <c r="D279" t="s">
        <v>22</v>
      </c>
      <c r="E279">
        <f>'NHL2025-26Results'!C274</f>
        <v>3</v>
      </c>
      <c r="F279" t="s">
        <v>11</v>
      </c>
      <c r="G279">
        <f>'NHL2025-26Results'!E274</f>
        <v>6</v>
      </c>
      <c r="H279">
        <f>Table3[[#This Row],[G_1]]-Table3[[#This Row],[G]]</f>
        <v>3</v>
      </c>
      <c r="I279">
        <f>HomeEdge+VLOOKUP(Table3[[#This Row],[Home]],$A$6:$B$38,2,FALSE)-VLOOKUP(Table3[[#This Row],[Visitor]],$A$6:$B$38,2,FALSE)</f>
        <v>-5.717808978233848E-2</v>
      </c>
      <c r="J279">
        <f>(Table3[[#This Row],[HomeMargin]]-Table3[[#This Row],[HomeForecast]])^2</f>
        <v>9.3463378726451882</v>
      </c>
    </row>
    <row r="280" spans="4:10" x14ac:dyDescent="0.2">
      <c r="D280" t="s">
        <v>39</v>
      </c>
      <c r="E280">
        <f>'NHL2025-26Results'!C275</f>
        <v>7</v>
      </c>
      <c r="F280" t="s">
        <v>18</v>
      </c>
      <c r="G280">
        <f>'NHL2025-26Results'!E275</f>
        <v>0</v>
      </c>
      <c r="H280">
        <f>Table3[[#This Row],[G_1]]-Table3[[#This Row],[G]]</f>
        <v>-7</v>
      </c>
      <c r="I280">
        <f>HomeEdge+VLOOKUP(Table3[[#This Row],[Home]],$A$6:$B$38,2,FALSE)-VLOOKUP(Table3[[#This Row],[Visitor]],$A$6:$B$38,2,FALSE)</f>
        <v>-0.55990029296843691</v>
      </c>
      <c r="J280">
        <f>(Table3[[#This Row],[HomeMargin]]-Table3[[#This Row],[HomeForecast]])^2</f>
        <v>41.474884236508025</v>
      </c>
    </row>
    <row r="281" spans="4:10" x14ac:dyDescent="0.2">
      <c r="D281" t="s">
        <v>21</v>
      </c>
      <c r="E281">
        <f>'NHL2025-26Results'!C276</f>
        <v>3</v>
      </c>
      <c r="F281" t="s">
        <v>36</v>
      </c>
      <c r="G281">
        <f>'NHL2025-26Results'!E276</f>
        <v>5</v>
      </c>
      <c r="H281">
        <f>Table3[[#This Row],[G_1]]-Table3[[#This Row],[G]]</f>
        <v>2</v>
      </c>
      <c r="I281">
        <f>HomeEdge+VLOOKUP(Table3[[#This Row],[Home]],$A$6:$B$38,2,FALSE)-VLOOKUP(Table3[[#This Row],[Visitor]],$A$6:$B$38,2,FALSE)</f>
        <v>-0.28423858522015405</v>
      </c>
      <c r="J281">
        <f>(Table3[[#This Row],[HomeMargin]]-Table3[[#This Row],[HomeForecast]])^2</f>
        <v>5.21774591420857</v>
      </c>
    </row>
    <row r="282" spans="4:10" x14ac:dyDescent="0.2">
      <c r="D282" t="s">
        <v>40</v>
      </c>
      <c r="E282">
        <f>'NHL2025-26Results'!C277</f>
        <v>3</v>
      </c>
      <c r="F282" t="s">
        <v>32</v>
      </c>
      <c r="G282">
        <f>'NHL2025-26Results'!E277</f>
        <v>5</v>
      </c>
      <c r="H282">
        <f>Table3[[#This Row],[G_1]]-Table3[[#This Row],[G]]</f>
        <v>2</v>
      </c>
      <c r="I282">
        <f>HomeEdge+VLOOKUP(Table3[[#This Row],[Home]],$A$6:$B$38,2,FALSE)-VLOOKUP(Table3[[#This Row],[Visitor]],$A$6:$B$38,2,FALSE)</f>
        <v>-0.30389425788588964</v>
      </c>
      <c r="J282">
        <f>(Table3[[#This Row],[HomeMargin]]-Table3[[#This Row],[HomeForecast]])^2</f>
        <v>5.3079287515195741</v>
      </c>
    </row>
    <row r="283" spans="4:10" x14ac:dyDescent="0.2">
      <c r="D283" t="s">
        <v>13</v>
      </c>
      <c r="E283">
        <f>'NHL2025-26Results'!C278</f>
        <v>4</v>
      </c>
      <c r="F283" t="s">
        <v>19</v>
      </c>
      <c r="G283">
        <f>'NHL2025-26Results'!E278</f>
        <v>3</v>
      </c>
      <c r="H283">
        <f>Table3[[#This Row],[G_1]]-Table3[[#This Row],[G]]</f>
        <v>-1</v>
      </c>
      <c r="I283">
        <f>HomeEdge+VLOOKUP(Table3[[#This Row],[Home]],$A$6:$B$38,2,FALSE)-VLOOKUP(Table3[[#This Row],[Visitor]],$A$6:$B$38,2,FALSE)</f>
        <v>-0.39753352551666882</v>
      </c>
      <c r="J283">
        <f>(Table3[[#This Row],[HomeMargin]]-Table3[[#This Row],[HomeForecast]])^2</f>
        <v>0.3629658528763744</v>
      </c>
    </row>
    <row r="284" spans="4:10" x14ac:dyDescent="0.2">
      <c r="D284" t="s">
        <v>30</v>
      </c>
      <c r="E284">
        <f>'NHL2025-26Results'!C279</f>
        <v>4</v>
      </c>
      <c r="F284" t="s">
        <v>20</v>
      </c>
      <c r="G284">
        <f>'NHL2025-26Results'!E279</f>
        <v>3</v>
      </c>
      <c r="H284">
        <f>Table3[[#This Row],[G_1]]-Table3[[#This Row],[G]]</f>
        <v>-1</v>
      </c>
      <c r="I284">
        <f>HomeEdge+VLOOKUP(Table3[[#This Row],[Home]],$A$6:$B$38,2,FALSE)-VLOOKUP(Table3[[#This Row],[Visitor]],$A$6:$B$38,2,FALSE)</f>
        <v>0.22666441257048553</v>
      </c>
      <c r="J284">
        <f>(Table3[[#This Row],[HomeMargin]]-Table3[[#This Row],[HomeForecast]])^2</f>
        <v>1.5047055810668943</v>
      </c>
    </row>
    <row r="285" spans="4:10" x14ac:dyDescent="0.2">
      <c r="D285" t="s">
        <v>38</v>
      </c>
      <c r="E285">
        <f>'NHL2025-26Results'!C280</f>
        <v>3</v>
      </c>
      <c r="F285" t="s">
        <v>25</v>
      </c>
      <c r="G285">
        <f>'NHL2025-26Results'!E280</f>
        <v>4</v>
      </c>
      <c r="H285">
        <f>Table3[[#This Row],[G_1]]-Table3[[#This Row],[G]]</f>
        <v>1</v>
      </c>
      <c r="I285">
        <f>HomeEdge+VLOOKUP(Table3[[#This Row],[Home]],$A$6:$B$38,2,FALSE)-VLOOKUP(Table3[[#This Row],[Visitor]],$A$6:$B$38,2,FALSE)</f>
        <v>1.5247203531794769</v>
      </c>
      <c r="J285">
        <f>(Table3[[#This Row],[HomeMargin]]-Table3[[#This Row],[HomeForecast]])^2</f>
        <v>0.27533144904079493</v>
      </c>
    </row>
    <row r="286" spans="4:10" x14ac:dyDescent="0.2">
      <c r="D286" t="s">
        <v>14</v>
      </c>
      <c r="E286">
        <f>'NHL2025-26Results'!C281</f>
        <v>1</v>
      </c>
      <c r="F286" t="s">
        <v>29</v>
      </c>
      <c r="G286">
        <f>'NHL2025-26Results'!E281</f>
        <v>2</v>
      </c>
      <c r="H286">
        <f>Table3[[#This Row],[G_1]]-Table3[[#This Row],[G]]</f>
        <v>1</v>
      </c>
      <c r="I286">
        <f>HomeEdge+VLOOKUP(Table3[[#This Row],[Home]],$A$6:$B$38,2,FALSE)-VLOOKUP(Table3[[#This Row],[Visitor]],$A$6:$B$38,2,FALSE)</f>
        <v>-1.4519436729724993</v>
      </c>
      <c r="J286">
        <f>(Table3[[#This Row],[HomeMargin]]-Table3[[#This Row],[HomeForecast]])^2</f>
        <v>6.0120277754298694</v>
      </c>
    </row>
    <row r="287" spans="4:10" x14ac:dyDescent="0.2">
      <c r="D287" t="s">
        <v>27</v>
      </c>
      <c r="E287">
        <f>'NHL2025-26Results'!C282</f>
        <v>6</v>
      </c>
      <c r="F287" t="s">
        <v>35</v>
      </c>
      <c r="G287">
        <f>'NHL2025-26Results'!E282</f>
        <v>5</v>
      </c>
      <c r="H287">
        <f>Table3[[#This Row],[G_1]]-Table3[[#This Row],[G]]</f>
        <v>-1</v>
      </c>
      <c r="I287">
        <f>HomeEdge+VLOOKUP(Table3[[#This Row],[Home]],$A$6:$B$38,2,FALSE)-VLOOKUP(Table3[[#This Row],[Visitor]],$A$6:$B$38,2,FALSE)</f>
        <v>-0.94499920940140603</v>
      </c>
      <c r="J287">
        <f>(Table3[[#This Row],[HomeMargin]]-Table3[[#This Row],[HomeForecast]])^2</f>
        <v>3.0250869664703831E-3</v>
      </c>
    </row>
    <row r="288" spans="4:10" x14ac:dyDescent="0.2">
      <c r="D288" t="s">
        <v>30</v>
      </c>
      <c r="E288">
        <f>'NHL2025-26Results'!C283</f>
        <v>3</v>
      </c>
      <c r="F288" t="s">
        <v>55</v>
      </c>
      <c r="G288">
        <f>'NHL2025-26Results'!E283</f>
        <v>2</v>
      </c>
      <c r="H288">
        <f>Table3[[#This Row],[G_1]]-Table3[[#This Row],[G]]</f>
        <v>-1</v>
      </c>
      <c r="I288">
        <f>HomeEdge+VLOOKUP(Table3[[#This Row],[Home]],$A$6:$B$38,2,FALSE)-VLOOKUP(Table3[[#This Row],[Visitor]],$A$6:$B$38,2,FALSE)</f>
        <v>0.10517875093215927</v>
      </c>
      <c r="J288">
        <f>(Table3[[#This Row],[HomeMargin]]-Table3[[#This Row],[HomeForecast]])^2</f>
        <v>1.2214200715119679</v>
      </c>
    </row>
    <row r="289" spans="4:10" x14ac:dyDescent="0.2">
      <c r="D289" t="s">
        <v>17</v>
      </c>
      <c r="E289">
        <f>'NHL2025-26Results'!C284</f>
        <v>4</v>
      </c>
      <c r="F289" t="s">
        <v>25</v>
      </c>
      <c r="G289">
        <f>'NHL2025-26Results'!E284</f>
        <v>3</v>
      </c>
      <c r="H289">
        <f>Table3[[#This Row],[G_1]]-Table3[[#This Row],[G]]</f>
        <v>-1</v>
      </c>
      <c r="I289">
        <f>HomeEdge+VLOOKUP(Table3[[#This Row],[Home]],$A$6:$B$38,2,FALSE)-VLOOKUP(Table3[[#This Row],[Visitor]],$A$6:$B$38,2,FALSE)</f>
        <v>1.4543195634616395</v>
      </c>
      <c r="J289">
        <f>(Table3[[#This Row],[HomeMargin]]-Table3[[#This Row],[HomeForecast]])^2</f>
        <v>6.0236845195905326</v>
      </c>
    </row>
    <row r="290" spans="4:10" x14ac:dyDescent="0.2">
      <c r="D290" t="s">
        <v>15</v>
      </c>
      <c r="E290">
        <f>'NHL2025-26Results'!C285</f>
        <v>2</v>
      </c>
      <c r="F290" t="s">
        <v>28</v>
      </c>
      <c r="G290">
        <f>'NHL2025-26Results'!E285</f>
        <v>1</v>
      </c>
      <c r="H290">
        <f>Table3[[#This Row],[G_1]]-Table3[[#This Row],[G]]</f>
        <v>-1</v>
      </c>
      <c r="I290">
        <f>HomeEdge+VLOOKUP(Table3[[#This Row],[Home]],$A$6:$B$38,2,FALSE)-VLOOKUP(Table3[[#This Row],[Visitor]],$A$6:$B$38,2,FALSE)</f>
        <v>6.1546171879625633E-2</v>
      </c>
      <c r="J290">
        <f>(Table3[[#This Row],[HomeMargin]]-Table3[[#This Row],[HomeForecast]])^2</f>
        <v>1.1268802750322875</v>
      </c>
    </row>
    <row r="291" spans="4:10" x14ac:dyDescent="0.2">
      <c r="D291" t="s">
        <v>40</v>
      </c>
      <c r="E291">
        <f>'NHL2025-26Results'!C286</f>
        <v>4</v>
      </c>
      <c r="F291" t="s">
        <v>16</v>
      </c>
      <c r="G291">
        <f>'NHL2025-26Results'!E286</f>
        <v>3</v>
      </c>
      <c r="H291">
        <f>Table3[[#This Row],[G_1]]-Table3[[#This Row],[G]]</f>
        <v>-1</v>
      </c>
      <c r="I291">
        <f>HomeEdge+VLOOKUP(Table3[[#This Row],[Home]],$A$6:$B$38,2,FALSE)-VLOOKUP(Table3[[#This Row],[Visitor]],$A$6:$B$38,2,FALSE)</f>
        <v>-1.3329013609869793</v>
      </c>
      <c r="J291">
        <f>(Table3[[#This Row],[HomeMargin]]-Table3[[#This Row],[HomeForecast]])^2</f>
        <v>0.11082331614698311</v>
      </c>
    </row>
    <row r="292" spans="4:10" x14ac:dyDescent="0.2">
      <c r="D292" t="s">
        <v>19</v>
      </c>
      <c r="E292">
        <f>'NHL2025-26Results'!C287</f>
        <v>2</v>
      </c>
      <c r="F292" t="s">
        <v>10</v>
      </c>
      <c r="G292">
        <f>'NHL2025-26Results'!E287</f>
        <v>3</v>
      </c>
      <c r="H292">
        <f>Table3[[#This Row],[G_1]]-Table3[[#This Row],[G]]</f>
        <v>1</v>
      </c>
      <c r="I292">
        <f>HomeEdge+VLOOKUP(Table3[[#This Row],[Home]],$A$6:$B$38,2,FALSE)-VLOOKUP(Table3[[#This Row],[Visitor]],$A$6:$B$38,2,FALSE)</f>
        <v>1.1038475414785012</v>
      </c>
      <c r="J292">
        <f>(Table3[[#This Row],[HomeMargin]]-Table3[[#This Row],[HomeForecast]])^2</f>
        <v>1.0784311871129021E-2</v>
      </c>
    </row>
    <row r="293" spans="4:10" x14ac:dyDescent="0.2">
      <c r="D293" t="s">
        <v>27</v>
      </c>
      <c r="E293">
        <f>'NHL2025-26Results'!C288</f>
        <v>1</v>
      </c>
      <c r="F293" t="s">
        <v>39</v>
      </c>
      <c r="G293">
        <f>'NHL2025-26Results'!E288</f>
        <v>5</v>
      </c>
      <c r="H293">
        <f>Table3[[#This Row],[G_1]]-Table3[[#This Row],[G]]</f>
        <v>4</v>
      </c>
      <c r="I293">
        <f>HomeEdge+VLOOKUP(Table3[[#This Row],[Home]],$A$6:$B$38,2,FALSE)-VLOOKUP(Table3[[#This Row],[Visitor]],$A$6:$B$38,2,FALSE)</f>
        <v>0.87425355524896764</v>
      </c>
      <c r="J293">
        <f>(Table3[[#This Row],[HomeMargin]]-Table3[[#This Row],[HomeForecast]])^2</f>
        <v>9.770290836873718</v>
      </c>
    </row>
    <row r="294" spans="4:10" x14ac:dyDescent="0.2">
      <c r="D294" t="s">
        <v>23</v>
      </c>
      <c r="E294">
        <f>'NHL2025-26Results'!C289</f>
        <v>5</v>
      </c>
      <c r="F294" t="s">
        <v>26</v>
      </c>
      <c r="G294">
        <f>'NHL2025-26Results'!E289</f>
        <v>4</v>
      </c>
      <c r="H294">
        <f>Table3[[#This Row],[G_1]]-Table3[[#This Row],[G]]</f>
        <v>-1</v>
      </c>
      <c r="I294">
        <f>HomeEdge+VLOOKUP(Table3[[#This Row],[Home]],$A$6:$B$38,2,FALSE)-VLOOKUP(Table3[[#This Row],[Visitor]],$A$6:$B$38,2,FALSE)</f>
        <v>0.51726971279283729</v>
      </c>
      <c r="J294">
        <f>(Table3[[#This Row],[HomeMargin]]-Table3[[#This Row],[HomeForecast]])^2</f>
        <v>2.3021073813584594</v>
      </c>
    </row>
    <row r="295" spans="4:10" x14ac:dyDescent="0.2">
      <c r="D295" t="s">
        <v>37</v>
      </c>
      <c r="E295">
        <f>'NHL2025-26Results'!C290</f>
        <v>3</v>
      </c>
      <c r="F295" t="s">
        <v>11</v>
      </c>
      <c r="G295">
        <f>'NHL2025-26Results'!E290</f>
        <v>1</v>
      </c>
      <c r="H295">
        <f>Table3[[#This Row],[G_1]]-Table3[[#This Row],[G]]</f>
        <v>-2</v>
      </c>
      <c r="I295">
        <f>HomeEdge+VLOOKUP(Table3[[#This Row],[Home]],$A$6:$B$38,2,FALSE)-VLOOKUP(Table3[[#This Row],[Visitor]],$A$6:$B$38,2,FALSE)</f>
        <v>-5.3924705928892619E-3</v>
      </c>
      <c r="J295">
        <f>(Table3[[#This Row],[HomeMargin]]-Table3[[#This Row],[HomeForecast]])^2</f>
        <v>3.9784591963675386</v>
      </c>
    </row>
    <row r="296" spans="4:10" x14ac:dyDescent="0.2">
      <c r="D296" t="s">
        <v>31</v>
      </c>
      <c r="E296">
        <f>'NHL2025-26Results'!C291</f>
        <v>0</v>
      </c>
      <c r="F296" t="s">
        <v>34</v>
      </c>
      <c r="G296">
        <f>'NHL2025-26Results'!E291</f>
        <v>2</v>
      </c>
      <c r="H296">
        <f>Table3[[#This Row],[G_1]]-Table3[[#This Row],[G]]</f>
        <v>2</v>
      </c>
      <c r="I296">
        <f>HomeEdge+VLOOKUP(Table3[[#This Row],[Home]],$A$6:$B$38,2,FALSE)-VLOOKUP(Table3[[#This Row],[Visitor]],$A$6:$B$38,2,FALSE)</f>
        <v>-0.89168616202886408</v>
      </c>
      <c r="J296">
        <f>(Table3[[#This Row],[HomeMargin]]-Table3[[#This Row],[HomeForecast]])^2</f>
        <v>8.3618488596692213</v>
      </c>
    </row>
    <row r="297" spans="4:10" x14ac:dyDescent="0.2">
      <c r="D297" t="s">
        <v>21</v>
      </c>
      <c r="E297">
        <f>'NHL2025-26Results'!C292</f>
        <v>3</v>
      </c>
      <c r="F297" t="s">
        <v>18</v>
      </c>
      <c r="G297">
        <f>'NHL2025-26Results'!E292</f>
        <v>2</v>
      </c>
      <c r="H297">
        <f>Table3[[#This Row],[G_1]]-Table3[[#This Row],[G]]</f>
        <v>-1</v>
      </c>
      <c r="I297">
        <f>HomeEdge+VLOOKUP(Table3[[#This Row],[Home]],$A$6:$B$38,2,FALSE)-VLOOKUP(Table3[[#This Row],[Visitor]],$A$6:$B$38,2,FALSE)</f>
        <v>-0.40209637150472788</v>
      </c>
      <c r="J297">
        <f>(Table3[[#This Row],[HomeMargin]]-Table3[[#This Row],[HomeForecast]])^2</f>
        <v>0.35748874896781235</v>
      </c>
    </row>
    <row r="298" spans="4:10" x14ac:dyDescent="0.2">
      <c r="D298" t="s">
        <v>13</v>
      </c>
      <c r="E298">
        <f>'NHL2025-26Results'!C293</f>
        <v>1</v>
      </c>
      <c r="F298" t="s">
        <v>36</v>
      </c>
      <c r="G298">
        <f>'NHL2025-26Results'!E293</f>
        <v>0</v>
      </c>
      <c r="H298">
        <f>Table3[[#This Row],[G_1]]-Table3[[#This Row],[G]]</f>
        <v>-1</v>
      </c>
      <c r="I298">
        <f>HomeEdge+VLOOKUP(Table3[[#This Row],[Home]],$A$6:$B$38,2,FALSE)-VLOOKUP(Table3[[#This Row],[Visitor]],$A$6:$B$38,2,FALSE)</f>
        <v>-0.16848745777259633</v>
      </c>
      <c r="J298">
        <f>(Table3[[#This Row],[HomeMargin]]-Table3[[#This Row],[HomeForecast]])^2</f>
        <v>0.6914131078814798</v>
      </c>
    </row>
    <row r="299" spans="4:10" x14ac:dyDescent="0.2">
      <c r="D299" t="s">
        <v>33</v>
      </c>
      <c r="E299">
        <f>'NHL2025-26Results'!C294</f>
        <v>1</v>
      </c>
      <c r="F299" t="s">
        <v>32</v>
      </c>
      <c r="G299">
        <f>'NHL2025-26Results'!E294</f>
        <v>4</v>
      </c>
      <c r="H299">
        <f>Table3[[#This Row],[G_1]]-Table3[[#This Row],[G]]</f>
        <v>3</v>
      </c>
      <c r="I299">
        <f>HomeEdge+VLOOKUP(Table3[[#This Row],[Home]],$A$6:$B$38,2,FALSE)-VLOOKUP(Table3[[#This Row],[Visitor]],$A$6:$B$38,2,FALSE)</f>
        <v>0.19539277302396024</v>
      </c>
      <c r="J299">
        <f>(Table3[[#This Row],[HomeMargin]]-Table3[[#This Row],[HomeForecast]])^2</f>
        <v>7.8658216976062301</v>
      </c>
    </row>
    <row r="300" spans="4:10" x14ac:dyDescent="0.2">
      <c r="D300" t="s">
        <v>20</v>
      </c>
      <c r="E300">
        <f>'NHL2025-26Results'!C295</f>
        <v>4</v>
      </c>
      <c r="F300" t="s">
        <v>35</v>
      </c>
      <c r="G300">
        <f>'NHL2025-26Results'!E295</f>
        <v>1</v>
      </c>
      <c r="H300">
        <f>Table3[[#This Row],[G_1]]-Table3[[#This Row],[G]]</f>
        <v>-3</v>
      </c>
      <c r="I300">
        <f>HomeEdge+VLOOKUP(Table3[[#This Row],[Home]],$A$6:$B$38,2,FALSE)-VLOOKUP(Table3[[#This Row],[Visitor]],$A$6:$B$38,2,FALSE)</f>
        <v>-1.4579476564655902</v>
      </c>
      <c r="J300">
        <f>(Table3[[#This Row],[HomeMargin]]-Table3[[#This Row],[HomeForecast]])^2</f>
        <v>2.3779254301999653</v>
      </c>
    </row>
    <row r="301" spans="4:10" x14ac:dyDescent="0.2">
      <c r="D301" t="s">
        <v>24</v>
      </c>
      <c r="E301">
        <f>'NHL2025-26Results'!C296</f>
        <v>3</v>
      </c>
      <c r="F301" t="s">
        <v>22</v>
      </c>
      <c r="G301">
        <f>'NHL2025-26Results'!E296</f>
        <v>2</v>
      </c>
      <c r="H301">
        <f>Table3[[#This Row],[G_1]]-Table3[[#This Row],[G]]</f>
        <v>-1</v>
      </c>
      <c r="I301">
        <f>HomeEdge+VLOOKUP(Table3[[#This Row],[Home]],$A$6:$B$38,2,FALSE)-VLOOKUP(Table3[[#This Row],[Visitor]],$A$6:$B$38,2,FALSE)</f>
        <v>-0.45817769319841928</v>
      </c>
      <c r="J301">
        <f>(Table3[[#This Row],[HomeMargin]]-Table3[[#This Row],[HomeForecast]])^2</f>
        <v>0.29357141214778626</v>
      </c>
    </row>
    <row r="302" spans="4:10" x14ac:dyDescent="0.2">
      <c r="D302" t="s">
        <v>30</v>
      </c>
      <c r="E302">
        <f>'NHL2025-26Results'!C297</f>
        <v>1</v>
      </c>
      <c r="F302" t="s">
        <v>12</v>
      </c>
      <c r="G302">
        <f>'NHL2025-26Results'!E297</f>
        <v>4</v>
      </c>
      <c r="H302">
        <f>Table3[[#This Row],[G_1]]-Table3[[#This Row],[G]]</f>
        <v>3</v>
      </c>
      <c r="I302">
        <f>HomeEdge+VLOOKUP(Table3[[#This Row],[Home]],$A$6:$B$38,2,FALSE)-VLOOKUP(Table3[[#This Row],[Visitor]],$A$6:$B$38,2,FALSE)</f>
        <v>1.7748032296296543</v>
      </c>
      <c r="J302">
        <f>(Table3[[#This Row],[HomeMargin]]-Table3[[#This Row],[HomeForecast]])^2</f>
        <v>1.5011071261259257</v>
      </c>
    </row>
    <row r="303" spans="4:10" x14ac:dyDescent="0.2">
      <c r="D303" t="s">
        <v>20</v>
      </c>
      <c r="E303">
        <f>'NHL2025-26Results'!C298</f>
        <v>2</v>
      </c>
      <c r="F303" t="s">
        <v>34</v>
      </c>
      <c r="G303">
        <f>'NHL2025-26Results'!E298</f>
        <v>3</v>
      </c>
      <c r="H303">
        <f>Table3[[#This Row],[G_1]]-Table3[[#This Row],[G]]</f>
        <v>1</v>
      </c>
      <c r="I303">
        <f>HomeEdge+VLOOKUP(Table3[[#This Row],[Home]],$A$6:$B$38,2,FALSE)-VLOOKUP(Table3[[#This Row],[Visitor]],$A$6:$B$38,2,FALSE)</f>
        <v>-0.37329324083314419</v>
      </c>
      <c r="J303">
        <f>(Table3[[#This Row],[HomeMargin]]-Table3[[#This Row],[HomeForecast]])^2</f>
        <v>1.8859343253180001</v>
      </c>
    </row>
    <row r="304" spans="4:10" x14ac:dyDescent="0.2">
      <c r="D304" t="s">
        <v>26</v>
      </c>
      <c r="E304">
        <f>'NHL2025-26Results'!C299</f>
        <v>2</v>
      </c>
      <c r="F304" t="s">
        <v>15</v>
      </c>
      <c r="G304">
        <f>'NHL2025-26Results'!E299</f>
        <v>1</v>
      </c>
      <c r="H304">
        <f>Table3[[#This Row],[G_1]]-Table3[[#This Row],[G]]</f>
        <v>-1</v>
      </c>
      <c r="I304">
        <f>HomeEdge+VLOOKUP(Table3[[#This Row],[Home]],$A$6:$B$38,2,FALSE)-VLOOKUP(Table3[[#This Row],[Visitor]],$A$6:$B$38,2,FALSE)</f>
        <v>0.36901948975158638</v>
      </c>
      <c r="J304">
        <f>(Table3[[#This Row],[HomeMargin]]-Table3[[#This Row],[HomeForecast]])^2</f>
        <v>1.8742143633196939</v>
      </c>
    </row>
    <row r="305" spans="4:10" x14ac:dyDescent="0.2">
      <c r="D305" t="s">
        <v>29</v>
      </c>
      <c r="E305">
        <f>'NHL2025-26Results'!C300</f>
        <v>0</v>
      </c>
      <c r="F305" t="s">
        <v>14</v>
      </c>
      <c r="G305">
        <f>'NHL2025-26Results'!E300</f>
        <v>4</v>
      </c>
      <c r="H305">
        <f>Table3[[#This Row],[G_1]]-Table3[[#This Row],[G]]</f>
        <v>4</v>
      </c>
      <c r="I305">
        <f>HomeEdge+VLOOKUP(Table3[[#This Row],[Home]],$A$6:$B$38,2,FALSE)-VLOOKUP(Table3[[#This Row],[Visitor]],$A$6:$B$38,2,FALSE)</f>
        <v>1.7770882922971361</v>
      </c>
      <c r="J305">
        <f>(Table3[[#This Row],[HomeMargin]]-Table3[[#This Row],[HomeForecast]])^2</f>
        <v>4.9413364602424634</v>
      </c>
    </row>
    <row r="306" spans="4:10" x14ac:dyDescent="0.2">
      <c r="D306" t="s">
        <v>38</v>
      </c>
      <c r="E306">
        <f>'NHL2025-26Results'!C301</f>
        <v>6</v>
      </c>
      <c r="F306" t="s">
        <v>37</v>
      </c>
      <c r="G306">
        <f>'NHL2025-26Results'!E301</f>
        <v>2</v>
      </c>
      <c r="H306">
        <f>Table3[[#This Row],[G_1]]-Table3[[#This Row],[G]]</f>
        <v>-4</v>
      </c>
      <c r="I306">
        <f>HomeEdge+VLOOKUP(Table3[[#This Row],[Home]],$A$6:$B$38,2,FALSE)-VLOOKUP(Table3[[#This Row],[Visitor]],$A$6:$B$38,2,FALSE)</f>
        <v>0.73968668207956478</v>
      </c>
      <c r="J306">
        <f>(Table3[[#This Row],[HomeMargin]]-Table3[[#This Row],[HomeForecast]])^2</f>
        <v>22.464629844282396</v>
      </c>
    </row>
    <row r="307" spans="4:10" x14ac:dyDescent="0.2">
      <c r="D307" t="s">
        <v>55</v>
      </c>
      <c r="F307" t="s">
        <v>31</v>
      </c>
    </row>
    <row r="308" spans="4:10" x14ac:dyDescent="0.2">
      <c r="D308" t="s">
        <v>25</v>
      </c>
      <c r="F308" t="s">
        <v>21</v>
      </c>
    </row>
    <row r="309" spans="4:10" x14ac:dyDescent="0.2">
      <c r="D309" t="s">
        <v>17</v>
      </c>
      <c r="F309" t="s">
        <v>23</v>
      </c>
    </row>
    <row r="310" spans="4:10" x14ac:dyDescent="0.2">
      <c r="D310" t="s">
        <v>18</v>
      </c>
      <c r="F310" t="s">
        <v>28</v>
      </c>
    </row>
    <row r="311" spans="4:10" x14ac:dyDescent="0.2">
      <c r="D311" t="s">
        <v>38</v>
      </c>
      <c r="F311" t="s">
        <v>11</v>
      </c>
    </row>
    <row r="312" spans="4:10" x14ac:dyDescent="0.2">
      <c r="D312" t="s">
        <v>13</v>
      </c>
      <c r="F312" t="s">
        <v>22</v>
      </c>
    </row>
    <row r="313" spans="4:10" x14ac:dyDescent="0.2">
      <c r="D313" t="s">
        <v>16</v>
      </c>
      <c r="F313" t="s">
        <v>10</v>
      </c>
    </row>
    <row r="314" spans="4:10" x14ac:dyDescent="0.2">
      <c r="D314" t="s">
        <v>30</v>
      </c>
      <c r="F314" t="s">
        <v>39</v>
      </c>
    </row>
    <row r="315" spans="4:10" x14ac:dyDescent="0.2">
      <c r="D315" t="s">
        <v>32</v>
      </c>
      <c r="F315" t="s">
        <v>26</v>
      </c>
    </row>
    <row r="316" spans="4:10" x14ac:dyDescent="0.2">
      <c r="D316" t="s">
        <v>55</v>
      </c>
      <c r="F316" t="s">
        <v>33</v>
      </c>
    </row>
    <row r="317" spans="4:10" x14ac:dyDescent="0.2">
      <c r="D317" t="s">
        <v>24</v>
      </c>
      <c r="F317" t="s">
        <v>37</v>
      </c>
    </row>
    <row r="318" spans="4:10" x14ac:dyDescent="0.2">
      <c r="D318" t="s">
        <v>35</v>
      </c>
      <c r="F318" t="s">
        <v>19</v>
      </c>
    </row>
    <row r="319" spans="4:10" x14ac:dyDescent="0.2">
      <c r="D319" t="s">
        <v>15</v>
      </c>
      <c r="F319" t="s">
        <v>20</v>
      </c>
    </row>
    <row r="320" spans="4:10" x14ac:dyDescent="0.2">
      <c r="D320" t="s">
        <v>28</v>
      </c>
      <c r="F320" t="s">
        <v>40</v>
      </c>
    </row>
    <row r="321" spans="4:6" x14ac:dyDescent="0.2">
      <c r="D321" t="s">
        <v>21</v>
      </c>
      <c r="F321" t="s">
        <v>31</v>
      </c>
    </row>
    <row r="322" spans="4:6" x14ac:dyDescent="0.2">
      <c r="D322" t="s">
        <v>16</v>
      </c>
      <c r="F322" t="s">
        <v>23</v>
      </c>
    </row>
    <row r="323" spans="4:6" x14ac:dyDescent="0.2">
      <c r="D323" t="s">
        <v>25</v>
      </c>
      <c r="F323" t="s">
        <v>34</v>
      </c>
    </row>
    <row r="324" spans="4:6" x14ac:dyDescent="0.2">
      <c r="D324" t="s">
        <v>17</v>
      </c>
      <c r="F324" t="s">
        <v>22</v>
      </c>
    </row>
    <row r="325" spans="4:6" x14ac:dyDescent="0.2">
      <c r="D325" t="s">
        <v>36</v>
      </c>
      <c r="F325" t="s">
        <v>31</v>
      </c>
    </row>
    <row r="326" spans="4:6" x14ac:dyDescent="0.2">
      <c r="D326" t="s">
        <v>32</v>
      </c>
      <c r="F326" t="s">
        <v>10</v>
      </c>
    </row>
    <row r="327" spans="4:6" x14ac:dyDescent="0.2">
      <c r="D327" t="s">
        <v>15</v>
      </c>
      <c r="F327" t="s">
        <v>12</v>
      </c>
    </row>
    <row r="328" spans="4:6" x14ac:dyDescent="0.2">
      <c r="D328" t="s">
        <v>30</v>
      </c>
      <c r="F328" t="s">
        <v>26</v>
      </c>
    </row>
    <row r="329" spans="4:6" x14ac:dyDescent="0.2">
      <c r="D329" t="s">
        <v>24</v>
      </c>
      <c r="F329" t="s">
        <v>11</v>
      </c>
    </row>
    <row r="330" spans="4:6" x14ac:dyDescent="0.2">
      <c r="D330" t="s">
        <v>22</v>
      </c>
      <c r="F330" t="s">
        <v>18</v>
      </c>
    </row>
    <row r="331" spans="4:6" x14ac:dyDescent="0.2">
      <c r="D331" t="s">
        <v>35</v>
      </c>
      <c r="F331" t="s">
        <v>27</v>
      </c>
    </row>
    <row r="332" spans="4:6" x14ac:dyDescent="0.2">
      <c r="D332" t="s">
        <v>13</v>
      </c>
      <c r="F332" t="s">
        <v>33</v>
      </c>
    </row>
    <row r="333" spans="4:6" x14ac:dyDescent="0.2">
      <c r="D333" t="s">
        <v>17</v>
      </c>
      <c r="F333" t="s">
        <v>37</v>
      </c>
    </row>
    <row r="334" spans="4:6" x14ac:dyDescent="0.2">
      <c r="D334" t="s">
        <v>28</v>
      </c>
      <c r="F334" t="s">
        <v>19</v>
      </c>
    </row>
    <row r="335" spans="4:6" x14ac:dyDescent="0.2">
      <c r="D335" t="s">
        <v>20</v>
      </c>
      <c r="F335" t="s">
        <v>55</v>
      </c>
    </row>
    <row r="336" spans="4:6" x14ac:dyDescent="0.2">
      <c r="D336" t="s">
        <v>39</v>
      </c>
      <c r="F336" t="s">
        <v>38</v>
      </c>
    </row>
    <row r="337" spans="4:6" x14ac:dyDescent="0.2">
      <c r="D337" t="s">
        <v>10</v>
      </c>
      <c r="F337" t="s">
        <v>23</v>
      </c>
    </row>
    <row r="338" spans="4:6" x14ac:dyDescent="0.2">
      <c r="D338" t="s">
        <v>21</v>
      </c>
      <c r="F338" t="s">
        <v>13</v>
      </c>
    </row>
    <row r="339" spans="4:6" x14ac:dyDescent="0.2">
      <c r="D339" t="s">
        <v>34</v>
      </c>
      <c r="F339" t="s">
        <v>14</v>
      </c>
    </row>
    <row r="340" spans="4:6" x14ac:dyDescent="0.2">
      <c r="D340" t="s">
        <v>25</v>
      </c>
      <c r="F340" t="s">
        <v>40</v>
      </c>
    </row>
    <row r="341" spans="4:6" x14ac:dyDescent="0.2">
      <c r="D341" t="s">
        <v>20</v>
      </c>
      <c r="F341" t="s">
        <v>31</v>
      </c>
    </row>
    <row r="342" spans="4:6" x14ac:dyDescent="0.2">
      <c r="D342" t="s">
        <v>39</v>
      </c>
      <c r="F342" t="s">
        <v>16</v>
      </c>
    </row>
    <row r="343" spans="4:6" x14ac:dyDescent="0.2">
      <c r="D343" t="s">
        <v>28</v>
      </c>
      <c r="F343" t="s">
        <v>26</v>
      </c>
    </row>
    <row r="344" spans="4:6" x14ac:dyDescent="0.2">
      <c r="D344" t="s">
        <v>17</v>
      </c>
      <c r="F344" t="s">
        <v>11</v>
      </c>
    </row>
    <row r="345" spans="4:6" x14ac:dyDescent="0.2">
      <c r="D345" t="s">
        <v>19</v>
      </c>
      <c r="F345" t="s">
        <v>18</v>
      </c>
    </row>
    <row r="346" spans="4:6" x14ac:dyDescent="0.2">
      <c r="D346" t="s">
        <v>12</v>
      </c>
      <c r="F346" t="s">
        <v>29</v>
      </c>
    </row>
    <row r="347" spans="4:6" x14ac:dyDescent="0.2">
      <c r="D347" t="s">
        <v>35</v>
      </c>
      <c r="F347" t="s">
        <v>30</v>
      </c>
    </row>
    <row r="348" spans="4:6" x14ac:dyDescent="0.2">
      <c r="D348" t="s">
        <v>24</v>
      </c>
      <c r="F348" t="s">
        <v>27</v>
      </c>
    </row>
    <row r="349" spans="4:6" x14ac:dyDescent="0.2">
      <c r="D349" t="s">
        <v>32</v>
      </c>
      <c r="F349" t="s">
        <v>14</v>
      </c>
    </row>
    <row r="350" spans="4:6" x14ac:dyDescent="0.2">
      <c r="D350" t="s">
        <v>36</v>
      </c>
      <c r="F350" t="s">
        <v>33</v>
      </c>
    </row>
    <row r="351" spans="4:6" x14ac:dyDescent="0.2">
      <c r="D351" t="s">
        <v>15</v>
      </c>
      <c r="F351" t="s">
        <v>55</v>
      </c>
    </row>
    <row r="352" spans="4:6" x14ac:dyDescent="0.2">
      <c r="D352" t="s">
        <v>37</v>
      </c>
      <c r="F352" t="s">
        <v>22</v>
      </c>
    </row>
    <row r="353" spans="4:6" x14ac:dyDescent="0.2">
      <c r="D353" t="s">
        <v>25</v>
      </c>
      <c r="F353" t="s">
        <v>23</v>
      </c>
    </row>
    <row r="354" spans="4:6" x14ac:dyDescent="0.2">
      <c r="D354" t="s">
        <v>12</v>
      </c>
      <c r="F354" t="s">
        <v>10</v>
      </c>
    </row>
    <row r="355" spans="4:6" x14ac:dyDescent="0.2">
      <c r="D355" t="s">
        <v>32</v>
      </c>
      <c r="F355" t="s">
        <v>30</v>
      </c>
    </row>
    <row r="356" spans="4:6" x14ac:dyDescent="0.2">
      <c r="D356" t="s">
        <v>21</v>
      </c>
      <c r="F356" t="s">
        <v>33</v>
      </c>
    </row>
    <row r="357" spans="4:6" x14ac:dyDescent="0.2">
      <c r="D357" t="s">
        <v>16</v>
      </c>
      <c r="F357" t="s">
        <v>38</v>
      </c>
    </row>
    <row r="358" spans="4:6" x14ac:dyDescent="0.2">
      <c r="D358" t="s">
        <v>34</v>
      </c>
      <c r="F358" t="s">
        <v>40</v>
      </c>
    </row>
    <row r="359" spans="4:6" x14ac:dyDescent="0.2">
      <c r="D359" t="s">
        <v>36</v>
      </c>
      <c r="F359" t="s">
        <v>13</v>
      </c>
    </row>
    <row r="360" spans="4:6" x14ac:dyDescent="0.2">
      <c r="D360" t="s">
        <v>26</v>
      </c>
      <c r="F360" t="s">
        <v>24</v>
      </c>
    </row>
    <row r="361" spans="4:6" x14ac:dyDescent="0.2">
      <c r="D361" t="s">
        <v>11</v>
      </c>
      <c r="F361" t="s">
        <v>29</v>
      </c>
    </row>
    <row r="362" spans="4:6" x14ac:dyDescent="0.2">
      <c r="D362" t="s">
        <v>35</v>
      </c>
      <c r="F362" t="s">
        <v>15</v>
      </c>
    </row>
    <row r="363" spans="4:6" x14ac:dyDescent="0.2">
      <c r="D363" t="s">
        <v>27</v>
      </c>
      <c r="F363" t="s">
        <v>37</v>
      </c>
    </row>
    <row r="364" spans="4:6" x14ac:dyDescent="0.2">
      <c r="D364" t="s">
        <v>20</v>
      </c>
      <c r="F364" t="s">
        <v>55</v>
      </c>
    </row>
    <row r="365" spans="4:6" x14ac:dyDescent="0.2">
      <c r="D365" t="s">
        <v>28</v>
      </c>
      <c r="F365" t="s">
        <v>22</v>
      </c>
    </row>
    <row r="366" spans="4:6" x14ac:dyDescent="0.2">
      <c r="D366" t="s">
        <v>39</v>
      </c>
      <c r="F366" t="s">
        <v>17</v>
      </c>
    </row>
    <row r="367" spans="4:6" x14ac:dyDescent="0.2">
      <c r="D367" t="s">
        <v>38</v>
      </c>
      <c r="F367" t="s">
        <v>31</v>
      </c>
    </row>
    <row r="368" spans="4:6" x14ac:dyDescent="0.2">
      <c r="D368" t="s">
        <v>15</v>
      </c>
      <c r="F368" t="s">
        <v>25</v>
      </c>
    </row>
    <row r="369" spans="4:6" x14ac:dyDescent="0.2">
      <c r="D369" t="s">
        <v>19</v>
      </c>
      <c r="F369" t="s">
        <v>28</v>
      </c>
    </row>
    <row r="370" spans="4:6" x14ac:dyDescent="0.2">
      <c r="D370" t="s">
        <v>34</v>
      </c>
      <c r="F370" t="s">
        <v>10</v>
      </c>
    </row>
    <row r="371" spans="4:6" x14ac:dyDescent="0.2">
      <c r="D371" t="s">
        <v>33</v>
      </c>
      <c r="F371" t="s">
        <v>12</v>
      </c>
    </row>
    <row r="372" spans="4:6" x14ac:dyDescent="0.2">
      <c r="D372" t="s">
        <v>29</v>
      </c>
      <c r="F372" t="s">
        <v>26</v>
      </c>
    </row>
    <row r="373" spans="4:6" x14ac:dyDescent="0.2">
      <c r="D373" t="s">
        <v>27</v>
      </c>
      <c r="F373" t="s">
        <v>11</v>
      </c>
    </row>
    <row r="374" spans="4:6" x14ac:dyDescent="0.2">
      <c r="D374" t="s">
        <v>35</v>
      </c>
      <c r="F374" t="s">
        <v>24</v>
      </c>
    </row>
    <row r="375" spans="4:6" x14ac:dyDescent="0.2">
      <c r="D375" t="s">
        <v>21</v>
      </c>
      <c r="F375" t="s">
        <v>30</v>
      </c>
    </row>
    <row r="376" spans="4:6" x14ac:dyDescent="0.2">
      <c r="D376" t="s">
        <v>23</v>
      </c>
      <c r="F376" t="s">
        <v>14</v>
      </c>
    </row>
    <row r="377" spans="4:6" x14ac:dyDescent="0.2">
      <c r="D377" t="s">
        <v>39</v>
      </c>
      <c r="F377" t="s">
        <v>32</v>
      </c>
    </row>
    <row r="378" spans="4:6" x14ac:dyDescent="0.2">
      <c r="D378" t="s">
        <v>16</v>
      </c>
      <c r="F378" t="s">
        <v>37</v>
      </c>
    </row>
    <row r="379" spans="4:6" x14ac:dyDescent="0.2">
      <c r="D379" t="s">
        <v>18</v>
      </c>
      <c r="F379" t="s">
        <v>55</v>
      </c>
    </row>
    <row r="380" spans="4:6" x14ac:dyDescent="0.2">
      <c r="D380" t="s">
        <v>36</v>
      </c>
      <c r="F380" t="s">
        <v>20</v>
      </c>
    </row>
    <row r="381" spans="4:6" x14ac:dyDescent="0.2">
      <c r="D381" t="s">
        <v>40</v>
      </c>
      <c r="F381" t="s">
        <v>22</v>
      </c>
    </row>
    <row r="382" spans="4:6" x14ac:dyDescent="0.2">
      <c r="D382" t="s">
        <v>13</v>
      </c>
      <c r="F382" t="s">
        <v>31</v>
      </c>
    </row>
    <row r="383" spans="4:6" x14ac:dyDescent="0.2">
      <c r="D383" t="s">
        <v>15</v>
      </c>
      <c r="F383" t="s">
        <v>21</v>
      </c>
    </row>
    <row r="384" spans="4:6" x14ac:dyDescent="0.2">
      <c r="D384" t="s">
        <v>24</v>
      </c>
      <c r="F384" t="s">
        <v>23</v>
      </c>
    </row>
    <row r="385" spans="4:6" x14ac:dyDescent="0.2">
      <c r="D385" t="s">
        <v>40</v>
      </c>
      <c r="F385" t="s">
        <v>25</v>
      </c>
    </row>
    <row r="386" spans="4:6" x14ac:dyDescent="0.2">
      <c r="D386" t="s">
        <v>14</v>
      </c>
      <c r="F386" t="s">
        <v>28</v>
      </c>
    </row>
    <row r="387" spans="4:6" x14ac:dyDescent="0.2">
      <c r="D387" t="s">
        <v>29</v>
      </c>
      <c r="F387" t="s">
        <v>10</v>
      </c>
    </row>
    <row r="388" spans="4:6" x14ac:dyDescent="0.2">
      <c r="D388" t="s">
        <v>55</v>
      </c>
      <c r="F388" t="s">
        <v>39</v>
      </c>
    </row>
    <row r="389" spans="4:6" x14ac:dyDescent="0.2">
      <c r="D389" t="s">
        <v>37</v>
      </c>
      <c r="F389" t="s">
        <v>26</v>
      </c>
    </row>
    <row r="390" spans="4:6" x14ac:dyDescent="0.2">
      <c r="D390" t="s">
        <v>16</v>
      </c>
      <c r="F390" t="s">
        <v>11</v>
      </c>
    </row>
    <row r="391" spans="4:6" x14ac:dyDescent="0.2">
      <c r="D391" t="s">
        <v>12</v>
      </c>
      <c r="F391" t="s">
        <v>34</v>
      </c>
    </row>
    <row r="392" spans="4:6" x14ac:dyDescent="0.2">
      <c r="D392" t="s">
        <v>27</v>
      </c>
      <c r="F392" t="s">
        <v>30</v>
      </c>
    </row>
    <row r="393" spans="4:6" x14ac:dyDescent="0.2">
      <c r="D393" t="s">
        <v>38</v>
      </c>
      <c r="F393" t="s">
        <v>33</v>
      </c>
    </row>
    <row r="394" spans="4:6" x14ac:dyDescent="0.2">
      <c r="D394" t="s">
        <v>36</v>
      </c>
      <c r="F394" t="s">
        <v>35</v>
      </c>
    </row>
    <row r="395" spans="4:6" x14ac:dyDescent="0.2">
      <c r="D395" t="s">
        <v>18</v>
      </c>
      <c r="F395" t="s">
        <v>20</v>
      </c>
    </row>
    <row r="396" spans="4:6" x14ac:dyDescent="0.2">
      <c r="D396" t="s">
        <v>19</v>
      </c>
      <c r="F396" t="s">
        <v>22</v>
      </c>
    </row>
    <row r="397" spans="4:6" x14ac:dyDescent="0.2">
      <c r="D397" t="s">
        <v>26</v>
      </c>
      <c r="F397" t="s">
        <v>21</v>
      </c>
    </row>
    <row r="398" spans="4:6" x14ac:dyDescent="0.2">
      <c r="D398" t="s">
        <v>18</v>
      </c>
      <c r="F398" t="s">
        <v>12</v>
      </c>
    </row>
    <row r="399" spans="4:6" x14ac:dyDescent="0.2">
      <c r="D399" t="s">
        <v>38</v>
      </c>
      <c r="F399" t="s">
        <v>13</v>
      </c>
    </row>
    <row r="400" spans="4:6" x14ac:dyDescent="0.2">
      <c r="D400" t="s">
        <v>23</v>
      </c>
      <c r="F400" t="s">
        <v>34</v>
      </c>
    </row>
    <row r="401" spans="4:6" x14ac:dyDescent="0.2">
      <c r="D401" t="s">
        <v>27</v>
      </c>
      <c r="F401" t="s">
        <v>24</v>
      </c>
    </row>
    <row r="402" spans="4:6" x14ac:dyDescent="0.2">
      <c r="D402" t="s">
        <v>40</v>
      </c>
      <c r="F402" t="s">
        <v>29</v>
      </c>
    </row>
    <row r="403" spans="4:6" x14ac:dyDescent="0.2">
      <c r="D403" t="s">
        <v>37</v>
      </c>
      <c r="F403" t="s">
        <v>15</v>
      </c>
    </row>
    <row r="404" spans="4:6" x14ac:dyDescent="0.2">
      <c r="D404" t="s">
        <v>19</v>
      </c>
      <c r="F404" t="s">
        <v>14</v>
      </c>
    </row>
    <row r="405" spans="4:6" x14ac:dyDescent="0.2">
      <c r="D405" t="s">
        <v>17</v>
      </c>
      <c r="F405" t="s">
        <v>32</v>
      </c>
    </row>
    <row r="406" spans="4:6" x14ac:dyDescent="0.2">
      <c r="D406" t="s">
        <v>55</v>
      </c>
      <c r="F406" t="s">
        <v>35</v>
      </c>
    </row>
    <row r="407" spans="4:6" x14ac:dyDescent="0.2">
      <c r="D407" t="s">
        <v>33</v>
      </c>
      <c r="F407" t="s">
        <v>20</v>
      </c>
    </row>
    <row r="408" spans="4:6" x14ac:dyDescent="0.2">
      <c r="D408" t="s">
        <v>16</v>
      </c>
      <c r="F408" t="s">
        <v>25</v>
      </c>
    </row>
    <row r="409" spans="4:6" x14ac:dyDescent="0.2">
      <c r="D409" t="s">
        <v>31</v>
      </c>
      <c r="F409" t="s">
        <v>10</v>
      </c>
    </row>
    <row r="410" spans="4:6" x14ac:dyDescent="0.2">
      <c r="D410" t="s">
        <v>36</v>
      </c>
      <c r="F410" t="s">
        <v>39</v>
      </c>
    </row>
    <row r="411" spans="4:6" x14ac:dyDescent="0.2">
      <c r="D411" t="s">
        <v>22</v>
      </c>
      <c r="F411" t="s">
        <v>30</v>
      </c>
    </row>
    <row r="412" spans="4:6" x14ac:dyDescent="0.2">
      <c r="D412" t="s">
        <v>40</v>
      </c>
      <c r="F412" t="s">
        <v>23</v>
      </c>
    </row>
    <row r="413" spans="4:6" x14ac:dyDescent="0.2">
      <c r="D413" t="s">
        <v>28</v>
      </c>
      <c r="F413" t="s">
        <v>24</v>
      </c>
    </row>
    <row r="414" spans="4:6" x14ac:dyDescent="0.2">
      <c r="D414" t="s">
        <v>14</v>
      </c>
      <c r="F414" t="s">
        <v>27</v>
      </c>
    </row>
    <row r="415" spans="4:6" x14ac:dyDescent="0.2">
      <c r="D415" t="s">
        <v>55</v>
      </c>
      <c r="F415" t="s">
        <v>33</v>
      </c>
    </row>
    <row r="416" spans="4:6" x14ac:dyDescent="0.2">
      <c r="D416" t="s">
        <v>31</v>
      </c>
      <c r="F416" t="s">
        <v>35</v>
      </c>
    </row>
    <row r="417" spans="4:6" x14ac:dyDescent="0.2">
      <c r="D417" t="s">
        <v>38</v>
      </c>
      <c r="F417" t="s">
        <v>12</v>
      </c>
    </row>
    <row r="418" spans="4:6" x14ac:dyDescent="0.2">
      <c r="D418" t="s">
        <v>21</v>
      </c>
      <c r="F418" t="s">
        <v>26</v>
      </c>
    </row>
    <row r="419" spans="4:6" x14ac:dyDescent="0.2">
      <c r="D419" t="s">
        <v>34</v>
      </c>
      <c r="F419" t="s">
        <v>17</v>
      </c>
    </row>
    <row r="420" spans="4:6" x14ac:dyDescent="0.2">
      <c r="D420" t="s">
        <v>19</v>
      </c>
      <c r="F420" t="s">
        <v>11</v>
      </c>
    </row>
    <row r="421" spans="4:6" x14ac:dyDescent="0.2">
      <c r="D421" t="s">
        <v>22</v>
      </c>
      <c r="F421" t="s">
        <v>13</v>
      </c>
    </row>
    <row r="422" spans="4:6" x14ac:dyDescent="0.2">
      <c r="D422" t="s">
        <v>36</v>
      </c>
      <c r="F422" t="s">
        <v>18</v>
      </c>
    </row>
    <row r="423" spans="4:6" x14ac:dyDescent="0.2">
      <c r="D423" t="s">
        <v>16</v>
      </c>
      <c r="F423" t="s">
        <v>29</v>
      </c>
    </row>
    <row r="424" spans="4:6" x14ac:dyDescent="0.2">
      <c r="D424" t="s">
        <v>37</v>
      </c>
      <c r="F424" t="s">
        <v>30</v>
      </c>
    </row>
    <row r="425" spans="4:6" x14ac:dyDescent="0.2">
      <c r="D425" t="s">
        <v>39</v>
      </c>
      <c r="F425" t="s">
        <v>15</v>
      </c>
    </row>
    <row r="426" spans="4:6" x14ac:dyDescent="0.2">
      <c r="D426" t="s">
        <v>10</v>
      </c>
      <c r="F426" t="s">
        <v>20</v>
      </c>
    </row>
    <row r="427" spans="4:6" x14ac:dyDescent="0.2">
      <c r="D427" t="s">
        <v>55</v>
      </c>
      <c r="F427" t="s">
        <v>31</v>
      </c>
    </row>
    <row r="428" spans="4:6" x14ac:dyDescent="0.2">
      <c r="D428" t="s">
        <v>40</v>
      </c>
      <c r="F428" t="s">
        <v>18</v>
      </c>
    </row>
    <row r="429" spans="4:6" x14ac:dyDescent="0.2">
      <c r="D429" t="s">
        <v>39</v>
      </c>
      <c r="F429" t="s">
        <v>24</v>
      </c>
    </row>
    <row r="430" spans="4:6" x14ac:dyDescent="0.2">
      <c r="D430" t="s">
        <v>23</v>
      </c>
      <c r="F430" t="s">
        <v>27</v>
      </c>
    </row>
    <row r="431" spans="4:6" x14ac:dyDescent="0.2">
      <c r="D431" t="s">
        <v>22</v>
      </c>
      <c r="F431" t="s">
        <v>33</v>
      </c>
    </row>
    <row r="432" spans="4:6" x14ac:dyDescent="0.2">
      <c r="D432" t="s">
        <v>35</v>
      </c>
      <c r="F432" t="s">
        <v>21</v>
      </c>
    </row>
    <row r="433" spans="4:6" x14ac:dyDescent="0.2">
      <c r="D433" t="s">
        <v>19</v>
      </c>
      <c r="F433" t="s">
        <v>25</v>
      </c>
    </row>
    <row r="434" spans="4:6" x14ac:dyDescent="0.2">
      <c r="D434" t="s">
        <v>26</v>
      </c>
      <c r="F434" t="s">
        <v>28</v>
      </c>
    </row>
    <row r="435" spans="4:6" x14ac:dyDescent="0.2">
      <c r="D435" t="s">
        <v>34</v>
      </c>
      <c r="F435" t="s">
        <v>16</v>
      </c>
    </row>
    <row r="436" spans="4:6" x14ac:dyDescent="0.2">
      <c r="D436" t="s">
        <v>32</v>
      </c>
      <c r="F436" t="s">
        <v>17</v>
      </c>
    </row>
    <row r="437" spans="4:6" x14ac:dyDescent="0.2">
      <c r="D437" t="s">
        <v>29</v>
      </c>
      <c r="F437" t="s">
        <v>11</v>
      </c>
    </row>
    <row r="438" spans="4:6" x14ac:dyDescent="0.2">
      <c r="D438" t="s">
        <v>10</v>
      </c>
      <c r="F438" t="s">
        <v>13</v>
      </c>
    </row>
    <row r="439" spans="4:6" x14ac:dyDescent="0.2">
      <c r="D439" t="s">
        <v>12</v>
      </c>
      <c r="F439" t="s">
        <v>30</v>
      </c>
    </row>
    <row r="440" spans="4:6" x14ac:dyDescent="0.2">
      <c r="D440" t="s">
        <v>15</v>
      </c>
      <c r="F440" t="s">
        <v>36</v>
      </c>
    </row>
    <row r="441" spans="4:6" x14ac:dyDescent="0.2">
      <c r="D441" t="s">
        <v>14</v>
      </c>
      <c r="F441" t="s">
        <v>37</v>
      </c>
    </row>
    <row r="442" spans="4:6" x14ac:dyDescent="0.2">
      <c r="D442" t="s">
        <v>22</v>
      </c>
      <c r="F442" t="s">
        <v>31</v>
      </c>
    </row>
    <row r="443" spans="4:6" x14ac:dyDescent="0.2">
      <c r="D443" t="s">
        <v>33</v>
      </c>
      <c r="F443" t="s">
        <v>39</v>
      </c>
    </row>
    <row r="444" spans="4:6" x14ac:dyDescent="0.2">
      <c r="D444" t="s">
        <v>20</v>
      </c>
      <c r="F444" t="s">
        <v>24</v>
      </c>
    </row>
    <row r="445" spans="4:6" x14ac:dyDescent="0.2">
      <c r="D445" t="s">
        <v>55</v>
      </c>
      <c r="F445" t="s">
        <v>38</v>
      </c>
    </row>
    <row r="446" spans="4:6" x14ac:dyDescent="0.2">
      <c r="D446" t="s">
        <v>23</v>
      </c>
      <c r="F446" t="s">
        <v>40</v>
      </c>
    </row>
    <row r="447" spans="4:6" x14ac:dyDescent="0.2">
      <c r="D447" t="s">
        <v>24</v>
      </c>
      <c r="F447" t="s">
        <v>21</v>
      </c>
    </row>
    <row r="448" spans="4:6" x14ac:dyDescent="0.2">
      <c r="D448" t="s">
        <v>29</v>
      </c>
      <c r="F448" t="s">
        <v>25</v>
      </c>
    </row>
    <row r="449" spans="4:6" x14ac:dyDescent="0.2">
      <c r="D449" t="s">
        <v>55</v>
      </c>
      <c r="F449" t="s">
        <v>16</v>
      </c>
    </row>
    <row r="450" spans="4:6" x14ac:dyDescent="0.2">
      <c r="D450" t="s">
        <v>40</v>
      </c>
      <c r="F450" t="s">
        <v>17</v>
      </c>
    </row>
    <row r="451" spans="4:6" x14ac:dyDescent="0.2">
      <c r="D451" t="s">
        <v>28</v>
      </c>
      <c r="F451" t="s">
        <v>11</v>
      </c>
    </row>
    <row r="452" spans="4:6" x14ac:dyDescent="0.2">
      <c r="D452" t="s">
        <v>10</v>
      </c>
      <c r="F452" t="s">
        <v>13</v>
      </c>
    </row>
    <row r="453" spans="4:6" x14ac:dyDescent="0.2">
      <c r="D453" t="s">
        <v>12</v>
      </c>
      <c r="F453" t="s">
        <v>15</v>
      </c>
    </row>
    <row r="454" spans="4:6" x14ac:dyDescent="0.2">
      <c r="D454" t="s">
        <v>35</v>
      </c>
      <c r="F454" t="s">
        <v>36</v>
      </c>
    </row>
    <row r="455" spans="4:6" x14ac:dyDescent="0.2">
      <c r="D455" t="s">
        <v>26</v>
      </c>
      <c r="F455" t="s">
        <v>32</v>
      </c>
    </row>
    <row r="456" spans="4:6" x14ac:dyDescent="0.2">
      <c r="D456" t="s">
        <v>30</v>
      </c>
      <c r="F456" t="s">
        <v>37</v>
      </c>
    </row>
    <row r="457" spans="4:6" x14ac:dyDescent="0.2">
      <c r="D457" t="s">
        <v>18</v>
      </c>
      <c r="F457" t="s">
        <v>19</v>
      </c>
    </row>
    <row r="458" spans="4:6" x14ac:dyDescent="0.2">
      <c r="D458" t="s">
        <v>34</v>
      </c>
      <c r="F458" t="s">
        <v>38</v>
      </c>
    </row>
    <row r="459" spans="4:6" x14ac:dyDescent="0.2">
      <c r="D459" t="s">
        <v>10</v>
      </c>
      <c r="F459" t="s">
        <v>31</v>
      </c>
    </row>
    <row r="460" spans="4:6" x14ac:dyDescent="0.2">
      <c r="D460" t="s">
        <v>33</v>
      </c>
      <c r="F460" t="s">
        <v>25</v>
      </c>
    </row>
    <row r="461" spans="4:6" x14ac:dyDescent="0.2">
      <c r="D461" t="s">
        <v>14</v>
      </c>
      <c r="F461" t="s">
        <v>39</v>
      </c>
    </row>
    <row r="462" spans="4:6" x14ac:dyDescent="0.2">
      <c r="D462" t="s">
        <v>30</v>
      </c>
      <c r="F462" t="s">
        <v>11</v>
      </c>
    </row>
    <row r="463" spans="4:6" x14ac:dyDescent="0.2">
      <c r="D463" t="s">
        <v>35</v>
      </c>
      <c r="F463" t="s">
        <v>18</v>
      </c>
    </row>
    <row r="464" spans="4:6" x14ac:dyDescent="0.2">
      <c r="D464" t="s">
        <v>20</v>
      </c>
      <c r="F464" t="s">
        <v>15</v>
      </c>
    </row>
    <row r="465" spans="4:6" x14ac:dyDescent="0.2">
      <c r="D465" t="s">
        <v>12</v>
      </c>
      <c r="F465" t="s">
        <v>27</v>
      </c>
    </row>
    <row r="466" spans="4:6" x14ac:dyDescent="0.2">
      <c r="D466" t="s">
        <v>28</v>
      </c>
      <c r="F466" t="s">
        <v>22</v>
      </c>
    </row>
    <row r="467" spans="4:6" x14ac:dyDescent="0.2">
      <c r="D467" t="s">
        <v>23</v>
      </c>
      <c r="F467" t="s">
        <v>16</v>
      </c>
    </row>
    <row r="468" spans="4:6" x14ac:dyDescent="0.2">
      <c r="D468" t="s">
        <v>34</v>
      </c>
      <c r="F468" t="s">
        <v>32</v>
      </c>
    </row>
    <row r="469" spans="4:6" x14ac:dyDescent="0.2">
      <c r="D469" t="s">
        <v>37</v>
      </c>
      <c r="F469" t="s">
        <v>19</v>
      </c>
    </row>
    <row r="470" spans="4:6" x14ac:dyDescent="0.2">
      <c r="D470" t="s">
        <v>13</v>
      </c>
      <c r="F470" t="s">
        <v>55</v>
      </c>
    </row>
    <row r="471" spans="4:6" x14ac:dyDescent="0.2">
      <c r="D471" t="s">
        <v>26</v>
      </c>
      <c r="F471" t="s">
        <v>38</v>
      </c>
    </row>
    <row r="472" spans="4:6" x14ac:dyDescent="0.2">
      <c r="D472" t="s">
        <v>28</v>
      </c>
      <c r="F472" t="s">
        <v>25</v>
      </c>
    </row>
    <row r="473" spans="4:6" x14ac:dyDescent="0.2">
      <c r="D473" t="s">
        <v>23</v>
      </c>
      <c r="F473" t="s">
        <v>17</v>
      </c>
    </row>
    <row r="474" spans="4:6" x14ac:dyDescent="0.2">
      <c r="D474" t="s">
        <v>37</v>
      </c>
      <c r="F474" t="s">
        <v>18</v>
      </c>
    </row>
    <row r="475" spans="4:6" x14ac:dyDescent="0.2">
      <c r="D475" t="s">
        <v>12</v>
      </c>
      <c r="F475" t="s">
        <v>29</v>
      </c>
    </row>
    <row r="476" spans="4:6" x14ac:dyDescent="0.2">
      <c r="D476" t="s">
        <v>20</v>
      </c>
      <c r="F476" t="s">
        <v>30</v>
      </c>
    </row>
    <row r="477" spans="4:6" x14ac:dyDescent="0.2">
      <c r="D477" t="s">
        <v>24</v>
      </c>
      <c r="F477" t="s">
        <v>36</v>
      </c>
    </row>
    <row r="478" spans="4:6" x14ac:dyDescent="0.2">
      <c r="D478" t="s">
        <v>33</v>
      </c>
      <c r="F478" t="s">
        <v>27</v>
      </c>
    </row>
    <row r="479" spans="4:6" x14ac:dyDescent="0.2">
      <c r="D479" t="s">
        <v>31</v>
      </c>
      <c r="F479" t="s">
        <v>14</v>
      </c>
    </row>
    <row r="480" spans="4:6" x14ac:dyDescent="0.2">
      <c r="D480" t="s">
        <v>21</v>
      </c>
      <c r="F480" t="s">
        <v>35</v>
      </c>
    </row>
    <row r="481" spans="4:6" x14ac:dyDescent="0.2">
      <c r="D481" t="s">
        <v>39</v>
      </c>
      <c r="F481" t="s">
        <v>40</v>
      </c>
    </row>
    <row r="482" spans="4:6" x14ac:dyDescent="0.2">
      <c r="D482" t="s">
        <v>26</v>
      </c>
      <c r="F482" t="s">
        <v>16</v>
      </c>
    </row>
    <row r="483" spans="4:6" x14ac:dyDescent="0.2">
      <c r="D483" t="s">
        <v>15</v>
      </c>
      <c r="F483" t="s">
        <v>10</v>
      </c>
    </row>
    <row r="484" spans="4:6" x14ac:dyDescent="0.2">
      <c r="D484" t="s">
        <v>13</v>
      </c>
      <c r="F484" t="s">
        <v>32</v>
      </c>
    </row>
    <row r="485" spans="4:6" x14ac:dyDescent="0.2">
      <c r="D485" t="s">
        <v>11</v>
      </c>
      <c r="F485" t="s">
        <v>55</v>
      </c>
    </row>
    <row r="486" spans="4:6" x14ac:dyDescent="0.2">
      <c r="D486" t="s">
        <v>36</v>
      </c>
      <c r="F486" t="s">
        <v>28</v>
      </c>
    </row>
    <row r="487" spans="4:6" x14ac:dyDescent="0.2">
      <c r="D487" t="s">
        <v>11</v>
      </c>
      <c r="F487" t="s">
        <v>12</v>
      </c>
    </row>
    <row r="488" spans="4:6" x14ac:dyDescent="0.2">
      <c r="D488" t="s">
        <v>26</v>
      </c>
      <c r="F488" t="s">
        <v>17</v>
      </c>
    </row>
    <row r="489" spans="4:6" x14ac:dyDescent="0.2">
      <c r="D489" t="s">
        <v>39</v>
      </c>
      <c r="F489" t="s">
        <v>34</v>
      </c>
    </row>
    <row r="490" spans="4:6" x14ac:dyDescent="0.2">
      <c r="D490" t="s">
        <v>37</v>
      </c>
      <c r="F490" t="s">
        <v>24</v>
      </c>
    </row>
    <row r="491" spans="4:6" x14ac:dyDescent="0.2">
      <c r="D491" t="s">
        <v>35</v>
      </c>
      <c r="F491" t="s">
        <v>29</v>
      </c>
    </row>
    <row r="492" spans="4:6" x14ac:dyDescent="0.2">
      <c r="D492" t="s">
        <v>31</v>
      </c>
      <c r="F492" t="s">
        <v>30</v>
      </c>
    </row>
    <row r="493" spans="4:6" x14ac:dyDescent="0.2">
      <c r="D493" t="s">
        <v>20</v>
      </c>
      <c r="F493" t="s">
        <v>27</v>
      </c>
    </row>
    <row r="494" spans="4:6" x14ac:dyDescent="0.2">
      <c r="D494" t="s">
        <v>18</v>
      </c>
      <c r="F494" t="s">
        <v>14</v>
      </c>
    </row>
    <row r="495" spans="4:6" x14ac:dyDescent="0.2">
      <c r="D495" t="s">
        <v>33</v>
      </c>
      <c r="F495" t="s">
        <v>19</v>
      </c>
    </row>
    <row r="496" spans="4:6" x14ac:dyDescent="0.2">
      <c r="D496" t="s">
        <v>23</v>
      </c>
      <c r="F496" t="s">
        <v>38</v>
      </c>
    </row>
    <row r="497" spans="4:6" x14ac:dyDescent="0.2">
      <c r="D497" t="s">
        <v>21</v>
      </c>
      <c r="F497" t="s">
        <v>40</v>
      </c>
    </row>
    <row r="498" spans="4:6" x14ac:dyDescent="0.2">
      <c r="D498" t="s">
        <v>25</v>
      </c>
      <c r="F498" t="s">
        <v>22</v>
      </c>
    </row>
    <row r="499" spans="4:6" x14ac:dyDescent="0.2">
      <c r="D499" t="s">
        <v>10</v>
      </c>
      <c r="F499" t="s">
        <v>35</v>
      </c>
    </row>
    <row r="500" spans="4:6" x14ac:dyDescent="0.2">
      <c r="D500" t="s">
        <v>32</v>
      </c>
      <c r="F500" t="s">
        <v>55</v>
      </c>
    </row>
    <row r="501" spans="4:6" x14ac:dyDescent="0.2">
      <c r="D501" t="s">
        <v>20</v>
      </c>
      <c r="F501" t="s">
        <v>28</v>
      </c>
    </row>
    <row r="502" spans="4:6" x14ac:dyDescent="0.2">
      <c r="D502" t="s">
        <v>26</v>
      </c>
      <c r="F502" t="s">
        <v>10</v>
      </c>
    </row>
    <row r="503" spans="4:6" x14ac:dyDescent="0.2">
      <c r="D503" t="s">
        <v>29</v>
      </c>
      <c r="F503" t="s">
        <v>12</v>
      </c>
    </row>
    <row r="504" spans="4:6" x14ac:dyDescent="0.2">
      <c r="D504" t="s">
        <v>11</v>
      </c>
      <c r="F504" t="s">
        <v>39</v>
      </c>
    </row>
    <row r="505" spans="4:6" x14ac:dyDescent="0.2">
      <c r="D505" t="s">
        <v>16</v>
      </c>
      <c r="F505" t="s">
        <v>13</v>
      </c>
    </row>
    <row r="506" spans="4:6" x14ac:dyDescent="0.2">
      <c r="D506" t="s">
        <v>36</v>
      </c>
      <c r="F506" t="s">
        <v>34</v>
      </c>
    </row>
    <row r="507" spans="4:6" x14ac:dyDescent="0.2">
      <c r="D507" t="s">
        <v>31</v>
      </c>
      <c r="F507" t="s">
        <v>24</v>
      </c>
    </row>
    <row r="508" spans="4:6" x14ac:dyDescent="0.2">
      <c r="D508" t="s">
        <v>37</v>
      </c>
      <c r="F508" t="s">
        <v>30</v>
      </c>
    </row>
    <row r="509" spans="4:6" x14ac:dyDescent="0.2">
      <c r="D509" t="s">
        <v>18</v>
      </c>
      <c r="F509" t="s">
        <v>15</v>
      </c>
    </row>
    <row r="510" spans="4:6" x14ac:dyDescent="0.2">
      <c r="D510" t="s">
        <v>25</v>
      </c>
      <c r="F510" t="s">
        <v>27</v>
      </c>
    </row>
    <row r="511" spans="4:6" x14ac:dyDescent="0.2">
      <c r="D511" t="s">
        <v>33</v>
      </c>
      <c r="F511" t="s">
        <v>14</v>
      </c>
    </row>
    <row r="512" spans="4:6" x14ac:dyDescent="0.2">
      <c r="D512" t="s">
        <v>17</v>
      </c>
      <c r="F512" t="s">
        <v>19</v>
      </c>
    </row>
    <row r="513" spans="4:6" x14ac:dyDescent="0.2">
      <c r="D513" t="s">
        <v>22</v>
      </c>
      <c r="F513" t="s">
        <v>40</v>
      </c>
    </row>
    <row r="514" spans="4:6" x14ac:dyDescent="0.2">
      <c r="D514" t="s">
        <v>27</v>
      </c>
      <c r="F514" t="s">
        <v>25</v>
      </c>
    </row>
    <row r="515" spans="4:6" x14ac:dyDescent="0.2">
      <c r="D515" t="s">
        <v>21</v>
      </c>
      <c r="F515" t="s">
        <v>34</v>
      </c>
    </row>
    <row r="516" spans="4:6" x14ac:dyDescent="0.2">
      <c r="D516" t="s">
        <v>17</v>
      </c>
      <c r="F516" t="s">
        <v>18</v>
      </c>
    </row>
    <row r="517" spans="4:6" x14ac:dyDescent="0.2">
      <c r="D517" t="s">
        <v>38</v>
      </c>
      <c r="F517" t="s">
        <v>24</v>
      </c>
    </row>
    <row r="518" spans="4:6" x14ac:dyDescent="0.2">
      <c r="D518" t="s">
        <v>55</v>
      </c>
      <c r="F518" t="s">
        <v>14</v>
      </c>
    </row>
    <row r="519" spans="4:6" x14ac:dyDescent="0.2">
      <c r="D519" t="s">
        <v>23</v>
      </c>
      <c r="F519" t="s">
        <v>32</v>
      </c>
    </row>
    <row r="520" spans="4:6" x14ac:dyDescent="0.2">
      <c r="D520" t="s">
        <v>13</v>
      </c>
      <c r="F520" t="s">
        <v>39</v>
      </c>
    </row>
    <row r="521" spans="4:6" x14ac:dyDescent="0.2">
      <c r="D521" t="s">
        <v>31</v>
      </c>
      <c r="F521" t="s">
        <v>15</v>
      </c>
    </row>
    <row r="522" spans="4:6" x14ac:dyDescent="0.2">
      <c r="D522" t="s">
        <v>29</v>
      </c>
      <c r="F522" t="s">
        <v>35</v>
      </c>
    </row>
    <row r="523" spans="4:6" x14ac:dyDescent="0.2">
      <c r="D523" t="s">
        <v>11</v>
      </c>
      <c r="F523" t="s">
        <v>37</v>
      </c>
    </row>
    <row r="524" spans="4:6" x14ac:dyDescent="0.2">
      <c r="D524" t="s">
        <v>36</v>
      </c>
      <c r="F524" t="s">
        <v>40</v>
      </c>
    </row>
    <row r="525" spans="4:6" x14ac:dyDescent="0.2">
      <c r="D525" t="s">
        <v>55</v>
      </c>
      <c r="F525" t="s">
        <v>21</v>
      </c>
    </row>
    <row r="526" spans="4:6" x14ac:dyDescent="0.2">
      <c r="D526" t="s">
        <v>31</v>
      </c>
      <c r="F526" t="s">
        <v>28</v>
      </c>
    </row>
    <row r="527" spans="4:6" x14ac:dyDescent="0.2">
      <c r="D527" t="s">
        <v>30</v>
      </c>
      <c r="F527" t="s">
        <v>26</v>
      </c>
    </row>
    <row r="528" spans="4:6" x14ac:dyDescent="0.2">
      <c r="D528" t="s">
        <v>22</v>
      </c>
      <c r="F528" t="s">
        <v>34</v>
      </c>
    </row>
    <row r="529" spans="4:6" x14ac:dyDescent="0.2">
      <c r="D529" t="s">
        <v>27</v>
      </c>
      <c r="F529" t="s">
        <v>18</v>
      </c>
    </row>
    <row r="530" spans="4:6" x14ac:dyDescent="0.2">
      <c r="D530" t="s">
        <v>38</v>
      </c>
      <c r="F530" t="s">
        <v>15</v>
      </c>
    </row>
    <row r="531" spans="4:6" x14ac:dyDescent="0.2">
      <c r="D531" t="s">
        <v>17</v>
      </c>
      <c r="F531" t="s">
        <v>14</v>
      </c>
    </row>
    <row r="532" spans="4:6" x14ac:dyDescent="0.2">
      <c r="D532" t="s">
        <v>12</v>
      </c>
      <c r="F532" t="s">
        <v>32</v>
      </c>
    </row>
    <row r="533" spans="4:6" x14ac:dyDescent="0.2">
      <c r="D533" t="s">
        <v>16</v>
      </c>
      <c r="F533" t="s">
        <v>33</v>
      </c>
    </row>
    <row r="534" spans="4:6" x14ac:dyDescent="0.2">
      <c r="D534" t="s">
        <v>10</v>
      </c>
      <c r="F534" t="s">
        <v>19</v>
      </c>
    </row>
    <row r="535" spans="4:6" x14ac:dyDescent="0.2">
      <c r="D535" t="s">
        <v>55</v>
      </c>
      <c r="F535" t="s">
        <v>26</v>
      </c>
    </row>
    <row r="536" spans="4:6" x14ac:dyDescent="0.2">
      <c r="D536" t="s">
        <v>13</v>
      </c>
      <c r="F536" t="s">
        <v>11</v>
      </c>
    </row>
    <row r="537" spans="4:6" x14ac:dyDescent="0.2">
      <c r="D537" t="s">
        <v>25</v>
      </c>
      <c r="F537" t="s">
        <v>29</v>
      </c>
    </row>
    <row r="538" spans="4:6" x14ac:dyDescent="0.2">
      <c r="D538" t="s">
        <v>40</v>
      </c>
      <c r="F538" t="s">
        <v>35</v>
      </c>
    </row>
    <row r="539" spans="4:6" x14ac:dyDescent="0.2">
      <c r="D539" t="s">
        <v>24</v>
      </c>
      <c r="F539" t="s">
        <v>20</v>
      </c>
    </row>
    <row r="540" spans="4:6" x14ac:dyDescent="0.2">
      <c r="D540" t="s">
        <v>17</v>
      </c>
      <c r="F540" t="s">
        <v>21</v>
      </c>
    </row>
    <row r="541" spans="4:6" x14ac:dyDescent="0.2">
      <c r="D541" t="s">
        <v>27</v>
      </c>
      <c r="F541" t="s">
        <v>23</v>
      </c>
    </row>
    <row r="542" spans="4:6" x14ac:dyDescent="0.2">
      <c r="D542" t="s">
        <v>34</v>
      </c>
      <c r="F542" t="s">
        <v>28</v>
      </c>
    </row>
    <row r="543" spans="4:6" x14ac:dyDescent="0.2">
      <c r="D543" t="s">
        <v>32</v>
      </c>
      <c r="F543" t="s">
        <v>16</v>
      </c>
    </row>
    <row r="544" spans="4:6" x14ac:dyDescent="0.2">
      <c r="D544" t="s">
        <v>10</v>
      </c>
      <c r="F544" t="s">
        <v>18</v>
      </c>
    </row>
    <row r="545" spans="4:6" x14ac:dyDescent="0.2">
      <c r="D545" t="s">
        <v>14</v>
      </c>
      <c r="F545" t="s">
        <v>36</v>
      </c>
    </row>
    <row r="546" spans="4:6" x14ac:dyDescent="0.2">
      <c r="D546" t="s">
        <v>39</v>
      </c>
      <c r="F546" t="s">
        <v>33</v>
      </c>
    </row>
    <row r="547" spans="4:6" x14ac:dyDescent="0.2">
      <c r="D547" t="s">
        <v>15</v>
      </c>
      <c r="F547" t="s">
        <v>35</v>
      </c>
    </row>
    <row r="548" spans="4:6" x14ac:dyDescent="0.2">
      <c r="D548" t="s">
        <v>13</v>
      </c>
      <c r="F548" t="s">
        <v>37</v>
      </c>
    </row>
    <row r="549" spans="4:6" x14ac:dyDescent="0.2">
      <c r="D549" t="s">
        <v>19</v>
      </c>
      <c r="F549" t="s">
        <v>22</v>
      </c>
    </row>
    <row r="550" spans="4:6" x14ac:dyDescent="0.2">
      <c r="D550" t="s">
        <v>39</v>
      </c>
      <c r="F550" t="s">
        <v>31</v>
      </c>
    </row>
    <row r="551" spans="4:6" x14ac:dyDescent="0.2">
      <c r="D551" t="s">
        <v>40</v>
      </c>
      <c r="F551" t="s">
        <v>12</v>
      </c>
    </row>
    <row r="552" spans="4:6" x14ac:dyDescent="0.2">
      <c r="D552" t="s">
        <v>25</v>
      </c>
      <c r="F552" t="s">
        <v>11</v>
      </c>
    </row>
    <row r="553" spans="4:6" x14ac:dyDescent="0.2">
      <c r="D553" t="s">
        <v>38</v>
      </c>
      <c r="F553" t="s">
        <v>30</v>
      </c>
    </row>
    <row r="554" spans="4:6" x14ac:dyDescent="0.2">
      <c r="D554" t="s">
        <v>24</v>
      </c>
      <c r="F554" t="s">
        <v>55</v>
      </c>
    </row>
    <row r="555" spans="4:6" x14ac:dyDescent="0.2">
      <c r="D555" t="s">
        <v>28</v>
      </c>
      <c r="F555" t="s">
        <v>31</v>
      </c>
    </row>
    <row r="556" spans="4:6" x14ac:dyDescent="0.2">
      <c r="D556" t="s">
        <v>38</v>
      </c>
      <c r="F556" t="s">
        <v>21</v>
      </c>
    </row>
    <row r="557" spans="4:6" x14ac:dyDescent="0.2">
      <c r="D557" t="s">
        <v>30</v>
      </c>
      <c r="F557" t="s">
        <v>23</v>
      </c>
    </row>
    <row r="558" spans="4:6" x14ac:dyDescent="0.2">
      <c r="D558" t="s">
        <v>20</v>
      </c>
      <c r="F558" t="s">
        <v>16</v>
      </c>
    </row>
    <row r="559" spans="4:6" x14ac:dyDescent="0.2">
      <c r="D559" t="s">
        <v>35</v>
      </c>
      <c r="F559" t="s">
        <v>11</v>
      </c>
    </row>
    <row r="560" spans="4:6" x14ac:dyDescent="0.2">
      <c r="D560" t="s">
        <v>17</v>
      </c>
      <c r="F560" t="s">
        <v>34</v>
      </c>
    </row>
    <row r="561" spans="4:6" x14ac:dyDescent="0.2">
      <c r="D561" t="s">
        <v>14</v>
      </c>
      <c r="F561" t="s">
        <v>18</v>
      </c>
    </row>
    <row r="562" spans="4:6" x14ac:dyDescent="0.2">
      <c r="D562" t="s">
        <v>19</v>
      </c>
      <c r="F562" t="s">
        <v>29</v>
      </c>
    </row>
    <row r="563" spans="4:6" x14ac:dyDescent="0.2">
      <c r="D563" t="s">
        <v>27</v>
      </c>
      <c r="F563" t="s">
        <v>15</v>
      </c>
    </row>
    <row r="564" spans="4:6" x14ac:dyDescent="0.2">
      <c r="D564" t="s">
        <v>10</v>
      </c>
      <c r="F564" t="s">
        <v>36</v>
      </c>
    </row>
    <row r="565" spans="4:6" x14ac:dyDescent="0.2">
      <c r="D565" t="s">
        <v>32</v>
      </c>
      <c r="F565" t="s">
        <v>33</v>
      </c>
    </row>
    <row r="566" spans="4:6" x14ac:dyDescent="0.2">
      <c r="D566" t="s">
        <v>25</v>
      </c>
      <c r="F566" t="s">
        <v>37</v>
      </c>
    </row>
    <row r="567" spans="4:6" x14ac:dyDescent="0.2">
      <c r="D567" t="s">
        <v>26</v>
      </c>
      <c r="F567" t="s">
        <v>22</v>
      </c>
    </row>
    <row r="568" spans="4:6" x14ac:dyDescent="0.2">
      <c r="D568" t="s">
        <v>36</v>
      </c>
      <c r="F568" t="s">
        <v>21</v>
      </c>
    </row>
    <row r="569" spans="4:6" x14ac:dyDescent="0.2">
      <c r="D569" t="s">
        <v>19</v>
      </c>
      <c r="F569" t="s">
        <v>39</v>
      </c>
    </row>
    <row r="570" spans="4:6" x14ac:dyDescent="0.2">
      <c r="D570" t="s">
        <v>22</v>
      </c>
      <c r="F570" t="s">
        <v>26</v>
      </c>
    </row>
    <row r="571" spans="4:6" x14ac:dyDescent="0.2">
      <c r="D571" t="s">
        <v>20</v>
      </c>
      <c r="F571" t="s">
        <v>17</v>
      </c>
    </row>
    <row r="572" spans="4:6" x14ac:dyDescent="0.2">
      <c r="D572" t="s">
        <v>12</v>
      </c>
      <c r="F572" t="s">
        <v>34</v>
      </c>
    </row>
    <row r="573" spans="4:6" x14ac:dyDescent="0.2">
      <c r="D573" t="s">
        <v>23</v>
      </c>
      <c r="F573" t="s">
        <v>24</v>
      </c>
    </row>
    <row r="574" spans="4:6" x14ac:dyDescent="0.2">
      <c r="D574" t="s">
        <v>15</v>
      </c>
      <c r="F574" t="s">
        <v>29</v>
      </c>
    </row>
    <row r="575" spans="4:6" x14ac:dyDescent="0.2">
      <c r="D575" t="s">
        <v>18</v>
      </c>
      <c r="F575" t="s">
        <v>14</v>
      </c>
    </row>
    <row r="576" spans="4:6" x14ac:dyDescent="0.2">
      <c r="D576" t="s">
        <v>40</v>
      </c>
      <c r="F576" t="s">
        <v>55</v>
      </c>
    </row>
    <row r="577" spans="4:6" x14ac:dyDescent="0.2">
      <c r="D577" t="s">
        <v>32</v>
      </c>
      <c r="F577" t="s">
        <v>31</v>
      </c>
    </row>
    <row r="578" spans="4:6" x14ac:dyDescent="0.2">
      <c r="D578" t="s">
        <v>28</v>
      </c>
      <c r="F578" t="s">
        <v>13</v>
      </c>
    </row>
    <row r="579" spans="4:6" x14ac:dyDescent="0.2">
      <c r="D579" t="s">
        <v>38</v>
      </c>
      <c r="F579" t="s">
        <v>27</v>
      </c>
    </row>
    <row r="580" spans="4:6" x14ac:dyDescent="0.2">
      <c r="D580" t="s">
        <v>35</v>
      </c>
      <c r="F580" t="s">
        <v>37</v>
      </c>
    </row>
    <row r="581" spans="4:6" x14ac:dyDescent="0.2">
      <c r="D581" t="s">
        <v>18</v>
      </c>
      <c r="F581" t="s">
        <v>21</v>
      </c>
    </row>
    <row r="582" spans="4:6" x14ac:dyDescent="0.2">
      <c r="D582" t="s">
        <v>11</v>
      </c>
      <c r="F582" t="s">
        <v>25</v>
      </c>
    </row>
    <row r="583" spans="4:6" x14ac:dyDescent="0.2">
      <c r="D583" t="s">
        <v>27</v>
      </c>
      <c r="F583" t="s">
        <v>10</v>
      </c>
    </row>
    <row r="584" spans="4:6" x14ac:dyDescent="0.2">
      <c r="D584" t="s">
        <v>55</v>
      </c>
      <c r="F584" t="s">
        <v>12</v>
      </c>
    </row>
    <row r="585" spans="4:6" x14ac:dyDescent="0.2">
      <c r="D585" t="s">
        <v>39</v>
      </c>
      <c r="F585" t="s">
        <v>26</v>
      </c>
    </row>
    <row r="586" spans="4:6" x14ac:dyDescent="0.2">
      <c r="D586" t="s">
        <v>16</v>
      </c>
      <c r="F586" t="s">
        <v>17</v>
      </c>
    </row>
    <row r="587" spans="4:6" x14ac:dyDescent="0.2">
      <c r="D587" t="s">
        <v>32</v>
      </c>
      <c r="F587" t="s">
        <v>13</v>
      </c>
    </row>
    <row r="588" spans="4:6" x14ac:dyDescent="0.2">
      <c r="D588" t="s">
        <v>29</v>
      </c>
      <c r="F588" t="s">
        <v>34</v>
      </c>
    </row>
    <row r="589" spans="4:6" x14ac:dyDescent="0.2">
      <c r="D589" t="s">
        <v>24</v>
      </c>
      <c r="F589" t="s">
        <v>30</v>
      </c>
    </row>
    <row r="590" spans="4:6" x14ac:dyDescent="0.2">
      <c r="D590" t="s">
        <v>23</v>
      </c>
      <c r="F590" t="s">
        <v>36</v>
      </c>
    </row>
    <row r="591" spans="4:6" x14ac:dyDescent="0.2">
      <c r="D591" t="s">
        <v>14</v>
      </c>
      <c r="F591" t="s">
        <v>19</v>
      </c>
    </row>
    <row r="592" spans="4:6" x14ac:dyDescent="0.2">
      <c r="D592" t="s">
        <v>33</v>
      </c>
      <c r="F592" t="s">
        <v>20</v>
      </c>
    </row>
    <row r="593" spans="4:6" x14ac:dyDescent="0.2">
      <c r="D593" t="s">
        <v>15</v>
      </c>
      <c r="F593" t="s">
        <v>22</v>
      </c>
    </row>
    <row r="594" spans="4:6" x14ac:dyDescent="0.2">
      <c r="D594" t="s">
        <v>21</v>
      </c>
      <c r="F594" t="s">
        <v>23</v>
      </c>
    </row>
    <row r="595" spans="4:6" x14ac:dyDescent="0.2">
      <c r="D595" t="s">
        <v>26</v>
      </c>
      <c r="F595" t="s">
        <v>25</v>
      </c>
    </row>
    <row r="596" spans="4:6" x14ac:dyDescent="0.2">
      <c r="D596" t="s">
        <v>17</v>
      </c>
      <c r="F596" t="s">
        <v>16</v>
      </c>
    </row>
    <row r="597" spans="4:6" x14ac:dyDescent="0.2">
      <c r="D597" t="s">
        <v>10</v>
      </c>
      <c r="F597" t="s">
        <v>39</v>
      </c>
    </row>
    <row r="598" spans="4:6" x14ac:dyDescent="0.2">
      <c r="D598" t="s">
        <v>37</v>
      </c>
      <c r="F598" t="s">
        <v>11</v>
      </c>
    </row>
    <row r="599" spans="4:6" x14ac:dyDescent="0.2">
      <c r="D599" t="s">
        <v>31</v>
      </c>
      <c r="F599" t="s">
        <v>13</v>
      </c>
    </row>
    <row r="600" spans="4:6" x14ac:dyDescent="0.2">
      <c r="D600" t="s">
        <v>22</v>
      </c>
      <c r="F600" t="s">
        <v>24</v>
      </c>
    </row>
    <row r="601" spans="4:6" x14ac:dyDescent="0.2">
      <c r="D601" t="s">
        <v>15</v>
      </c>
      <c r="F601" t="s">
        <v>30</v>
      </c>
    </row>
    <row r="602" spans="4:6" x14ac:dyDescent="0.2">
      <c r="D602" t="s">
        <v>29</v>
      </c>
      <c r="F602" t="s">
        <v>35</v>
      </c>
    </row>
    <row r="603" spans="4:6" x14ac:dyDescent="0.2">
      <c r="D603" t="s">
        <v>36</v>
      </c>
      <c r="F603" t="s">
        <v>19</v>
      </c>
    </row>
    <row r="604" spans="4:6" x14ac:dyDescent="0.2">
      <c r="D604" t="s">
        <v>33</v>
      </c>
      <c r="F604" t="s">
        <v>38</v>
      </c>
    </row>
    <row r="605" spans="4:6" x14ac:dyDescent="0.2">
      <c r="D605" t="s">
        <v>12</v>
      </c>
      <c r="F605" t="s">
        <v>20</v>
      </c>
    </row>
    <row r="606" spans="4:6" x14ac:dyDescent="0.2">
      <c r="D606" t="s">
        <v>34</v>
      </c>
      <c r="F606" t="s">
        <v>40</v>
      </c>
    </row>
    <row r="607" spans="4:6" x14ac:dyDescent="0.2">
      <c r="D607" t="s">
        <v>30</v>
      </c>
      <c r="F607" t="s">
        <v>28</v>
      </c>
    </row>
    <row r="608" spans="4:6" x14ac:dyDescent="0.2">
      <c r="D608" t="s">
        <v>14</v>
      </c>
      <c r="F608" t="s">
        <v>10</v>
      </c>
    </row>
    <row r="609" spans="4:6" x14ac:dyDescent="0.2">
      <c r="D609" t="s">
        <v>19</v>
      </c>
      <c r="F609" t="s">
        <v>26</v>
      </c>
    </row>
    <row r="610" spans="4:6" x14ac:dyDescent="0.2">
      <c r="D610" t="s">
        <v>27</v>
      </c>
      <c r="F610" t="s">
        <v>32</v>
      </c>
    </row>
    <row r="611" spans="4:6" x14ac:dyDescent="0.2">
      <c r="D611" t="s">
        <v>18</v>
      </c>
      <c r="F611" t="s">
        <v>37</v>
      </c>
    </row>
    <row r="612" spans="4:6" x14ac:dyDescent="0.2">
      <c r="D612" t="s">
        <v>33</v>
      </c>
      <c r="F612" t="s">
        <v>31</v>
      </c>
    </row>
    <row r="613" spans="4:6" x14ac:dyDescent="0.2">
      <c r="D613" t="s">
        <v>15</v>
      </c>
      <c r="F613" t="s">
        <v>25</v>
      </c>
    </row>
    <row r="614" spans="4:6" x14ac:dyDescent="0.2">
      <c r="D614" t="s">
        <v>21</v>
      </c>
      <c r="F614" t="s">
        <v>16</v>
      </c>
    </row>
    <row r="615" spans="4:6" x14ac:dyDescent="0.2">
      <c r="D615" t="s">
        <v>13</v>
      </c>
      <c r="F615" t="s">
        <v>12</v>
      </c>
    </row>
    <row r="616" spans="4:6" x14ac:dyDescent="0.2">
      <c r="D616" t="s">
        <v>22</v>
      </c>
      <c r="F616" t="s">
        <v>11</v>
      </c>
    </row>
    <row r="617" spans="4:6" x14ac:dyDescent="0.2">
      <c r="D617" t="s">
        <v>28</v>
      </c>
      <c r="F617" t="s">
        <v>36</v>
      </c>
    </row>
    <row r="618" spans="4:6" x14ac:dyDescent="0.2">
      <c r="D618" t="s">
        <v>38</v>
      </c>
      <c r="F618" t="s">
        <v>32</v>
      </c>
    </row>
    <row r="619" spans="4:6" x14ac:dyDescent="0.2">
      <c r="D619" t="s">
        <v>23</v>
      </c>
      <c r="F619" t="s">
        <v>35</v>
      </c>
    </row>
    <row r="620" spans="4:6" x14ac:dyDescent="0.2">
      <c r="D620" t="s">
        <v>29</v>
      </c>
      <c r="F620" t="s">
        <v>55</v>
      </c>
    </row>
    <row r="621" spans="4:6" x14ac:dyDescent="0.2">
      <c r="D621" t="s">
        <v>34</v>
      </c>
      <c r="F621" t="s">
        <v>20</v>
      </c>
    </row>
    <row r="622" spans="4:6" x14ac:dyDescent="0.2">
      <c r="D622" t="s">
        <v>17</v>
      </c>
      <c r="F622" t="s">
        <v>40</v>
      </c>
    </row>
    <row r="623" spans="4:6" x14ac:dyDescent="0.2">
      <c r="D623" t="s">
        <v>30</v>
      </c>
      <c r="F623" t="s">
        <v>10</v>
      </c>
    </row>
    <row r="624" spans="4:6" x14ac:dyDescent="0.2">
      <c r="D624" t="s">
        <v>18</v>
      </c>
      <c r="F624" t="s">
        <v>11</v>
      </c>
    </row>
    <row r="625" spans="4:6" x14ac:dyDescent="0.2">
      <c r="D625" t="s">
        <v>25</v>
      </c>
      <c r="F625" t="s">
        <v>14</v>
      </c>
    </row>
    <row r="626" spans="4:6" x14ac:dyDescent="0.2">
      <c r="D626" t="s">
        <v>24</v>
      </c>
      <c r="F626" t="s">
        <v>19</v>
      </c>
    </row>
    <row r="627" spans="4:6" x14ac:dyDescent="0.2">
      <c r="D627" t="s">
        <v>27</v>
      </c>
      <c r="F627" t="s">
        <v>38</v>
      </c>
    </row>
    <row r="628" spans="4:6" x14ac:dyDescent="0.2">
      <c r="D628" t="s">
        <v>37</v>
      </c>
      <c r="F628" t="s">
        <v>31</v>
      </c>
    </row>
    <row r="629" spans="4:6" x14ac:dyDescent="0.2">
      <c r="D629" t="s">
        <v>24</v>
      </c>
      <c r="F629" t="s">
        <v>28</v>
      </c>
    </row>
    <row r="630" spans="4:6" x14ac:dyDescent="0.2">
      <c r="D630" t="s">
        <v>27</v>
      </c>
      <c r="F630" t="s">
        <v>16</v>
      </c>
    </row>
    <row r="631" spans="4:6" x14ac:dyDescent="0.2">
      <c r="D631" t="s">
        <v>35</v>
      </c>
      <c r="F631" t="s">
        <v>12</v>
      </c>
    </row>
    <row r="632" spans="4:6" x14ac:dyDescent="0.2">
      <c r="D632" t="s">
        <v>23</v>
      </c>
      <c r="F632" t="s">
        <v>39</v>
      </c>
    </row>
    <row r="633" spans="4:6" x14ac:dyDescent="0.2">
      <c r="D633" t="s">
        <v>40</v>
      </c>
      <c r="F633" t="s">
        <v>26</v>
      </c>
    </row>
    <row r="634" spans="4:6" x14ac:dyDescent="0.2">
      <c r="D634" t="s">
        <v>21</v>
      </c>
      <c r="F634" t="s">
        <v>17</v>
      </c>
    </row>
    <row r="635" spans="4:6" x14ac:dyDescent="0.2">
      <c r="D635" t="s">
        <v>34</v>
      </c>
      <c r="F635" t="s">
        <v>33</v>
      </c>
    </row>
    <row r="636" spans="4:6" x14ac:dyDescent="0.2">
      <c r="D636" t="s">
        <v>29</v>
      </c>
      <c r="F636" t="s">
        <v>20</v>
      </c>
    </row>
    <row r="637" spans="4:6" x14ac:dyDescent="0.2">
      <c r="D637" t="s">
        <v>15</v>
      </c>
      <c r="F637" t="s">
        <v>22</v>
      </c>
    </row>
    <row r="638" spans="4:6" x14ac:dyDescent="0.2">
      <c r="D638" t="s">
        <v>18</v>
      </c>
      <c r="F638" t="s">
        <v>25</v>
      </c>
    </row>
    <row r="639" spans="4:6" x14ac:dyDescent="0.2">
      <c r="D639" t="s">
        <v>39</v>
      </c>
      <c r="F639" t="s">
        <v>10</v>
      </c>
    </row>
    <row r="640" spans="4:6" x14ac:dyDescent="0.2">
      <c r="D640" t="s">
        <v>37</v>
      </c>
      <c r="F640" t="s">
        <v>13</v>
      </c>
    </row>
    <row r="641" spans="4:6" x14ac:dyDescent="0.2">
      <c r="D641" t="s">
        <v>55</v>
      </c>
      <c r="F641" t="s">
        <v>30</v>
      </c>
    </row>
    <row r="642" spans="4:6" x14ac:dyDescent="0.2">
      <c r="D642" t="s">
        <v>22</v>
      </c>
      <c r="F642" t="s">
        <v>36</v>
      </c>
    </row>
    <row r="643" spans="4:6" x14ac:dyDescent="0.2">
      <c r="D643" t="s">
        <v>26</v>
      </c>
      <c r="F643" t="s">
        <v>14</v>
      </c>
    </row>
    <row r="644" spans="4:6" x14ac:dyDescent="0.2">
      <c r="D644" t="s">
        <v>29</v>
      </c>
      <c r="F644" t="s">
        <v>32</v>
      </c>
    </row>
    <row r="645" spans="4:6" x14ac:dyDescent="0.2">
      <c r="D645" t="s">
        <v>40</v>
      </c>
      <c r="F645" t="s">
        <v>19</v>
      </c>
    </row>
    <row r="646" spans="4:6" x14ac:dyDescent="0.2">
      <c r="D646" t="s">
        <v>34</v>
      </c>
      <c r="F646" t="s">
        <v>31</v>
      </c>
    </row>
    <row r="647" spans="4:6" x14ac:dyDescent="0.2">
      <c r="D647" t="s">
        <v>15</v>
      </c>
      <c r="F647" t="s">
        <v>11</v>
      </c>
    </row>
    <row r="648" spans="4:6" x14ac:dyDescent="0.2">
      <c r="D648" t="s">
        <v>20</v>
      </c>
      <c r="F648" t="s">
        <v>35</v>
      </c>
    </row>
    <row r="649" spans="4:6" x14ac:dyDescent="0.2">
      <c r="D649" t="s">
        <v>32</v>
      </c>
      <c r="F649" t="s">
        <v>38</v>
      </c>
    </row>
    <row r="650" spans="4:6" x14ac:dyDescent="0.2">
      <c r="D650" t="s">
        <v>12</v>
      </c>
      <c r="F650" t="s">
        <v>25</v>
      </c>
    </row>
    <row r="651" spans="4:6" x14ac:dyDescent="0.2">
      <c r="D651" t="s">
        <v>23</v>
      </c>
      <c r="F651" t="s">
        <v>28</v>
      </c>
    </row>
    <row r="652" spans="4:6" x14ac:dyDescent="0.2">
      <c r="D652" t="s">
        <v>29</v>
      </c>
      <c r="F652" t="s">
        <v>16</v>
      </c>
    </row>
    <row r="653" spans="4:6" x14ac:dyDescent="0.2">
      <c r="D653" t="s">
        <v>14</v>
      </c>
      <c r="F653" t="s">
        <v>26</v>
      </c>
    </row>
    <row r="654" spans="4:6" x14ac:dyDescent="0.2">
      <c r="D654" t="s">
        <v>27</v>
      </c>
      <c r="F654" t="s">
        <v>17</v>
      </c>
    </row>
    <row r="655" spans="4:6" x14ac:dyDescent="0.2">
      <c r="D655" t="s">
        <v>34</v>
      </c>
      <c r="F655" t="s">
        <v>13</v>
      </c>
    </row>
    <row r="656" spans="4:6" x14ac:dyDescent="0.2">
      <c r="D656" t="s">
        <v>55</v>
      </c>
      <c r="F656" t="s">
        <v>24</v>
      </c>
    </row>
    <row r="657" spans="4:6" x14ac:dyDescent="0.2">
      <c r="D657" t="s">
        <v>19</v>
      </c>
      <c r="F657" t="s">
        <v>30</v>
      </c>
    </row>
    <row r="658" spans="4:6" x14ac:dyDescent="0.2">
      <c r="D658" t="s">
        <v>40</v>
      </c>
      <c r="F658" t="s">
        <v>36</v>
      </c>
    </row>
    <row r="659" spans="4:6" x14ac:dyDescent="0.2">
      <c r="D659" t="s">
        <v>37</v>
      </c>
      <c r="F659" t="s">
        <v>33</v>
      </c>
    </row>
    <row r="660" spans="4:6" x14ac:dyDescent="0.2">
      <c r="D660" t="s">
        <v>18</v>
      </c>
      <c r="F660" t="s">
        <v>35</v>
      </c>
    </row>
    <row r="661" spans="4:6" x14ac:dyDescent="0.2">
      <c r="D661" t="s">
        <v>21</v>
      </c>
      <c r="F661" t="s">
        <v>38</v>
      </c>
    </row>
    <row r="662" spans="4:6" x14ac:dyDescent="0.2">
      <c r="D662" t="s">
        <v>10</v>
      </c>
      <c r="F662" t="s">
        <v>22</v>
      </c>
    </row>
    <row r="663" spans="4:6" x14ac:dyDescent="0.2">
      <c r="D663" t="s">
        <v>14</v>
      </c>
      <c r="F663" t="s">
        <v>28</v>
      </c>
    </row>
    <row r="664" spans="4:6" x14ac:dyDescent="0.2">
      <c r="D664" t="s">
        <v>20</v>
      </c>
      <c r="F664" t="s">
        <v>10</v>
      </c>
    </row>
    <row r="665" spans="4:6" x14ac:dyDescent="0.2">
      <c r="D665" t="s">
        <v>18</v>
      </c>
      <c r="F665" t="s">
        <v>39</v>
      </c>
    </row>
    <row r="666" spans="4:6" x14ac:dyDescent="0.2">
      <c r="D666" t="s">
        <v>12</v>
      </c>
      <c r="F666" t="s">
        <v>11</v>
      </c>
    </row>
    <row r="667" spans="4:6" x14ac:dyDescent="0.2">
      <c r="D667" t="s">
        <v>25</v>
      </c>
      <c r="F667" t="s">
        <v>24</v>
      </c>
    </row>
    <row r="668" spans="4:6" x14ac:dyDescent="0.2">
      <c r="D668" t="s">
        <v>32</v>
      </c>
      <c r="F668" t="s">
        <v>16</v>
      </c>
    </row>
    <row r="669" spans="4:6" x14ac:dyDescent="0.2">
      <c r="D669" t="s">
        <v>34</v>
      </c>
      <c r="F669" t="s">
        <v>13</v>
      </c>
    </row>
    <row r="670" spans="4:6" x14ac:dyDescent="0.2">
      <c r="D670" t="s">
        <v>55</v>
      </c>
      <c r="F670" t="s">
        <v>15</v>
      </c>
    </row>
    <row r="671" spans="4:6" x14ac:dyDescent="0.2">
      <c r="D671" t="s">
        <v>26</v>
      </c>
      <c r="F671" t="s">
        <v>36</v>
      </c>
    </row>
    <row r="672" spans="4:6" x14ac:dyDescent="0.2">
      <c r="D672" t="s">
        <v>31</v>
      </c>
      <c r="F672" t="s">
        <v>22</v>
      </c>
    </row>
    <row r="673" spans="4:6" x14ac:dyDescent="0.2">
      <c r="D673" t="s">
        <v>38</v>
      </c>
      <c r="F673" t="s">
        <v>23</v>
      </c>
    </row>
    <row r="674" spans="4:6" x14ac:dyDescent="0.2">
      <c r="D674" t="s">
        <v>39</v>
      </c>
      <c r="F674" t="s">
        <v>25</v>
      </c>
    </row>
    <row r="675" spans="4:6" x14ac:dyDescent="0.2">
      <c r="D675" t="s">
        <v>29</v>
      </c>
      <c r="F675" t="s">
        <v>17</v>
      </c>
    </row>
    <row r="676" spans="4:6" x14ac:dyDescent="0.2">
      <c r="D676" t="s">
        <v>24</v>
      </c>
      <c r="F676" t="s">
        <v>30</v>
      </c>
    </row>
    <row r="677" spans="4:6" x14ac:dyDescent="0.2">
      <c r="D677" t="s">
        <v>31</v>
      </c>
      <c r="F677" t="s">
        <v>27</v>
      </c>
    </row>
    <row r="678" spans="4:6" x14ac:dyDescent="0.2">
      <c r="D678" t="s">
        <v>21</v>
      </c>
      <c r="F678" t="s">
        <v>32</v>
      </c>
    </row>
    <row r="679" spans="4:6" x14ac:dyDescent="0.2">
      <c r="D679" t="s">
        <v>28</v>
      </c>
      <c r="F679" t="s">
        <v>33</v>
      </c>
    </row>
    <row r="680" spans="4:6" x14ac:dyDescent="0.2">
      <c r="D680" t="s">
        <v>12</v>
      </c>
      <c r="F680" t="s">
        <v>37</v>
      </c>
    </row>
    <row r="681" spans="4:6" x14ac:dyDescent="0.2">
      <c r="D681" t="s">
        <v>11</v>
      </c>
      <c r="F681" t="s">
        <v>19</v>
      </c>
    </row>
    <row r="682" spans="4:6" x14ac:dyDescent="0.2">
      <c r="D682" t="s">
        <v>20</v>
      </c>
      <c r="F682" t="s">
        <v>40</v>
      </c>
    </row>
    <row r="683" spans="4:6" x14ac:dyDescent="0.2">
      <c r="D683" t="s">
        <v>35</v>
      </c>
      <c r="F683" t="s">
        <v>10</v>
      </c>
    </row>
    <row r="684" spans="4:6" x14ac:dyDescent="0.2">
      <c r="D684" t="s">
        <v>33</v>
      </c>
      <c r="F684" t="s">
        <v>13</v>
      </c>
    </row>
    <row r="685" spans="4:6" x14ac:dyDescent="0.2">
      <c r="D685" t="s">
        <v>16</v>
      </c>
      <c r="F685" t="s">
        <v>18</v>
      </c>
    </row>
    <row r="686" spans="4:6" x14ac:dyDescent="0.2">
      <c r="D686" t="s">
        <v>36</v>
      </c>
      <c r="F686" t="s">
        <v>55</v>
      </c>
    </row>
    <row r="687" spans="4:6" x14ac:dyDescent="0.2">
      <c r="D687" t="s">
        <v>39</v>
      </c>
      <c r="F687" t="s">
        <v>22</v>
      </c>
    </row>
    <row r="688" spans="4:6" x14ac:dyDescent="0.2">
      <c r="D688" t="s">
        <v>16</v>
      </c>
      <c r="F688" t="s">
        <v>21</v>
      </c>
    </row>
    <row r="689" spans="4:6" x14ac:dyDescent="0.2">
      <c r="D689" t="s">
        <v>31</v>
      </c>
      <c r="F689" t="s">
        <v>25</v>
      </c>
    </row>
    <row r="690" spans="4:6" x14ac:dyDescent="0.2">
      <c r="D690" t="s">
        <v>36</v>
      </c>
      <c r="F690" t="s">
        <v>12</v>
      </c>
    </row>
    <row r="691" spans="4:6" x14ac:dyDescent="0.2">
      <c r="D691" t="s">
        <v>38</v>
      </c>
      <c r="F691" t="s">
        <v>26</v>
      </c>
    </row>
    <row r="692" spans="4:6" x14ac:dyDescent="0.2">
      <c r="D692" t="s">
        <v>11</v>
      </c>
      <c r="F692" t="s">
        <v>18</v>
      </c>
    </row>
    <row r="693" spans="4:6" x14ac:dyDescent="0.2">
      <c r="D693" t="s">
        <v>30</v>
      </c>
      <c r="F693" t="s">
        <v>29</v>
      </c>
    </row>
    <row r="694" spans="4:6" x14ac:dyDescent="0.2">
      <c r="D694" t="s">
        <v>23</v>
      </c>
      <c r="F694" t="s">
        <v>15</v>
      </c>
    </row>
    <row r="695" spans="4:6" x14ac:dyDescent="0.2">
      <c r="D695" t="s">
        <v>19</v>
      </c>
      <c r="F695" t="s">
        <v>27</v>
      </c>
    </row>
    <row r="696" spans="4:6" x14ac:dyDescent="0.2">
      <c r="D696" t="s">
        <v>24</v>
      </c>
      <c r="F696" t="s">
        <v>14</v>
      </c>
    </row>
    <row r="697" spans="4:6" x14ac:dyDescent="0.2">
      <c r="D697" t="s">
        <v>34</v>
      </c>
      <c r="F697" t="s">
        <v>32</v>
      </c>
    </row>
    <row r="698" spans="4:6" x14ac:dyDescent="0.2">
      <c r="D698" t="s">
        <v>28</v>
      </c>
      <c r="F698" t="s">
        <v>20</v>
      </c>
    </row>
    <row r="699" spans="4:6" x14ac:dyDescent="0.2">
      <c r="D699" t="s">
        <v>17</v>
      </c>
      <c r="F699" t="s">
        <v>40</v>
      </c>
    </row>
    <row r="700" spans="4:6" x14ac:dyDescent="0.2">
      <c r="D700" t="s">
        <v>22</v>
      </c>
      <c r="F700" t="s">
        <v>10</v>
      </c>
    </row>
    <row r="701" spans="4:6" x14ac:dyDescent="0.2">
      <c r="D701" t="s">
        <v>35</v>
      </c>
      <c r="F701" t="s">
        <v>55</v>
      </c>
    </row>
    <row r="702" spans="4:6" x14ac:dyDescent="0.2">
      <c r="D702" t="s">
        <v>13</v>
      </c>
      <c r="F702" t="s">
        <v>40</v>
      </c>
    </row>
    <row r="703" spans="4:6" x14ac:dyDescent="0.2">
      <c r="D703" t="s">
        <v>15</v>
      </c>
      <c r="F703" t="s">
        <v>21</v>
      </c>
    </row>
    <row r="704" spans="4:6" x14ac:dyDescent="0.2">
      <c r="D704" t="s">
        <v>31</v>
      </c>
      <c r="F704" t="s">
        <v>23</v>
      </c>
    </row>
    <row r="705" spans="4:6" x14ac:dyDescent="0.2">
      <c r="D705" t="s">
        <v>32</v>
      </c>
      <c r="F705" t="s">
        <v>25</v>
      </c>
    </row>
    <row r="706" spans="4:6" x14ac:dyDescent="0.2">
      <c r="D706" t="s">
        <v>28</v>
      </c>
      <c r="F706" t="s">
        <v>12</v>
      </c>
    </row>
    <row r="707" spans="4:6" x14ac:dyDescent="0.2">
      <c r="D707" t="s">
        <v>13</v>
      </c>
      <c r="F707" t="s">
        <v>17</v>
      </c>
    </row>
    <row r="708" spans="4:6" x14ac:dyDescent="0.2">
      <c r="D708" t="s">
        <v>30</v>
      </c>
      <c r="F708" t="s">
        <v>34</v>
      </c>
    </row>
    <row r="709" spans="4:6" x14ac:dyDescent="0.2">
      <c r="D709" t="s">
        <v>26</v>
      </c>
      <c r="F709" t="s">
        <v>18</v>
      </c>
    </row>
    <row r="710" spans="4:6" x14ac:dyDescent="0.2">
      <c r="D710" t="s">
        <v>10</v>
      </c>
      <c r="F710" t="s">
        <v>29</v>
      </c>
    </row>
    <row r="711" spans="4:6" x14ac:dyDescent="0.2">
      <c r="D711" t="s">
        <v>11</v>
      </c>
      <c r="F711" t="s">
        <v>36</v>
      </c>
    </row>
    <row r="712" spans="4:6" x14ac:dyDescent="0.2">
      <c r="D712" t="s">
        <v>37</v>
      </c>
      <c r="F712" t="s">
        <v>27</v>
      </c>
    </row>
    <row r="713" spans="4:6" x14ac:dyDescent="0.2">
      <c r="D713" t="s">
        <v>16</v>
      </c>
      <c r="F713" t="s">
        <v>14</v>
      </c>
    </row>
    <row r="714" spans="4:6" x14ac:dyDescent="0.2">
      <c r="D714" t="s">
        <v>39</v>
      </c>
      <c r="F714" t="s">
        <v>33</v>
      </c>
    </row>
    <row r="715" spans="4:6" x14ac:dyDescent="0.2">
      <c r="D715" t="s">
        <v>38</v>
      </c>
      <c r="F715" t="s">
        <v>19</v>
      </c>
    </row>
    <row r="716" spans="4:6" x14ac:dyDescent="0.2">
      <c r="D716" t="s">
        <v>35</v>
      </c>
      <c r="F716" t="s">
        <v>20</v>
      </c>
    </row>
    <row r="717" spans="4:6" x14ac:dyDescent="0.2">
      <c r="D717" t="s">
        <v>14</v>
      </c>
      <c r="F717" t="s">
        <v>21</v>
      </c>
    </row>
    <row r="718" spans="4:6" x14ac:dyDescent="0.2">
      <c r="D718" t="s">
        <v>22</v>
      </c>
      <c r="F718" t="s">
        <v>29</v>
      </c>
    </row>
    <row r="719" spans="4:6" x14ac:dyDescent="0.2">
      <c r="D719" t="s">
        <v>20</v>
      </c>
      <c r="F719" t="s">
        <v>33</v>
      </c>
    </row>
    <row r="720" spans="4:6" x14ac:dyDescent="0.2">
      <c r="D720" t="s">
        <v>28</v>
      </c>
      <c r="F720" t="s">
        <v>55</v>
      </c>
    </row>
    <row r="721" spans="4:6" x14ac:dyDescent="0.2">
      <c r="D721" t="s">
        <v>24</v>
      </c>
      <c r="F721" t="s">
        <v>40</v>
      </c>
    </row>
    <row r="722" spans="4:6" x14ac:dyDescent="0.2">
      <c r="D722" t="s">
        <v>11</v>
      </c>
      <c r="F722" t="s">
        <v>23</v>
      </c>
    </row>
    <row r="723" spans="4:6" x14ac:dyDescent="0.2">
      <c r="D723" t="s">
        <v>17</v>
      </c>
      <c r="F723" t="s">
        <v>10</v>
      </c>
    </row>
    <row r="724" spans="4:6" x14ac:dyDescent="0.2">
      <c r="D724" t="s">
        <v>19</v>
      </c>
      <c r="F724" t="s">
        <v>12</v>
      </c>
    </row>
    <row r="725" spans="4:6" x14ac:dyDescent="0.2">
      <c r="D725" t="s">
        <v>25</v>
      </c>
      <c r="F725" t="s">
        <v>26</v>
      </c>
    </row>
    <row r="726" spans="4:6" x14ac:dyDescent="0.2">
      <c r="D726" t="s">
        <v>39</v>
      </c>
      <c r="F726" t="s">
        <v>13</v>
      </c>
    </row>
    <row r="727" spans="4:6" x14ac:dyDescent="0.2">
      <c r="D727" t="s">
        <v>24</v>
      </c>
      <c r="F727" t="s">
        <v>34</v>
      </c>
    </row>
    <row r="728" spans="4:6" x14ac:dyDescent="0.2">
      <c r="D728" t="s">
        <v>38</v>
      </c>
      <c r="F728" t="s">
        <v>18</v>
      </c>
    </row>
    <row r="729" spans="4:6" x14ac:dyDescent="0.2">
      <c r="D729" t="s">
        <v>32</v>
      </c>
      <c r="F729" t="s">
        <v>15</v>
      </c>
    </row>
    <row r="730" spans="4:6" x14ac:dyDescent="0.2">
      <c r="D730" t="s">
        <v>37</v>
      </c>
      <c r="F730" t="s">
        <v>27</v>
      </c>
    </row>
    <row r="731" spans="4:6" x14ac:dyDescent="0.2">
      <c r="D731" t="s">
        <v>39</v>
      </c>
      <c r="F731" t="s">
        <v>31</v>
      </c>
    </row>
    <row r="732" spans="4:6" x14ac:dyDescent="0.2">
      <c r="D732" t="s">
        <v>26</v>
      </c>
      <c r="F732" t="s">
        <v>21</v>
      </c>
    </row>
    <row r="733" spans="4:6" x14ac:dyDescent="0.2">
      <c r="D733" t="s">
        <v>16</v>
      </c>
      <c r="F733" t="s">
        <v>28</v>
      </c>
    </row>
    <row r="734" spans="4:6" x14ac:dyDescent="0.2">
      <c r="D734" t="s">
        <v>17</v>
      </c>
      <c r="F734" t="s">
        <v>29</v>
      </c>
    </row>
    <row r="735" spans="4:6" x14ac:dyDescent="0.2">
      <c r="D735" t="s">
        <v>38</v>
      </c>
      <c r="F735" t="s">
        <v>36</v>
      </c>
    </row>
    <row r="736" spans="4:6" x14ac:dyDescent="0.2">
      <c r="D736" t="s">
        <v>37</v>
      </c>
      <c r="F736" t="s">
        <v>14</v>
      </c>
    </row>
    <row r="737" spans="4:6" x14ac:dyDescent="0.2">
      <c r="D737" t="s">
        <v>25</v>
      </c>
      <c r="F737" t="s">
        <v>35</v>
      </c>
    </row>
    <row r="738" spans="4:6" x14ac:dyDescent="0.2">
      <c r="D738" t="s">
        <v>19</v>
      </c>
      <c r="F738" t="s">
        <v>55</v>
      </c>
    </row>
    <row r="739" spans="4:6" x14ac:dyDescent="0.2">
      <c r="D739" t="s">
        <v>30</v>
      </c>
      <c r="F739" t="s">
        <v>40</v>
      </c>
    </row>
    <row r="740" spans="4:6" x14ac:dyDescent="0.2">
      <c r="D740" t="s">
        <v>18</v>
      </c>
      <c r="F740" t="s">
        <v>22</v>
      </c>
    </row>
    <row r="741" spans="4:6" x14ac:dyDescent="0.2">
      <c r="D741" t="s">
        <v>27</v>
      </c>
      <c r="F741" t="s">
        <v>23</v>
      </c>
    </row>
    <row r="742" spans="4:6" x14ac:dyDescent="0.2">
      <c r="D742" t="s">
        <v>20</v>
      </c>
      <c r="F742" t="s">
        <v>13</v>
      </c>
    </row>
    <row r="743" spans="4:6" x14ac:dyDescent="0.2">
      <c r="D743" t="s">
        <v>32</v>
      </c>
      <c r="F743" t="s">
        <v>24</v>
      </c>
    </row>
    <row r="744" spans="4:6" x14ac:dyDescent="0.2">
      <c r="D744" t="s">
        <v>36</v>
      </c>
      <c r="F744" t="s">
        <v>15</v>
      </c>
    </row>
    <row r="745" spans="4:6" x14ac:dyDescent="0.2">
      <c r="D745" t="s">
        <v>32</v>
      </c>
      <c r="F745" t="s">
        <v>21</v>
      </c>
    </row>
    <row r="746" spans="4:6" x14ac:dyDescent="0.2">
      <c r="D746" t="s">
        <v>18</v>
      </c>
      <c r="F746" t="s">
        <v>23</v>
      </c>
    </row>
    <row r="747" spans="4:6" x14ac:dyDescent="0.2">
      <c r="D747" t="s">
        <v>38</v>
      </c>
      <c r="F747" t="s">
        <v>28</v>
      </c>
    </row>
    <row r="748" spans="4:6" x14ac:dyDescent="0.2">
      <c r="D748" t="s">
        <v>16</v>
      </c>
      <c r="F748" t="s">
        <v>10</v>
      </c>
    </row>
    <row r="749" spans="4:6" x14ac:dyDescent="0.2">
      <c r="D749" t="s">
        <v>30</v>
      </c>
      <c r="F749" t="s">
        <v>17</v>
      </c>
    </row>
    <row r="750" spans="4:6" x14ac:dyDescent="0.2">
      <c r="D750" t="s">
        <v>40</v>
      </c>
      <c r="F750" t="s">
        <v>34</v>
      </c>
    </row>
    <row r="751" spans="4:6" x14ac:dyDescent="0.2">
      <c r="D751" t="s">
        <v>27</v>
      </c>
      <c r="F751" t="s">
        <v>14</v>
      </c>
    </row>
    <row r="752" spans="4:6" x14ac:dyDescent="0.2">
      <c r="D752" t="s">
        <v>39</v>
      </c>
      <c r="F752" t="s">
        <v>55</v>
      </c>
    </row>
    <row r="753" spans="4:6" x14ac:dyDescent="0.2">
      <c r="D753" t="s">
        <v>19</v>
      </c>
      <c r="F753" t="s">
        <v>20</v>
      </c>
    </row>
    <row r="754" spans="4:6" x14ac:dyDescent="0.2">
      <c r="D754" t="s">
        <v>33</v>
      </c>
      <c r="F754" t="s">
        <v>22</v>
      </c>
    </row>
    <row r="755" spans="4:6" x14ac:dyDescent="0.2">
      <c r="D755" t="s">
        <v>11</v>
      </c>
      <c r="F755" t="s">
        <v>25</v>
      </c>
    </row>
    <row r="756" spans="4:6" x14ac:dyDescent="0.2">
      <c r="D756" t="s">
        <v>29</v>
      </c>
      <c r="F756" t="s">
        <v>12</v>
      </c>
    </row>
    <row r="757" spans="4:6" x14ac:dyDescent="0.2">
      <c r="D757" t="s">
        <v>33</v>
      </c>
      <c r="F757" t="s">
        <v>26</v>
      </c>
    </row>
    <row r="758" spans="4:6" x14ac:dyDescent="0.2">
      <c r="D758" t="s">
        <v>31</v>
      </c>
      <c r="F758" t="s">
        <v>13</v>
      </c>
    </row>
    <row r="759" spans="4:6" x14ac:dyDescent="0.2">
      <c r="D759" t="s">
        <v>37</v>
      </c>
      <c r="F759" t="s">
        <v>35</v>
      </c>
    </row>
    <row r="760" spans="4:6" x14ac:dyDescent="0.2">
      <c r="D760" t="s">
        <v>13</v>
      </c>
      <c r="F760" t="s">
        <v>31</v>
      </c>
    </row>
    <row r="761" spans="4:6" x14ac:dyDescent="0.2">
      <c r="D761" t="s">
        <v>34</v>
      </c>
      <c r="F761" t="s">
        <v>23</v>
      </c>
    </row>
    <row r="762" spans="4:6" x14ac:dyDescent="0.2">
      <c r="D762" t="s">
        <v>30</v>
      </c>
      <c r="F762" t="s">
        <v>16</v>
      </c>
    </row>
    <row r="763" spans="4:6" x14ac:dyDescent="0.2">
      <c r="D763" t="s">
        <v>21</v>
      </c>
      <c r="F763" t="s">
        <v>10</v>
      </c>
    </row>
    <row r="764" spans="4:6" x14ac:dyDescent="0.2">
      <c r="D764" t="s">
        <v>25</v>
      </c>
      <c r="F764" t="s">
        <v>24</v>
      </c>
    </row>
    <row r="765" spans="4:6" x14ac:dyDescent="0.2">
      <c r="D765" t="s">
        <v>18</v>
      </c>
      <c r="F765" t="s">
        <v>36</v>
      </c>
    </row>
    <row r="766" spans="4:6" x14ac:dyDescent="0.2">
      <c r="D766" t="s">
        <v>15</v>
      </c>
      <c r="F766" t="s">
        <v>27</v>
      </c>
    </row>
    <row r="767" spans="4:6" x14ac:dyDescent="0.2">
      <c r="D767" t="s">
        <v>28</v>
      </c>
      <c r="F767" t="s">
        <v>14</v>
      </c>
    </row>
    <row r="768" spans="4:6" x14ac:dyDescent="0.2">
      <c r="D768" t="s">
        <v>32</v>
      </c>
      <c r="F768" t="s">
        <v>55</v>
      </c>
    </row>
    <row r="769" spans="4:6" x14ac:dyDescent="0.2">
      <c r="D769" t="s">
        <v>17</v>
      </c>
      <c r="F769" t="s">
        <v>38</v>
      </c>
    </row>
    <row r="770" spans="4:6" x14ac:dyDescent="0.2">
      <c r="D770" t="s">
        <v>29</v>
      </c>
      <c r="F770" t="s">
        <v>20</v>
      </c>
    </row>
    <row r="771" spans="4:6" x14ac:dyDescent="0.2">
      <c r="D771" t="s">
        <v>19</v>
      </c>
      <c r="F771" t="s">
        <v>40</v>
      </c>
    </row>
    <row r="772" spans="4:6" x14ac:dyDescent="0.2">
      <c r="D772" t="s">
        <v>11</v>
      </c>
      <c r="F772" t="s">
        <v>22</v>
      </c>
    </row>
    <row r="773" spans="4:6" x14ac:dyDescent="0.2">
      <c r="D773" t="s">
        <v>37</v>
      </c>
      <c r="F773" t="s">
        <v>39</v>
      </c>
    </row>
    <row r="774" spans="4:6" x14ac:dyDescent="0.2">
      <c r="D774" t="s">
        <v>36</v>
      </c>
      <c r="F774" t="s">
        <v>26</v>
      </c>
    </row>
    <row r="775" spans="4:6" x14ac:dyDescent="0.2">
      <c r="D775" t="s">
        <v>35</v>
      </c>
      <c r="F775" t="s">
        <v>17</v>
      </c>
    </row>
    <row r="776" spans="4:6" x14ac:dyDescent="0.2">
      <c r="D776" t="s">
        <v>15</v>
      </c>
      <c r="F776" t="s">
        <v>31</v>
      </c>
    </row>
    <row r="777" spans="4:6" x14ac:dyDescent="0.2">
      <c r="D777" t="s">
        <v>23</v>
      </c>
      <c r="F777" t="s">
        <v>25</v>
      </c>
    </row>
    <row r="778" spans="4:6" x14ac:dyDescent="0.2">
      <c r="D778" t="s">
        <v>24</v>
      </c>
      <c r="F778" t="s">
        <v>16</v>
      </c>
    </row>
    <row r="779" spans="4:6" x14ac:dyDescent="0.2">
      <c r="D779" t="s">
        <v>40</v>
      </c>
      <c r="F779" t="s">
        <v>10</v>
      </c>
    </row>
    <row r="780" spans="4:6" x14ac:dyDescent="0.2">
      <c r="D780" t="s">
        <v>22</v>
      </c>
      <c r="F780" t="s">
        <v>12</v>
      </c>
    </row>
    <row r="781" spans="4:6" x14ac:dyDescent="0.2">
      <c r="D781" t="s">
        <v>33</v>
      </c>
      <c r="F781" t="s">
        <v>11</v>
      </c>
    </row>
    <row r="782" spans="4:6" x14ac:dyDescent="0.2">
      <c r="D782" t="s">
        <v>14</v>
      </c>
      <c r="F782" t="s">
        <v>32</v>
      </c>
    </row>
    <row r="783" spans="4:6" x14ac:dyDescent="0.2">
      <c r="D783" t="s">
        <v>34</v>
      </c>
      <c r="F783" t="s">
        <v>19</v>
      </c>
    </row>
    <row r="784" spans="4:6" x14ac:dyDescent="0.2">
      <c r="D784" t="s">
        <v>30</v>
      </c>
      <c r="F784" t="s">
        <v>38</v>
      </c>
    </row>
    <row r="785" spans="4:6" x14ac:dyDescent="0.2">
      <c r="D785" t="s">
        <v>27</v>
      </c>
      <c r="F785" t="s">
        <v>20</v>
      </c>
    </row>
    <row r="786" spans="4:6" x14ac:dyDescent="0.2">
      <c r="D786" t="s">
        <v>36</v>
      </c>
      <c r="F786" t="s">
        <v>28</v>
      </c>
    </row>
    <row r="787" spans="4:6" x14ac:dyDescent="0.2">
      <c r="D787" t="s">
        <v>21</v>
      </c>
      <c r="F787" t="s">
        <v>39</v>
      </c>
    </row>
    <row r="788" spans="4:6" x14ac:dyDescent="0.2">
      <c r="D788" t="s">
        <v>24</v>
      </c>
      <c r="F788" t="s">
        <v>17</v>
      </c>
    </row>
    <row r="789" spans="4:6" x14ac:dyDescent="0.2">
      <c r="D789" t="s">
        <v>15</v>
      </c>
      <c r="F789" t="s">
        <v>13</v>
      </c>
    </row>
    <row r="790" spans="4:6" x14ac:dyDescent="0.2">
      <c r="D790" t="s">
        <v>34</v>
      </c>
      <c r="F790" t="s">
        <v>18</v>
      </c>
    </row>
    <row r="791" spans="4:6" x14ac:dyDescent="0.2">
      <c r="D791" t="s">
        <v>23</v>
      </c>
      <c r="F791" t="s">
        <v>29</v>
      </c>
    </row>
    <row r="792" spans="4:6" x14ac:dyDescent="0.2">
      <c r="D792" t="s">
        <v>33</v>
      </c>
      <c r="F792" t="s">
        <v>37</v>
      </c>
    </row>
    <row r="793" spans="4:6" x14ac:dyDescent="0.2">
      <c r="D793" t="s">
        <v>35</v>
      </c>
      <c r="F793" t="s">
        <v>40</v>
      </c>
    </row>
    <row r="794" spans="4:6" x14ac:dyDescent="0.2">
      <c r="D794" t="s">
        <v>14</v>
      </c>
      <c r="F794" t="s">
        <v>16</v>
      </c>
    </row>
    <row r="795" spans="4:6" x14ac:dyDescent="0.2">
      <c r="D795" t="s">
        <v>31</v>
      </c>
      <c r="F795" t="s">
        <v>12</v>
      </c>
    </row>
    <row r="796" spans="4:6" x14ac:dyDescent="0.2">
      <c r="D796" t="s">
        <v>30</v>
      </c>
      <c r="F796" t="s">
        <v>32</v>
      </c>
    </row>
    <row r="797" spans="4:6" x14ac:dyDescent="0.2">
      <c r="D797" t="s">
        <v>26</v>
      </c>
      <c r="F797" t="s">
        <v>19</v>
      </c>
    </row>
    <row r="798" spans="4:6" x14ac:dyDescent="0.2">
      <c r="D798" t="s">
        <v>27</v>
      </c>
      <c r="F798" t="s">
        <v>55</v>
      </c>
    </row>
    <row r="799" spans="4:6" x14ac:dyDescent="0.2">
      <c r="D799" t="s">
        <v>22</v>
      </c>
      <c r="F799" t="s">
        <v>38</v>
      </c>
    </row>
    <row r="800" spans="4:6" x14ac:dyDescent="0.2">
      <c r="D800" t="s">
        <v>20</v>
      </c>
      <c r="F800" t="s">
        <v>21</v>
      </c>
    </row>
    <row r="801" spans="4:6" x14ac:dyDescent="0.2">
      <c r="D801" t="s">
        <v>10</v>
      </c>
      <c r="F801" t="s">
        <v>25</v>
      </c>
    </row>
    <row r="802" spans="4:6" x14ac:dyDescent="0.2">
      <c r="D802" t="s">
        <v>39</v>
      </c>
      <c r="F802" t="s">
        <v>28</v>
      </c>
    </row>
    <row r="803" spans="4:6" x14ac:dyDescent="0.2">
      <c r="D803" t="s">
        <v>14</v>
      </c>
      <c r="F803" t="s">
        <v>17</v>
      </c>
    </row>
    <row r="804" spans="4:6" x14ac:dyDescent="0.2">
      <c r="D804" t="s">
        <v>26</v>
      </c>
      <c r="F804" t="s">
        <v>34</v>
      </c>
    </row>
    <row r="805" spans="4:6" x14ac:dyDescent="0.2">
      <c r="D805" t="s">
        <v>23</v>
      </c>
      <c r="F805" t="s">
        <v>18</v>
      </c>
    </row>
    <row r="806" spans="4:6" x14ac:dyDescent="0.2">
      <c r="D806" t="s">
        <v>36</v>
      </c>
      <c r="F806" t="s">
        <v>29</v>
      </c>
    </row>
    <row r="807" spans="4:6" x14ac:dyDescent="0.2">
      <c r="D807" t="s">
        <v>11</v>
      </c>
      <c r="F807" t="s">
        <v>40</v>
      </c>
    </row>
    <row r="808" spans="4:6" x14ac:dyDescent="0.2">
      <c r="D808" t="s">
        <v>22</v>
      </c>
      <c r="F808" t="s">
        <v>16</v>
      </c>
    </row>
    <row r="809" spans="4:6" x14ac:dyDescent="0.2">
      <c r="D809" t="s">
        <v>37</v>
      </c>
      <c r="F809" t="s">
        <v>10</v>
      </c>
    </row>
    <row r="810" spans="4:6" x14ac:dyDescent="0.2">
      <c r="D810" t="s">
        <v>27</v>
      </c>
      <c r="F810" t="s">
        <v>12</v>
      </c>
    </row>
    <row r="811" spans="4:6" x14ac:dyDescent="0.2">
      <c r="D811" t="s">
        <v>35</v>
      </c>
      <c r="F811" t="s">
        <v>39</v>
      </c>
    </row>
    <row r="812" spans="4:6" x14ac:dyDescent="0.2">
      <c r="D812" t="s">
        <v>31</v>
      </c>
      <c r="F812" t="s">
        <v>32</v>
      </c>
    </row>
    <row r="813" spans="4:6" x14ac:dyDescent="0.2">
      <c r="D813" t="s">
        <v>15</v>
      </c>
      <c r="F813" t="s">
        <v>33</v>
      </c>
    </row>
    <row r="814" spans="4:6" x14ac:dyDescent="0.2">
      <c r="D814" t="s">
        <v>20</v>
      </c>
      <c r="F814" t="s">
        <v>19</v>
      </c>
    </row>
    <row r="815" spans="4:6" x14ac:dyDescent="0.2">
      <c r="D815" t="s">
        <v>24</v>
      </c>
      <c r="F815" t="s">
        <v>38</v>
      </c>
    </row>
    <row r="816" spans="4:6" x14ac:dyDescent="0.2">
      <c r="D816" t="s">
        <v>18</v>
      </c>
      <c r="F816" t="s">
        <v>21</v>
      </c>
    </row>
    <row r="817" spans="4:6" x14ac:dyDescent="0.2">
      <c r="D817" t="s">
        <v>37</v>
      </c>
      <c r="F817" t="s">
        <v>28</v>
      </c>
    </row>
    <row r="818" spans="4:6" x14ac:dyDescent="0.2">
      <c r="D818" t="s">
        <v>22</v>
      </c>
      <c r="F818" t="s">
        <v>17</v>
      </c>
    </row>
    <row r="819" spans="4:6" x14ac:dyDescent="0.2">
      <c r="D819" t="s">
        <v>11</v>
      </c>
      <c r="F819" t="s">
        <v>34</v>
      </c>
    </row>
    <row r="820" spans="4:6" x14ac:dyDescent="0.2">
      <c r="D820" t="s">
        <v>55</v>
      </c>
      <c r="F820" t="s">
        <v>29</v>
      </c>
    </row>
    <row r="821" spans="4:6" x14ac:dyDescent="0.2">
      <c r="D821" t="s">
        <v>23</v>
      </c>
      <c r="F821" t="s">
        <v>30</v>
      </c>
    </row>
    <row r="822" spans="4:6" x14ac:dyDescent="0.2">
      <c r="D822" t="s">
        <v>25</v>
      </c>
      <c r="F822" t="s">
        <v>36</v>
      </c>
    </row>
    <row r="823" spans="4:6" x14ac:dyDescent="0.2">
      <c r="D823" t="s">
        <v>13</v>
      </c>
      <c r="F823" t="s">
        <v>35</v>
      </c>
    </row>
    <row r="824" spans="4:6" x14ac:dyDescent="0.2">
      <c r="D824" t="s">
        <v>26</v>
      </c>
      <c r="F824" t="s">
        <v>40</v>
      </c>
    </row>
    <row r="825" spans="4:6" x14ac:dyDescent="0.2">
      <c r="D825" t="s">
        <v>31</v>
      </c>
      <c r="F825" t="s">
        <v>16</v>
      </c>
    </row>
    <row r="826" spans="4:6" x14ac:dyDescent="0.2">
      <c r="D826" t="s">
        <v>11</v>
      </c>
      <c r="F826" t="s">
        <v>10</v>
      </c>
    </row>
    <row r="827" spans="4:6" x14ac:dyDescent="0.2">
      <c r="D827" t="s">
        <v>20</v>
      </c>
      <c r="F827" t="s">
        <v>36</v>
      </c>
    </row>
    <row r="828" spans="4:6" x14ac:dyDescent="0.2">
      <c r="D828" t="s">
        <v>24</v>
      </c>
      <c r="F828" t="s">
        <v>32</v>
      </c>
    </row>
    <row r="829" spans="4:6" x14ac:dyDescent="0.2">
      <c r="D829" t="s">
        <v>12</v>
      </c>
      <c r="F829" t="s">
        <v>19</v>
      </c>
    </row>
    <row r="830" spans="4:6" x14ac:dyDescent="0.2">
      <c r="D830" t="s">
        <v>14</v>
      </c>
      <c r="F830" t="s">
        <v>38</v>
      </c>
    </row>
    <row r="831" spans="4:6" x14ac:dyDescent="0.2">
      <c r="D831" t="s">
        <v>13</v>
      </c>
      <c r="F831" t="s">
        <v>28</v>
      </c>
    </row>
    <row r="832" spans="4:6" x14ac:dyDescent="0.2">
      <c r="D832" t="s">
        <v>31</v>
      </c>
      <c r="F832" t="s">
        <v>17</v>
      </c>
    </row>
    <row r="833" spans="4:6" x14ac:dyDescent="0.2">
      <c r="D833" t="s">
        <v>21</v>
      </c>
      <c r="F833" t="s">
        <v>15</v>
      </c>
    </row>
    <row r="834" spans="4:6" x14ac:dyDescent="0.2">
      <c r="D834" t="s">
        <v>30</v>
      </c>
      <c r="F834" t="s">
        <v>27</v>
      </c>
    </row>
    <row r="835" spans="4:6" x14ac:dyDescent="0.2">
      <c r="D835" t="s">
        <v>55</v>
      </c>
      <c r="F835" t="s">
        <v>37</v>
      </c>
    </row>
    <row r="836" spans="4:6" x14ac:dyDescent="0.2">
      <c r="D836" t="s">
        <v>29</v>
      </c>
      <c r="F836" t="s">
        <v>21</v>
      </c>
    </row>
    <row r="837" spans="4:6" x14ac:dyDescent="0.2">
      <c r="D837" t="s">
        <v>13</v>
      </c>
      <c r="F837" t="s">
        <v>26</v>
      </c>
    </row>
    <row r="838" spans="4:6" x14ac:dyDescent="0.2">
      <c r="D838" t="s">
        <v>55</v>
      </c>
      <c r="F838" t="s">
        <v>11</v>
      </c>
    </row>
    <row r="839" spans="4:6" x14ac:dyDescent="0.2">
      <c r="D839" t="s">
        <v>10</v>
      </c>
      <c r="F839" t="s">
        <v>34</v>
      </c>
    </row>
    <row r="840" spans="4:6" x14ac:dyDescent="0.2">
      <c r="D840" t="s">
        <v>20</v>
      </c>
      <c r="F840" t="s">
        <v>18</v>
      </c>
    </row>
    <row r="841" spans="4:6" x14ac:dyDescent="0.2">
      <c r="D841" t="s">
        <v>40</v>
      </c>
      <c r="F841" t="s">
        <v>24</v>
      </c>
    </row>
    <row r="842" spans="4:6" x14ac:dyDescent="0.2">
      <c r="D842" t="s">
        <v>22</v>
      </c>
      <c r="F842" t="s">
        <v>32</v>
      </c>
    </row>
    <row r="843" spans="4:6" x14ac:dyDescent="0.2">
      <c r="D843" t="s">
        <v>39</v>
      </c>
      <c r="F843" t="s">
        <v>35</v>
      </c>
    </row>
    <row r="844" spans="4:6" x14ac:dyDescent="0.2">
      <c r="D844" t="s">
        <v>23</v>
      </c>
      <c r="F844" t="s">
        <v>19</v>
      </c>
    </row>
    <row r="845" spans="4:6" x14ac:dyDescent="0.2">
      <c r="D845" t="s">
        <v>33</v>
      </c>
      <c r="F845" t="s">
        <v>38</v>
      </c>
    </row>
    <row r="846" spans="4:6" x14ac:dyDescent="0.2">
      <c r="D846" t="s">
        <v>27</v>
      </c>
      <c r="F846" t="s">
        <v>28</v>
      </c>
    </row>
    <row r="847" spans="4:6" x14ac:dyDescent="0.2">
      <c r="D847" t="s">
        <v>15</v>
      </c>
      <c r="F847" t="s">
        <v>30</v>
      </c>
    </row>
    <row r="848" spans="4:6" x14ac:dyDescent="0.2">
      <c r="D848" t="s">
        <v>12</v>
      </c>
      <c r="F848" t="s">
        <v>36</v>
      </c>
    </row>
    <row r="849" spans="4:6" x14ac:dyDescent="0.2">
      <c r="D849" t="s">
        <v>27</v>
      </c>
      <c r="F849" t="s">
        <v>21</v>
      </c>
    </row>
    <row r="850" spans="4:6" x14ac:dyDescent="0.2">
      <c r="D850" t="s">
        <v>13</v>
      </c>
      <c r="F850" t="s">
        <v>23</v>
      </c>
    </row>
    <row r="851" spans="4:6" x14ac:dyDescent="0.2">
      <c r="D851" t="s">
        <v>55</v>
      </c>
      <c r="F851" t="s">
        <v>25</v>
      </c>
    </row>
    <row r="852" spans="4:6" x14ac:dyDescent="0.2">
      <c r="D852" t="s">
        <v>22</v>
      </c>
      <c r="F852" t="s">
        <v>26</v>
      </c>
    </row>
    <row r="853" spans="4:6" x14ac:dyDescent="0.2">
      <c r="D853" t="s">
        <v>33</v>
      </c>
      <c r="F853" t="s">
        <v>17</v>
      </c>
    </row>
    <row r="854" spans="4:6" x14ac:dyDescent="0.2">
      <c r="D854" t="s">
        <v>16</v>
      </c>
      <c r="F854" t="s">
        <v>34</v>
      </c>
    </row>
    <row r="855" spans="4:6" x14ac:dyDescent="0.2">
      <c r="D855" t="s">
        <v>12</v>
      </c>
      <c r="F855" t="s">
        <v>18</v>
      </c>
    </row>
    <row r="856" spans="4:6" x14ac:dyDescent="0.2">
      <c r="D856" t="s">
        <v>29</v>
      </c>
      <c r="F856" t="s">
        <v>24</v>
      </c>
    </row>
    <row r="857" spans="4:6" x14ac:dyDescent="0.2">
      <c r="D857" t="s">
        <v>30</v>
      </c>
      <c r="F857" t="s">
        <v>15</v>
      </c>
    </row>
    <row r="858" spans="4:6" x14ac:dyDescent="0.2">
      <c r="D858" t="s">
        <v>10</v>
      </c>
      <c r="F858" t="s">
        <v>14</v>
      </c>
    </row>
    <row r="859" spans="4:6" x14ac:dyDescent="0.2">
      <c r="D859" t="s">
        <v>19</v>
      </c>
      <c r="F859" t="s">
        <v>32</v>
      </c>
    </row>
    <row r="860" spans="4:6" x14ac:dyDescent="0.2">
      <c r="D860" t="s">
        <v>11</v>
      </c>
      <c r="F860" t="s">
        <v>35</v>
      </c>
    </row>
    <row r="861" spans="4:6" x14ac:dyDescent="0.2">
      <c r="D861" t="s">
        <v>40</v>
      </c>
      <c r="F861" t="s">
        <v>37</v>
      </c>
    </row>
    <row r="862" spans="4:6" x14ac:dyDescent="0.2">
      <c r="D862" t="s">
        <v>31</v>
      </c>
      <c r="F862" t="s">
        <v>38</v>
      </c>
    </row>
    <row r="863" spans="4:6" x14ac:dyDescent="0.2">
      <c r="D863" t="s">
        <v>39</v>
      </c>
      <c r="F863" t="s">
        <v>20</v>
      </c>
    </row>
    <row r="864" spans="4:6" x14ac:dyDescent="0.2">
      <c r="D864" t="s">
        <v>28</v>
      </c>
      <c r="F864" t="s">
        <v>10</v>
      </c>
    </row>
    <row r="865" spans="4:6" x14ac:dyDescent="0.2">
      <c r="D865" t="s">
        <v>18</v>
      </c>
      <c r="F865" t="s">
        <v>23</v>
      </c>
    </row>
    <row r="866" spans="4:6" x14ac:dyDescent="0.2">
      <c r="D866" t="s">
        <v>33</v>
      </c>
      <c r="F866" t="s">
        <v>16</v>
      </c>
    </row>
    <row r="867" spans="4:6" x14ac:dyDescent="0.2">
      <c r="D867" t="s">
        <v>12</v>
      </c>
      <c r="F867" t="s">
        <v>26</v>
      </c>
    </row>
    <row r="868" spans="4:6" x14ac:dyDescent="0.2">
      <c r="D868" t="s">
        <v>34</v>
      </c>
      <c r="F868" t="s">
        <v>17</v>
      </c>
    </row>
    <row r="869" spans="4:6" x14ac:dyDescent="0.2">
      <c r="D869" t="s">
        <v>40</v>
      </c>
      <c r="F869" t="s">
        <v>11</v>
      </c>
    </row>
    <row r="870" spans="4:6" x14ac:dyDescent="0.2">
      <c r="D870" t="s">
        <v>29</v>
      </c>
      <c r="F870" t="s">
        <v>30</v>
      </c>
    </row>
    <row r="871" spans="4:6" x14ac:dyDescent="0.2">
      <c r="D871" t="s">
        <v>24</v>
      </c>
      <c r="F871" t="s">
        <v>36</v>
      </c>
    </row>
    <row r="872" spans="4:6" x14ac:dyDescent="0.2">
      <c r="D872" t="s">
        <v>13</v>
      </c>
      <c r="F872" t="s">
        <v>27</v>
      </c>
    </row>
    <row r="873" spans="4:6" x14ac:dyDescent="0.2">
      <c r="D873" t="s">
        <v>15</v>
      </c>
      <c r="F873" t="s">
        <v>14</v>
      </c>
    </row>
    <row r="874" spans="4:6" x14ac:dyDescent="0.2">
      <c r="D874" t="s">
        <v>28</v>
      </c>
      <c r="F874" t="s">
        <v>35</v>
      </c>
    </row>
    <row r="875" spans="4:6" x14ac:dyDescent="0.2">
      <c r="D875" t="s">
        <v>39</v>
      </c>
      <c r="F875" t="s">
        <v>55</v>
      </c>
    </row>
    <row r="876" spans="4:6" x14ac:dyDescent="0.2">
      <c r="D876" t="s">
        <v>19</v>
      </c>
      <c r="F876" t="s">
        <v>38</v>
      </c>
    </row>
    <row r="877" spans="4:6" x14ac:dyDescent="0.2">
      <c r="D877" t="s">
        <v>32</v>
      </c>
      <c r="F877" t="s">
        <v>20</v>
      </c>
    </row>
    <row r="878" spans="4:6" x14ac:dyDescent="0.2">
      <c r="D878" t="s">
        <v>25</v>
      </c>
      <c r="F878" t="s">
        <v>22</v>
      </c>
    </row>
    <row r="879" spans="4:6" x14ac:dyDescent="0.2">
      <c r="D879" t="s">
        <v>20</v>
      </c>
      <c r="F879" t="s">
        <v>31</v>
      </c>
    </row>
    <row r="880" spans="4:6" x14ac:dyDescent="0.2">
      <c r="D880" t="s">
        <v>13</v>
      </c>
      <c r="F880" t="s">
        <v>25</v>
      </c>
    </row>
    <row r="881" spans="4:6" x14ac:dyDescent="0.2">
      <c r="D881" t="s">
        <v>21</v>
      </c>
      <c r="F881" t="s">
        <v>37</v>
      </c>
    </row>
    <row r="882" spans="4:6" x14ac:dyDescent="0.2">
      <c r="D882" t="s">
        <v>19</v>
      </c>
      <c r="F882" t="s">
        <v>16</v>
      </c>
    </row>
    <row r="883" spans="4:6" x14ac:dyDescent="0.2">
      <c r="D883" t="s">
        <v>33</v>
      </c>
      <c r="F883" t="s">
        <v>10</v>
      </c>
    </row>
    <row r="884" spans="4:6" x14ac:dyDescent="0.2">
      <c r="D884" t="s">
        <v>26</v>
      </c>
      <c r="F884" t="s">
        <v>12</v>
      </c>
    </row>
    <row r="885" spans="4:6" x14ac:dyDescent="0.2">
      <c r="D885" t="s">
        <v>40</v>
      </c>
      <c r="F885" t="s">
        <v>39</v>
      </c>
    </row>
    <row r="886" spans="4:6" x14ac:dyDescent="0.2">
      <c r="D886" t="s">
        <v>23</v>
      </c>
      <c r="F886" t="s">
        <v>11</v>
      </c>
    </row>
    <row r="887" spans="4:6" x14ac:dyDescent="0.2">
      <c r="D887" t="s">
        <v>18</v>
      </c>
      <c r="F887" t="s">
        <v>34</v>
      </c>
    </row>
    <row r="888" spans="4:6" x14ac:dyDescent="0.2">
      <c r="D888" t="s">
        <v>35</v>
      </c>
      <c r="F888" t="s">
        <v>29</v>
      </c>
    </row>
    <row r="889" spans="4:6" x14ac:dyDescent="0.2">
      <c r="D889" t="s">
        <v>36</v>
      </c>
      <c r="F889" t="s">
        <v>14</v>
      </c>
    </row>
    <row r="890" spans="4:6" x14ac:dyDescent="0.2">
      <c r="D890" t="s">
        <v>38</v>
      </c>
      <c r="F890" t="s">
        <v>55</v>
      </c>
    </row>
    <row r="891" spans="4:6" x14ac:dyDescent="0.2">
      <c r="D891" t="s">
        <v>30</v>
      </c>
      <c r="F891" t="s">
        <v>22</v>
      </c>
    </row>
    <row r="892" spans="4:6" x14ac:dyDescent="0.2">
      <c r="D892" t="s">
        <v>32</v>
      </c>
      <c r="F892" t="s">
        <v>31</v>
      </c>
    </row>
    <row r="893" spans="4:6" x14ac:dyDescent="0.2">
      <c r="D893" t="s">
        <v>36</v>
      </c>
      <c r="F893" t="s">
        <v>25</v>
      </c>
    </row>
    <row r="894" spans="4:6" x14ac:dyDescent="0.2">
      <c r="D894" t="s">
        <v>19</v>
      </c>
      <c r="F894" t="s">
        <v>17</v>
      </c>
    </row>
    <row r="895" spans="4:6" x14ac:dyDescent="0.2">
      <c r="D895" t="s">
        <v>28</v>
      </c>
      <c r="F895" t="s">
        <v>24</v>
      </c>
    </row>
    <row r="896" spans="4:6" x14ac:dyDescent="0.2">
      <c r="D896" t="s">
        <v>14</v>
      </c>
      <c r="F896" t="s">
        <v>30</v>
      </c>
    </row>
    <row r="897" spans="4:6" x14ac:dyDescent="0.2">
      <c r="D897" t="s">
        <v>22</v>
      </c>
      <c r="F897" t="s">
        <v>27</v>
      </c>
    </row>
    <row r="898" spans="4:6" x14ac:dyDescent="0.2">
      <c r="D898" t="s">
        <v>23</v>
      </c>
      <c r="F898" t="s">
        <v>37</v>
      </c>
    </row>
    <row r="899" spans="4:6" x14ac:dyDescent="0.2">
      <c r="D899" t="s">
        <v>10</v>
      </c>
      <c r="F899" t="s">
        <v>28</v>
      </c>
    </row>
    <row r="900" spans="4:6" x14ac:dyDescent="0.2">
      <c r="D900" t="s">
        <v>17</v>
      </c>
      <c r="F900" t="s">
        <v>16</v>
      </c>
    </row>
    <row r="901" spans="4:6" x14ac:dyDescent="0.2">
      <c r="D901" t="s">
        <v>33</v>
      </c>
      <c r="F901" t="s">
        <v>12</v>
      </c>
    </row>
    <row r="902" spans="4:6" x14ac:dyDescent="0.2">
      <c r="D902" t="s">
        <v>35</v>
      </c>
      <c r="F902" t="s">
        <v>39</v>
      </c>
    </row>
    <row r="903" spans="4:6" x14ac:dyDescent="0.2">
      <c r="D903" t="s">
        <v>21</v>
      </c>
      <c r="F903" t="s">
        <v>11</v>
      </c>
    </row>
    <row r="904" spans="4:6" x14ac:dyDescent="0.2">
      <c r="D904" t="s">
        <v>32</v>
      </c>
      <c r="F904" t="s">
        <v>13</v>
      </c>
    </row>
    <row r="905" spans="4:6" x14ac:dyDescent="0.2">
      <c r="D905" t="s">
        <v>34</v>
      </c>
      <c r="F905" t="s">
        <v>29</v>
      </c>
    </row>
    <row r="906" spans="4:6" x14ac:dyDescent="0.2">
      <c r="D906" t="s">
        <v>26</v>
      </c>
      <c r="F906" t="s">
        <v>55</v>
      </c>
    </row>
    <row r="907" spans="4:6" x14ac:dyDescent="0.2">
      <c r="D907" t="s">
        <v>38</v>
      </c>
      <c r="F907" t="s">
        <v>20</v>
      </c>
    </row>
    <row r="908" spans="4:6" x14ac:dyDescent="0.2">
      <c r="D908" t="s">
        <v>18</v>
      </c>
      <c r="F908" t="s">
        <v>40</v>
      </c>
    </row>
    <row r="909" spans="4:6" x14ac:dyDescent="0.2">
      <c r="D909" t="s">
        <v>14</v>
      </c>
      <c r="F909" t="s">
        <v>23</v>
      </c>
    </row>
    <row r="910" spans="4:6" x14ac:dyDescent="0.2">
      <c r="D910" t="s">
        <v>30</v>
      </c>
      <c r="F910" t="s">
        <v>24</v>
      </c>
    </row>
    <row r="911" spans="4:6" x14ac:dyDescent="0.2">
      <c r="D911" t="s">
        <v>25</v>
      </c>
      <c r="F911" t="s">
        <v>15</v>
      </c>
    </row>
    <row r="912" spans="4:6" x14ac:dyDescent="0.2">
      <c r="D912" t="s">
        <v>36</v>
      </c>
      <c r="F912" t="s">
        <v>27</v>
      </c>
    </row>
    <row r="913" spans="4:6" x14ac:dyDescent="0.2">
      <c r="D913" t="s">
        <v>11</v>
      </c>
      <c r="F913" t="s">
        <v>37</v>
      </c>
    </row>
    <row r="914" spans="4:6" x14ac:dyDescent="0.2">
      <c r="D914" t="s">
        <v>13</v>
      </c>
      <c r="F914" t="s">
        <v>20</v>
      </c>
    </row>
    <row r="915" spans="4:6" x14ac:dyDescent="0.2">
      <c r="D915" t="s">
        <v>29</v>
      </c>
      <c r="F915" t="s">
        <v>22</v>
      </c>
    </row>
    <row r="916" spans="4:6" x14ac:dyDescent="0.2">
      <c r="D916" t="s">
        <v>17</v>
      </c>
      <c r="F916" t="s">
        <v>31</v>
      </c>
    </row>
    <row r="917" spans="4:6" x14ac:dyDescent="0.2">
      <c r="D917" t="s">
        <v>32</v>
      </c>
      <c r="F917" t="s">
        <v>39</v>
      </c>
    </row>
    <row r="918" spans="4:6" x14ac:dyDescent="0.2">
      <c r="D918" t="s">
        <v>20</v>
      </c>
      <c r="F918" t="s">
        <v>13</v>
      </c>
    </row>
    <row r="919" spans="4:6" x14ac:dyDescent="0.2">
      <c r="D919" t="s">
        <v>23</v>
      </c>
      <c r="F919" t="s">
        <v>24</v>
      </c>
    </row>
    <row r="920" spans="4:6" x14ac:dyDescent="0.2">
      <c r="D920" t="s">
        <v>19</v>
      </c>
      <c r="F920" t="s">
        <v>37</v>
      </c>
    </row>
    <row r="921" spans="4:6" x14ac:dyDescent="0.2">
      <c r="D921" t="s">
        <v>12</v>
      </c>
      <c r="F921" t="s">
        <v>55</v>
      </c>
    </row>
    <row r="922" spans="4:6" x14ac:dyDescent="0.2">
      <c r="D922" t="s">
        <v>40</v>
      </c>
      <c r="F922" t="s">
        <v>38</v>
      </c>
    </row>
    <row r="923" spans="4:6" x14ac:dyDescent="0.2">
      <c r="D923" t="s">
        <v>27</v>
      </c>
      <c r="F923" t="s">
        <v>22</v>
      </c>
    </row>
    <row r="924" spans="4:6" x14ac:dyDescent="0.2">
      <c r="D924" t="s">
        <v>28</v>
      </c>
      <c r="F924" t="s">
        <v>21</v>
      </c>
    </row>
    <row r="925" spans="4:6" x14ac:dyDescent="0.2">
      <c r="D925" t="s">
        <v>37</v>
      </c>
      <c r="F925" t="s">
        <v>25</v>
      </c>
    </row>
    <row r="926" spans="4:6" x14ac:dyDescent="0.2">
      <c r="D926" t="s">
        <v>34</v>
      </c>
      <c r="F926" t="s">
        <v>12</v>
      </c>
    </row>
    <row r="927" spans="4:6" x14ac:dyDescent="0.2">
      <c r="D927" t="s">
        <v>19</v>
      </c>
      <c r="F927" t="s">
        <v>11</v>
      </c>
    </row>
    <row r="928" spans="4:6" x14ac:dyDescent="0.2">
      <c r="D928" t="s">
        <v>17</v>
      </c>
      <c r="F928" t="s">
        <v>13</v>
      </c>
    </row>
    <row r="929" spans="4:6" x14ac:dyDescent="0.2">
      <c r="D929" t="s">
        <v>30</v>
      </c>
      <c r="F929" t="s">
        <v>18</v>
      </c>
    </row>
    <row r="930" spans="4:6" x14ac:dyDescent="0.2">
      <c r="D930" t="s">
        <v>10</v>
      </c>
      <c r="F930" t="s">
        <v>29</v>
      </c>
    </row>
    <row r="931" spans="4:6" x14ac:dyDescent="0.2">
      <c r="D931" t="s">
        <v>27</v>
      </c>
      <c r="F931" t="s">
        <v>15</v>
      </c>
    </row>
    <row r="932" spans="4:6" x14ac:dyDescent="0.2">
      <c r="D932" t="s">
        <v>26</v>
      </c>
      <c r="F932" t="s">
        <v>36</v>
      </c>
    </row>
    <row r="933" spans="4:6" x14ac:dyDescent="0.2">
      <c r="D933" t="s">
        <v>24</v>
      </c>
      <c r="F933" t="s">
        <v>14</v>
      </c>
    </row>
    <row r="934" spans="4:6" x14ac:dyDescent="0.2">
      <c r="D934" t="s">
        <v>16</v>
      </c>
      <c r="F934" t="s">
        <v>33</v>
      </c>
    </row>
    <row r="935" spans="4:6" x14ac:dyDescent="0.2">
      <c r="D935" t="s">
        <v>32</v>
      </c>
      <c r="F935" t="s">
        <v>35</v>
      </c>
    </row>
    <row r="936" spans="4:6" x14ac:dyDescent="0.2">
      <c r="D936" t="s">
        <v>40</v>
      </c>
      <c r="F936" t="s">
        <v>31</v>
      </c>
    </row>
    <row r="937" spans="4:6" x14ac:dyDescent="0.2">
      <c r="D937" t="s">
        <v>23</v>
      </c>
      <c r="F937" t="s">
        <v>11</v>
      </c>
    </row>
    <row r="938" spans="4:6" x14ac:dyDescent="0.2">
      <c r="D938" t="s">
        <v>34</v>
      </c>
      <c r="F938" t="s">
        <v>55</v>
      </c>
    </row>
    <row r="939" spans="4:6" x14ac:dyDescent="0.2">
      <c r="D939" t="s">
        <v>20</v>
      </c>
      <c r="F939" t="s">
        <v>22</v>
      </c>
    </row>
    <row r="940" spans="4:6" x14ac:dyDescent="0.2">
      <c r="D940" t="s">
        <v>26</v>
      </c>
      <c r="F940" t="s">
        <v>25</v>
      </c>
    </row>
    <row r="941" spans="4:6" x14ac:dyDescent="0.2">
      <c r="D941" t="s">
        <v>30</v>
      </c>
      <c r="F941" t="s">
        <v>28</v>
      </c>
    </row>
    <row r="942" spans="4:6" x14ac:dyDescent="0.2">
      <c r="D942" t="s">
        <v>10</v>
      </c>
      <c r="F942" t="s">
        <v>12</v>
      </c>
    </row>
    <row r="943" spans="4:6" x14ac:dyDescent="0.2">
      <c r="D943" t="s">
        <v>29</v>
      </c>
      <c r="F943" t="s">
        <v>39</v>
      </c>
    </row>
    <row r="944" spans="4:6" x14ac:dyDescent="0.2">
      <c r="D944" t="s">
        <v>16</v>
      </c>
      <c r="F944" t="s">
        <v>13</v>
      </c>
    </row>
    <row r="945" spans="4:6" x14ac:dyDescent="0.2">
      <c r="D945" t="s">
        <v>22</v>
      </c>
      <c r="F945" t="s">
        <v>18</v>
      </c>
    </row>
    <row r="946" spans="4:6" x14ac:dyDescent="0.2">
      <c r="D946" t="s">
        <v>14</v>
      </c>
      <c r="F946" t="s">
        <v>15</v>
      </c>
    </row>
    <row r="947" spans="4:6" x14ac:dyDescent="0.2">
      <c r="D947" t="s">
        <v>21</v>
      </c>
      <c r="F947" t="s">
        <v>27</v>
      </c>
    </row>
    <row r="948" spans="4:6" x14ac:dyDescent="0.2">
      <c r="D948" t="s">
        <v>38</v>
      </c>
      <c r="F948" t="s">
        <v>32</v>
      </c>
    </row>
    <row r="949" spans="4:6" x14ac:dyDescent="0.2">
      <c r="D949" t="s">
        <v>17</v>
      </c>
      <c r="F949" t="s">
        <v>33</v>
      </c>
    </row>
    <row r="950" spans="4:6" x14ac:dyDescent="0.2">
      <c r="D950" t="s">
        <v>24</v>
      </c>
      <c r="F950" t="s">
        <v>35</v>
      </c>
    </row>
    <row r="951" spans="4:6" x14ac:dyDescent="0.2">
      <c r="D951" t="s">
        <v>23</v>
      </c>
      <c r="F951" t="s">
        <v>37</v>
      </c>
    </row>
    <row r="952" spans="4:6" x14ac:dyDescent="0.2">
      <c r="D952" t="s">
        <v>36</v>
      </c>
      <c r="F952" t="s">
        <v>19</v>
      </c>
    </row>
    <row r="953" spans="4:6" x14ac:dyDescent="0.2">
      <c r="D953" t="s">
        <v>16</v>
      </c>
      <c r="F953" t="s">
        <v>31</v>
      </c>
    </row>
    <row r="954" spans="4:6" x14ac:dyDescent="0.2">
      <c r="D954" t="s">
        <v>35</v>
      </c>
      <c r="F954" t="s">
        <v>34</v>
      </c>
    </row>
    <row r="955" spans="4:6" x14ac:dyDescent="0.2">
      <c r="D955" t="s">
        <v>11</v>
      </c>
      <c r="F955" t="s">
        <v>30</v>
      </c>
    </row>
    <row r="956" spans="4:6" x14ac:dyDescent="0.2">
      <c r="D956" t="s">
        <v>20</v>
      </c>
      <c r="F956" t="s">
        <v>14</v>
      </c>
    </row>
    <row r="957" spans="4:6" x14ac:dyDescent="0.2">
      <c r="D957" t="s">
        <v>40</v>
      </c>
      <c r="F957" t="s">
        <v>33</v>
      </c>
    </row>
    <row r="958" spans="4:6" x14ac:dyDescent="0.2">
      <c r="D958" t="s">
        <v>10</v>
      </c>
      <c r="F958" t="s">
        <v>55</v>
      </c>
    </row>
    <row r="959" spans="4:6" x14ac:dyDescent="0.2">
      <c r="D959" t="s">
        <v>12</v>
      </c>
      <c r="F959" t="s">
        <v>13</v>
      </c>
    </row>
    <row r="960" spans="4:6" x14ac:dyDescent="0.2">
      <c r="D960" t="s">
        <v>26</v>
      </c>
      <c r="F960" t="s">
        <v>29</v>
      </c>
    </row>
    <row r="961" spans="4:6" x14ac:dyDescent="0.2">
      <c r="D961" t="s">
        <v>28</v>
      </c>
      <c r="F961" t="s">
        <v>15</v>
      </c>
    </row>
    <row r="962" spans="4:6" x14ac:dyDescent="0.2">
      <c r="D962" t="s">
        <v>25</v>
      </c>
      <c r="F962" t="s">
        <v>32</v>
      </c>
    </row>
    <row r="963" spans="4:6" x14ac:dyDescent="0.2">
      <c r="D963" t="s">
        <v>27</v>
      </c>
      <c r="F963" t="s">
        <v>19</v>
      </c>
    </row>
    <row r="964" spans="4:6" x14ac:dyDescent="0.2">
      <c r="D964" t="s">
        <v>39</v>
      </c>
      <c r="F964" t="s">
        <v>38</v>
      </c>
    </row>
    <row r="965" spans="4:6" x14ac:dyDescent="0.2">
      <c r="D965" t="s">
        <v>12</v>
      </c>
      <c r="F965" t="s">
        <v>31</v>
      </c>
    </row>
    <row r="966" spans="4:6" x14ac:dyDescent="0.2">
      <c r="D966" t="s">
        <v>14</v>
      </c>
      <c r="F966" t="s">
        <v>21</v>
      </c>
    </row>
    <row r="967" spans="4:6" x14ac:dyDescent="0.2">
      <c r="D967" t="s">
        <v>20</v>
      </c>
      <c r="F967" t="s">
        <v>23</v>
      </c>
    </row>
    <row r="968" spans="4:6" x14ac:dyDescent="0.2">
      <c r="D968" t="s">
        <v>29</v>
      </c>
      <c r="F968" t="s">
        <v>28</v>
      </c>
    </row>
    <row r="969" spans="4:6" x14ac:dyDescent="0.2">
      <c r="D969" t="s">
        <v>39</v>
      </c>
      <c r="F969" t="s">
        <v>16</v>
      </c>
    </row>
    <row r="970" spans="4:6" x14ac:dyDescent="0.2">
      <c r="D970" t="s">
        <v>36</v>
      </c>
      <c r="F970" t="s">
        <v>17</v>
      </c>
    </row>
    <row r="971" spans="4:6" x14ac:dyDescent="0.2">
      <c r="D971" t="s">
        <v>37</v>
      </c>
      <c r="F971" t="s">
        <v>34</v>
      </c>
    </row>
    <row r="972" spans="4:6" x14ac:dyDescent="0.2">
      <c r="D972" t="s">
        <v>11</v>
      </c>
      <c r="F972" t="s">
        <v>24</v>
      </c>
    </row>
    <row r="973" spans="4:6" x14ac:dyDescent="0.2">
      <c r="D973" t="s">
        <v>18</v>
      </c>
      <c r="F973" t="s">
        <v>33</v>
      </c>
    </row>
    <row r="974" spans="4:6" x14ac:dyDescent="0.2">
      <c r="D974" t="s">
        <v>10</v>
      </c>
      <c r="F974" t="s">
        <v>40</v>
      </c>
    </row>
    <row r="975" spans="4:6" x14ac:dyDescent="0.2">
      <c r="D975" t="s">
        <v>55</v>
      </c>
      <c r="F975" t="s">
        <v>22</v>
      </c>
    </row>
    <row r="976" spans="4:6" x14ac:dyDescent="0.2">
      <c r="D976" t="s">
        <v>30</v>
      </c>
      <c r="F976" t="s">
        <v>31</v>
      </c>
    </row>
    <row r="977" spans="4:6" x14ac:dyDescent="0.2">
      <c r="D977" t="s">
        <v>20</v>
      </c>
      <c r="F977" t="s">
        <v>26</v>
      </c>
    </row>
    <row r="978" spans="4:6" x14ac:dyDescent="0.2">
      <c r="D978" t="s">
        <v>19</v>
      </c>
      <c r="F978" t="s">
        <v>24</v>
      </c>
    </row>
    <row r="979" spans="4:6" x14ac:dyDescent="0.2">
      <c r="D979" t="s">
        <v>35</v>
      </c>
      <c r="F979" t="s">
        <v>32</v>
      </c>
    </row>
    <row r="980" spans="4:6" x14ac:dyDescent="0.2">
      <c r="D980" t="s">
        <v>25</v>
      </c>
      <c r="F980" t="s">
        <v>38</v>
      </c>
    </row>
    <row r="981" spans="4:6" x14ac:dyDescent="0.2">
      <c r="D981" t="s">
        <v>11</v>
      </c>
      <c r="F981" t="s">
        <v>28</v>
      </c>
    </row>
    <row r="982" spans="4:6" x14ac:dyDescent="0.2">
      <c r="D982" t="s">
        <v>36</v>
      </c>
      <c r="F982" t="s">
        <v>16</v>
      </c>
    </row>
    <row r="983" spans="4:6" x14ac:dyDescent="0.2">
      <c r="D983" t="s">
        <v>30</v>
      </c>
      <c r="F983" t="s">
        <v>13</v>
      </c>
    </row>
    <row r="984" spans="4:6" x14ac:dyDescent="0.2">
      <c r="D984" t="s">
        <v>21</v>
      </c>
      <c r="F984" t="s">
        <v>29</v>
      </c>
    </row>
    <row r="985" spans="4:6" x14ac:dyDescent="0.2">
      <c r="D985" t="s">
        <v>19</v>
      </c>
      <c r="F985" t="s">
        <v>15</v>
      </c>
    </row>
    <row r="986" spans="4:6" x14ac:dyDescent="0.2">
      <c r="D986" t="s">
        <v>55</v>
      </c>
      <c r="F986" t="s">
        <v>27</v>
      </c>
    </row>
    <row r="987" spans="4:6" x14ac:dyDescent="0.2">
      <c r="D987" t="s">
        <v>23</v>
      </c>
      <c r="F987" t="s">
        <v>14</v>
      </c>
    </row>
    <row r="988" spans="4:6" x14ac:dyDescent="0.2">
      <c r="D988" t="s">
        <v>37</v>
      </c>
      <c r="F988" t="s">
        <v>40</v>
      </c>
    </row>
    <row r="989" spans="4:6" x14ac:dyDescent="0.2">
      <c r="D989" t="s">
        <v>18</v>
      </c>
      <c r="F989" t="s">
        <v>31</v>
      </c>
    </row>
    <row r="990" spans="4:6" x14ac:dyDescent="0.2">
      <c r="D990" t="s">
        <v>38</v>
      </c>
      <c r="F990" t="s">
        <v>10</v>
      </c>
    </row>
    <row r="991" spans="4:6" x14ac:dyDescent="0.2">
      <c r="D991" t="s">
        <v>12</v>
      </c>
      <c r="F991" t="s">
        <v>39</v>
      </c>
    </row>
    <row r="992" spans="4:6" x14ac:dyDescent="0.2">
      <c r="D992" t="s">
        <v>11</v>
      </c>
      <c r="F992" t="s">
        <v>26</v>
      </c>
    </row>
    <row r="993" spans="4:6" x14ac:dyDescent="0.2">
      <c r="D993" t="s">
        <v>25</v>
      </c>
      <c r="F993" t="s">
        <v>17</v>
      </c>
    </row>
    <row r="994" spans="4:6" x14ac:dyDescent="0.2">
      <c r="D994" t="s">
        <v>35</v>
      </c>
      <c r="F994" t="s">
        <v>33</v>
      </c>
    </row>
    <row r="995" spans="4:6" x14ac:dyDescent="0.2">
      <c r="D995" t="s">
        <v>34</v>
      </c>
      <c r="F995" t="s">
        <v>20</v>
      </c>
    </row>
    <row r="996" spans="4:6" x14ac:dyDescent="0.2">
      <c r="D996" t="s">
        <v>22</v>
      </c>
      <c r="F996" t="s">
        <v>21</v>
      </c>
    </row>
    <row r="997" spans="4:6" x14ac:dyDescent="0.2">
      <c r="D997" t="s">
        <v>29</v>
      </c>
      <c r="F997" t="s">
        <v>23</v>
      </c>
    </row>
    <row r="998" spans="4:6" x14ac:dyDescent="0.2">
      <c r="D998" t="s">
        <v>55</v>
      </c>
      <c r="F998" t="s">
        <v>28</v>
      </c>
    </row>
    <row r="999" spans="4:6" x14ac:dyDescent="0.2">
      <c r="D999" t="s">
        <v>25</v>
      </c>
      <c r="F999" t="s">
        <v>16</v>
      </c>
    </row>
    <row r="1000" spans="4:6" x14ac:dyDescent="0.2">
      <c r="D1000" t="s">
        <v>18</v>
      </c>
      <c r="F1000" t="s">
        <v>13</v>
      </c>
    </row>
    <row r="1001" spans="4:6" x14ac:dyDescent="0.2">
      <c r="D1001" t="s">
        <v>15</v>
      </c>
      <c r="F1001" t="s">
        <v>24</v>
      </c>
    </row>
    <row r="1002" spans="4:6" x14ac:dyDescent="0.2">
      <c r="D1002" t="s">
        <v>27</v>
      </c>
      <c r="F1002" t="s">
        <v>14</v>
      </c>
    </row>
    <row r="1003" spans="4:6" x14ac:dyDescent="0.2">
      <c r="D1003" t="s">
        <v>36</v>
      </c>
      <c r="F1003" t="s">
        <v>32</v>
      </c>
    </row>
    <row r="1004" spans="4:6" x14ac:dyDescent="0.2">
      <c r="D1004" t="s">
        <v>30</v>
      </c>
      <c r="F1004" t="s">
        <v>33</v>
      </c>
    </row>
    <row r="1005" spans="4:6" x14ac:dyDescent="0.2">
      <c r="D1005" t="s">
        <v>37</v>
      </c>
      <c r="F1005" t="s">
        <v>19</v>
      </c>
    </row>
    <row r="1006" spans="4:6" x14ac:dyDescent="0.2">
      <c r="D1006" t="s">
        <v>38</v>
      </c>
      <c r="F1006" t="s">
        <v>40</v>
      </c>
    </row>
    <row r="1007" spans="4:6" x14ac:dyDescent="0.2">
      <c r="D1007" t="s">
        <v>35</v>
      </c>
      <c r="F1007" t="s">
        <v>31</v>
      </c>
    </row>
    <row r="1008" spans="4:6" x14ac:dyDescent="0.2">
      <c r="D1008" t="s">
        <v>37</v>
      </c>
      <c r="F1008" t="s">
        <v>23</v>
      </c>
    </row>
    <row r="1009" spans="4:6" x14ac:dyDescent="0.2">
      <c r="D1009" t="s">
        <v>34</v>
      </c>
      <c r="F1009" t="s">
        <v>12</v>
      </c>
    </row>
    <row r="1010" spans="4:6" x14ac:dyDescent="0.2">
      <c r="D1010" t="s">
        <v>10</v>
      </c>
      <c r="F1010" t="s">
        <v>39</v>
      </c>
    </row>
    <row r="1011" spans="4:6" x14ac:dyDescent="0.2">
      <c r="D1011" t="s">
        <v>26</v>
      </c>
      <c r="F1011" t="s">
        <v>24</v>
      </c>
    </row>
    <row r="1012" spans="4:6" x14ac:dyDescent="0.2">
      <c r="D1012" t="s">
        <v>21</v>
      </c>
      <c r="F1012" t="s">
        <v>14</v>
      </c>
    </row>
    <row r="1013" spans="4:6" x14ac:dyDescent="0.2">
      <c r="D1013" t="s">
        <v>17</v>
      </c>
      <c r="F1013" t="s">
        <v>20</v>
      </c>
    </row>
    <row r="1014" spans="4:6" x14ac:dyDescent="0.2">
      <c r="D1014" t="s">
        <v>55</v>
      </c>
      <c r="F1014" t="s">
        <v>10</v>
      </c>
    </row>
    <row r="1015" spans="4:6" x14ac:dyDescent="0.2">
      <c r="D1015" t="s">
        <v>15</v>
      </c>
      <c r="F1015" t="s">
        <v>27</v>
      </c>
    </row>
    <row r="1016" spans="4:6" x14ac:dyDescent="0.2">
      <c r="D1016" t="s">
        <v>36</v>
      </c>
      <c r="F1016" t="s">
        <v>38</v>
      </c>
    </row>
    <row r="1017" spans="4:6" x14ac:dyDescent="0.2">
      <c r="D1017" t="s">
        <v>16</v>
      </c>
      <c r="F1017" t="s">
        <v>22</v>
      </c>
    </row>
    <row r="1018" spans="4:6" x14ac:dyDescent="0.2">
      <c r="D1018" t="s">
        <v>13</v>
      </c>
      <c r="F1018" t="s">
        <v>21</v>
      </c>
    </row>
    <row r="1019" spans="4:6" x14ac:dyDescent="0.2">
      <c r="D1019" t="s">
        <v>33</v>
      </c>
      <c r="F1019" t="s">
        <v>23</v>
      </c>
    </row>
    <row r="1020" spans="4:6" x14ac:dyDescent="0.2">
      <c r="D1020" t="s">
        <v>14</v>
      </c>
      <c r="F1020" t="s">
        <v>25</v>
      </c>
    </row>
    <row r="1021" spans="4:6" x14ac:dyDescent="0.2">
      <c r="D1021" t="s">
        <v>17</v>
      </c>
      <c r="F1021" t="s">
        <v>12</v>
      </c>
    </row>
    <row r="1022" spans="4:6" x14ac:dyDescent="0.2">
      <c r="D1022" t="s">
        <v>20</v>
      </c>
      <c r="F1022" t="s">
        <v>39</v>
      </c>
    </row>
    <row r="1023" spans="4:6" x14ac:dyDescent="0.2">
      <c r="D1023" t="s">
        <v>26</v>
      </c>
      <c r="F1023" t="s">
        <v>11</v>
      </c>
    </row>
    <row r="1024" spans="4:6" x14ac:dyDescent="0.2">
      <c r="D1024" t="s">
        <v>55</v>
      </c>
      <c r="F1024" t="s">
        <v>34</v>
      </c>
    </row>
    <row r="1025" spans="4:6" x14ac:dyDescent="0.2">
      <c r="D1025" t="s">
        <v>19</v>
      </c>
      <c r="F1025" t="s">
        <v>18</v>
      </c>
    </row>
    <row r="1026" spans="4:6" x14ac:dyDescent="0.2">
      <c r="D1026" t="s">
        <v>16</v>
      </c>
      <c r="F1026" t="s">
        <v>15</v>
      </c>
    </row>
    <row r="1027" spans="4:6" x14ac:dyDescent="0.2">
      <c r="D1027" t="s">
        <v>29</v>
      </c>
      <c r="F1027" t="s">
        <v>32</v>
      </c>
    </row>
    <row r="1028" spans="4:6" x14ac:dyDescent="0.2">
      <c r="D1028" t="s">
        <v>30</v>
      </c>
      <c r="F1028" t="s">
        <v>35</v>
      </c>
    </row>
    <row r="1029" spans="4:6" x14ac:dyDescent="0.2">
      <c r="D1029" t="s">
        <v>28</v>
      </c>
      <c r="F1029" t="s">
        <v>37</v>
      </c>
    </row>
    <row r="1030" spans="4:6" x14ac:dyDescent="0.2">
      <c r="D1030" t="s">
        <v>31</v>
      </c>
      <c r="F1030" t="s">
        <v>40</v>
      </c>
    </row>
    <row r="1031" spans="4:6" x14ac:dyDescent="0.2">
      <c r="D1031" t="s">
        <v>18</v>
      </c>
      <c r="F1031" t="s">
        <v>36</v>
      </c>
    </row>
    <row r="1032" spans="4:6" x14ac:dyDescent="0.2">
      <c r="D1032" t="s">
        <v>22</v>
      </c>
      <c r="F1032" t="s">
        <v>27</v>
      </c>
    </row>
    <row r="1033" spans="4:6" x14ac:dyDescent="0.2">
      <c r="D1033" t="s">
        <v>33</v>
      </c>
      <c r="F1033" t="s">
        <v>21</v>
      </c>
    </row>
    <row r="1034" spans="4:6" x14ac:dyDescent="0.2">
      <c r="D1034" t="s">
        <v>22</v>
      </c>
      <c r="F1034" t="s">
        <v>23</v>
      </c>
    </row>
    <row r="1035" spans="4:6" x14ac:dyDescent="0.2">
      <c r="D1035" t="s">
        <v>35</v>
      </c>
      <c r="F1035" t="s">
        <v>25</v>
      </c>
    </row>
    <row r="1036" spans="4:6" x14ac:dyDescent="0.2">
      <c r="D1036" t="s">
        <v>17</v>
      </c>
      <c r="F1036" t="s">
        <v>39</v>
      </c>
    </row>
    <row r="1037" spans="4:6" x14ac:dyDescent="0.2">
      <c r="D1037" t="s">
        <v>28</v>
      </c>
      <c r="F1037" t="s">
        <v>11</v>
      </c>
    </row>
    <row r="1038" spans="4:6" x14ac:dyDescent="0.2">
      <c r="D1038" t="s">
        <v>27</v>
      </c>
      <c r="F1038" t="s">
        <v>34</v>
      </c>
    </row>
    <row r="1039" spans="4:6" x14ac:dyDescent="0.2">
      <c r="D1039" t="s">
        <v>16</v>
      </c>
      <c r="F1039" t="s">
        <v>24</v>
      </c>
    </row>
    <row r="1040" spans="4:6" x14ac:dyDescent="0.2">
      <c r="D1040" t="s">
        <v>12</v>
      </c>
      <c r="F1040" t="s">
        <v>32</v>
      </c>
    </row>
    <row r="1041" spans="4:6" x14ac:dyDescent="0.2">
      <c r="D1041" t="s">
        <v>26</v>
      </c>
      <c r="F1041" t="s">
        <v>37</v>
      </c>
    </row>
    <row r="1042" spans="4:6" x14ac:dyDescent="0.2">
      <c r="D1042" t="s">
        <v>31</v>
      </c>
      <c r="F1042" t="s">
        <v>19</v>
      </c>
    </row>
    <row r="1043" spans="4:6" x14ac:dyDescent="0.2">
      <c r="D1043" t="s">
        <v>10</v>
      </c>
      <c r="F1043" t="s">
        <v>55</v>
      </c>
    </row>
    <row r="1044" spans="4:6" x14ac:dyDescent="0.2">
      <c r="D1044" t="s">
        <v>29</v>
      </c>
      <c r="F1044" t="s">
        <v>38</v>
      </c>
    </row>
    <row r="1045" spans="4:6" x14ac:dyDescent="0.2">
      <c r="D1045" t="s">
        <v>14</v>
      </c>
      <c r="F1045" t="s">
        <v>20</v>
      </c>
    </row>
    <row r="1046" spans="4:6" x14ac:dyDescent="0.2">
      <c r="D1046" t="s">
        <v>15</v>
      </c>
      <c r="F1046" t="s">
        <v>40</v>
      </c>
    </row>
    <row r="1047" spans="4:6" x14ac:dyDescent="0.2">
      <c r="D1047" t="s">
        <v>13</v>
      </c>
      <c r="F1047" t="s">
        <v>30</v>
      </c>
    </row>
    <row r="1048" spans="4:6" x14ac:dyDescent="0.2">
      <c r="D1048" t="s">
        <v>17</v>
      </c>
      <c r="F1048" t="s">
        <v>35</v>
      </c>
    </row>
    <row r="1049" spans="4:6" x14ac:dyDescent="0.2">
      <c r="D1049" t="s">
        <v>19</v>
      </c>
      <c r="F1049" t="s">
        <v>23</v>
      </c>
    </row>
    <row r="1050" spans="4:6" x14ac:dyDescent="0.2">
      <c r="D1050" t="s">
        <v>26</v>
      </c>
      <c r="F1050" t="s">
        <v>39</v>
      </c>
    </row>
    <row r="1051" spans="4:6" x14ac:dyDescent="0.2">
      <c r="D1051" t="s">
        <v>15</v>
      </c>
      <c r="F1051" t="s">
        <v>34</v>
      </c>
    </row>
    <row r="1052" spans="4:6" x14ac:dyDescent="0.2">
      <c r="D1052" t="s">
        <v>33</v>
      </c>
      <c r="F1052" t="s">
        <v>18</v>
      </c>
    </row>
    <row r="1053" spans="4:6" x14ac:dyDescent="0.2">
      <c r="D1053" t="s">
        <v>13</v>
      </c>
      <c r="F1053" t="s">
        <v>24</v>
      </c>
    </row>
    <row r="1054" spans="4:6" x14ac:dyDescent="0.2">
      <c r="D1054" t="s">
        <v>16</v>
      </c>
      <c r="F1054" t="s">
        <v>30</v>
      </c>
    </row>
    <row r="1055" spans="4:6" x14ac:dyDescent="0.2">
      <c r="D1055" t="s">
        <v>31</v>
      </c>
      <c r="F1055" t="s">
        <v>36</v>
      </c>
    </row>
    <row r="1056" spans="4:6" x14ac:dyDescent="0.2">
      <c r="D1056" t="s">
        <v>28</v>
      </c>
      <c r="F1056" t="s">
        <v>27</v>
      </c>
    </row>
    <row r="1057" spans="4:6" x14ac:dyDescent="0.2">
      <c r="D1057" t="s">
        <v>25</v>
      </c>
      <c r="F1057" t="s">
        <v>37</v>
      </c>
    </row>
    <row r="1058" spans="4:6" x14ac:dyDescent="0.2">
      <c r="D1058" t="s">
        <v>14</v>
      </c>
      <c r="F1058" t="s">
        <v>55</v>
      </c>
    </row>
    <row r="1059" spans="4:6" x14ac:dyDescent="0.2">
      <c r="D1059" t="s">
        <v>32</v>
      </c>
      <c r="F1059" t="s">
        <v>38</v>
      </c>
    </row>
    <row r="1060" spans="4:6" x14ac:dyDescent="0.2">
      <c r="D1060" t="s">
        <v>10</v>
      </c>
      <c r="F1060" t="s">
        <v>20</v>
      </c>
    </row>
    <row r="1061" spans="4:6" x14ac:dyDescent="0.2">
      <c r="D1061" t="s">
        <v>12</v>
      </c>
      <c r="F1061" t="s">
        <v>40</v>
      </c>
    </row>
    <row r="1062" spans="4:6" x14ac:dyDescent="0.2">
      <c r="D1062" t="s">
        <v>21</v>
      </c>
      <c r="F1062" t="s">
        <v>22</v>
      </c>
    </row>
    <row r="1063" spans="4:6" x14ac:dyDescent="0.2">
      <c r="D1063" t="s">
        <v>29</v>
      </c>
      <c r="F1063" t="s">
        <v>17</v>
      </c>
    </row>
    <row r="1064" spans="4:6" x14ac:dyDescent="0.2">
      <c r="D1064" t="s">
        <v>19</v>
      </c>
      <c r="F1064" t="s">
        <v>34</v>
      </c>
    </row>
    <row r="1065" spans="4:6" x14ac:dyDescent="0.2">
      <c r="D1065" t="s">
        <v>31</v>
      </c>
      <c r="F1065" t="s">
        <v>18</v>
      </c>
    </row>
    <row r="1066" spans="4:6" x14ac:dyDescent="0.2">
      <c r="D1066" t="s">
        <v>33</v>
      </c>
      <c r="F1066" t="s">
        <v>36</v>
      </c>
    </row>
    <row r="1067" spans="4:6" x14ac:dyDescent="0.2">
      <c r="D1067" t="s">
        <v>11</v>
      </c>
      <c r="F1067" t="s">
        <v>32</v>
      </c>
    </row>
    <row r="1068" spans="4:6" x14ac:dyDescent="0.2">
      <c r="D1068" t="s">
        <v>35</v>
      </c>
      <c r="F1068" t="s">
        <v>40</v>
      </c>
    </row>
    <row r="1069" spans="4:6" x14ac:dyDescent="0.2">
      <c r="D1069" t="s">
        <v>14</v>
      </c>
      <c r="F1069" t="s">
        <v>12</v>
      </c>
    </row>
    <row r="1070" spans="4:6" x14ac:dyDescent="0.2">
      <c r="D1070" t="s">
        <v>55</v>
      </c>
      <c r="F1070" t="s">
        <v>39</v>
      </c>
    </row>
    <row r="1071" spans="4:6" x14ac:dyDescent="0.2">
      <c r="D1071" t="s">
        <v>16</v>
      </c>
      <c r="F1071" t="s">
        <v>26</v>
      </c>
    </row>
    <row r="1072" spans="4:6" x14ac:dyDescent="0.2">
      <c r="D1072" t="s">
        <v>21</v>
      </c>
      <c r="F1072" t="s">
        <v>24</v>
      </c>
    </row>
    <row r="1073" spans="4:6" x14ac:dyDescent="0.2">
      <c r="D1073" t="s">
        <v>13</v>
      </c>
      <c r="F1073" t="s">
        <v>15</v>
      </c>
    </row>
    <row r="1074" spans="4:6" x14ac:dyDescent="0.2">
      <c r="D1074" t="s">
        <v>25</v>
      </c>
      <c r="F1074" t="s">
        <v>28</v>
      </c>
    </row>
    <row r="1075" spans="4:6" x14ac:dyDescent="0.2">
      <c r="D1075" t="s">
        <v>34</v>
      </c>
      <c r="F1075" t="s">
        <v>10</v>
      </c>
    </row>
    <row r="1076" spans="4:6" x14ac:dyDescent="0.2">
      <c r="D1076" t="s">
        <v>33</v>
      </c>
      <c r="F1076" t="s">
        <v>17</v>
      </c>
    </row>
    <row r="1077" spans="4:6" x14ac:dyDescent="0.2">
      <c r="D1077" t="s">
        <v>21</v>
      </c>
      <c r="F1077" t="s">
        <v>18</v>
      </c>
    </row>
    <row r="1078" spans="4:6" x14ac:dyDescent="0.2">
      <c r="D1078" t="s">
        <v>37</v>
      </c>
      <c r="F1078" t="s">
        <v>32</v>
      </c>
    </row>
    <row r="1079" spans="4:6" x14ac:dyDescent="0.2">
      <c r="D1079" t="s">
        <v>30</v>
      </c>
      <c r="F1079" t="s">
        <v>19</v>
      </c>
    </row>
    <row r="1080" spans="4:6" x14ac:dyDescent="0.2">
      <c r="D1080" t="s">
        <v>11</v>
      </c>
      <c r="F1080" t="s">
        <v>38</v>
      </c>
    </row>
    <row r="1081" spans="4:6" x14ac:dyDescent="0.2">
      <c r="D1081" t="s">
        <v>23</v>
      </c>
      <c r="F1081" t="s">
        <v>20</v>
      </c>
    </row>
    <row r="1082" spans="4:6" x14ac:dyDescent="0.2">
      <c r="D1082" t="s">
        <v>29</v>
      </c>
      <c r="F1082" t="s">
        <v>40</v>
      </c>
    </row>
    <row r="1083" spans="4:6" x14ac:dyDescent="0.2">
      <c r="D1083" t="s">
        <v>27</v>
      </c>
      <c r="F1083" t="s">
        <v>31</v>
      </c>
    </row>
    <row r="1084" spans="4:6" x14ac:dyDescent="0.2">
      <c r="D1084" t="s">
        <v>14</v>
      </c>
      <c r="F1084" t="s">
        <v>25</v>
      </c>
    </row>
    <row r="1085" spans="4:6" x14ac:dyDescent="0.2">
      <c r="D1085" t="s">
        <v>35</v>
      </c>
      <c r="F1085" t="s">
        <v>16</v>
      </c>
    </row>
    <row r="1086" spans="4:6" x14ac:dyDescent="0.2">
      <c r="D1086" t="s">
        <v>39</v>
      </c>
      <c r="F1086" t="s">
        <v>12</v>
      </c>
    </row>
    <row r="1087" spans="4:6" x14ac:dyDescent="0.2">
      <c r="D1087" t="s">
        <v>24</v>
      </c>
      <c r="F1087" t="s">
        <v>15</v>
      </c>
    </row>
    <row r="1088" spans="4:6" x14ac:dyDescent="0.2">
      <c r="D1088" t="s">
        <v>36</v>
      </c>
      <c r="F1088" t="s">
        <v>22</v>
      </c>
    </row>
    <row r="1089" spans="4:6" x14ac:dyDescent="0.2">
      <c r="D1089" t="s">
        <v>40</v>
      </c>
      <c r="F1089" t="s">
        <v>21</v>
      </c>
    </row>
    <row r="1090" spans="4:6" x14ac:dyDescent="0.2">
      <c r="D1090" t="s">
        <v>15</v>
      </c>
      <c r="F1090" t="s">
        <v>28</v>
      </c>
    </row>
    <row r="1091" spans="4:6" x14ac:dyDescent="0.2">
      <c r="D1091" t="s">
        <v>18</v>
      </c>
      <c r="F1091" t="s">
        <v>26</v>
      </c>
    </row>
    <row r="1092" spans="4:6" x14ac:dyDescent="0.2">
      <c r="D1092" t="s">
        <v>11</v>
      </c>
      <c r="F1092" t="s">
        <v>17</v>
      </c>
    </row>
    <row r="1093" spans="4:6" x14ac:dyDescent="0.2">
      <c r="D1093" t="s">
        <v>27</v>
      </c>
      <c r="F1093" t="s">
        <v>13</v>
      </c>
    </row>
    <row r="1094" spans="4:6" x14ac:dyDescent="0.2">
      <c r="D1094" t="s">
        <v>10</v>
      </c>
      <c r="F1094" t="s">
        <v>34</v>
      </c>
    </row>
    <row r="1095" spans="4:6" x14ac:dyDescent="0.2">
      <c r="D1095" t="s">
        <v>32</v>
      </c>
      <c r="F1095" t="s">
        <v>29</v>
      </c>
    </row>
    <row r="1096" spans="4:6" x14ac:dyDescent="0.2">
      <c r="D1096" t="s">
        <v>30</v>
      </c>
      <c r="F1096" t="s">
        <v>36</v>
      </c>
    </row>
    <row r="1097" spans="4:6" x14ac:dyDescent="0.2">
      <c r="D1097" t="s">
        <v>23</v>
      </c>
      <c r="F1097" t="s">
        <v>33</v>
      </c>
    </row>
    <row r="1098" spans="4:6" x14ac:dyDescent="0.2">
      <c r="D1098" t="s">
        <v>37</v>
      </c>
      <c r="F1098" t="s">
        <v>38</v>
      </c>
    </row>
    <row r="1099" spans="4:6" x14ac:dyDescent="0.2">
      <c r="D1099" t="s">
        <v>55</v>
      </c>
      <c r="F1099" t="s">
        <v>20</v>
      </c>
    </row>
    <row r="1100" spans="4:6" x14ac:dyDescent="0.2">
      <c r="D1100" t="s">
        <v>11</v>
      </c>
      <c r="F1100" t="s">
        <v>16</v>
      </c>
    </row>
    <row r="1101" spans="4:6" x14ac:dyDescent="0.2">
      <c r="D1101" t="s">
        <v>12</v>
      </c>
      <c r="F1101" t="s">
        <v>10</v>
      </c>
    </row>
    <row r="1102" spans="4:6" x14ac:dyDescent="0.2">
      <c r="D1102" t="s">
        <v>25</v>
      </c>
      <c r="F1102" t="s">
        <v>19</v>
      </c>
    </row>
    <row r="1103" spans="4:6" x14ac:dyDescent="0.2">
      <c r="D1103" t="s">
        <v>31</v>
      </c>
      <c r="F1103" t="s">
        <v>55</v>
      </c>
    </row>
    <row r="1104" spans="4:6" x14ac:dyDescent="0.2">
      <c r="D1104" t="s">
        <v>24</v>
      </c>
      <c r="F1104" t="s">
        <v>22</v>
      </c>
    </row>
    <row r="1105" spans="4:6" x14ac:dyDescent="0.2">
      <c r="D1105" t="s">
        <v>32</v>
      </c>
      <c r="F1105" t="s">
        <v>28</v>
      </c>
    </row>
    <row r="1106" spans="4:6" x14ac:dyDescent="0.2">
      <c r="D1106" t="s">
        <v>21</v>
      </c>
      <c r="F1106" t="s">
        <v>26</v>
      </c>
    </row>
    <row r="1107" spans="4:6" x14ac:dyDescent="0.2">
      <c r="D1107" t="s">
        <v>37</v>
      </c>
      <c r="F1107" t="s">
        <v>17</v>
      </c>
    </row>
    <row r="1108" spans="4:6" x14ac:dyDescent="0.2">
      <c r="D1108" t="s">
        <v>23</v>
      </c>
      <c r="F1108" t="s">
        <v>13</v>
      </c>
    </row>
    <row r="1109" spans="4:6" x14ac:dyDescent="0.2">
      <c r="D1109" t="s">
        <v>39</v>
      </c>
      <c r="F1109" t="s">
        <v>34</v>
      </c>
    </row>
    <row r="1110" spans="4:6" x14ac:dyDescent="0.2">
      <c r="D1110" t="s">
        <v>30</v>
      </c>
      <c r="F1110" t="s">
        <v>18</v>
      </c>
    </row>
    <row r="1111" spans="4:6" x14ac:dyDescent="0.2">
      <c r="D1111" t="s">
        <v>20</v>
      </c>
      <c r="F1111" t="s">
        <v>29</v>
      </c>
    </row>
    <row r="1112" spans="4:6" x14ac:dyDescent="0.2">
      <c r="D1112" t="s">
        <v>19</v>
      </c>
      <c r="F1112" t="s">
        <v>36</v>
      </c>
    </row>
    <row r="1113" spans="4:6" x14ac:dyDescent="0.2">
      <c r="D1113" t="s">
        <v>40</v>
      </c>
      <c r="F1113" t="s">
        <v>14</v>
      </c>
    </row>
    <row r="1114" spans="4:6" x14ac:dyDescent="0.2">
      <c r="D1114" t="s">
        <v>27</v>
      </c>
      <c r="F1114" t="s">
        <v>33</v>
      </c>
    </row>
    <row r="1115" spans="4:6" x14ac:dyDescent="0.2">
      <c r="D1115" t="s">
        <v>35</v>
      </c>
      <c r="F1115" t="s">
        <v>38</v>
      </c>
    </row>
    <row r="1116" spans="4:6" x14ac:dyDescent="0.2">
      <c r="D1116" t="s">
        <v>23</v>
      </c>
      <c r="F1116" t="s">
        <v>31</v>
      </c>
    </row>
    <row r="1117" spans="4:6" x14ac:dyDescent="0.2">
      <c r="D1117" t="s">
        <v>37</v>
      </c>
      <c r="F1117" t="s">
        <v>16</v>
      </c>
    </row>
    <row r="1118" spans="4:6" x14ac:dyDescent="0.2">
      <c r="D1118" t="s">
        <v>29</v>
      </c>
      <c r="F1118" t="s">
        <v>10</v>
      </c>
    </row>
    <row r="1119" spans="4:6" x14ac:dyDescent="0.2">
      <c r="D1119" t="s">
        <v>20</v>
      </c>
      <c r="F1119" t="s">
        <v>39</v>
      </c>
    </row>
    <row r="1120" spans="4:6" x14ac:dyDescent="0.2">
      <c r="D1120" t="s">
        <v>28</v>
      </c>
      <c r="F1120" t="s">
        <v>30</v>
      </c>
    </row>
    <row r="1121" spans="4:6" x14ac:dyDescent="0.2">
      <c r="D1121" t="s">
        <v>40</v>
      </c>
      <c r="F1121" t="s">
        <v>15</v>
      </c>
    </row>
    <row r="1122" spans="4:6" x14ac:dyDescent="0.2">
      <c r="D1122" t="s">
        <v>25</v>
      </c>
      <c r="F1122" t="s">
        <v>14</v>
      </c>
    </row>
    <row r="1123" spans="4:6" x14ac:dyDescent="0.2">
      <c r="D1123" t="s">
        <v>13</v>
      </c>
      <c r="F1123" t="s">
        <v>55</v>
      </c>
    </row>
    <row r="1124" spans="4:6" x14ac:dyDescent="0.2">
      <c r="D1124" t="s">
        <v>12</v>
      </c>
      <c r="F1124" t="s">
        <v>22</v>
      </c>
    </row>
    <row r="1125" spans="4:6" x14ac:dyDescent="0.2">
      <c r="D1125" t="s">
        <v>36</v>
      </c>
      <c r="F1125" t="s">
        <v>15</v>
      </c>
    </row>
    <row r="1126" spans="4:6" x14ac:dyDescent="0.2">
      <c r="D1126" t="s">
        <v>19</v>
      </c>
      <c r="F1126" t="s">
        <v>21</v>
      </c>
    </row>
    <row r="1127" spans="4:6" x14ac:dyDescent="0.2">
      <c r="D1127" t="s">
        <v>13</v>
      </c>
      <c r="F1127" t="s">
        <v>16</v>
      </c>
    </row>
    <row r="1128" spans="4:6" x14ac:dyDescent="0.2">
      <c r="D1128" t="s">
        <v>24</v>
      </c>
      <c r="F1128" t="s">
        <v>39</v>
      </c>
    </row>
    <row r="1129" spans="4:6" x14ac:dyDescent="0.2">
      <c r="D1129" t="s">
        <v>36</v>
      </c>
      <c r="F1129" t="s">
        <v>26</v>
      </c>
    </row>
    <row r="1130" spans="4:6" x14ac:dyDescent="0.2">
      <c r="D1130" t="s">
        <v>32</v>
      </c>
      <c r="F1130" t="s">
        <v>11</v>
      </c>
    </row>
    <row r="1131" spans="4:6" x14ac:dyDescent="0.2">
      <c r="D1131" t="s">
        <v>25</v>
      </c>
      <c r="F1131" t="s">
        <v>18</v>
      </c>
    </row>
    <row r="1132" spans="4:6" x14ac:dyDescent="0.2">
      <c r="D1132" t="s">
        <v>33</v>
      </c>
      <c r="F1132" t="s">
        <v>29</v>
      </c>
    </row>
    <row r="1133" spans="4:6" x14ac:dyDescent="0.2">
      <c r="D1133" t="s">
        <v>10</v>
      </c>
      <c r="F1133" t="s">
        <v>30</v>
      </c>
    </row>
    <row r="1134" spans="4:6" x14ac:dyDescent="0.2">
      <c r="D1134" t="s">
        <v>28</v>
      </c>
      <c r="F1134" t="s">
        <v>27</v>
      </c>
    </row>
    <row r="1135" spans="4:6" x14ac:dyDescent="0.2">
      <c r="D1135" t="s">
        <v>12</v>
      </c>
      <c r="F1135" t="s">
        <v>14</v>
      </c>
    </row>
    <row r="1136" spans="4:6" x14ac:dyDescent="0.2">
      <c r="D1136" t="s">
        <v>22</v>
      </c>
      <c r="F1136" t="s">
        <v>35</v>
      </c>
    </row>
    <row r="1137" spans="4:6" x14ac:dyDescent="0.2">
      <c r="D1137" t="s">
        <v>34</v>
      </c>
      <c r="F1137" t="s">
        <v>37</v>
      </c>
    </row>
    <row r="1138" spans="4:6" x14ac:dyDescent="0.2">
      <c r="D1138" t="s">
        <v>17</v>
      </c>
      <c r="F1138" t="s">
        <v>55</v>
      </c>
    </row>
    <row r="1139" spans="4:6" x14ac:dyDescent="0.2">
      <c r="D1139" t="s">
        <v>31</v>
      </c>
      <c r="F1139" t="s">
        <v>38</v>
      </c>
    </row>
    <row r="1140" spans="4:6" x14ac:dyDescent="0.2">
      <c r="D1140" t="s">
        <v>20</v>
      </c>
      <c r="F1140" t="s">
        <v>40</v>
      </c>
    </row>
    <row r="1141" spans="4:6" x14ac:dyDescent="0.2">
      <c r="D1141" t="s">
        <v>21</v>
      </c>
      <c r="F1141" t="s">
        <v>23</v>
      </c>
    </row>
    <row r="1142" spans="4:6" x14ac:dyDescent="0.2">
      <c r="D1142" t="s">
        <v>15</v>
      </c>
      <c r="F1142" t="s">
        <v>19</v>
      </c>
    </row>
    <row r="1143" spans="4:6" x14ac:dyDescent="0.2">
      <c r="D1143" t="s">
        <v>31</v>
      </c>
      <c r="F1143" t="s">
        <v>16</v>
      </c>
    </row>
    <row r="1144" spans="4:6" x14ac:dyDescent="0.2">
      <c r="D1144" t="s">
        <v>34</v>
      </c>
      <c r="F1144" t="s">
        <v>11</v>
      </c>
    </row>
    <row r="1145" spans="4:6" x14ac:dyDescent="0.2">
      <c r="D1145" t="s">
        <v>28</v>
      </c>
      <c r="F1145" t="s">
        <v>18</v>
      </c>
    </row>
    <row r="1146" spans="4:6" x14ac:dyDescent="0.2">
      <c r="D1146" t="s">
        <v>24</v>
      </c>
      <c r="F1146" t="s">
        <v>29</v>
      </c>
    </row>
    <row r="1147" spans="4:6" x14ac:dyDescent="0.2">
      <c r="D1147" t="s">
        <v>39</v>
      </c>
      <c r="F1147" t="s">
        <v>30</v>
      </c>
    </row>
    <row r="1148" spans="4:6" x14ac:dyDescent="0.2">
      <c r="D1148" t="s">
        <v>14</v>
      </c>
      <c r="F1148" t="s">
        <v>36</v>
      </c>
    </row>
    <row r="1149" spans="4:6" x14ac:dyDescent="0.2">
      <c r="D1149" t="s">
        <v>10</v>
      </c>
      <c r="F1149" t="s">
        <v>27</v>
      </c>
    </row>
    <row r="1150" spans="4:6" x14ac:dyDescent="0.2">
      <c r="D1150" t="s">
        <v>33</v>
      </c>
      <c r="F1150" t="s">
        <v>35</v>
      </c>
    </row>
    <row r="1151" spans="4:6" x14ac:dyDescent="0.2">
      <c r="D1151" t="s">
        <v>32</v>
      </c>
      <c r="F1151" t="s">
        <v>37</v>
      </c>
    </row>
    <row r="1152" spans="4:6" x14ac:dyDescent="0.2">
      <c r="D1152" t="s">
        <v>22</v>
      </c>
      <c r="F1152" t="s">
        <v>55</v>
      </c>
    </row>
    <row r="1153" spans="4:6" x14ac:dyDescent="0.2">
      <c r="D1153" t="s">
        <v>13</v>
      </c>
      <c r="F1153" t="s">
        <v>38</v>
      </c>
    </row>
    <row r="1154" spans="4:6" x14ac:dyDescent="0.2">
      <c r="D1154" t="s">
        <v>17</v>
      </c>
      <c r="F1154" t="s">
        <v>20</v>
      </c>
    </row>
    <row r="1155" spans="4:6" x14ac:dyDescent="0.2">
      <c r="D1155" t="s">
        <v>12</v>
      </c>
      <c r="F1155" t="s">
        <v>40</v>
      </c>
    </row>
    <row r="1156" spans="4:6" x14ac:dyDescent="0.2">
      <c r="D1156" t="s">
        <v>26</v>
      </c>
      <c r="F1156" t="s">
        <v>23</v>
      </c>
    </row>
    <row r="1157" spans="4:6" x14ac:dyDescent="0.2">
      <c r="D1157" t="s">
        <v>10</v>
      </c>
      <c r="F1157" t="s">
        <v>15</v>
      </c>
    </row>
    <row r="1158" spans="4:6" x14ac:dyDescent="0.2">
      <c r="D1158" t="s">
        <v>34</v>
      </c>
      <c r="F1158" t="s">
        <v>21</v>
      </c>
    </row>
    <row r="1159" spans="4:6" x14ac:dyDescent="0.2">
      <c r="D1159" t="s">
        <v>32</v>
      </c>
      <c r="F1159" t="s">
        <v>23</v>
      </c>
    </row>
    <row r="1160" spans="4:6" x14ac:dyDescent="0.2">
      <c r="D1160" t="s">
        <v>24</v>
      </c>
      <c r="F1160" t="s">
        <v>25</v>
      </c>
    </row>
    <row r="1161" spans="4:6" x14ac:dyDescent="0.2">
      <c r="D1161" t="s">
        <v>33</v>
      </c>
      <c r="F1161" t="s">
        <v>28</v>
      </c>
    </row>
    <row r="1162" spans="4:6" x14ac:dyDescent="0.2">
      <c r="D1162" t="s">
        <v>38</v>
      </c>
      <c r="F1162" t="s">
        <v>16</v>
      </c>
    </row>
    <row r="1163" spans="4:6" x14ac:dyDescent="0.2">
      <c r="D1163" t="s">
        <v>40</v>
      </c>
      <c r="F1163" t="s">
        <v>12</v>
      </c>
    </row>
    <row r="1164" spans="4:6" x14ac:dyDescent="0.2">
      <c r="D1164" t="s">
        <v>27</v>
      </c>
      <c r="F1164" t="s">
        <v>26</v>
      </c>
    </row>
    <row r="1165" spans="4:6" x14ac:dyDescent="0.2">
      <c r="D1165" t="s">
        <v>31</v>
      </c>
      <c r="F1165" t="s">
        <v>17</v>
      </c>
    </row>
    <row r="1166" spans="4:6" x14ac:dyDescent="0.2">
      <c r="D1166" t="s">
        <v>55</v>
      </c>
      <c r="F1166" t="s">
        <v>13</v>
      </c>
    </row>
    <row r="1167" spans="4:6" x14ac:dyDescent="0.2">
      <c r="D1167" t="s">
        <v>18</v>
      </c>
      <c r="F1167" t="s">
        <v>29</v>
      </c>
    </row>
    <row r="1168" spans="4:6" x14ac:dyDescent="0.2">
      <c r="D1168" t="s">
        <v>11</v>
      </c>
      <c r="F1168" t="s">
        <v>30</v>
      </c>
    </row>
    <row r="1169" spans="4:6" x14ac:dyDescent="0.2">
      <c r="D1169" t="s">
        <v>39</v>
      </c>
      <c r="F1169" t="s">
        <v>14</v>
      </c>
    </row>
    <row r="1170" spans="4:6" x14ac:dyDescent="0.2">
      <c r="D1170" t="s">
        <v>19</v>
      </c>
      <c r="F1170" t="s">
        <v>35</v>
      </c>
    </row>
    <row r="1171" spans="4:6" x14ac:dyDescent="0.2">
      <c r="D1171" t="s">
        <v>36</v>
      </c>
      <c r="F1171" t="s">
        <v>37</v>
      </c>
    </row>
    <row r="1172" spans="4:6" x14ac:dyDescent="0.2">
      <c r="D1172" t="s">
        <v>22</v>
      </c>
      <c r="F1172" t="s">
        <v>20</v>
      </c>
    </row>
    <row r="1173" spans="4:6" x14ac:dyDescent="0.2">
      <c r="D1173" t="s">
        <v>18</v>
      </c>
      <c r="F1173" t="s">
        <v>25</v>
      </c>
    </row>
    <row r="1174" spans="4:6" x14ac:dyDescent="0.2">
      <c r="D1174" t="s">
        <v>21</v>
      </c>
      <c r="F1174" t="s">
        <v>28</v>
      </c>
    </row>
    <row r="1175" spans="4:6" x14ac:dyDescent="0.2">
      <c r="D1175" t="s">
        <v>10</v>
      </c>
      <c r="F1175" t="s">
        <v>24</v>
      </c>
    </row>
    <row r="1176" spans="4:6" x14ac:dyDescent="0.2">
      <c r="D1176" t="s">
        <v>11</v>
      </c>
      <c r="F1176" t="s">
        <v>15</v>
      </c>
    </row>
    <row r="1177" spans="4:6" x14ac:dyDescent="0.2">
      <c r="D1177" t="s">
        <v>39</v>
      </c>
      <c r="F1177" t="s">
        <v>27</v>
      </c>
    </row>
    <row r="1178" spans="4:6" x14ac:dyDescent="0.2">
      <c r="D1178" t="s">
        <v>29</v>
      </c>
      <c r="F1178" t="s">
        <v>37</v>
      </c>
    </row>
    <row r="1179" spans="4:6" x14ac:dyDescent="0.2">
      <c r="D1179" t="s">
        <v>19</v>
      </c>
      <c r="F1179" t="s">
        <v>31</v>
      </c>
    </row>
    <row r="1180" spans="4:6" x14ac:dyDescent="0.2">
      <c r="D1180" t="s">
        <v>16</v>
      </c>
      <c r="F1180" t="s">
        <v>12</v>
      </c>
    </row>
    <row r="1181" spans="4:6" x14ac:dyDescent="0.2">
      <c r="D1181" t="s">
        <v>14</v>
      </c>
      <c r="F1181" t="s">
        <v>30</v>
      </c>
    </row>
    <row r="1182" spans="4:6" x14ac:dyDescent="0.2">
      <c r="D1182" t="s">
        <v>35</v>
      </c>
      <c r="F1182" t="s">
        <v>33</v>
      </c>
    </row>
    <row r="1183" spans="4:6" x14ac:dyDescent="0.2">
      <c r="D1183" t="s">
        <v>38</v>
      </c>
      <c r="F1183" t="s">
        <v>20</v>
      </c>
    </row>
    <row r="1184" spans="4:6" x14ac:dyDescent="0.2">
      <c r="D1184" t="s">
        <v>39</v>
      </c>
      <c r="F1184" t="s">
        <v>21</v>
      </c>
    </row>
    <row r="1185" spans="4:6" x14ac:dyDescent="0.2">
      <c r="D1185" t="s">
        <v>30</v>
      </c>
      <c r="F1185" t="s">
        <v>23</v>
      </c>
    </row>
    <row r="1186" spans="4:6" x14ac:dyDescent="0.2">
      <c r="D1186" t="s">
        <v>25</v>
      </c>
      <c r="F1186" t="s">
        <v>28</v>
      </c>
    </row>
    <row r="1187" spans="4:6" x14ac:dyDescent="0.2">
      <c r="D1187" t="s">
        <v>40</v>
      </c>
      <c r="F1187" t="s">
        <v>10</v>
      </c>
    </row>
    <row r="1188" spans="4:6" x14ac:dyDescent="0.2">
      <c r="D1188" t="s">
        <v>32</v>
      </c>
      <c r="F1188" t="s">
        <v>17</v>
      </c>
    </row>
    <row r="1189" spans="4:6" x14ac:dyDescent="0.2">
      <c r="D1189" t="s">
        <v>36</v>
      </c>
      <c r="F1189" t="s">
        <v>11</v>
      </c>
    </row>
    <row r="1190" spans="4:6" x14ac:dyDescent="0.2">
      <c r="D1190" t="s">
        <v>24</v>
      </c>
      <c r="F1190" t="s">
        <v>15</v>
      </c>
    </row>
    <row r="1191" spans="4:6" x14ac:dyDescent="0.2">
      <c r="D1191" t="s">
        <v>26</v>
      </c>
      <c r="F1191" t="s">
        <v>14</v>
      </c>
    </row>
    <row r="1192" spans="4:6" x14ac:dyDescent="0.2">
      <c r="D1192" t="s">
        <v>18</v>
      </c>
      <c r="F1192" t="s">
        <v>37</v>
      </c>
    </row>
    <row r="1193" spans="4:6" x14ac:dyDescent="0.2">
      <c r="D1193" t="s">
        <v>27</v>
      </c>
      <c r="F1193" t="s">
        <v>22</v>
      </c>
    </row>
    <row r="1194" spans="4:6" x14ac:dyDescent="0.2">
      <c r="D1194" t="s">
        <v>38</v>
      </c>
      <c r="F1194" t="s">
        <v>12</v>
      </c>
    </row>
    <row r="1195" spans="4:6" x14ac:dyDescent="0.2">
      <c r="D1195" t="s">
        <v>35</v>
      </c>
      <c r="F1195" t="s">
        <v>13</v>
      </c>
    </row>
    <row r="1196" spans="4:6" x14ac:dyDescent="0.2">
      <c r="D1196" t="s">
        <v>31</v>
      </c>
      <c r="F1196" t="s">
        <v>33</v>
      </c>
    </row>
    <row r="1197" spans="4:6" x14ac:dyDescent="0.2">
      <c r="D1197" t="s">
        <v>28</v>
      </c>
      <c r="F1197" t="s">
        <v>25</v>
      </c>
    </row>
    <row r="1198" spans="4:6" x14ac:dyDescent="0.2">
      <c r="D1198" t="s">
        <v>40</v>
      </c>
      <c r="F1198" t="s">
        <v>39</v>
      </c>
    </row>
    <row r="1199" spans="4:6" x14ac:dyDescent="0.2">
      <c r="D1199" t="s">
        <v>10</v>
      </c>
      <c r="F1199" t="s">
        <v>17</v>
      </c>
    </row>
    <row r="1200" spans="4:6" x14ac:dyDescent="0.2">
      <c r="D1200" t="s">
        <v>21</v>
      </c>
      <c r="F1200" t="s">
        <v>11</v>
      </c>
    </row>
    <row r="1201" spans="4:6" x14ac:dyDescent="0.2">
      <c r="D1201" t="s">
        <v>29</v>
      </c>
      <c r="F1201" t="s">
        <v>13</v>
      </c>
    </row>
    <row r="1202" spans="4:6" x14ac:dyDescent="0.2">
      <c r="D1202" t="s">
        <v>38</v>
      </c>
      <c r="F1202" t="s">
        <v>34</v>
      </c>
    </row>
    <row r="1203" spans="4:6" x14ac:dyDescent="0.2">
      <c r="D1203" t="s">
        <v>22</v>
      </c>
      <c r="F1203" t="s">
        <v>24</v>
      </c>
    </row>
    <row r="1204" spans="4:6" x14ac:dyDescent="0.2">
      <c r="D1204" t="s">
        <v>18</v>
      </c>
      <c r="F1204" t="s">
        <v>15</v>
      </c>
    </row>
    <row r="1205" spans="4:6" x14ac:dyDescent="0.2">
      <c r="D1205" t="s">
        <v>23</v>
      </c>
      <c r="F1205" t="s">
        <v>36</v>
      </c>
    </row>
    <row r="1206" spans="4:6" x14ac:dyDescent="0.2">
      <c r="D1206" t="s">
        <v>26</v>
      </c>
      <c r="F1206" t="s">
        <v>27</v>
      </c>
    </row>
    <row r="1207" spans="4:6" x14ac:dyDescent="0.2">
      <c r="D1207" t="s">
        <v>55</v>
      </c>
      <c r="F1207" t="s">
        <v>32</v>
      </c>
    </row>
    <row r="1208" spans="4:6" x14ac:dyDescent="0.2">
      <c r="D1208" t="s">
        <v>19</v>
      </c>
      <c r="F1208" t="s">
        <v>33</v>
      </c>
    </row>
    <row r="1209" spans="4:6" x14ac:dyDescent="0.2">
      <c r="D1209" t="s">
        <v>14</v>
      </c>
      <c r="F1209" t="s">
        <v>37</v>
      </c>
    </row>
    <row r="1210" spans="4:6" x14ac:dyDescent="0.2">
      <c r="D1210" t="s">
        <v>16</v>
      </c>
      <c r="F1210" t="s">
        <v>20</v>
      </c>
    </row>
    <row r="1211" spans="4:6" x14ac:dyDescent="0.2">
      <c r="D1211" t="s">
        <v>35</v>
      </c>
      <c r="F1211" t="s">
        <v>31</v>
      </c>
    </row>
    <row r="1212" spans="4:6" x14ac:dyDescent="0.2">
      <c r="D1212" t="s">
        <v>27</v>
      </c>
      <c r="F1212" t="s">
        <v>30</v>
      </c>
    </row>
    <row r="1213" spans="4:6" x14ac:dyDescent="0.2">
      <c r="D1213" t="s">
        <v>16</v>
      </c>
      <c r="F1213" t="s">
        <v>31</v>
      </c>
    </row>
    <row r="1214" spans="4:6" x14ac:dyDescent="0.2">
      <c r="D1214" t="s">
        <v>30</v>
      </c>
      <c r="F1214" t="s">
        <v>25</v>
      </c>
    </row>
    <row r="1215" spans="4:6" x14ac:dyDescent="0.2">
      <c r="D1215" t="s">
        <v>40</v>
      </c>
      <c r="F1215" t="s">
        <v>28</v>
      </c>
    </row>
    <row r="1216" spans="4:6" x14ac:dyDescent="0.2">
      <c r="D1216" t="s">
        <v>12</v>
      </c>
      <c r="F1216" t="s">
        <v>39</v>
      </c>
    </row>
    <row r="1217" spans="4:6" x14ac:dyDescent="0.2">
      <c r="D1217" t="s">
        <v>20</v>
      </c>
      <c r="F1217" t="s">
        <v>17</v>
      </c>
    </row>
    <row r="1218" spans="4:6" x14ac:dyDescent="0.2">
      <c r="D1218" t="s">
        <v>19</v>
      </c>
      <c r="F1218" t="s">
        <v>13</v>
      </c>
    </row>
    <row r="1219" spans="4:6" x14ac:dyDescent="0.2">
      <c r="D1219" t="s">
        <v>18</v>
      </c>
      <c r="F1219" t="s">
        <v>24</v>
      </c>
    </row>
    <row r="1220" spans="4:6" x14ac:dyDescent="0.2">
      <c r="D1220" t="s">
        <v>26</v>
      </c>
      <c r="F1220" t="s">
        <v>15</v>
      </c>
    </row>
    <row r="1221" spans="4:6" x14ac:dyDescent="0.2">
      <c r="D1221" t="s">
        <v>34</v>
      </c>
      <c r="F1221" t="s">
        <v>36</v>
      </c>
    </row>
    <row r="1222" spans="4:6" x14ac:dyDescent="0.2">
      <c r="D1222" t="s">
        <v>11</v>
      </c>
      <c r="F1222" t="s">
        <v>14</v>
      </c>
    </row>
    <row r="1223" spans="4:6" x14ac:dyDescent="0.2">
      <c r="D1223" t="s">
        <v>10</v>
      </c>
      <c r="F1223" t="s">
        <v>32</v>
      </c>
    </row>
    <row r="1224" spans="4:6" x14ac:dyDescent="0.2">
      <c r="D1224" t="s">
        <v>29</v>
      </c>
      <c r="F1224" t="s">
        <v>33</v>
      </c>
    </row>
    <row r="1225" spans="4:6" x14ac:dyDescent="0.2">
      <c r="D1225" t="s">
        <v>21</v>
      </c>
      <c r="F1225" t="s">
        <v>37</v>
      </c>
    </row>
    <row r="1226" spans="4:6" x14ac:dyDescent="0.2">
      <c r="D1226" t="s">
        <v>55</v>
      </c>
      <c r="F1226" t="s">
        <v>38</v>
      </c>
    </row>
    <row r="1227" spans="4:6" x14ac:dyDescent="0.2">
      <c r="D1227" t="s">
        <v>23</v>
      </c>
      <c r="F1227" t="s">
        <v>22</v>
      </c>
    </row>
    <row r="1228" spans="4:6" x14ac:dyDescent="0.2">
      <c r="D1228" t="s">
        <v>35</v>
      </c>
      <c r="F1228" t="s">
        <v>12</v>
      </c>
    </row>
    <row r="1229" spans="4:6" x14ac:dyDescent="0.2">
      <c r="D1229" t="s">
        <v>34</v>
      </c>
      <c r="F1229" t="s">
        <v>26</v>
      </c>
    </row>
    <row r="1230" spans="4:6" x14ac:dyDescent="0.2">
      <c r="D1230" t="s">
        <v>24</v>
      </c>
      <c r="F1230" t="s">
        <v>18</v>
      </c>
    </row>
    <row r="1231" spans="4:6" x14ac:dyDescent="0.2">
      <c r="D1231" t="s">
        <v>22</v>
      </c>
      <c r="F1231" t="s">
        <v>15</v>
      </c>
    </row>
    <row r="1232" spans="4:6" x14ac:dyDescent="0.2">
      <c r="D1232" t="s">
        <v>25</v>
      </c>
      <c r="F1232" t="s">
        <v>36</v>
      </c>
    </row>
    <row r="1233" spans="4:6" x14ac:dyDescent="0.2">
      <c r="D1233" t="s">
        <v>21</v>
      </c>
      <c r="F1233" t="s">
        <v>27</v>
      </c>
    </row>
    <row r="1234" spans="4:6" x14ac:dyDescent="0.2">
      <c r="D1234" t="s">
        <v>11</v>
      </c>
      <c r="F1234" t="s">
        <v>14</v>
      </c>
    </row>
    <row r="1235" spans="4:6" x14ac:dyDescent="0.2">
      <c r="D1235" t="s">
        <v>37</v>
      </c>
      <c r="F1235" t="s">
        <v>23</v>
      </c>
    </row>
    <row r="1236" spans="4:6" x14ac:dyDescent="0.2">
      <c r="D1236" t="s">
        <v>29</v>
      </c>
      <c r="F1236" t="s">
        <v>13</v>
      </c>
    </row>
    <row r="1237" spans="4:6" x14ac:dyDescent="0.2">
      <c r="D1237" t="s">
        <v>10</v>
      </c>
      <c r="F1237" t="s">
        <v>33</v>
      </c>
    </row>
    <row r="1238" spans="4:6" x14ac:dyDescent="0.2">
      <c r="D1238" t="s">
        <v>32</v>
      </c>
      <c r="F1238" t="s">
        <v>40</v>
      </c>
    </row>
    <row r="1239" spans="4:6" x14ac:dyDescent="0.2">
      <c r="D1239" t="s">
        <v>29</v>
      </c>
      <c r="F1239" t="s">
        <v>31</v>
      </c>
    </row>
    <row r="1240" spans="4:6" x14ac:dyDescent="0.2">
      <c r="D1240" t="s">
        <v>21</v>
      </c>
      <c r="F1240" t="s">
        <v>25</v>
      </c>
    </row>
    <row r="1241" spans="4:6" x14ac:dyDescent="0.2">
      <c r="D1241" t="s">
        <v>16</v>
      </c>
      <c r="F1241" t="s">
        <v>39</v>
      </c>
    </row>
    <row r="1242" spans="4:6" x14ac:dyDescent="0.2">
      <c r="D1242" t="s">
        <v>28</v>
      </c>
      <c r="F1242" t="s">
        <v>26</v>
      </c>
    </row>
    <row r="1243" spans="4:6" x14ac:dyDescent="0.2">
      <c r="D1243" t="s">
        <v>32</v>
      </c>
      <c r="F1243" t="s">
        <v>34</v>
      </c>
    </row>
    <row r="1244" spans="4:6" x14ac:dyDescent="0.2">
      <c r="D1244" t="s">
        <v>11</v>
      </c>
      <c r="F1244" t="s">
        <v>18</v>
      </c>
    </row>
    <row r="1245" spans="4:6" x14ac:dyDescent="0.2">
      <c r="D1245" t="s">
        <v>27</v>
      </c>
      <c r="F1245" t="s">
        <v>24</v>
      </c>
    </row>
    <row r="1246" spans="4:6" x14ac:dyDescent="0.2">
      <c r="D1246" t="s">
        <v>37</v>
      </c>
      <c r="F1246" t="s">
        <v>36</v>
      </c>
    </row>
    <row r="1247" spans="4:6" x14ac:dyDescent="0.2">
      <c r="D1247" t="s">
        <v>12</v>
      </c>
      <c r="F1247" t="s">
        <v>35</v>
      </c>
    </row>
    <row r="1248" spans="4:6" x14ac:dyDescent="0.2">
      <c r="D1248" t="s">
        <v>17</v>
      </c>
      <c r="F1248" t="s">
        <v>55</v>
      </c>
    </row>
    <row r="1249" spans="4:6" x14ac:dyDescent="0.2">
      <c r="D1249" t="s">
        <v>20</v>
      </c>
      <c r="F1249" t="s">
        <v>38</v>
      </c>
    </row>
    <row r="1250" spans="4:6" x14ac:dyDescent="0.2">
      <c r="D1250" t="s">
        <v>23</v>
      </c>
      <c r="F1250" t="s">
        <v>15</v>
      </c>
    </row>
    <row r="1251" spans="4:6" x14ac:dyDescent="0.2">
      <c r="D1251" t="s">
        <v>17</v>
      </c>
      <c r="F1251" t="s">
        <v>33</v>
      </c>
    </row>
    <row r="1252" spans="4:6" x14ac:dyDescent="0.2">
      <c r="D1252" t="s">
        <v>22</v>
      </c>
      <c r="F1252" t="s">
        <v>19</v>
      </c>
    </row>
    <row r="1253" spans="4:6" x14ac:dyDescent="0.2">
      <c r="D1253" t="s">
        <v>33</v>
      </c>
      <c r="F1253" t="s">
        <v>31</v>
      </c>
    </row>
    <row r="1254" spans="4:6" x14ac:dyDescent="0.2">
      <c r="D1254" t="s">
        <v>28</v>
      </c>
      <c r="F1254" t="s">
        <v>23</v>
      </c>
    </row>
    <row r="1255" spans="4:6" x14ac:dyDescent="0.2">
      <c r="D1255" t="s">
        <v>25</v>
      </c>
      <c r="F1255" t="s">
        <v>10</v>
      </c>
    </row>
    <row r="1256" spans="4:6" x14ac:dyDescent="0.2">
      <c r="D1256" t="s">
        <v>16</v>
      </c>
      <c r="F1256" t="s">
        <v>12</v>
      </c>
    </row>
    <row r="1257" spans="4:6" x14ac:dyDescent="0.2">
      <c r="D1257" t="s">
        <v>34</v>
      </c>
      <c r="F1257" t="s">
        <v>39</v>
      </c>
    </row>
    <row r="1258" spans="4:6" x14ac:dyDescent="0.2">
      <c r="D1258" t="s">
        <v>27</v>
      </c>
      <c r="F1258" t="s">
        <v>26</v>
      </c>
    </row>
    <row r="1259" spans="4:6" x14ac:dyDescent="0.2">
      <c r="D1259" t="s">
        <v>38</v>
      </c>
      <c r="F1259" t="s">
        <v>13</v>
      </c>
    </row>
    <row r="1260" spans="4:6" x14ac:dyDescent="0.2">
      <c r="D1260" t="s">
        <v>37</v>
      </c>
      <c r="F1260" t="s">
        <v>18</v>
      </c>
    </row>
    <row r="1261" spans="4:6" x14ac:dyDescent="0.2">
      <c r="D1261" t="s">
        <v>14</v>
      </c>
      <c r="F1261" t="s">
        <v>24</v>
      </c>
    </row>
    <row r="1262" spans="4:6" x14ac:dyDescent="0.2">
      <c r="D1262" t="s">
        <v>19</v>
      </c>
      <c r="F1262" t="s">
        <v>30</v>
      </c>
    </row>
    <row r="1263" spans="4:6" x14ac:dyDescent="0.2">
      <c r="D1263" t="s">
        <v>11</v>
      </c>
      <c r="F1263" t="s">
        <v>36</v>
      </c>
    </row>
    <row r="1264" spans="4:6" x14ac:dyDescent="0.2">
      <c r="D1264" t="s">
        <v>20</v>
      </c>
      <c r="F1264" t="s">
        <v>32</v>
      </c>
    </row>
    <row r="1265" spans="4:6" x14ac:dyDescent="0.2">
      <c r="D1265" t="s">
        <v>40</v>
      </c>
      <c r="F1265" t="s">
        <v>35</v>
      </c>
    </row>
    <row r="1266" spans="4:6" x14ac:dyDescent="0.2">
      <c r="D1266" t="s">
        <v>29</v>
      </c>
      <c r="F1266" t="s">
        <v>55</v>
      </c>
    </row>
    <row r="1267" spans="4:6" x14ac:dyDescent="0.2">
      <c r="D1267" t="s">
        <v>37</v>
      </c>
      <c r="F1267" t="s">
        <v>21</v>
      </c>
    </row>
    <row r="1268" spans="4:6" x14ac:dyDescent="0.2">
      <c r="D1268" t="s">
        <v>35</v>
      </c>
      <c r="F1268" t="s">
        <v>10</v>
      </c>
    </row>
    <row r="1269" spans="4:6" x14ac:dyDescent="0.2">
      <c r="D1269" t="s">
        <v>20</v>
      </c>
      <c r="F1269" t="s">
        <v>12</v>
      </c>
    </row>
    <row r="1270" spans="4:6" x14ac:dyDescent="0.2">
      <c r="D1270" t="s">
        <v>15</v>
      </c>
      <c r="F1270" t="s">
        <v>39</v>
      </c>
    </row>
    <row r="1271" spans="4:6" x14ac:dyDescent="0.2">
      <c r="D1271" t="s">
        <v>24</v>
      </c>
      <c r="F1271" t="s">
        <v>26</v>
      </c>
    </row>
    <row r="1272" spans="4:6" x14ac:dyDescent="0.2">
      <c r="D1272" t="s">
        <v>17</v>
      </c>
      <c r="F1272" t="s">
        <v>13</v>
      </c>
    </row>
    <row r="1273" spans="4:6" x14ac:dyDescent="0.2">
      <c r="D1273" t="s">
        <v>28</v>
      </c>
      <c r="F1273" t="s">
        <v>18</v>
      </c>
    </row>
    <row r="1274" spans="4:6" x14ac:dyDescent="0.2">
      <c r="D1274" t="s">
        <v>34</v>
      </c>
      <c r="F1274" t="s">
        <v>29</v>
      </c>
    </row>
    <row r="1275" spans="4:6" x14ac:dyDescent="0.2">
      <c r="D1275" t="s">
        <v>36</v>
      </c>
      <c r="F1275" t="s">
        <v>30</v>
      </c>
    </row>
    <row r="1276" spans="4:6" x14ac:dyDescent="0.2">
      <c r="D1276" t="s">
        <v>22</v>
      </c>
      <c r="F1276" t="s">
        <v>14</v>
      </c>
    </row>
    <row r="1277" spans="4:6" x14ac:dyDescent="0.2">
      <c r="D1277" t="s">
        <v>16</v>
      </c>
      <c r="F1277" t="s">
        <v>32</v>
      </c>
    </row>
    <row r="1278" spans="4:6" x14ac:dyDescent="0.2">
      <c r="D1278" t="s">
        <v>38</v>
      </c>
      <c r="F1278" t="s">
        <v>33</v>
      </c>
    </row>
    <row r="1279" spans="4:6" x14ac:dyDescent="0.2">
      <c r="D1279" t="s">
        <v>11</v>
      </c>
      <c r="F1279" t="s">
        <v>19</v>
      </c>
    </row>
    <row r="1280" spans="4:6" x14ac:dyDescent="0.2">
      <c r="D1280" t="s">
        <v>25</v>
      </c>
      <c r="F1280" t="s">
        <v>55</v>
      </c>
    </row>
    <row r="1281" spans="4:6" x14ac:dyDescent="0.2">
      <c r="D1281" t="s">
        <v>27</v>
      </c>
      <c r="F1281" t="s">
        <v>40</v>
      </c>
    </row>
    <row r="1282" spans="4:6" x14ac:dyDescent="0.2">
      <c r="D1282" t="s">
        <v>38</v>
      </c>
      <c r="F1282" t="s">
        <v>31</v>
      </c>
    </row>
    <row r="1283" spans="4:6" x14ac:dyDescent="0.2">
      <c r="D1283" t="s">
        <v>21</v>
      </c>
      <c r="F1283" t="s">
        <v>28</v>
      </c>
    </row>
    <row r="1284" spans="4:6" x14ac:dyDescent="0.2">
      <c r="D1284" t="s">
        <v>55</v>
      </c>
      <c r="F1284" t="s">
        <v>16</v>
      </c>
    </row>
    <row r="1285" spans="4:6" x14ac:dyDescent="0.2">
      <c r="D1285" t="s">
        <v>36</v>
      </c>
      <c r="F1285" t="s">
        <v>24</v>
      </c>
    </row>
    <row r="1286" spans="4:6" x14ac:dyDescent="0.2">
      <c r="D1286" t="s">
        <v>18</v>
      </c>
      <c r="F1286" t="s">
        <v>30</v>
      </c>
    </row>
    <row r="1287" spans="4:6" x14ac:dyDescent="0.2">
      <c r="D1287" t="s">
        <v>14</v>
      </c>
      <c r="F1287" t="s">
        <v>22</v>
      </c>
    </row>
    <row r="1288" spans="4:6" x14ac:dyDescent="0.2">
      <c r="D1288" t="s">
        <v>23</v>
      </c>
      <c r="F1288" t="s">
        <v>10</v>
      </c>
    </row>
    <row r="1289" spans="4:6" x14ac:dyDescent="0.2">
      <c r="D1289" t="s">
        <v>12</v>
      </c>
      <c r="F1289" t="s">
        <v>17</v>
      </c>
    </row>
    <row r="1290" spans="4:6" x14ac:dyDescent="0.2">
      <c r="D1290" t="s">
        <v>15</v>
      </c>
      <c r="F1290" t="s">
        <v>11</v>
      </c>
    </row>
    <row r="1291" spans="4:6" x14ac:dyDescent="0.2">
      <c r="D1291" t="s">
        <v>33</v>
      </c>
      <c r="F1291" t="s">
        <v>29</v>
      </c>
    </row>
    <row r="1292" spans="4:6" x14ac:dyDescent="0.2">
      <c r="D1292" t="s">
        <v>25</v>
      </c>
      <c r="F1292" t="s">
        <v>27</v>
      </c>
    </row>
    <row r="1293" spans="4:6" x14ac:dyDescent="0.2">
      <c r="D1293" t="s">
        <v>13</v>
      </c>
      <c r="F1293" t="s">
        <v>32</v>
      </c>
    </row>
    <row r="1294" spans="4:6" x14ac:dyDescent="0.2">
      <c r="D1294" t="s">
        <v>34</v>
      </c>
      <c r="F1294" t="s">
        <v>35</v>
      </c>
    </row>
    <row r="1295" spans="4:6" x14ac:dyDescent="0.2">
      <c r="D1295" t="s">
        <v>26</v>
      </c>
      <c r="F1295" t="s">
        <v>37</v>
      </c>
    </row>
    <row r="1296" spans="4:6" x14ac:dyDescent="0.2">
      <c r="D1296" t="s">
        <v>39</v>
      </c>
      <c r="F1296" t="s">
        <v>19</v>
      </c>
    </row>
    <row r="1297" spans="4:6" x14ac:dyDescent="0.2">
      <c r="D1297" t="s">
        <v>40</v>
      </c>
      <c r="F1297" t="s">
        <v>20</v>
      </c>
    </row>
    <row r="1298" spans="4:6" x14ac:dyDescent="0.2">
      <c r="D1298" t="s">
        <v>24</v>
      </c>
      <c r="F1298" t="s">
        <v>21</v>
      </c>
    </row>
    <row r="1299" spans="4:6" x14ac:dyDescent="0.2">
      <c r="D1299" t="s">
        <v>22</v>
      </c>
      <c r="F1299" t="s">
        <v>28</v>
      </c>
    </row>
    <row r="1300" spans="4:6" x14ac:dyDescent="0.2">
      <c r="D1300" t="s">
        <v>12</v>
      </c>
      <c r="F1300" t="s">
        <v>16</v>
      </c>
    </row>
    <row r="1301" spans="4:6" x14ac:dyDescent="0.2">
      <c r="D1301" t="s">
        <v>31</v>
      </c>
      <c r="F1301" t="s">
        <v>34</v>
      </c>
    </row>
    <row r="1302" spans="4:6" x14ac:dyDescent="0.2">
      <c r="D1302" t="s">
        <v>25</v>
      </c>
      <c r="F1302" t="s">
        <v>30</v>
      </c>
    </row>
    <row r="1303" spans="4:6" x14ac:dyDescent="0.2">
      <c r="D1303" t="s">
        <v>18</v>
      </c>
      <c r="F1303" t="s">
        <v>27</v>
      </c>
    </row>
    <row r="1304" spans="4:6" x14ac:dyDescent="0.2">
      <c r="D1304" t="s">
        <v>14</v>
      </c>
      <c r="F1304" t="s">
        <v>35</v>
      </c>
    </row>
    <row r="1305" spans="4:6" x14ac:dyDescent="0.2">
      <c r="D1305" t="s">
        <v>40</v>
      </c>
      <c r="F1305" t="s">
        <v>55</v>
      </c>
    </row>
    <row r="1306" spans="4:6" x14ac:dyDescent="0.2">
      <c r="D1306" t="s">
        <v>13</v>
      </c>
      <c r="F1306" t="s">
        <v>38</v>
      </c>
    </row>
    <row r="1307" spans="4:6" x14ac:dyDescent="0.2">
      <c r="D1307" t="s">
        <v>39</v>
      </c>
      <c r="F1307" t="s">
        <v>23</v>
      </c>
    </row>
    <row r="1308" spans="4:6" x14ac:dyDescent="0.2">
      <c r="D1308" t="s">
        <v>33</v>
      </c>
      <c r="F1308" t="s">
        <v>10</v>
      </c>
    </row>
    <row r="1309" spans="4:6" x14ac:dyDescent="0.2">
      <c r="D1309" t="s">
        <v>26</v>
      </c>
      <c r="F1309" t="s">
        <v>11</v>
      </c>
    </row>
    <row r="1310" spans="4:6" x14ac:dyDescent="0.2">
      <c r="D1310" t="s">
        <v>19</v>
      </c>
      <c r="F1310" t="s">
        <v>36</v>
      </c>
    </row>
    <row r="1311" spans="4:6" x14ac:dyDescent="0.2">
      <c r="D1311" t="s">
        <v>15</v>
      </c>
      <c r="F1311" t="s">
        <v>37</v>
      </c>
    </row>
    <row r="1312" spans="4:6" x14ac:dyDescent="0.2">
      <c r="D1312" t="s">
        <v>32</v>
      </c>
      <c r="F1312" t="s">
        <v>20</v>
      </c>
    </row>
    <row r="1313" spans="4:6" x14ac:dyDescent="0.2">
      <c r="D1313" t="s">
        <v>13</v>
      </c>
      <c r="F1313" t="s">
        <v>16</v>
      </c>
    </row>
    <row r="1314" spans="4:6" x14ac:dyDescent="0.2">
      <c r="D1314" t="s">
        <v>32</v>
      </c>
      <c r="F1314" t="s">
        <v>12</v>
      </c>
    </row>
    <row r="1315" spans="4:6" x14ac:dyDescent="0.2">
      <c r="D1315" t="s">
        <v>38</v>
      </c>
      <c r="F1315" t="s">
        <v>17</v>
      </c>
    </row>
    <row r="1316" spans="4:6" x14ac:dyDescent="0.2">
      <c r="D1316" t="s">
        <v>31</v>
      </c>
      <c r="F1316" t="s">
        <v>29</v>
      </c>
    </row>
    <row r="1317" spans="4:6" x14ac:dyDescent="0.2">
      <c r="D1317" t="s">
        <v>35</v>
      </c>
      <c r="F1317" t="s">
        <v>55</v>
      </c>
    </row>
    <row r="1318" spans="4:6" x14ac:dyDescent="0.2">
      <c r="D1318" t="s">
        <v>33</v>
      </c>
      <c r="F1318" t="s">
        <v>40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D0243A-F1F5-2D4F-AB55-6B8489BFE00D}">
  <sheetPr codeName="Sheet3"/>
  <dimension ref="A1:V1313"/>
  <sheetViews>
    <sheetView zoomScale="66" workbookViewId="0">
      <pane ySplit="1" topLeftCell="A279" activePane="bottomLeft" state="frozen"/>
      <selection activeCell="I1" sqref="I1"/>
      <selection pane="bottomLeft" activeCell="S313" sqref="S313"/>
    </sheetView>
  </sheetViews>
  <sheetFormatPr baseColWidth="10" defaultColWidth="10.83203125" defaultRowHeight="16" x14ac:dyDescent="0.2"/>
  <cols>
    <col min="1" max="1" width="19.83203125" bestFit="1" customWidth="1"/>
    <col min="2" max="2" width="12.83203125" bestFit="1" customWidth="1"/>
    <col min="5" max="5" width="12.1640625" bestFit="1" customWidth="1"/>
    <col min="6" max="6" width="19.83203125" bestFit="1" customWidth="1"/>
    <col min="7" max="7" width="18.33203125" customWidth="1"/>
    <col min="8" max="8" width="19.83203125" bestFit="1" customWidth="1"/>
    <col min="9" max="9" width="17.6640625" customWidth="1"/>
    <col min="10" max="10" width="20.83203125" customWidth="1"/>
    <col min="11" max="11" width="19.83203125" bestFit="1" customWidth="1"/>
    <col min="12" max="12" width="19.83203125" customWidth="1"/>
    <col min="13" max="13" width="19.33203125" bestFit="1" customWidth="1"/>
    <col min="15" max="15" width="29.1640625" bestFit="1" customWidth="1"/>
    <col min="16" max="16" width="29.1640625" customWidth="1"/>
    <col min="17" max="17" width="19.83203125" bestFit="1" customWidth="1"/>
    <col min="18" max="18" width="17.33203125" bestFit="1" customWidth="1"/>
    <col min="20" max="20" width="13.6640625" bestFit="1" customWidth="1"/>
    <col min="22" max="22" width="15.33203125" bestFit="1" customWidth="1"/>
  </cols>
  <sheetData>
    <row r="1" spans="1:22" x14ac:dyDescent="0.2">
      <c r="A1" s="3" t="s">
        <v>41</v>
      </c>
      <c r="B1">
        <f>HomeEdge</f>
        <v>0.16257230966231839</v>
      </c>
      <c r="D1" s="9" t="s">
        <v>0</v>
      </c>
      <c r="E1" s="9" t="s">
        <v>1</v>
      </c>
      <c r="F1" s="9" t="s">
        <v>4</v>
      </c>
      <c r="G1" s="9" t="s">
        <v>50</v>
      </c>
      <c r="H1" s="9" t="s">
        <v>2</v>
      </c>
      <c r="I1" s="9" t="s">
        <v>51</v>
      </c>
      <c r="J1" s="9" t="s">
        <v>52</v>
      </c>
      <c r="K1" s="9" t="s">
        <v>53</v>
      </c>
      <c r="L1" s="9" t="s">
        <v>244</v>
      </c>
      <c r="M1" s="9" t="s">
        <v>251</v>
      </c>
      <c r="N1" s="9" t="s">
        <v>242</v>
      </c>
      <c r="O1" s="9" t="s">
        <v>247</v>
      </c>
      <c r="P1" s="9" t="s">
        <v>255</v>
      </c>
      <c r="Q1" s="9" t="s">
        <v>245</v>
      </c>
      <c r="R1" s="9" t="s">
        <v>246</v>
      </c>
    </row>
    <row r="2" spans="1:22" x14ac:dyDescent="0.2">
      <c r="D2" s="1">
        <v>45937</v>
      </c>
      <c r="E2" s="2">
        <v>0.70833333333333337</v>
      </c>
      <c r="F2" t="s">
        <v>11</v>
      </c>
      <c r="G2">
        <f>VLOOKUP(Table4[[#This Row],[Home]],'NHL Model'!$A$6:$B$38,2,FALSE)</f>
        <v>-0.28105923893144158</v>
      </c>
      <c r="H2" t="s">
        <v>10</v>
      </c>
      <c r="I2">
        <f>VLOOKUP(Table4[[#This Row],[Visitor]],'NHL Model'!$A$6:$B$38,2,FALSE)</f>
        <v>0.30570968833820172</v>
      </c>
      <c r="J2">
        <f ca="1">($B$1+Table4[[#This Row],[Home Differential]])-Table4[[#This Row],[Away Differential]]</f>
        <v>-0.42419661760732491</v>
      </c>
      <c r="K2" t="str">
        <f ca="1">IF(Table4[[#This Row],[HomeIce Differential]]&gt;0,Table4[[#This Row],[Home]],Table4[[#This Row],[Visitor]])</f>
        <v>Chicago Blackhawks</v>
      </c>
      <c r="L2" s="11">
        <f ca="1"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0.48734754521829909</v>
      </c>
      <c r="M2" t="str">
        <f ca="1">IF(OR((NHL2025_26Results[[#This Row],[Winning Team]]="")),"-",IF(Table4[[#This Row],[Predicted Winner]]=NHL2025_26Results[[#This Row],[Winning Team]],"YES","NO"))</f>
        <v>NO</v>
      </c>
      <c r="N2">
        <f ca="1">IF(Table4[[#This Row],[Adjusted Correct]]="-", "",IF(Table4[[#This Row],[Adjusted Correct]]="YES",(Table4[[#This Row],[Strength of Win]]-1)^2,(Table4[[#This Row],[Strength of Win]]-0)^2))</f>
        <v>0.23750762983030207</v>
      </c>
      <c r="O2">
        <v>2.0105266887074272E-2</v>
      </c>
      <c r="P2" s="11"/>
      <c r="Q2" t="s">
        <v>11</v>
      </c>
      <c r="R2" t="s">
        <v>248</v>
      </c>
      <c r="T2" s="3" t="s">
        <v>252</v>
      </c>
      <c r="V2" s="3" t="s">
        <v>253</v>
      </c>
    </row>
    <row r="3" spans="1:22" x14ac:dyDescent="0.2">
      <c r="A3" s="5" t="s">
        <v>44</v>
      </c>
      <c r="B3" t="s">
        <v>54</v>
      </c>
      <c r="D3" s="1">
        <v>45937</v>
      </c>
      <c r="E3" s="2">
        <v>0.9375</v>
      </c>
      <c r="F3" t="s">
        <v>13</v>
      </c>
      <c r="G3">
        <f>VLOOKUP(Table4[[#This Row],[Home]],'NHL Model'!$A$6:$B$38,2,FALSE)</f>
        <v>-7.5459708298993802E-2</v>
      </c>
      <c r="H3" t="s">
        <v>12</v>
      </c>
      <c r="I3">
        <f>VLOOKUP(Table4[[#This Row],[Visitor]],'NHL Model'!$A$6:$B$38,2,FALSE)</f>
        <v>1.5475013591489768</v>
      </c>
      <c r="J3">
        <f ca="1">($B$1+Table4[[#This Row],[Home Differential]])-Table4[[#This Row],[Away Differential]]</f>
        <v>-1.4603887577856522</v>
      </c>
      <c r="K3" t="str">
        <f ca="1">IF(Table4[[#This Row],[HomeIce Differential]]&gt;0,Table4[[#This Row],[Home]],Table4[[#This Row],[Visitor]])</f>
        <v>Colorado Avalanche</v>
      </c>
      <c r="L3" s="11">
        <f ca="1"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0.72866530480349623</v>
      </c>
      <c r="M3" t="str">
        <f ca="1">IF(OR((NHL2025_26Results[[#This Row],[Winning Team]]="")),"-",IF(Table4[[#This Row],[Predicted Winner]]=NHL2025_26Results[[#This Row],[Winning Team]],"YES","NO"))</f>
        <v>YES</v>
      </c>
      <c r="N3">
        <f ca="1">IF(Table4[[#This Row],[Adjusted Correct]]="-", "",IF(Table4[[#This Row],[Adjusted Correct]]="YES",(Table4[[#This Row],[Strength of Win]]-1)^2,(Table4[[#This Row],[Strength of Win]]-0)^2))</f>
        <v>7.3622516817379607E-2</v>
      </c>
      <c r="O3">
        <v>-7.4443026939693735E-2</v>
      </c>
      <c r="P3" s="11"/>
      <c r="Q3" t="s">
        <v>12</v>
      </c>
      <c r="R3" t="s">
        <v>248</v>
      </c>
      <c r="T3">
        <f ca="1">COUNTIF(Table4[Adjusted Correct],"YES")</f>
        <v>174</v>
      </c>
      <c r="V3">
        <f>COUNTIF(Table4[Locked Correct],"YES")</f>
        <v>188</v>
      </c>
    </row>
    <row r="4" spans="1:22" x14ac:dyDescent="0.2">
      <c r="A4" s="4" t="s">
        <v>31</v>
      </c>
      <c r="B4" s="17">
        <v>0.51775546328552802</v>
      </c>
      <c r="D4" s="1">
        <v>45937</v>
      </c>
      <c r="E4" s="2">
        <v>0.83333333333333337</v>
      </c>
      <c r="F4" t="s">
        <v>15</v>
      </c>
      <c r="G4">
        <f>VLOOKUP(Table4[[#This Row],[Home]],'NHL Model'!$A$6:$B$38,2,FALSE)</f>
        <v>-0.30719665303039001</v>
      </c>
      <c r="H4" t="s">
        <v>14</v>
      </c>
      <c r="I4">
        <f>VLOOKUP(Table4[[#This Row],[Visitor]],'NHL Model'!$A$6:$B$38,2,FALSE)</f>
        <v>0.26289091192875702</v>
      </c>
      <c r="J4">
        <f ca="1">($B$1+Table4[[#This Row],[Home Differential]])-Table4[[#This Row],[Away Differential]]</f>
        <v>-0.40751525529682864</v>
      </c>
      <c r="K4" t="str">
        <f ca="1">IF(Table4[[#This Row],[HomeIce Differential]]&gt;0,Table4[[#This Row],[Home]],Table4[[#This Row],[Visitor]])</f>
        <v>Pittsburgh Penguins</v>
      </c>
      <c r="L4" s="11">
        <f ca="1"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0.51646476936993857</v>
      </c>
      <c r="M4" t="str">
        <f ca="1">IF(OR((NHL2025_26Results[[#This Row],[Winning Team]]="")),"-",IF(Table4[[#This Row],[Predicted Winner]]=NHL2025_26Results[[#This Row],[Winning Team]],"YES","NO"))</f>
        <v>YES</v>
      </c>
      <c r="N4">
        <f ca="1">IF(Table4[[#This Row],[Adjusted Correct]]="-", "",IF(Table4[[#This Row],[Adjusted Correct]]="YES",(Table4[[#This Row],[Strength of Win]]-1)^2,(Table4[[#This Row],[Strength of Win]]-0)^2))</f>
        <v>0.23380631926046669</v>
      </c>
      <c r="O4">
        <v>-7.3597467237512884E-2</v>
      </c>
      <c r="P4" s="11"/>
      <c r="Q4" t="s">
        <v>14</v>
      </c>
      <c r="R4" t="s">
        <v>248</v>
      </c>
      <c r="T4">
        <f ca="1">COUNTIF(Table4[Adjusted Correct],"NO")</f>
        <v>126</v>
      </c>
      <c r="V4">
        <f>COUNTIF(Table4[Locked Correct],"NO")</f>
        <v>112</v>
      </c>
    </row>
    <row r="5" spans="1:22" x14ac:dyDescent="0.2">
      <c r="A5" s="4" t="s">
        <v>21</v>
      </c>
      <c r="B5" s="17">
        <v>4.029141914856392E-2</v>
      </c>
      <c r="D5" s="1">
        <v>45938</v>
      </c>
      <c r="E5" s="2">
        <v>0.91666666666666663</v>
      </c>
      <c r="F5" t="s">
        <v>17</v>
      </c>
      <c r="G5">
        <f>VLOOKUP(Table4[[#This Row],[Home]],'NHL Model'!$A$6:$B$38,2,FALSE)</f>
        <v>-0.61980804137564283</v>
      </c>
      <c r="H5" t="s">
        <v>16</v>
      </c>
      <c r="I5">
        <f>VLOOKUP(Table4[[#This Row],[Visitor]],'NHL Model'!$A$6:$B$38,2,FALSE)</f>
        <v>-1.3903684122795328</v>
      </c>
      <c r="J5">
        <f ca="1">($B$1+Table4[[#This Row],[Home Differential]])-Table4[[#This Row],[Away Differential]]</f>
        <v>0.93313268056620835</v>
      </c>
      <c r="K5" t="str">
        <f ca="1">IF(Table4[[#This Row],[HomeIce Differential]]&gt;0,Table4[[#This Row],[Home]],Table4[[#This Row],[Visitor]])</f>
        <v>Edmonton Oilers</v>
      </c>
      <c r="L5" s="11">
        <f ca="1"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0.70533048399676823</v>
      </c>
      <c r="M5" t="str">
        <f ca="1">IF(OR((NHL2025_26Results[[#This Row],[Winning Team]]="")),"-",IF(Table4[[#This Row],[Predicted Winner]]=NHL2025_26Results[[#This Row],[Winning Team]],"YES","NO"))</f>
        <v>NO</v>
      </c>
      <c r="N5">
        <f ca="1">IF(Table4[[#This Row],[Adjusted Correct]]="-", "",IF(Table4[[#This Row],[Adjusted Correct]]="YES",(Table4[[#This Row],[Strength of Win]]-1)^2,(Table4[[#This Row],[Strength of Win]]-0)^2))</f>
        <v>0.49749109165511535</v>
      </c>
      <c r="O5">
        <v>-4.1674767740132361E-3</v>
      </c>
      <c r="P5" s="11"/>
      <c r="Q5" t="s">
        <v>16</v>
      </c>
      <c r="R5" t="s">
        <v>248</v>
      </c>
      <c r="T5">
        <f ca="1">SUM(T3:T4)</f>
        <v>300</v>
      </c>
      <c r="V5">
        <f>SUM(V3:V4)</f>
        <v>300</v>
      </c>
    </row>
    <row r="6" spans="1:22" x14ac:dyDescent="0.2">
      <c r="A6" s="4" t="s">
        <v>23</v>
      </c>
      <c r="B6" s="17">
        <v>-0.8683412362501769</v>
      </c>
      <c r="D6" s="1">
        <v>45938</v>
      </c>
      <c r="E6" s="2">
        <v>0.79166666666666663</v>
      </c>
      <c r="F6" t="s">
        <v>19</v>
      </c>
      <c r="G6">
        <f>VLOOKUP(Table4[[#This Row],[Home]],'NHL Model'!$A$6:$B$38,2,FALSE)</f>
        <v>-0.635565543477981</v>
      </c>
      <c r="H6" t="s">
        <v>18</v>
      </c>
      <c r="I6">
        <f>VLOOKUP(Table4[[#This Row],[Visitor]],'NHL Model'!$A$6:$B$38,2,FALSE)</f>
        <v>-0.52437726201848234</v>
      </c>
      <c r="J6">
        <f ca="1">($B$1+Table4[[#This Row],[Home Differential]])-Table4[[#This Row],[Away Differential]]</f>
        <v>5.1384028202819731E-2</v>
      </c>
      <c r="K6" t="str">
        <f ca="1">IF(Table4[[#This Row],[HomeIce Differential]]&gt;0,Table4[[#This Row],[Home]],Table4[[#This Row],[Visitor]])</f>
        <v>Toronto Maple Leafs</v>
      </c>
      <c r="L6" s="11">
        <f ca="1"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0.47063901560803068</v>
      </c>
      <c r="M6" t="str">
        <f ca="1">IF(OR((NHL2025_26Results[[#This Row],[Winning Team]]="")),"-",IF(Table4[[#This Row],[Predicted Winner]]=NHL2025_26Results[[#This Row],[Winning Team]],"YES","NO"))</f>
        <v>YES</v>
      </c>
      <c r="N6">
        <f ca="1">IF(Table4[[#This Row],[Adjusted Correct]]="-", "",IF(Table4[[#This Row],[Adjusted Correct]]="YES",(Table4[[#This Row],[Strength of Win]]-1)^2,(Table4[[#This Row],[Strength of Win]]-0)^2))</f>
        <v>0.28022305179643481</v>
      </c>
      <c r="O6">
        <v>-4.4363714293103977E-3</v>
      </c>
      <c r="P6" s="11"/>
      <c r="Q6" t="s">
        <v>18</v>
      </c>
      <c r="R6" t="s">
        <v>249</v>
      </c>
      <c r="T6" s="13">
        <f ca="1">T3/T5</f>
        <v>0.57999999999999996</v>
      </c>
      <c r="V6" s="13">
        <f>V3/V5</f>
        <v>0.62666666666666671</v>
      </c>
    </row>
    <row r="7" spans="1:22" x14ac:dyDescent="0.2">
      <c r="A7" s="4" t="s">
        <v>16</v>
      </c>
      <c r="B7" s="17">
        <v>-1.3903684122795328</v>
      </c>
      <c r="D7" s="1">
        <v>45938</v>
      </c>
      <c r="E7" s="2">
        <v>0.91666666666666663</v>
      </c>
      <c r="F7" t="s">
        <v>20</v>
      </c>
      <c r="G7">
        <f>VLOOKUP(Table4[[#This Row],[Home]],'NHL Model'!$A$6:$B$38,2,FALSE)</f>
        <v>-6.3745791019188943E-4</v>
      </c>
      <c r="H7" t="s">
        <v>13</v>
      </c>
      <c r="I7">
        <f>VLOOKUP(Table4[[#This Row],[Visitor]],'NHL Model'!$A$6:$B$38,2,FALSE)</f>
        <v>-7.5459708298993802E-2</v>
      </c>
      <c r="J7">
        <f ca="1">($B$1+Table4[[#This Row],[Home Differential]])-Table4[[#This Row],[Away Differential]]</f>
        <v>0.23739456005112031</v>
      </c>
      <c r="K7" t="str">
        <f ca="1">IF(Table4[[#This Row],[HomeIce Differential]]&gt;0,Table4[[#This Row],[Home]],Table4[[#This Row],[Visitor]])</f>
        <v>Vegas Golden Knights</v>
      </c>
      <c r="L7" s="11">
        <f ca="1"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0.45149772426554102</v>
      </c>
      <c r="M7" t="str">
        <f ca="1">IF(OR((NHL2025_26Results[[#This Row],[Winning Team]]="")),"-",IF(Table4[[#This Row],[Predicted Winner]]=NHL2025_26Results[[#This Row],[Winning Team]],"YES","NO"))</f>
        <v>NO</v>
      </c>
      <c r="N7">
        <f ca="1">IF(Table4[[#This Row],[Adjusted Correct]]="-", "",IF(Table4[[#This Row],[Adjusted Correct]]="YES",(Table4[[#This Row],[Strength of Win]]-1)^2,(Table4[[#This Row],[Strength of Win]]-0)^2))</f>
        <v>0.2038501950169625</v>
      </c>
      <c r="O7">
        <v>3.0320065545480886E-2</v>
      </c>
      <c r="P7" s="11"/>
      <c r="Q7" t="s">
        <v>20</v>
      </c>
      <c r="R7" t="s">
        <v>249</v>
      </c>
      <c r="T7" s="3" t="s">
        <v>49</v>
      </c>
    </row>
    <row r="8" spans="1:22" x14ac:dyDescent="0.2">
      <c r="A8" s="4" t="s">
        <v>25</v>
      </c>
      <c r="B8" s="17">
        <v>0.67193921242367816</v>
      </c>
      <c r="D8" s="1">
        <v>45938</v>
      </c>
      <c r="E8" s="2">
        <v>0.8125</v>
      </c>
      <c r="F8" t="s">
        <v>22</v>
      </c>
      <c r="G8">
        <f>VLOOKUP(Table4[[#This Row],[Home]],'NHL Model'!$A$6:$B$38,2,FALSE)</f>
        <v>-6.1308839486784707E-2</v>
      </c>
      <c r="H8" t="s">
        <v>21</v>
      </c>
      <c r="I8">
        <f>VLOOKUP(Table4[[#This Row],[Visitor]],'NHL Model'!$A$6:$B$38,2,FALSE)</f>
        <v>4.029141914856392E-2</v>
      </c>
      <c r="J8">
        <f ca="1">($B$1+Table4[[#This Row],[Home Differential]])-Table4[[#This Row],[Away Differential]]</f>
        <v>6.0972051026969773E-2</v>
      </c>
      <c r="K8" t="str">
        <f ca="1">IF(Table4[[#This Row],[HomeIce Differential]]&gt;0,Table4[[#This Row],[Home]],Table4[[#This Row],[Visitor]])</f>
        <v>Washington Capitals</v>
      </c>
      <c r="L8" s="11">
        <f ca="1"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0.54844820593708155</v>
      </c>
      <c r="M8" t="str">
        <f ca="1">IF(OR((NHL2025_26Results[[#This Row],[Winning Team]]="")),"-",IF(Table4[[#This Row],[Predicted Winner]]=NHL2025_26Results[[#This Row],[Winning Team]],"YES","NO"))</f>
        <v>NO</v>
      </c>
      <c r="N8">
        <f ca="1">IF(Table4[[#This Row],[Adjusted Correct]]="-", "",IF(Table4[[#This Row],[Adjusted Correct]]="YES",(Table4[[#This Row],[Strength of Win]]-1)^2,(Table4[[#This Row],[Strength of Win]]-0)^2))</f>
        <v>0.30079543459560343</v>
      </c>
      <c r="O8">
        <v>-4.9858230986448791E-3</v>
      </c>
      <c r="P8" s="11"/>
      <c r="Q8" t="s">
        <v>21</v>
      </c>
      <c r="R8" t="s">
        <v>248</v>
      </c>
      <c r="T8">
        <f ca="1">SUM(Table4[Error])</f>
        <v>65.735979342654218</v>
      </c>
      <c r="V8">
        <f>COUNTIF(Table4[Locked Correct],"")</f>
        <v>1012</v>
      </c>
    </row>
    <row r="9" spans="1:22" x14ac:dyDescent="0.2">
      <c r="A9" s="4" t="s">
        <v>10</v>
      </c>
      <c r="B9" s="17">
        <v>0.30570968833820172</v>
      </c>
      <c r="D9" s="1">
        <v>45939</v>
      </c>
      <c r="E9" s="2">
        <v>0.79166666666666663</v>
      </c>
      <c r="F9" t="s">
        <v>21</v>
      </c>
      <c r="G9">
        <f>VLOOKUP(Table4[[#This Row],[Home]],'NHL Model'!$A$6:$B$38,2,FALSE)</f>
        <v>4.029141914856392E-2</v>
      </c>
      <c r="H9" t="s">
        <v>10</v>
      </c>
      <c r="I9">
        <f>VLOOKUP(Table4[[#This Row],[Visitor]],'NHL Model'!$A$6:$B$38,2,FALSE)</f>
        <v>0.30570968833820172</v>
      </c>
      <c r="J9">
        <f ca="1">($B$1+Table4[[#This Row],[Home Differential]])-Table4[[#This Row],[Away Differential]]</f>
        <v>-0.1028459595273194</v>
      </c>
      <c r="K9" t="str">
        <f ca="1">IF(Table4[[#This Row],[HomeIce Differential]]&gt;0,Table4[[#This Row],[Home]],Table4[[#This Row],[Visitor]])</f>
        <v>Chicago Blackhawks</v>
      </c>
      <c r="L9" s="11">
        <f ca="1"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0.42165760616649495</v>
      </c>
      <c r="M9" t="str">
        <f ca="1">IF(OR((NHL2025_26Results[[#This Row],[Winning Team]]="")),"-",IF(Table4[[#This Row],[Predicted Winner]]=NHL2025_26Results[[#This Row],[Winning Team]],"YES","NO"))</f>
        <v>NO</v>
      </c>
      <c r="N9">
        <f ca="1">IF(Table4[[#This Row],[Adjusted Correct]]="-", "",IF(Table4[[#This Row],[Adjusted Correct]]="YES",(Table4[[#This Row],[Strength of Win]]-1)^2,(Table4[[#This Row],[Strength of Win]]-0)^2))</f>
        <v>0.17779513683805895</v>
      </c>
      <c r="O9">
        <v>6.0525584604573038E-3</v>
      </c>
      <c r="P9" s="11"/>
      <c r="Q9" t="s">
        <v>21</v>
      </c>
      <c r="R9" t="s">
        <v>248</v>
      </c>
      <c r="T9" s="3" t="s">
        <v>243</v>
      </c>
    </row>
    <row r="10" spans="1:22" x14ac:dyDescent="0.2">
      <c r="A10" s="4" t="s">
        <v>12</v>
      </c>
      <c r="B10" s="17">
        <v>1.5475013591489768</v>
      </c>
      <c r="D10" s="1">
        <v>45939</v>
      </c>
      <c r="E10" s="2">
        <v>0.79166666666666663</v>
      </c>
      <c r="F10" t="s">
        <v>23</v>
      </c>
      <c r="G10">
        <f>VLOOKUP(Table4[[#This Row],[Home]],'NHL Model'!$A$6:$B$38,2,FALSE)</f>
        <v>-0.8683412362501769</v>
      </c>
      <c r="H10" t="s">
        <v>15</v>
      </c>
      <c r="I10">
        <f>VLOOKUP(Table4[[#This Row],[Visitor]],'NHL Model'!$A$6:$B$38,2,FALSE)</f>
        <v>-0.30719665303039001</v>
      </c>
      <c r="J10">
        <f ca="1">($B$1+Table4[[#This Row],[Home Differential]])-Table4[[#This Row],[Away Differential]]</f>
        <v>-0.39857227355746849</v>
      </c>
      <c r="K10" t="str">
        <f ca="1">IF(Table4[[#This Row],[HomeIce Differential]]&gt;0,Table4[[#This Row],[Home]],Table4[[#This Row],[Visitor]])</f>
        <v>New York Rangers</v>
      </c>
      <c r="L10" s="11">
        <f ca="1"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0.65763528032137464</v>
      </c>
      <c r="M10" t="str">
        <f ca="1">IF(OR((NHL2025_26Results[[#This Row],[Winning Team]]="")),"-",IF(Table4[[#This Row],[Predicted Winner]]=NHL2025_26Results[[#This Row],[Winning Team]],"YES","NO"))</f>
        <v>YES</v>
      </c>
      <c r="N10">
        <f ca="1">IF(Table4[[#This Row],[Adjusted Correct]]="-", "",IF(Table4[[#This Row],[Adjusted Correct]]="YES",(Table4[[#This Row],[Strength of Win]]-1)^2,(Table4[[#This Row],[Strength of Win]]-0)^2))</f>
        <v>0.11721360128062372</v>
      </c>
      <c r="O10">
        <v>2.893763878885032E-2</v>
      </c>
      <c r="P10" s="11"/>
      <c r="Q10" t="s">
        <v>23</v>
      </c>
      <c r="R10" t="s">
        <v>249</v>
      </c>
      <c r="T10">
        <v>0.13855866408929984</v>
      </c>
    </row>
    <row r="11" spans="1:22" x14ac:dyDescent="0.2">
      <c r="A11" s="4" t="s">
        <v>28</v>
      </c>
      <c r="B11" s="17">
        <v>-0.40822279081308277</v>
      </c>
      <c r="D11" s="1">
        <v>45939</v>
      </c>
      <c r="E11" s="2">
        <v>0.8125</v>
      </c>
      <c r="F11" t="s">
        <v>25</v>
      </c>
      <c r="G11">
        <f>VLOOKUP(Table4[[#This Row],[Home]],'NHL Model'!$A$6:$B$38,2,FALSE)</f>
        <v>0.67193921242367816</v>
      </c>
      <c r="H11" t="s">
        <v>24</v>
      </c>
      <c r="I11">
        <f>VLOOKUP(Table4[[#This Row],[Visitor]],'NHL Model'!$A$6:$B$38,2,FALSE)</f>
        <v>0.559441163373953</v>
      </c>
      <c r="J11">
        <f ca="1">($B$1+Table4[[#This Row],[Home Differential]])-Table4[[#This Row],[Away Differential]]</f>
        <v>0.27507035871204355</v>
      </c>
      <c r="K11" t="str">
        <f ca="1">IF(Table4[[#This Row],[HomeIce Differential]]&gt;0,Table4[[#This Row],[Home]],Table4[[#This Row],[Visitor]])</f>
        <v>Carolina Hurricanes</v>
      </c>
      <c r="L11" s="11">
        <f ca="1"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0.56442917090738942</v>
      </c>
      <c r="M11" t="str">
        <f ca="1">IF(OR((NHL2025_26Results[[#This Row],[Winning Team]]="")),"-",IF(Table4[[#This Row],[Predicted Winner]]=NHL2025_26Results[[#This Row],[Winning Team]],"YES","NO"))</f>
        <v>YES</v>
      </c>
      <c r="N11">
        <f ca="1">IF(Table4[[#This Row],[Adjusted Correct]]="-", "",IF(Table4[[#This Row],[Adjusted Correct]]="YES",(Table4[[#This Row],[Strength of Win]]-1)^2,(Table4[[#This Row],[Strength of Win]]-0)^2))</f>
        <v>0.18972194715642418</v>
      </c>
      <c r="O11">
        <v>-6.4941247330767612E-3</v>
      </c>
      <c r="P11" s="11"/>
      <c r="Q11" t="s">
        <v>24</v>
      </c>
      <c r="R11" t="s">
        <v>249</v>
      </c>
    </row>
    <row r="12" spans="1:22" x14ac:dyDescent="0.2">
      <c r="A12" s="4" t="s">
        <v>39</v>
      </c>
      <c r="B12" s="17">
        <v>0.19809534061227302</v>
      </c>
      <c r="D12" s="1">
        <v>45939</v>
      </c>
      <c r="E12" s="2">
        <v>0.875</v>
      </c>
      <c r="F12" t="s">
        <v>12</v>
      </c>
      <c r="G12">
        <f>VLOOKUP(Table4[[#This Row],[Home]],'NHL Model'!$A$6:$B$38,2,FALSE)</f>
        <v>1.5475013591489768</v>
      </c>
      <c r="H12" t="s">
        <v>55</v>
      </c>
      <c r="I12">
        <f>VLOOKUP(Table4[[#This Row],[Visitor]],'NHL Model'!$A$6:$B$38,2,FALSE)</f>
        <v>-0.12212311954851815</v>
      </c>
      <c r="J12">
        <f ca="1">($B$1+Table4[[#This Row],[Home Differential]])-Table4[[#This Row],[Away Differential]]</f>
        <v>1.8321967883598134</v>
      </c>
      <c r="K12" t="str">
        <f ca="1">IF(Table4[[#This Row],[HomeIce Differential]]&gt;0,Table4[[#This Row],[Home]],Table4[[#This Row],[Visitor]])</f>
        <v>Colorado Avalanche</v>
      </c>
      <c r="L12" s="11">
        <f ca="1"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0.88223298709967612</v>
      </c>
      <c r="M12" t="str">
        <f ca="1">IF(OR((NHL2025_26Results[[#This Row],[Winning Team]]="")),"-",IF(Table4[[#This Row],[Predicted Winner]]=NHL2025_26Results[[#This Row],[Winning Team]],"YES","NO"))</f>
        <v>YES</v>
      </c>
      <c r="N12">
        <f ca="1">IF(Table4[[#This Row],[Adjusted Correct]]="-", "",IF(Table4[[#This Row],[Adjusted Correct]]="YES",(Table4[[#This Row],[Strength of Win]]-1)^2,(Table4[[#This Row],[Strength of Win]]-0)^2))</f>
        <v>1.3869069327465049E-2</v>
      </c>
      <c r="O12">
        <v>2.8930897748292054E-2</v>
      </c>
      <c r="P12" s="11"/>
      <c r="Q12" t="s">
        <v>12</v>
      </c>
      <c r="R12" t="s">
        <v>248</v>
      </c>
    </row>
    <row r="13" spans="1:22" x14ac:dyDescent="0.2">
      <c r="A13" s="4" t="s">
        <v>26</v>
      </c>
      <c r="B13" s="17">
        <v>-0.513643833119658</v>
      </c>
      <c r="D13" s="1">
        <v>45939</v>
      </c>
      <c r="E13" s="2">
        <v>0.79166666666666663</v>
      </c>
      <c r="F13" t="s">
        <v>26</v>
      </c>
      <c r="G13">
        <f>VLOOKUP(Table4[[#This Row],[Home]],'NHL Model'!$A$6:$B$38,2,FALSE)</f>
        <v>-0.513643833119658</v>
      </c>
      <c r="H13" t="s">
        <v>18</v>
      </c>
      <c r="I13">
        <f>VLOOKUP(Table4[[#This Row],[Visitor]],'NHL Model'!$A$6:$B$38,2,FALSE)</f>
        <v>-0.52437726201848234</v>
      </c>
      <c r="J13">
        <f ca="1">($B$1+Table4[[#This Row],[Home Differential]])-Table4[[#This Row],[Away Differential]]</f>
        <v>0.17330573856114273</v>
      </c>
      <c r="K13" t="str">
        <f ca="1">IF(Table4[[#This Row],[HomeIce Differential]]&gt;0,Table4[[#This Row],[Home]],Table4[[#This Row],[Visitor]])</f>
        <v>Detroit Red Wings</v>
      </c>
      <c r="L13" s="11">
        <f ca="1"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0.51380892998138827</v>
      </c>
      <c r="M13" t="str">
        <f ca="1">IF(OR((NHL2025_26Results[[#This Row],[Winning Team]]="")),"-",IF(Table4[[#This Row],[Predicted Winner]]=NHL2025_26Results[[#This Row],[Winning Team]],"YES","NO"))</f>
        <v>NO</v>
      </c>
      <c r="N13">
        <f ca="1">IF(Table4[[#This Row],[Adjusted Correct]]="-", "",IF(Table4[[#This Row],[Adjusted Correct]]="YES",(Table4[[#This Row],[Strength of Win]]-1)^2,(Table4[[#This Row],[Strength of Win]]-0)^2))</f>
        <v>0.26399961652861914</v>
      </c>
      <c r="O13">
        <v>-5.9607629045580939E-3</v>
      </c>
      <c r="P13" s="11"/>
      <c r="Q13" t="s">
        <v>18</v>
      </c>
      <c r="R13" t="s">
        <v>248</v>
      </c>
    </row>
    <row r="14" spans="1:22" x14ac:dyDescent="0.2">
      <c r="A14" s="4" t="s">
        <v>17</v>
      </c>
      <c r="B14" s="17">
        <v>-0.61980804137564283</v>
      </c>
      <c r="D14" s="1">
        <v>45939</v>
      </c>
      <c r="E14" s="2">
        <v>0.79166666666666663</v>
      </c>
      <c r="F14" t="s">
        <v>11</v>
      </c>
      <c r="G14">
        <f>VLOOKUP(Table4[[#This Row],[Home]],'NHL Model'!$A$6:$B$38,2,FALSE)</f>
        <v>-0.28105923893144158</v>
      </c>
      <c r="H14" t="s">
        <v>27</v>
      </c>
      <c r="I14">
        <f>VLOOKUP(Table4[[#This Row],[Visitor]],'NHL Model'!$A$6:$B$38,2,FALSE)</f>
        <v>-0.51358590497437617</v>
      </c>
      <c r="J14">
        <f ca="1">($B$1+Table4[[#This Row],[Home Differential]])-Table4[[#This Row],[Away Differential]]</f>
        <v>0.39509897570525299</v>
      </c>
      <c r="K14" t="str">
        <f ca="1">IF(Table4[[#This Row],[HomeIce Differential]]&gt;0,Table4[[#This Row],[Home]],Table4[[#This Row],[Visitor]])</f>
        <v>Florida Panthers</v>
      </c>
      <c r="L14" s="11">
        <f ca="1"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0.64646036258813144</v>
      </c>
      <c r="M14" t="str">
        <f ca="1">IF(OR((NHL2025_26Results[[#This Row],[Winning Team]]="")),"-",IF(Table4[[#This Row],[Predicted Winner]]=NHL2025_26Results[[#This Row],[Winning Team]],"YES","NO"))</f>
        <v>YES</v>
      </c>
      <c r="N14">
        <f ca="1">IF(Table4[[#This Row],[Adjusted Correct]]="-", "",IF(Table4[[#This Row],[Adjusted Correct]]="YES",(Table4[[#This Row],[Strength of Win]]-1)^2,(Table4[[#This Row],[Strength of Win]]-0)^2))</f>
        <v>0.12499027522131549</v>
      </c>
      <c r="O14">
        <v>5.6848248641608633E-3</v>
      </c>
      <c r="P14" s="11"/>
      <c r="Q14" t="s">
        <v>11</v>
      </c>
      <c r="R14" t="s">
        <v>248</v>
      </c>
    </row>
    <row r="15" spans="1:22" x14ac:dyDescent="0.2">
      <c r="A15" s="4" t="s">
        <v>11</v>
      </c>
      <c r="B15" s="17">
        <v>-0.28105923893144158</v>
      </c>
      <c r="D15" s="1">
        <v>45939</v>
      </c>
      <c r="E15" s="2">
        <v>0.83333333333333337</v>
      </c>
      <c r="F15" t="s">
        <v>29</v>
      </c>
      <c r="G15">
        <f>VLOOKUP(Table4[[#This Row],[Home]],'NHL Model'!$A$6:$B$38,2,FALSE)</f>
        <v>-1.3516250707060606</v>
      </c>
      <c r="H15" t="s">
        <v>28</v>
      </c>
      <c r="I15">
        <f>VLOOKUP(Table4[[#This Row],[Visitor]],'NHL Model'!$A$6:$B$38,2,FALSE)</f>
        <v>-0.40822279081308277</v>
      </c>
      <c r="J15">
        <f ca="1">($B$1+Table4[[#This Row],[Home Differential]])-Table4[[#This Row],[Away Differential]]</f>
        <v>-0.78082997023065948</v>
      </c>
      <c r="K15" t="str">
        <f ca="1">IF(Table4[[#This Row],[HomeIce Differential]]&gt;0,Table4[[#This Row],[Home]],Table4[[#This Row],[Visitor]])</f>
        <v>Columbus Blue Jackets</v>
      </c>
      <c r="L15" s="11">
        <f ca="1"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0.58895998832527863</v>
      </c>
      <c r="M15" t="str">
        <f ca="1">IF(OR((NHL2025_26Results[[#This Row],[Winning Team]]="")),"-",IF(Table4[[#This Row],[Predicted Winner]]=NHL2025_26Results[[#This Row],[Winning Team]],"YES","NO"))</f>
        <v>NO</v>
      </c>
      <c r="N15">
        <f ca="1">IF(Table4[[#This Row],[Adjusted Correct]]="-", "",IF(Table4[[#This Row],[Adjusted Correct]]="YES",(Table4[[#This Row],[Strength of Win]]-1)^2,(Table4[[#This Row],[Strength of Win]]-0)^2))</f>
        <v>0.34687386784811236</v>
      </c>
      <c r="O15">
        <v>-6.6115255590244596E-3</v>
      </c>
      <c r="P15" s="11"/>
      <c r="Q15" t="s">
        <v>28</v>
      </c>
      <c r="R15" t="s">
        <v>249</v>
      </c>
    </row>
    <row r="16" spans="1:22" x14ac:dyDescent="0.2">
      <c r="A16" s="4" t="s">
        <v>13</v>
      </c>
      <c r="B16" s="17">
        <v>-7.5459708298993802E-2</v>
      </c>
      <c r="D16" s="1">
        <v>45939</v>
      </c>
      <c r="E16" s="2">
        <v>0.79166666666666663</v>
      </c>
      <c r="F16" t="s">
        <v>14</v>
      </c>
      <c r="G16">
        <f>VLOOKUP(Table4[[#This Row],[Home]],'NHL Model'!$A$6:$B$38,2,FALSE)</f>
        <v>0.26289091192875702</v>
      </c>
      <c r="H16" t="s">
        <v>30</v>
      </c>
      <c r="I16">
        <f>VLOOKUP(Table4[[#This Row],[Visitor]],'NHL Model'!$A$6:$B$38,2,FALSE)</f>
        <v>-6.4729560818359025E-2</v>
      </c>
      <c r="J16">
        <f ca="1">($B$1+Table4[[#This Row],[Home Differential]])-Table4[[#This Row],[Away Differential]]</f>
        <v>0.49019278240943442</v>
      </c>
      <c r="K16" t="str">
        <f ca="1">IF(Table4[[#This Row],[HomeIce Differential]]&gt;0,Table4[[#This Row],[Home]],Table4[[#This Row],[Visitor]])</f>
        <v>Pittsburgh Penguins</v>
      </c>
      <c r="L16" s="11">
        <f ca="1"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0.60190103960113994</v>
      </c>
      <c r="M16" t="str">
        <f ca="1">IF(OR((NHL2025_26Results[[#This Row],[Winning Team]]="")),"-",IF(Table4[[#This Row],[Predicted Winner]]=NHL2025_26Results[[#This Row],[Winning Team]],"YES","NO"))</f>
        <v>YES</v>
      </c>
      <c r="N16">
        <f ca="1">IF(Table4[[#This Row],[Adjusted Correct]]="-", "",IF(Table4[[#This Row],[Adjusted Correct]]="YES",(Table4[[#This Row],[Strength of Win]]-1)^2,(Table4[[#This Row],[Strength of Win]]-0)^2))</f>
        <v>0.15848278227065316</v>
      </c>
      <c r="O16">
        <v>2.9201411927810918E-2</v>
      </c>
      <c r="P16" s="11"/>
      <c r="Q16" t="s">
        <v>14</v>
      </c>
      <c r="R16" t="s">
        <v>248</v>
      </c>
    </row>
    <row r="17" spans="1:18" x14ac:dyDescent="0.2">
      <c r="A17" s="4" t="s">
        <v>34</v>
      </c>
      <c r="B17" s="17">
        <v>-0.53650300840565446</v>
      </c>
      <c r="D17" s="1">
        <v>45939</v>
      </c>
      <c r="E17" s="2">
        <v>0.91666666666666663</v>
      </c>
      <c r="F17" t="s">
        <v>32</v>
      </c>
      <c r="G17">
        <f>VLOOKUP(Table4[[#This Row],[Home]],'NHL Model'!$A$6:$B$38,2,FALSE)</f>
        <v>-0.361361309178443</v>
      </c>
      <c r="H17" t="s">
        <v>31</v>
      </c>
      <c r="I17">
        <f>VLOOKUP(Table4[[#This Row],[Visitor]],'NHL Model'!$A$6:$B$38,2,FALSE)</f>
        <v>0.51775546328552802</v>
      </c>
      <c r="J17">
        <f ca="1">($B$1+Table4[[#This Row],[Home Differential]])-Table4[[#This Row],[Away Differential]]</f>
        <v>-0.71654446280165263</v>
      </c>
      <c r="K17" t="str">
        <f ca="1">IF(Table4[[#This Row],[HomeIce Differential]]&gt;0,Table4[[#This Row],[Home]],Table4[[#This Row],[Visitor]])</f>
        <v>Anaheim Ducks</v>
      </c>
      <c r="L17" s="11">
        <f ca="1"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0.55382889807183655</v>
      </c>
      <c r="M17" t="str">
        <f ca="1">IF(OR((NHL2025_26Results[[#This Row],[Winning Team]]="")),"-",IF(Table4[[#This Row],[Predicted Winner]]=NHL2025_26Results[[#This Row],[Winning Team]],"YES","NO"))</f>
        <v>NO</v>
      </c>
      <c r="N17">
        <f ca="1">IF(Table4[[#This Row],[Adjusted Correct]]="-", "",IF(Table4[[#This Row],[Adjusted Correct]]="YES",(Table4[[#This Row],[Strength of Win]]-1)^2,(Table4[[#This Row],[Strength of Win]]-0)^2))</f>
        <v>0.30672644833946472</v>
      </c>
      <c r="O17">
        <v>-6.0975676813695015E-3</v>
      </c>
      <c r="P17" s="11"/>
      <c r="Q17" t="s">
        <v>31</v>
      </c>
      <c r="R17" t="s">
        <v>249</v>
      </c>
    </row>
    <row r="18" spans="1:18" x14ac:dyDescent="0.2">
      <c r="A18" s="4" t="s">
        <v>18</v>
      </c>
      <c r="B18" s="17">
        <v>-0.52437726201848234</v>
      </c>
      <c r="D18" s="1">
        <v>45939</v>
      </c>
      <c r="E18" s="2">
        <v>0.91666666666666663</v>
      </c>
      <c r="F18" t="s">
        <v>33</v>
      </c>
      <c r="G18">
        <f>VLOOKUP(Table4[[#This Row],[Home]],'NHL Model'!$A$6:$B$38,2,FALSE)</f>
        <v>-0.39418177254008485</v>
      </c>
      <c r="H18" t="s">
        <v>20</v>
      </c>
      <c r="I18">
        <f>VLOOKUP(Table4[[#This Row],[Visitor]],'NHL Model'!$A$6:$B$38,2,FALSE)</f>
        <v>-6.3745791019188943E-4</v>
      </c>
      <c r="J18">
        <f ca="1">($B$1+Table4[[#This Row],[Home Differential]])-Table4[[#This Row],[Away Differential]]</f>
        <v>-0.23097200496757456</v>
      </c>
      <c r="K18" t="str">
        <f ca="1">IF(Table4[[#This Row],[HomeIce Differential]]&gt;0,Table4[[#This Row],[Home]],Table4[[#This Row],[Visitor]])</f>
        <v>Vegas Golden Knights</v>
      </c>
      <c r="L18" s="11">
        <f ca="1"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0.51277240321956497</v>
      </c>
      <c r="M18" t="str">
        <f ca="1">IF(OR((NHL2025_26Results[[#This Row],[Winning Team]]="")),"-",IF(Table4[[#This Row],[Predicted Winner]]=NHL2025_26Results[[#This Row],[Winning Team]],"YES","NO"))</f>
        <v>YES</v>
      </c>
      <c r="N18">
        <f ca="1">IF(Table4[[#This Row],[Adjusted Correct]]="-", "",IF(Table4[[#This Row],[Adjusted Correct]]="YES",(Table4[[#This Row],[Strength of Win]]-1)^2,(Table4[[#This Row],[Strength of Win]]-0)^2))</f>
        <v>0.2373907310644382</v>
      </c>
      <c r="O18">
        <v>-5.6918684069913695E-3</v>
      </c>
      <c r="P18" s="11"/>
      <c r="Q18" t="s">
        <v>20</v>
      </c>
      <c r="R18" t="s">
        <v>248</v>
      </c>
    </row>
    <row r="19" spans="1:18" x14ac:dyDescent="0.2">
      <c r="A19" s="4" t="s">
        <v>29</v>
      </c>
      <c r="B19" s="17">
        <v>-1.3516250707060606</v>
      </c>
      <c r="D19" s="1">
        <v>45939</v>
      </c>
      <c r="E19" s="2">
        <v>0.83333333333333337</v>
      </c>
      <c r="F19" t="s">
        <v>35</v>
      </c>
      <c r="G19">
        <f>VLOOKUP(Table4[[#This Row],[Home]],'NHL Model'!$A$6:$B$38,2,FALSE)</f>
        <v>-1.6211574240381006</v>
      </c>
      <c r="H19" t="s">
        <v>34</v>
      </c>
      <c r="I19">
        <f>VLOOKUP(Table4[[#This Row],[Visitor]],'NHL Model'!$A$6:$B$38,2,FALSE)</f>
        <v>-0.53650300840565446</v>
      </c>
      <c r="J19">
        <f ca="1">($B$1+Table4[[#This Row],[Home Differential]])-Table4[[#This Row],[Away Differential]]</f>
        <v>-0.92208210597012774</v>
      </c>
      <c r="K19" t="str">
        <f ca="1">IF(Table4[[#This Row],[HomeIce Differential]]&gt;0,Table4[[#This Row],[Home]],Table4[[#This Row],[Visitor]])</f>
        <v>Minnesota Wild</v>
      </c>
      <c r="L19" s="11">
        <f ca="1"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0.58776246478386907</v>
      </c>
      <c r="M19" t="str">
        <f ca="1">IF(OR((NHL2025_26Results[[#This Row],[Winning Team]]="")),"-",IF(Table4[[#This Row],[Predicted Winner]]=NHL2025_26Results[[#This Row],[Winning Team]],"YES","NO"))</f>
        <v>YES</v>
      </c>
      <c r="N19">
        <f ca="1">IF(Table4[[#This Row],[Adjusted Correct]]="-", "",IF(Table4[[#This Row],[Adjusted Correct]]="YES",(Table4[[#This Row],[Strength of Win]]-1)^2,(Table4[[#This Row],[Strength of Win]]-0)^2))</f>
        <v>0.1699397854410708</v>
      </c>
      <c r="O19">
        <v>-6.50955344648943E-3</v>
      </c>
      <c r="P19" s="11"/>
      <c r="Q19" t="s">
        <v>34</v>
      </c>
      <c r="R19" t="s">
        <v>248</v>
      </c>
    </row>
    <row r="20" spans="1:18" x14ac:dyDescent="0.2">
      <c r="A20" s="4" t="s">
        <v>24</v>
      </c>
      <c r="B20" s="17">
        <v>0.559441163373953</v>
      </c>
      <c r="D20" s="1">
        <v>45939</v>
      </c>
      <c r="E20" s="2">
        <v>0.79166666666666663</v>
      </c>
      <c r="F20" t="s">
        <v>37</v>
      </c>
      <c r="G20">
        <f>VLOOKUP(Table4[[#This Row],[Home]],'NHL Model'!$A$6:$B$38,2,FALSE)</f>
        <v>-0.11309445867623392</v>
      </c>
      <c r="H20" t="s">
        <v>36</v>
      </c>
      <c r="I20">
        <f>VLOOKUP(Table4[[#This Row],[Visitor]],'NHL Model'!$A$6:$B$38,2,FALSE)</f>
        <v>-0.40651947573390851</v>
      </c>
      <c r="J20">
        <f ca="1">($B$1+Table4[[#This Row],[Home Differential]])-Table4[[#This Row],[Away Differential]]</f>
        <v>0.45599732671999299</v>
      </c>
      <c r="K20" t="str">
        <f ca="1">IF(Table4[[#This Row],[HomeIce Differential]]&gt;0,Table4[[#This Row],[Home]],Table4[[#This Row],[Visitor]])</f>
        <v>Tampa Bay Lightning</v>
      </c>
      <c r="L20" s="11">
        <f ca="1"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0.60318238041861427</v>
      </c>
      <c r="M20" t="str">
        <f ca="1">IF(OR((NHL2025_26Results[[#This Row],[Winning Team]]="")),"-",IF(Table4[[#This Row],[Predicted Winner]]=NHL2025_26Results[[#This Row],[Winning Team]],"YES","NO"))</f>
        <v>NO</v>
      </c>
      <c r="N20">
        <f ca="1">IF(Table4[[#This Row],[Adjusted Correct]]="-", "",IF(Table4[[#This Row],[Adjusted Correct]]="YES",(Table4[[#This Row],[Strength of Win]]-1)^2,(Table4[[#This Row],[Strength of Win]]-0)^2))</f>
        <v>0.36382898404746589</v>
      </c>
      <c r="O20">
        <v>-6.0975919278263326E-3</v>
      </c>
      <c r="P20" s="11"/>
      <c r="Q20" t="s">
        <v>36</v>
      </c>
      <c r="R20" t="s">
        <v>248</v>
      </c>
    </row>
    <row r="21" spans="1:18" x14ac:dyDescent="0.2">
      <c r="A21" s="4" t="s">
        <v>30</v>
      </c>
      <c r="B21" s="17">
        <v>-6.4729560818359025E-2</v>
      </c>
      <c r="D21" s="1">
        <v>45939</v>
      </c>
      <c r="E21" s="2">
        <v>0.91666666666666663</v>
      </c>
      <c r="F21" t="s">
        <v>38</v>
      </c>
      <c r="G21">
        <f>VLOOKUP(Table4[[#This Row],[Home]],'NHL Model'!$A$6:$B$38,2,FALSE)</f>
        <v>-0.6902088310934803</v>
      </c>
      <c r="H21" t="s">
        <v>16</v>
      </c>
      <c r="I21">
        <f>VLOOKUP(Table4[[#This Row],[Visitor]],'NHL Model'!$A$6:$B$38,2,FALSE)</f>
        <v>-1.3903684122795328</v>
      </c>
      <c r="J21">
        <f ca="1">($B$1+Table4[[#This Row],[Home Differential]])-Table4[[#This Row],[Away Differential]]</f>
        <v>0.86273189084837087</v>
      </c>
      <c r="K21" t="str">
        <f ca="1">IF(Table4[[#This Row],[HomeIce Differential]]&gt;0,Table4[[#This Row],[Home]],Table4[[#This Row],[Visitor]])</f>
        <v>Vancouver Canucks</v>
      </c>
      <c r="L21" s="11">
        <f ca="1"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0.65953897826318597</v>
      </c>
      <c r="M21" t="str">
        <f ca="1">IF(OR((NHL2025_26Results[[#This Row],[Winning Team]]="")),"-",IF(Table4[[#This Row],[Predicted Winner]]=NHL2025_26Results[[#This Row],[Winning Team]],"YES","NO"))</f>
        <v>YES</v>
      </c>
      <c r="N21">
        <f ca="1">IF(Table4[[#This Row],[Adjusted Correct]]="-", "",IF(Table4[[#This Row],[Adjusted Correct]]="YES",(Table4[[#This Row],[Strength of Win]]-1)^2,(Table4[[#This Row],[Strength of Win]]-0)^2))</f>
        <v>0.11591370732207536</v>
      </c>
      <c r="O21">
        <v>-6.0976402465102745E-3</v>
      </c>
      <c r="P21" s="11"/>
      <c r="Q21" t="s">
        <v>16</v>
      </c>
      <c r="R21" t="s">
        <v>249</v>
      </c>
    </row>
    <row r="22" spans="1:18" x14ac:dyDescent="0.2">
      <c r="A22" s="4" t="s">
        <v>15</v>
      </c>
      <c r="B22" s="17">
        <v>-0.30719665303039001</v>
      </c>
      <c r="D22" s="1">
        <v>45939</v>
      </c>
      <c r="E22" s="2">
        <v>0.83333333333333337</v>
      </c>
      <c r="F22" t="s">
        <v>40</v>
      </c>
      <c r="G22">
        <f>VLOOKUP(Table4[[#This Row],[Home]],'NHL Model'!$A$6:$B$38,2,FALSE)</f>
        <v>0.105105258369765</v>
      </c>
      <c r="H22" t="s">
        <v>39</v>
      </c>
      <c r="I22">
        <f>VLOOKUP(Table4[[#This Row],[Visitor]],'NHL Model'!$A$6:$B$38,2,FALSE)</f>
        <v>0.19809534061227302</v>
      </c>
      <c r="J22">
        <f ca="1">($B$1+Table4[[#This Row],[Home Differential]])-Table4[[#This Row],[Away Differential]]</f>
        <v>6.9582227419810405E-2</v>
      </c>
      <c r="K22" t="str">
        <f ca="1">IF(Table4[[#This Row],[HomeIce Differential]]&gt;0,Table4[[#This Row],[Home]],Table4[[#This Row],[Visitor]])</f>
        <v>Winnipeg Jets</v>
      </c>
      <c r="L22" s="11">
        <f ca="1"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0.49351218821758236</v>
      </c>
      <c r="M22" t="str">
        <f ca="1">IF(OR((NHL2025_26Results[[#This Row],[Winning Team]]="")),"-",IF(Table4[[#This Row],[Predicted Winner]]=NHL2025_26Results[[#This Row],[Winning Team]],"YES","NO"))</f>
        <v>NO</v>
      </c>
      <c r="N22">
        <f ca="1">IF(Table4[[#This Row],[Adjusted Correct]]="-", "",IF(Table4[[#This Row],[Adjusted Correct]]="YES",(Table4[[#This Row],[Strength of Win]]-1)^2,(Table4[[#This Row],[Strength of Win]]-0)^2))</f>
        <v>0.24355427991930645</v>
      </c>
      <c r="O22">
        <v>-6.2374432430158909E-3</v>
      </c>
      <c r="P22" s="11"/>
      <c r="Q22" t="s">
        <v>39</v>
      </c>
      <c r="R22" t="s">
        <v>248</v>
      </c>
    </row>
    <row r="23" spans="1:18" x14ac:dyDescent="0.2">
      <c r="A23" s="4" t="s">
        <v>36</v>
      </c>
      <c r="B23" s="17">
        <v>-0.40651947573390851</v>
      </c>
      <c r="D23" s="1">
        <v>45941</v>
      </c>
      <c r="E23" s="2">
        <v>0.79166666666666663</v>
      </c>
      <c r="F23" t="s">
        <v>21</v>
      </c>
      <c r="G23">
        <f>VLOOKUP(Table4[[#This Row],[Home]],'NHL Model'!$A$6:$B$38,2,FALSE)</f>
        <v>4.029141914856392E-2</v>
      </c>
      <c r="H23" t="s">
        <v>23</v>
      </c>
      <c r="I23">
        <f>VLOOKUP(Table4[[#This Row],[Visitor]],'NHL Model'!$A$6:$B$38,2,FALSE)</f>
        <v>-0.8683412362501769</v>
      </c>
      <c r="J23">
        <f ca="1">($B$1+Table4[[#This Row],[Home Differential]])-Table4[[#This Row],[Away Differential]]</f>
        <v>1.0712049650610593</v>
      </c>
      <c r="K23" t="str">
        <f ca="1">IF(Table4[[#This Row],[HomeIce Differential]]&gt;0,Table4[[#This Row],[Home]],Table4[[#This Row],[Visitor]])</f>
        <v>Boston Bruins</v>
      </c>
      <c r="L23" s="11">
        <f ca="1"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0.76098215618349108</v>
      </c>
      <c r="M23" t="str">
        <f ca="1">IF(OR((NHL2025_26Results[[#This Row],[Winning Team]]="")),"-",IF(Table4[[#This Row],[Predicted Winner]]=NHL2025_26Results[[#This Row],[Winning Team]],"YES","NO"))</f>
        <v>YES</v>
      </c>
      <c r="N23">
        <f ca="1">IF(Table4[[#This Row],[Adjusted Correct]]="-", "",IF(Table4[[#This Row],[Adjusted Correct]]="YES",(Table4[[#This Row],[Strength of Win]]-1)^2,(Table4[[#This Row],[Strength of Win]]-0)^2))</f>
        <v>5.7129529662693052E-2</v>
      </c>
      <c r="O23">
        <v>-9.3426966771708291E-3</v>
      </c>
      <c r="P23" s="11"/>
      <c r="Q23" t="s">
        <v>23</v>
      </c>
      <c r="R23" t="s">
        <v>249</v>
      </c>
    </row>
    <row r="24" spans="1:18" x14ac:dyDescent="0.2">
      <c r="A24" s="4" t="s">
        <v>27</v>
      </c>
      <c r="B24" s="17">
        <v>-0.51358590497437617</v>
      </c>
      <c r="D24" s="1">
        <v>45941</v>
      </c>
      <c r="E24" s="2">
        <v>0.79166666666666663</v>
      </c>
      <c r="F24" t="s">
        <v>25</v>
      </c>
      <c r="G24">
        <f>VLOOKUP(Table4[[#This Row],[Home]],'NHL Model'!$A$6:$B$38,2,FALSE)</f>
        <v>0.67193921242367816</v>
      </c>
      <c r="H24" t="s">
        <v>27</v>
      </c>
      <c r="I24">
        <f>VLOOKUP(Table4[[#This Row],[Visitor]],'NHL Model'!$A$6:$B$38,2,FALSE)</f>
        <v>-0.51358590497437617</v>
      </c>
      <c r="J24">
        <f ca="1">($B$1+Table4[[#This Row],[Home Differential]])-Table4[[#This Row],[Away Differential]]</f>
        <v>1.3480974270603727</v>
      </c>
      <c r="K24" t="str">
        <f ca="1">IF(Table4[[#This Row],[HomeIce Differential]]&gt;0,Table4[[#This Row],[Home]],Table4[[#This Row],[Visitor]])</f>
        <v>Carolina Hurricanes</v>
      </c>
      <c r="L24" s="11">
        <f ca="1"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0.77850655488706844</v>
      </c>
      <c r="M24" t="str">
        <f ca="1">IF(OR((NHL2025_26Results[[#This Row],[Winning Team]]="")),"-",IF(Table4[[#This Row],[Predicted Winner]]=NHL2025_26Results[[#This Row],[Winning Team]],"YES","NO"))</f>
        <v>YES</v>
      </c>
      <c r="N24">
        <f ca="1">IF(Table4[[#This Row],[Adjusted Correct]]="-", "",IF(Table4[[#This Row],[Adjusted Correct]]="YES",(Table4[[#This Row],[Strength of Win]]-1)^2,(Table4[[#This Row],[Strength of Win]]-0)^2))</f>
        <v>4.9059346227995231E-2</v>
      </c>
      <c r="O24">
        <v>-9.1888913892817486E-3</v>
      </c>
      <c r="P24" s="11"/>
      <c r="Q24" t="s">
        <v>27</v>
      </c>
      <c r="R24" t="s">
        <v>249</v>
      </c>
    </row>
    <row r="25" spans="1:18" x14ac:dyDescent="0.2">
      <c r="A25" s="4" t="s">
        <v>14</v>
      </c>
      <c r="B25" s="17">
        <v>0.26289091192875702</v>
      </c>
      <c r="D25" s="1">
        <v>45941</v>
      </c>
      <c r="E25" s="2">
        <v>0.66666666666666663</v>
      </c>
      <c r="F25" t="s">
        <v>16</v>
      </c>
      <c r="G25">
        <f>VLOOKUP(Table4[[#This Row],[Home]],'NHL Model'!$A$6:$B$38,2,FALSE)</f>
        <v>-1.3903684122795328</v>
      </c>
      <c r="H25" t="s">
        <v>35</v>
      </c>
      <c r="I25">
        <f>VLOOKUP(Table4[[#This Row],[Visitor]],'NHL Model'!$A$6:$B$38,2,FALSE)</f>
        <v>-1.6211574240381006</v>
      </c>
      <c r="J25">
        <f ca="1">($B$1+Table4[[#This Row],[Home Differential]])-Table4[[#This Row],[Away Differential]]</f>
        <v>0.3933613214208862</v>
      </c>
      <c r="K25" t="str">
        <f ca="1">IF(Table4[[#This Row],[HomeIce Differential]]&gt;0,Table4[[#This Row],[Home]],Table4[[#This Row],[Visitor]])</f>
        <v>Calgary Flames</v>
      </c>
      <c r="L25" s="11">
        <f ca="1"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0.59450361920047967</v>
      </c>
      <c r="M25" t="str">
        <f ca="1">IF(OR((NHL2025_26Results[[#This Row],[Winning Team]]="")),"-",IF(Table4[[#This Row],[Predicted Winner]]=NHL2025_26Results[[#This Row],[Winning Team]],"YES","NO"))</f>
        <v>NO</v>
      </c>
      <c r="N25">
        <f ca="1">IF(Table4[[#This Row],[Adjusted Correct]]="-", "",IF(Table4[[#This Row],[Adjusted Correct]]="YES",(Table4[[#This Row],[Strength of Win]]-1)^2,(Table4[[#This Row],[Strength of Win]]-0)^2))</f>
        <v>0.35343455324246892</v>
      </c>
      <c r="O25">
        <v>-9.5103763466094973E-3</v>
      </c>
      <c r="P25" s="11"/>
      <c r="Q25" t="s">
        <v>35</v>
      </c>
      <c r="R25" t="s">
        <v>248</v>
      </c>
    </row>
    <row r="26" spans="1:18" x14ac:dyDescent="0.2">
      <c r="A26" s="4" t="s">
        <v>33</v>
      </c>
      <c r="B26" s="17">
        <v>-0.39418177254008485</v>
      </c>
      <c r="D26" s="1">
        <v>45941</v>
      </c>
      <c r="E26" s="2">
        <v>0.79166666666666663</v>
      </c>
      <c r="F26" t="s">
        <v>10</v>
      </c>
      <c r="G26">
        <f>VLOOKUP(Table4[[#This Row],[Home]],'NHL Model'!$A$6:$B$38,2,FALSE)</f>
        <v>0.30570968833820172</v>
      </c>
      <c r="H26" t="s">
        <v>18</v>
      </c>
      <c r="I26">
        <f>VLOOKUP(Table4[[#This Row],[Visitor]],'NHL Model'!$A$6:$B$38,2,FALSE)</f>
        <v>-0.52437726201848234</v>
      </c>
      <c r="J26">
        <f ca="1">($B$1+Table4[[#This Row],[Home Differential]])-Table4[[#This Row],[Away Differential]]</f>
        <v>0.99265926001900251</v>
      </c>
      <c r="K26" t="str">
        <f ca="1">IF(Table4[[#This Row],[HomeIce Differential]]&gt;0,Table4[[#This Row],[Home]],Table4[[#This Row],[Visitor]])</f>
        <v>Chicago Blackhawks</v>
      </c>
      <c r="L26" s="11">
        <f ca="1"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0.60106085426882694</v>
      </c>
      <c r="M26" t="str">
        <f ca="1">IF(OR((NHL2025_26Results[[#This Row],[Winning Team]]="")),"-",IF(Table4[[#This Row],[Predicted Winner]]=NHL2025_26Results[[#This Row],[Winning Team]],"YES","NO"))</f>
        <v>NO</v>
      </c>
      <c r="N26">
        <f ca="1">IF(Table4[[#This Row],[Adjusted Correct]]="-", "",IF(Table4[[#This Row],[Adjusted Correct]]="YES",(Table4[[#This Row],[Strength of Win]]-1)^2,(Table4[[#This Row],[Strength of Win]]-0)^2))</f>
        <v>0.36127415053437201</v>
      </c>
      <c r="O26">
        <v>-2.1357589868893485E-2</v>
      </c>
      <c r="P26" s="11"/>
      <c r="Q26" t="s">
        <v>18</v>
      </c>
      <c r="R26" t="s">
        <v>248</v>
      </c>
    </row>
    <row r="27" spans="1:18" x14ac:dyDescent="0.2">
      <c r="A27" s="4" t="s">
        <v>32</v>
      </c>
      <c r="B27" s="17">
        <v>-0.361361309178443</v>
      </c>
      <c r="D27" s="1">
        <v>45941</v>
      </c>
      <c r="E27" s="2">
        <v>0.875</v>
      </c>
      <c r="F27" t="s">
        <v>12</v>
      </c>
      <c r="G27">
        <f>VLOOKUP(Table4[[#This Row],[Home]],'NHL Model'!$A$6:$B$38,2,FALSE)</f>
        <v>1.5475013591489768</v>
      </c>
      <c r="H27" t="s">
        <v>39</v>
      </c>
      <c r="I27">
        <f>VLOOKUP(Table4[[#This Row],[Visitor]],'NHL Model'!$A$6:$B$38,2,FALSE)</f>
        <v>0.19809534061227302</v>
      </c>
      <c r="J27">
        <f ca="1">($B$1+Table4[[#This Row],[Home Differential]])-Table4[[#This Row],[Away Differential]]</f>
        <v>1.5119783281990222</v>
      </c>
      <c r="K27" t="str">
        <f ca="1">IF(Table4[[#This Row],[HomeIce Differential]]&gt;0,Table4[[#This Row],[Home]],Table4[[#This Row],[Visitor]])</f>
        <v>Colorado Avalanche</v>
      </c>
      <c r="L27" s="11">
        <f ca="1"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0.74795923574876788</v>
      </c>
      <c r="M27" t="str">
        <f ca="1">IF(OR((NHL2025_26Results[[#This Row],[Winning Team]]="")),"-",IF(Table4[[#This Row],[Predicted Winner]]=NHL2025_26Results[[#This Row],[Winning Team]],"YES","NO"))</f>
        <v>NO</v>
      </c>
      <c r="N27">
        <f ca="1">IF(Table4[[#This Row],[Adjusted Correct]]="-", "",IF(Table4[[#This Row],[Adjusted Correct]]="YES",(Table4[[#This Row],[Strength of Win]]-1)^2,(Table4[[#This Row],[Strength of Win]]-0)^2))</f>
        <v>0.55944301834188093</v>
      </c>
      <c r="O27">
        <v>2.5681029019048729E-2</v>
      </c>
      <c r="P27" s="11"/>
      <c r="Q27" t="s">
        <v>12</v>
      </c>
      <c r="R27" t="s">
        <v>249</v>
      </c>
    </row>
    <row r="28" spans="1:18" x14ac:dyDescent="0.2">
      <c r="A28" s="4" t="s">
        <v>35</v>
      </c>
      <c r="B28" s="17">
        <v>-1.6211574240381006</v>
      </c>
      <c r="D28" s="1">
        <v>45941</v>
      </c>
      <c r="E28" s="2">
        <v>0.79166666666666663</v>
      </c>
      <c r="F28" t="s">
        <v>26</v>
      </c>
      <c r="G28">
        <f>VLOOKUP(Table4[[#This Row],[Home]],'NHL Model'!$A$6:$B$38,2,FALSE)</f>
        <v>-0.513643833119658</v>
      </c>
      <c r="H28" t="s">
        <v>19</v>
      </c>
      <c r="I28">
        <f>VLOOKUP(Table4[[#This Row],[Visitor]],'NHL Model'!$A$6:$B$38,2,FALSE)</f>
        <v>-0.635565543477981</v>
      </c>
      <c r="J28">
        <f ca="1">($B$1+Table4[[#This Row],[Home Differential]])-Table4[[#This Row],[Away Differential]]</f>
        <v>0.28449402002064139</v>
      </c>
      <c r="K28" t="str">
        <f ca="1">IF(Table4[[#This Row],[HomeIce Differential]]&gt;0,Table4[[#This Row],[Home]],Table4[[#This Row],[Visitor]])</f>
        <v>Detroit Red Wings</v>
      </c>
      <c r="L28" s="11">
        <f ca="1"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0.60545684720451121</v>
      </c>
      <c r="M28" t="str">
        <f ca="1">IF(OR((NHL2025_26Results[[#This Row],[Winning Team]]="")),"-",IF(Table4[[#This Row],[Predicted Winner]]=NHL2025_26Results[[#This Row],[Winning Team]],"YES","NO"))</f>
        <v>YES</v>
      </c>
      <c r="N28">
        <f ca="1">IF(Table4[[#This Row],[Adjusted Correct]]="-", "",IF(Table4[[#This Row],[Adjusted Correct]]="YES",(Table4[[#This Row],[Strength of Win]]-1)^2,(Table4[[#This Row],[Strength of Win]]-0)^2))</f>
        <v>0.15566429941780441</v>
      </c>
      <c r="O28">
        <v>-9.2074635980839616E-3</v>
      </c>
      <c r="P28" s="11"/>
      <c r="Q28" t="s">
        <v>19</v>
      </c>
      <c r="R28" t="s">
        <v>249</v>
      </c>
    </row>
    <row r="29" spans="1:18" x14ac:dyDescent="0.2">
      <c r="A29" s="4" t="s">
        <v>37</v>
      </c>
      <c r="B29" s="17">
        <v>-0.11309445867623392</v>
      </c>
      <c r="D29" s="1">
        <v>45941</v>
      </c>
      <c r="E29" s="2">
        <v>0.91666666666666663</v>
      </c>
      <c r="F29" t="s">
        <v>17</v>
      </c>
      <c r="G29">
        <f>VLOOKUP(Table4[[#This Row],[Home]],'NHL Model'!$A$6:$B$38,2,FALSE)</f>
        <v>-0.61980804137564283</v>
      </c>
      <c r="H29" t="s">
        <v>38</v>
      </c>
      <c r="I29">
        <f>VLOOKUP(Table4[[#This Row],[Visitor]],'NHL Model'!$A$6:$B$38,2,FALSE)</f>
        <v>-0.6902088310934803</v>
      </c>
      <c r="J29">
        <f ca="1">($B$1+Table4[[#This Row],[Home Differential]])-Table4[[#This Row],[Away Differential]]</f>
        <v>0.23297309938015587</v>
      </c>
      <c r="K29" t="str">
        <f ca="1">IF(Table4[[#This Row],[HomeIce Differential]]&gt;0,Table4[[#This Row],[Home]],Table4[[#This Row],[Visitor]])</f>
        <v>Edmonton Oilers</v>
      </c>
      <c r="L29" s="11">
        <f ca="1"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0.56626102394312994</v>
      </c>
      <c r="M29" t="str">
        <f ca="1">IF(OR((NHL2025_26Results[[#This Row],[Winning Team]]="")),"-",IF(Table4[[#This Row],[Predicted Winner]]=NHL2025_26Results[[#This Row],[Winning Team]],"YES","NO"))</f>
        <v>YES</v>
      </c>
      <c r="N29">
        <f ca="1">IF(Table4[[#This Row],[Adjusted Correct]]="-", "",IF(Table4[[#This Row],[Adjusted Correct]]="YES",(Table4[[#This Row],[Strength of Win]]-1)^2,(Table4[[#This Row],[Strength of Win]]-0)^2))</f>
        <v>0.18812949935086209</v>
      </c>
      <c r="O29">
        <v>-8.8016920868381129E-3</v>
      </c>
      <c r="P29" s="11"/>
      <c r="Q29" t="s">
        <v>38</v>
      </c>
      <c r="R29" t="s">
        <v>249</v>
      </c>
    </row>
    <row r="30" spans="1:18" x14ac:dyDescent="0.2">
      <c r="A30" s="4" t="s">
        <v>19</v>
      </c>
      <c r="B30" s="17">
        <v>-0.635565543477981</v>
      </c>
      <c r="D30" s="1">
        <v>45941</v>
      </c>
      <c r="E30" s="2">
        <v>0.79166666666666663</v>
      </c>
      <c r="F30" t="s">
        <v>11</v>
      </c>
      <c r="G30">
        <f>VLOOKUP(Table4[[#This Row],[Home]],'NHL Model'!$A$6:$B$38,2,FALSE)</f>
        <v>-0.28105923893144158</v>
      </c>
      <c r="H30" t="s">
        <v>36</v>
      </c>
      <c r="I30">
        <f>VLOOKUP(Table4[[#This Row],[Visitor]],'NHL Model'!$A$6:$B$38,2,FALSE)</f>
        <v>-0.40651947573390851</v>
      </c>
      <c r="J30">
        <f ca="1">($B$1+Table4[[#This Row],[Home Differential]])-Table4[[#This Row],[Away Differential]]</f>
        <v>0.28803254646478532</v>
      </c>
      <c r="K30" t="str">
        <f ca="1">IF(Table4[[#This Row],[HomeIce Differential]]&gt;0,Table4[[#This Row],[Home]],Table4[[#This Row],[Visitor]])</f>
        <v>Florida Panthers</v>
      </c>
      <c r="L30" s="11">
        <f ca="1"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0.63162538118376066</v>
      </c>
      <c r="M30" t="str">
        <f ca="1">IF(OR((NHL2025_26Results[[#This Row],[Winning Team]]="")),"-",IF(Table4[[#This Row],[Predicted Winner]]=NHL2025_26Results[[#This Row],[Winning Team]],"YES","NO"))</f>
        <v>YES</v>
      </c>
      <c r="N30">
        <f ca="1">IF(Table4[[#This Row],[Adjusted Correct]]="-", "",IF(Table4[[#This Row],[Adjusted Correct]]="YES",(Table4[[#This Row],[Strength of Win]]-1)^2,(Table4[[#This Row],[Strength of Win]]-0)^2))</f>
        <v>0.13569985978800964</v>
      </c>
      <c r="O30">
        <v>2.423581240189359E-3</v>
      </c>
      <c r="P30" s="11"/>
      <c r="Q30" t="s">
        <v>11</v>
      </c>
      <c r="R30" t="s">
        <v>248</v>
      </c>
    </row>
    <row r="31" spans="1:18" x14ac:dyDescent="0.2">
      <c r="A31" s="4" t="s">
        <v>55</v>
      </c>
      <c r="B31" s="17">
        <v>-0.12212311954851815</v>
      </c>
      <c r="D31" s="1">
        <v>45941</v>
      </c>
      <c r="E31" s="2">
        <v>0.83333333333333337</v>
      </c>
      <c r="F31" t="s">
        <v>34</v>
      </c>
      <c r="G31">
        <f>VLOOKUP(Table4[[#This Row],[Home]],'NHL Model'!$A$6:$B$38,2,FALSE)</f>
        <v>-0.53650300840565446</v>
      </c>
      <c r="H31" t="s">
        <v>28</v>
      </c>
      <c r="I31">
        <f>VLOOKUP(Table4[[#This Row],[Visitor]],'NHL Model'!$A$6:$B$38,2,FALSE)</f>
        <v>-0.40822279081308277</v>
      </c>
      <c r="J31">
        <f ca="1">($B$1+Table4[[#This Row],[Home Differential]])-Table4[[#This Row],[Away Differential]]</f>
        <v>3.4292092069746705E-2</v>
      </c>
      <c r="K31" t="str">
        <f ca="1">IF(Table4[[#This Row],[HomeIce Differential]]&gt;0,Table4[[#This Row],[Home]],Table4[[#This Row],[Visitor]])</f>
        <v>Minnesota Wild</v>
      </c>
      <c r="L31" s="11">
        <f ca="1"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0.5239822356967806</v>
      </c>
      <c r="M31" t="str">
        <f ca="1">IF(OR((NHL2025_26Results[[#This Row],[Winning Team]]="")),"-",IF(Table4[[#This Row],[Predicted Winner]]=NHL2025_26Results[[#This Row],[Winning Team]],"YES","NO"))</f>
        <v>NO</v>
      </c>
      <c r="N31">
        <f ca="1">IF(Table4[[#This Row],[Adjusted Correct]]="-", "",IF(Table4[[#This Row],[Adjusted Correct]]="YES",(Table4[[#This Row],[Strength of Win]]-1)^2,(Table4[[#This Row],[Strength of Win]]-0)^2))</f>
        <v>0.27455738332579654</v>
      </c>
      <c r="O31">
        <v>-9.7151346375800168E-3</v>
      </c>
      <c r="P31" s="11"/>
      <c r="Q31" t="s">
        <v>28</v>
      </c>
      <c r="R31" t="s">
        <v>248</v>
      </c>
    </row>
    <row r="32" spans="1:18" x14ac:dyDescent="0.2">
      <c r="A32" s="4" t="s">
        <v>38</v>
      </c>
      <c r="B32" s="17">
        <v>-0.6902088310934803</v>
      </c>
      <c r="D32" s="1">
        <v>45941</v>
      </c>
      <c r="E32" s="2">
        <v>0.83333333333333337</v>
      </c>
      <c r="F32" t="s">
        <v>29</v>
      </c>
      <c r="G32">
        <f>VLOOKUP(Table4[[#This Row],[Home]],'NHL Model'!$A$6:$B$38,2,FALSE)</f>
        <v>-1.3516250707060606</v>
      </c>
      <c r="H32" t="s">
        <v>55</v>
      </c>
      <c r="I32">
        <f>VLOOKUP(Table4[[#This Row],[Visitor]],'NHL Model'!$A$6:$B$38,2,FALSE)</f>
        <v>-0.12212311954851815</v>
      </c>
      <c r="J32">
        <f ca="1">($B$1+Table4[[#This Row],[Home Differential]])-Table4[[#This Row],[Away Differential]]</f>
        <v>-1.0669296414952241</v>
      </c>
      <c r="K32" t="str">
        <f ca="1">IF(Table4[[#This Row],[HomeIce Differential]]&gt;0,Table4[[#This Row],[Home]],Table4[[#This Row],[Visitor]])</f>
        <v>Utah Mammoth</v>
      </c>
      <c r="L32" s="11">
        <f ca="1"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0.60783234580285384</v>
      </c>
      <c r="M32" t="str">
        <f ca="1">IF(OR((NHL2025_26Results[[#This Row],[Winning Team]]="")),"-",IF(Table4[[#This Row],[Predicted Winner]]=NHL2025_26Results[[#This Row],[Winning Team]],"YES","NO"))</f>
        <v>YES</v>
      </c>
      <c r="N32">
        <f ca="1">IF(Table4[[#This Row],[Adjusted Correct]]="-", "",IF(Table4[[#This Row],[Adjusted Correct]]="YES",(Table4[[#This Row],[Strength of Win]]-1)^2,(Table4[[#This Row],[Strength of Win]]-0)^2))</f>
        <v>0.15379546899849242</v>
      </c>
      <c r="O32">
        <v>-9.2090114557647589E-3</v>
      </c>
      <c r="P32" s="11"/>
      <c r="Q32" t="s">
        <v>250</v>
      </c>
      <c r="R32" t="s">
        <v>249</v>
      </c>
    </row>
    <row r="33" spans="1:18" x14ac:dyDescent="0.2">
      <c r="A33" s="4" t="s">
        <v>20</v>
      </c>
      <c r="B33" s="17">
        <v>-6.3745791019188943E-4</v>
      </c>
      <c r="D33" s="1">
        <v>45941</v>
      </c>
      <c r="E33" s="2">
        <v>0.79166666666666663</v>
      </c>
      <c r="F33" t="s">
        <v>30</v>
      </c>
      <c r="G33">
        <f>VLOOKUP(Table4[[#This Row],[Home]],'NHL Model'!$A$6:$B$38,2,FALSE)</f>
        <v>-6.4729560818359025E-2</v>
      </c>
      <c r="H33" t="s">
        <v>22</v>
      </c>
      <c r="I33">
        <f>VLOOKUP(Table4[[#This Row],[Visitor]],'NHL Model'!$A$6:$B$38,2,FALSE)</f>
        <v>-6.1308839486784707E-2</v>
      </c>
      <c r="J33">
        <f ca="1">($B$1+Table4[[#This Row],[Home Differential]])-Table4[[#This Row],[Away Differential]]</f>
        <v>0.15915158833074408</v>
      </c>
      <c r="K33" t="str">
        <f ca="1">IF(Table4[[#This Row],[HomeIce Differential]]&gt;0,Table4[[#This Row],[Home]],Table4[[#This Row],[Visitor]])</f>
        <v>New York Islanders</v>
      </c>
      <c r="L33" s="11">
        <f ca="1"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0.56205183146679816</v>
      </c>
      <c r="M33" t="str">
        <f ca="1">IF(OR((NHL2025_26Results[[#This Row],[Winning Team]]="")),"-",IF(Table4[[#This Row],[Predicted Winner]]=NHL2025_26Results[[#This Row],[Winning Team]],"YES","NO"))</f>
        <v>NO</v>
      </c>
      <c r="N33">
        <f ca="1">IF(Table4[[#This Row],[Adjusted Correct]]="-", "",IF(Table4[[#This Row],[Adjusted Correct]]="YES",(Table4[[#This Row],[Strength of Win]]-1)^2,(Table4[[#This Row],[Strength of Win]]-0)^2))</f>
        <v>0.31590226125518206</v>
      </c>
      <c r="O33">
        <v>-9.207463858015923E-3</v>
      </c>
      <c r="P33" s="11"/>
      <c r="Q33" t="s">
        <v>22</v>
      </c>
      <c r="R33" t="s">
        <v>248</v>
      </c>
    </row>
    <row r="34" spans="1:18" x14ac:dyDescent="0.2">
      <c r="A34" s="4" t="s">
        <v>22</v>
      </c>
      <c r="B34" s="17">
        <v>-6.1308839486784707E-2</v>
      </c>
      <c r="D34" s="1">
        <v>45941</v>
      </c>
      <c r="E34" s="2">
        <v>0.79166666666666663</v>
      </c>
      <c r="F34" t="s">
        <v>14</v>
      </c>
      <c r="G34">
        <f>VLOOKUP(Table4[[#This Row],[Home]],'NHL Model'!$A$6:$B$38,2,FALSE)</f>
        <v>0.26289091192875702</v>
      </c>
      <c r="H34" t="s">
        <v>15</v>
      </c>
      <c r="I34">
        <f>VLOOKUP(Table4[[#This Row],[Visitor]],'NHL Model'!$A$6:$B$38,2,FALSE)</f>
        <v>-0.30719665303039001</v>
      </c>
      <c r="J34">
        <f ca="1">($B$1+Table4[[#This Row],[Home Differential]])-Table4[[#This Row],[Away Differential]]</f>
        <v>0.73265987462146542</v>
      </c>
      <c r="K34" t="str">
        <f ca="1">IF(Table4[[#This Row],[HomeIce Differential]]&gt;0,Table4[[#This Row],[Home]],Table4[[#This Row],[Visitor]])</f>
        <v>Pittsburgh Penguins</v>
      </c>
      <c r="L34" s="11">
        <f ca="1"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0.53458723960111643</v>
      </c>
      <c r="M34" t="str">
        <f ca="1">IF(OR((NHL2025_26Results[[#This Row],[Winning Team]]="")),"-",IF(Table4[[#This Row],[Predicted Winner]]=NHL2025_26Results[[#This Row],[Winning Team]],"YES","NO"))</f>
        <v>NO</v>
      </c>
      <c r="N34">
        <f ca="1">IF(Table4[[#This Row],[Adjusted Correct]]="-", "",IF(Table4[[#This Row],[Adjusted Correct]]="YES",(Table4[[#This Row],[Strength of Win]]-1)^2,(Table4[[#This Row],[Strength of Win]]-0)^2))</f>
        <v>0.28578351674434144</v>
      </c>
      <c r="O34">
        <v>6.057884203130582E-2</v>
      </c>
      <c r="P34" s="11"/>
      <c r="Q34" t="s">
        <v>14</v>
      </c>
      <c r="R34" t="s">
        <v>249</v>
      </c>
    </row>
    <row r="35" spans="1:18" x14ac:dyDescent="0.2">
      <c r="A35" s="4" t="s">
        <v>40</v>
      </c>
      <c r="B35" s="17">
        <v>0.105105258369765</v>
      </c>
      <c r="D35" s="1">
        <v>45941</v>
      </c>
      <c r="E35" s="2">
        <v>0.91666666666666663</v>
      </c>
      <c r="F35" t="s">
        <v>32</v>
      </c>
      <c r="G35">
        <f>VLOOKUP(Table4[[#This Row],[Home]],'NHL Model'!$A$6:$B$38,2,FALSE)</f>
        <v>-0.361361309178443</v>
      </c>
      <c r="H35" t="s">
        <v>20</v>
      </c>
      <c r="I35">
        <f>VLOOKUP(Table4[[#This Row],[Visitor]],'NHL Model'!$A$6:$B$38,2,FALSE)</f>
        <v>-6.3745791019188943E-4</v>
      </c>
      <c r="J35">
        <f ca="1">($B$1+Table4[[#This Row],[Home Differential]])-Table4[[#This Row],[Away Differential]]</f>
        <v>-0.19815154160593271</v>
      </c>
      <c r="K35" t="str">
        <f ca="1">IF(Table4[[#This Row],[HomeIce Differential]]&gt;0,Table4[[#This Row],[Home]],Table4[[#This Row],[Visitor]])</f>
        <v>Vegas Golden Knights</v>
      </c>
      <c r="L35" s="11">
        <f ca="1"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0.4820010674376079</v>
      </c>
      <c r="M35" t="str">
        <f ca="1">IF(OR((NHL2025_26Results[[#This Row],[Winning Team]]="")),"-",IF(Table4[[#This Row],[Predicted Winner]]=NHL2025_26Results[[#This Row],[Winning Team]],"YES","NO"))</f>
        <v>NO</v>
      </c>
      <c r="N35">
        <f ca="1">IF(Table4[[#This Row],[Adjusted Correct]]="-", "",IF(Table4[[#This Row],[Adjusted Correct]]="YES",(Table4[[#This Row],[Strength of Win]]-1)^2,(Table4[[#This Row],[Strength of Win]]-0)^2))</f>
        <v>0.23232502901099344</v>
      </c>
      <c r="O35">
        <v>-9.2121793041826973E-3</v>
      </c>
      <c r="P35" s="11"/>
      <c r="Q35" t="s">
        <v>20</v>
      </c>
      <c r="R35" t="s">
        <v>249</v>
      </c>
    </row>
    <row r="36" spans="1:18" x14ac:dyDescent="0.2">
      <c r="A36" s="4" t="s">
        <v>45</v>
      </c>
      <c r="B36" s="17">
        <v>-7.6523491360758822</v>
      </c>
      <c r="D36" s="1">
        <v>45941</v>
      </c>
      <c r="E36" s="2">
        <v>0.91666666666666663</v>
      </c>
      <c r="F36" t="s">
        <v>33</v>
      </c>
      <c r="G36">
        <f>VLOOKUP(Table4[[#This Row],[Home]],'NHL Model'!$A$6:$B$38,2,FALSE)</f>
        <v>-0.39418177254008485</v>
      </c>
      <c r="H36" t="s">
        <v>31</v>
      </c>
      <c r="I36">
        <f>VLOOKUP(Table4[[#This Row],[Visitor]],'NHL Model'!$A$6:$B$38,2,FALSE)</f>
        <v>0.51775546328552802</v>
      </c>
      <c r="J36">
        <f ca="1">($B$1+Table4[[#This Row],[Home Differential]])-Table4[[#This Row],[Away Differential]]</f>
        <v>-0.74936492616329442</v>
      </c>
      <c r="K36" t="str">
        <f ca="1">IF(Table4[[#This Row],[HomeIce Differential]]&gt;0,Table4[[#This Row],[Home]],Table4[[#This Row],[Visitor]])</f>
        <v>Anaheim Ducks</v>
      </c>
      <c r="L36" s="11">
        <f ca="1"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0.58460023385379367</v>
      </c>
      <c r="M36" t="str">
        <f ca="1">IF(OR((NHL2025_26Results[[#This Row],[Winning Team]]="")),"-",IF(Table4[[#This Row],[Predicted Winner]]=NHL2025_26Results[[#This Row],[Winning Team]],"YES","NO"))</f>
        <v>YES</v>
      </c>
      <c r="N36">
        <f ca="1">IF(Table4[[#This Row],[Adjusted Correct]]="-", "",IF(Table4[[#This Row],[Adjusted Correct]]="YES",(Table4[[#This Row],[Strength of Win]]-1)^2,(Table4[[#This Row],[Strength of Win]]-0)^2))</f>
        <v>0.17255696571432291</v>
      </c>
      <c r="O36">
        <v>-8.7970492492562904E-3</v>
      </c>
      <c r="P36" s="11"/>
      <c r="Q36" t="s">
        <v>31</v>
      </c>
      <c r="R36" t="s">
        <v>248</v>
      </c>
    </row>
    <row r="37" spans="1:18" x14ac:dyDescent="0.2">
      <c r="D37" s="1">
        <v>45941</v>
      </c>
      <c r="E37" s="2">
        <v>0.79166666666666663</v>
      </c>
      <c r="F37" t="s">
        <v>37</v>
      </c>
      <c r="G37">
        <f>VLOOKUP(Table4[[#This Row],[Home]],'NHL Model'!$A$6:$B$38,2,FALSE)</f>
        <v>-0.11309445867623392</v>
      </c>
      <c r="H37" t="s">
        <v>24</v>
      </c>
      <c r="I37">
        <f>VLOOKUP(Table4[[#This Row],[Visitor]],'NHL Model'!$A$6:$B$38,2,FALSE)</f>
        <v>0.559441163373953</v>
      </c>
      <c r="J37">
        <f ca="1">($B$1+Table4[[#This Row],[Home Differential]])-Table4[[#This Row],[Away Differential]]</f>
        <v>-0.50996331238786852</v>
      </c>
      <c r="K37" t="str">
        <f ca="1">IF(Table4[[#This Row],[HomeIce Differential]]&gt;0,Table4[[#This Row],[Home]],Table4[[#This Row],[Visitor]])</f>
        <v>New Jersey Devils</v>
      </c>
      <c r="L37" s="11">
        <f ca="1"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0.5969756247727015</v>
      </c>
      <c r="M37" t="str">
        <f ca="1">IF(OR((NHL2025_26Results[[#This Row],[Winning Team]]="")),"-",IF(Table4[[#This Row],[Predicted Winner]]=NHL2025_26Results[[#This Row],[Winning Team]],"YES","NO"))</f>
        <v>YES</v>
      </c>
      <c r="N37">
        <f ca="1">IF(Table4[[#This Row],[Adjusted Correct]]="-", "",IF(Table4[[#This Row],[Adjusted Correct]]="YES",(Table4[[#This Row],[Strength of Win]]-1)^2,(Table4[[#This Row],[Strength of Win]]-0)^2))</f>
        <v>0.16242864702735429</v>
      </c>
      <c r="O37">
        <v>-9.4712703452670185E-3</v>
      </c>
      <c r="P37" s="11"/>
      <c r="Q37" t="s">
        <v>24</v>
      </c>
      <c r="R37" t="s">
        <v>248</v>
      </c>
    </row>
    <row r="38" spans="1:18" x14ac:dyDescent="0.2">
      <c r="A38" s="5" t="s">
        <v>44</v>
      </c>
      <c r="B38" t="s">
        <v>241</v>
      </c>
      <c r="D38" s="1">
        <v>45941</v>
      </c>
      <c r="E38" s="2">
        <v>0.5625</v>
      </c>
      <c r="F38" t="s">
        <v>40</v>
      </c>
      <c r="G38">
        <f>VLOOKUP(Table4[[#This Row],[Home]],'NHL Model'!$A$6:$B$38,2,FALSE)</f>
        <v>0.105105258369765</v>
      </c>
      <c r="H38" t="s">
        <v>13</v>
      </c>
      <c r="I38">
        <f>VLOOKUP(Table4[[#This Row],[Visitor]],'NHL Model'!$A$6:$B$38,2,FALSE)</f>
        <v>-7.5459708298993802E-2</v>
      </c>
      <c r="J38">
        <f ca="1">($B$1+Table4[[#This Row],[Home Differential]])-Table4[[#This Row],[Away Differential]]</f>
        <v>0.34313727633107721</v>
      </c>
      <c r="K38" t="str">
        <f ca="1">IF(Table4[[#This Row],[HomeIce Differential]]&gt;0,Table4[[#This Row],[Home]],Table4[[#This Row],[Visitor]])</f>
        <v>Winnipeg Jets</v>
      </c>
      <c r="L38" s="11">
        <f ca="1"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0.50209009715312947</v>
      </c>
      <c r="M38" t="str">
        <f ca="1">IF(OR((NHL2025_26Results[[#This Row],[Winning Team]]="")),"-",IF(Table4[[#This Row],[Predicted Winner]]=NHL2025_26Results[[#This Row],[Winning Team]],"YES","NO"))</f>
        <v>YES</v>
      </c>
      <c r="N38">
        <f ca="1">IF(Table4[[#This Row],[Adjusted Correct]]="-", "",IF(Table4[[#This Row],[Adjusted Correct]]="YES",(Table4[[#This Row],[Strength of Win]]-1)^2,(Table4[[#This Row],[Strength of Win]]-0)^2))</f>
        <v>0.24791427135298005</v>
      </c>
      <c r="O38">
        <v>2.6396033238882982E-2</v>
      </c>
      <c r="P38" s="11"/>
      <c r="Q38" t="s">
        <v>40</v>
      </c>
      <c r="R38" t="s">
        <v>248</v>
      </c>
    </row>
    <row r="39" spans="1:18" x14ac:dyDescent="0.2">
      <c r="A39" s="4" t="s">
        <v>31</v>
      </c>
      <c r="B39" s="12">
        <v>0.8</v>
      </c>
      <c r="D39" s="1">
        <v>45942</v>
      </c>
      <c r="E39" s="2">
        <v>0.79166666666666663</v>
      </c>
      <c r="F39" t="s">
        <v>15</v>
      </c>
      <c r="G39">
        <f>VLOOKUP(Table4[[#This Row],[Home]],'NHL Model'!$A$6:$B$38,2,FALSE)</f>
        <v>-0.30719665303039001</v>
      </c>
      <c r="H39" t="s">
        <v>22</v>
      </c>
      <c r="I39">
        <f>VLOOKUP(Table4[[#This Row],[Visitor]],'NHL Model'!$A$6:$B$38,2,FALSE)</f>
        <v>-6.1308839486784707E-2</v>
      </c>
      <c r="J39">
        <f ca="1">($B$1+Table4[[#This Row],[Home Differential]])-Table4[[#This Row],[Away Differential]]</f>
        <v>-8.3315503881286918E-2</v>
      </c>
      <c r="K39" t="str">
        <f ca="1">IF(Table4[[#This Row],[HomeIce Differential]]&gt;0,Table4[[#This Row],[Home]],Table4[[#This Row],[Visitor]])</f>
        <v>Washington Capitals</v>
      </c>
      <c r="L39" s="11">
        <f ca="1"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0.47154408491571803</v>
      </c>
      <c r="M39" t="str">
        <f ca="1">IF(OR((NHL2025_26Results[[#This Row],[Winning Team]]="")),"-",IF(Table4[[#This Row],[Predicted Winner]]=NHL2025_26Results[[#This Row],[Winning Team]],"YES","NO"))</f>
        <v>YES</v>
      </c>
      <c r="N39">
        <f ca="1">IF(Table4[[#This Row],[Adjusted Correct]]="-", "",IF(Table4[[#This Row],[Adjusted Correct]]="YES",(Table4[[#This Row],[Strength of Win]]-1)^2,(Table4[[#This Row],[Strength of Win]]-0)^2))</f>
        <v>0.27926565418756588</v>
      </c>
      <c r="O39">
        <v>-0.8829558401088724</v>
      </c>
      <c r="P39" s="11"/>
      <c r="Q39" t="s">
        <v>22</v>
      </c>
      <c r="R39" t="s">
        <v>248</v>
      </c>
    </row>
    <row r="40" spans="1:18" x14ac:dyDescent="0.2">
      <c r="A40" s="4" t="s">
        <v>21</v>
      </c>
      <c r="B40" s="12">
        <v>0.7</v>
      </c>
      <c r="D40" s="1">
        <v>45943</v>
      </c>
      <c r="E40" s="2">
        <v>0.54166666666666663</v>
      </c>
      <c r="F40" t="s">
        <v>21</v>
      </c>
      <c r="G40">
        <f>VLOOKUP(Table4[[#This Row],[Home]],'NHL Model'!$A$6:$B$38,2,FALSE)</f>
        <v>4.029141914856392E-2</v>
      </c>
      <c r="H40" t="s">
        <v>37</v>
      </c>
      <c r="I40">
        <f>VLOOKUP(Table4[[#This Row],[Visitor]],'NHL Model'!$A$6:$B$38,2,FALSE)</f>
        <v>-0.11309445867623392</v>
      </c>
      <c r="J40">
        <f ca="1">($B$1+Table4[[#This Row],[Home Differential]])-Table4[[#This Row],[Away Differential]]</f>
        <v>0.31595818748711624</v>
      </c>
      <c r="K40" t="str">
        <f ca="1">IF(Table4[[#This Row],[HomeIce Differential]]&gt;0,Table4[[#This Row],[Home]],Table4[[#This Row],[Visitor]])</f>
        <v>Boston Bruins</v>
      </c>
      <c r="L40" s="11">
        <f ca="1"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0.61070787822455908</v>
      </c>
      <c r="M40" t="str">
        <f ca="1">IF(OR((NHL2025_26Results[[#This Row],[Winning Team]]="")),"-",IF(Table4[[#This Row],[Predicted Winner]]=NHL2025_26Results[[#This Row],[Winning Team]],"YES","NO"))</f>
        <v>NO</v>
      </c>
      <c r="N40">
        <f ca="1">IF(Table4[[#This Row],[Adjusted Correct]]="-", "",IF(Table4[[#This Row],[Adjusted Correct]]="YES",(Table4[[#This Row],[Strength of Win]]-1)^2,(Table4[[#This Row],[Strength of Win]]-0)^2))</f>
        <v>0.3729641125255429</v>
      </c>
      <c r="O40">
        <v>-0.37995028146814053</v>
      </c>
      <c r="P40" s="11"/>
      <c r="Q40" t="s">
        <v>37</v>
      </c>
      <c r="R40" t="s">
        <v>248</v>
      </c>
    </row>
    <row r="41" spans="1:18" x14ac:dyDescent="0.2">
      <c r="A41" s="4" t="s">
        <v>23</v>
      </c>
      <c r="B41" s="12">
        <v>0.5</v>
      </c>
      <c r="D41" s="1">
        <v>45943</v>
      </c>
      <c r="E41" s="2">
        <v>0.52083333333333337</v>
      </c>
      <c r="F41" t="s">
        <v>23</v>
      </c>
      <c r="G41">
        <f>VLOOKUP(Table4[[#This Row],[Home]],'NHL Model'!$A$6:$B$38,2,FALSE)</f>
        <v>-0.8683412362501769</v>
      </c>
      <c r="H41" t="s">
        <v>12</v>
      </c>
      <c r="I41">
        <f>VLOOKUP(Table4[[#This Row],[Visitor]],'NHL Model'!$A$6:$B$38,2,FALSE)</f>
        <v>1.5475013591489768</v>
      </c>
      <c r="J41">
        <f ca="1">($B$1+Table4[[#This Row],[Home Differential]])-Table4[[#This Row],[Away Differential]]</f>
        <v>-2.2532702857368352</v>
      </c>
      <c r="K41" t="str">
        <f ca="1">IF(Table4[[#This Row],[HomeIce Differential]]&gt;0,Table4[[#This Row],[Home]],Table4[[#This Row],[Visitor]])</f>
        <v>Colorado Avalanche</v>
      </c>
      <c r="L41" s="11">
        <f ca="1"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0.838525910097495</v>
      </c>
      <c r="M41" t="str">
        <f ca="1">IF(OR((NHL2025_26Results[[#This Row],[Winning Team]]="")),"-",IF(Table4[[#This Row],[Predicted Winner]]=NHL2025_26Results[[#This Row],[Winning Team]],"YES","NO"))</f>
        <v>YES</v>
      </c>
      <c r="N41">
        <f ca="1">IF(Table4[[#This Row],[Adjusted Correct]]="-", "",IF(Table4[[#This Row],[Adjusted Correct]]="YES",(Table4[[#This Row],[Strength of Win]]-1)^2,(Table4[[#This Row],[Strength of Win]]-0)^2))</f>
        <v>2.6073881709842268E-2</v>
      </c>
      <c r="O41">
        <v>-0.5751720838197506</v>
      </c>
      <c r="P41" s="11"/>
      <c r="Q41" t="s">
        <v>12</v>
      </c>
      <c r="R41" t="s">
        <v>248</v>
      </c>
    </row>
    <row r="42" spans="1:18" x14ac:dyDescent="0.2">
      <c r="A42" s="4" t="s">
        <v>16</v>
      </c>
      <c r="B42" s="12">
        <v>0.2857142857142857</v>
      </c>
      <c r="D42" s="1">
        <v>45943</v>
      </c>
      <c r="E42" s="2">
        <v>0.79166666666666663</v>
      </c>
      <c r="F42" t="s">
        <v>28</v>
      </c>
      <c r="G42">
        <f>VLOOKUP(Table4[[#This Row],[Home]],'NHL Model'!$A$6:$B$38,2,FALSE)</f>
        <v>-0.40822279081308277</v>
      </c>
      <c r="H42" t="s">
        <v>24</v>
      </c>
      <c r="I42">
        <f>VLOOKUP(Table4[[#This Row],[Visitor]],'NHL Model'!$A$6:$B$38,2,FALSE)</f>
        <v>0.559441163373953</v>
      </c>
      <c r="J42">
        <f ca="1">($B$1+Table4[[#This Row],[Home Differential]])-Table4[[#This Row],[Away Differential]]</f>
        <v>-0.80509164452471738</v>
      </c>
      <c r="K42" t="str">
        <f ca="1">IF(Table4[[#This Row],[HomeIce Differential]]&gt;0,Table4[[#This Row],[Home]],Table4[[#This Row],[Visitor]])</f>
        <v>New Jersey Devils</v>
      </c>
      <c r="L42" s="11">
        <f ca="1"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0.63786821220848644</v>
      </c>
      <c r="M42" t="str">
        <f ca="1">IF(OR((NHL2025_26Results[[#This Row],[Winning Team]]="")),"-",IF(Table4[[#This Row],[Predicted Winner]]=NHL2025_26Results[[#This Row],[Winning Team]],"YES","NO"))</f>
        <v>YES</v>
      </c>
      <c r="N42">
        <f ca="1">IF(Table4[[#This Row],[Adjusted Correct]]="-", "",IF(Table4[[#This Row],[Adjusted Correct]]="YES",(Table4[[#This Row],[Strength of Win]]-1)^2,(Table4[[#This Row],[Strength of Win]]-0)^2))</f>
        <v>0.1311394317290778</v>
      </c>
      <c r="O42">
        <v>-0.43763260116194724</v>
      </c>
      <c r="P42" s="11"/>
      <c r="Q42" t="s">
        <v>24</v>
      </c>
      <c r="R42" t="s">
        <v>248</v>
      </c>
    </row>
    <row r="43" spans="1:18" x14ac:dyDescent="0.2">
      <c r="A43" s="4" t="s">
        <v>25</v>
      </c>
      <c r="B43" s="12">
        <v>0.8</v>
      </c>
      <c r="D43" s="1">
        <v>45943</v>
      </c>
      <c r="E43" s="2">
        <v>0.85416666666666663</v>
      </c>
      <c r="F43" t="s">
        <v>10</v>
      </c>
      <c r="G43">
        <f>VLOOKUP(Table4[[#This Row],[Home]],'NHL Model'!$A$6:$B$38,2,FALSE)</f>
        <v>0.30570968833820172</v>
      </c>
      <c r="H43" t="s">
        <v>55</v>
      </c>
      <c r="I43">
        <f>VLOOKUP(Table4[[#This Row],[Visitor]],'NHL Model'!$A$6:$B$38,2,FALSE)</f>
        <v>-0.12212311954851815</v>
      </c>
      <c r="J43">
        <f ca="1">($B$1+Table4[[#This Row],[Home Differential]])-Table4[[#This Row],[Away Differential]]</f>
        <v>0.59040511754903824</v>
      </c>
      <c r="K43" t="str">
        <f ca="1">IF(Table4[[#This Row],[HomeIce Differential]]&gt;0,Table4[[#This Row],[Home]],Table4[[#This Row],[Visitor]])</f>
        <v>Chicago Blackhawks</v>
      </c>
      <c r="L43" s="11">
        <f ca="1"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0.62180574435908076</v>
      </c>
      <c r="M43" t="str">
        <f ca="1">IF(OR((NHL2025_26Results[[#This Row],[Winning Team]]="")),"-",IF(Table4[[#This Row],[Predicted Winner]]=NHL2025_26Results[[#This Row],[Winning Team]],"YES","NO"))</f>
        <v>YES</v>
      </c>
      <c r="N43">
        <f ca="1">IF(Table4[[#This Row],[Adjusted Correct]]="-", "",IF(Table4[[#This Row],[Adjusted Correct]]="YES",(Table4[[#This Row],[Strength of Win]]-1)^2,(Table4[[#This Row],[Strength of Win]]-0)^2))</f>
        <v>0.14303089499978897</v>
      </c>
      <c r="O43">
        <v>-0.50738766212517128</v>
      </c>
      <c r="P43" s="11"/>
      <c r="Q43" t="s">
        <v>250</v>
      </c>
      <c r="R43" t="s">
        <v>249</v>
      </c>
    </row>
    <row r="44" spans="1:18" x14ac:dyDescent="0.2">
      <c r="A44" s="4" t="s">
        <v>10</v>
      </c>
      <c r="B44" s="12">
        <v>0.5</v>
      </c>
      <c r="D44" s="1">
        <v>45943</v>
      </c>
      <c r="E44" s="2">
        <v>0.83333333333333337</v>
      </c>
      <c r="F44" t="s">
        <v>34</v>
      </c>
      <c r="G44">
        <f>VLOOKUP(Table4[[#This Row],[Home]],'NHL Model'!$A$6:$B$38,2,FALSE)</f>
        <v>-0.53650300840565446</v>
      </c>
      <c r="H44" t="s">
        <v>13</v>
      </c>
      <c r="I44">
        <f>VLOOKUP(Table4[[#This Row],[Visitor]],'NHL Model'!$A$6:$B$38,2,FALSE)</f>
        <v>-7.5459708298993802E-2</v>
      </c>
      <c r="J44">
        <f ca="1">($B$1+Table4[[#This Row],[Home Differential]])-Table4[[#This Row],[Away Differential]]</f>
        <v>-0.29847099044434228</v>
      </c>
      <c r="K44" t="str">
        <f ca="1">IF(Table4[[#This Row],[HomeIce Differential]]&gt;0,Table4[[#This Row],[Home]],Table4[[#This Row],[Visitor]])</f>
        <v>Los Angeles Kings</v>
      </c>
      <c r="L44" s="11">
        <f ca="1"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0.62275109054258759</v>
      </c>
      <c r="M44" t="str">
        <f ca="1">IF(OR((NHL2025_26Results[[#This Row],[Winning Team]]="")),"-",IF(Table4[[#This Row],[Predicted Winner]]=NHL2025_26Results[[#This Row],[Winning Team]],"YES","NO"))</f>
        <v>NO</v>
      </c>
      <c r="N44">
        <f ca="1">IF(Table4[[#This Row],[Adjusted Correct]]="-", "",IF(Table4[[#This Row],[Adjusted Correct]]="YES",(Table4[[#This Row],[Strength of Win]]-1)^2,(Table4[[#This Row],[Strength of Win]]-0)^2))</f>
        <v>0.38781892077198216</v>
      </c>
      <c r="O44">
        <v>-0.41264949281827218</v>
      </c>
      <c r="P44" s="11"/>
      <c r="Q44" t="s">
        <v>13</v>
      </c>
      <c r="R44" t="s">
        <v>249</v>
      </c>
    </row>
    <row r="45" spans="1:18" x14ac:dyDescent="0.2">
      <c r="A45" s="4" t="s">
        <v>12</v>
      </c>
      <c r="B45" s="12">
        <v>0.66666666666666663</v>
      </c>
      <c r="D45" s="1">
        <v>45943</v>
      </c>
      <c r="E45" s="2">
        <v>0.54166666666666663</v>
      </c>
      <c r="F45" t="s">
        <v>30</v>
      </c>
      <c r="G45">
        <f>VLOOKUP(Table4[[#This Row],[Home]],'NHL Model'!$A$6:$B$38,2,FALSE)</f>
        <v>-6.4729560818359025E-2</v>
      </c>
      <c r="H45" t="s">
        <v>40</v>
      </c>
      <c r="I45">
        <f>VLOOKUP(Table4[[#This Row],[Visitor]],'NHL Model'!$A$6:$B$38,2,FALSE)</f>
        <v>0.105105258369765</v>
      </c>
      <c r="J45">
        <f ca="1">($B$1+Table4[[#This Row],[Home Differential]])-Table4[[#This Row],[Away Differential]]</f>
        <v>-7.2625095258056355E-3</v>
      </c>
      <c r="K45" t="str">
        <f ca="1">IF(Table4[[#This Row],[HomeIce Differential]]&gt;0,Table4[[#This Row],[Home]],Table4[[#This Row],[Visitor]])</f>
        <v>Winnipeg Jets</v>
      </c>
      <c r="L45" s="11">
        <f ca="1"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0.52732207309151558</v>
      </c>
      <c r="M45" t="str">
        <f ca="1">IF(OR((NHL2025_26Results[[#This Row],[Winning Team]]="")),"-",IF(Table4[[#This Row],[Predicted Winner]]=NHL2025_26Results[[#This Row],[Winning Team]],"YES","NO"))</f>
        <v>YES</v>
      </c>
      <c r="N45">
        <f ca="1">IF(Table4[[#This Row],[Adjusted Correct]]="-", "",IF(Table4[[#This Row],[Adjusted Correct]]="YES",(Table4[[#This Row],[Strength of Win]]-1)^2,(Table4[[#This Row],[Strength of Win]]-0)^2))</f>
        <v>0.22342442258650255</v>
      </c>
      <c r="O45">
        <v>-0.50491654693414467</v>
      </c>
      <c r="P45" s="11"/>
      <c r="Q45" t="s">
        <v>40</v>
      </c>
      <c r="R45" t="s">
        <v>248</v>
      </c>
    </row>
    <row r="46" spans="1:18" x14ac:dyDescent="0.2">
      <c r="A46" s="4" t="s">
        <v>28</v>
      </c>
      <c r="B46" s="12">
        <v>0.5</v>
      </c>
      <c r="D46" s="1">
        <v>45943</v>
      </c>
      <c r="E46" s="2">
        <v>0.54166666666666663</v>
      </c>
      <c r="F46" t="s">
        <v>36</v>
      </c>
      <c r="G46">
        <f>VLOOKUP(Table4[[#This Row],[Home]],'NHL Model'!$A$6:$B$38,2,FALSE)</f>
        <v>-0.40651947573390851</v>
      </c>
      <c r="H46" t="s">
        <v>29</v>
      </c>
      <c r="I46">
        <f>VLOOKUP(Table4[[#This Row],[Visitor]],'NHL Model'!$A$6:$B$38,2,FALSE)</f>
        <v>-1.3516250707060606</v>
      </c>
      <c r="J46">
        <f ca="1">($B$1+Table4[[#This Row],[Home Differential]])-Table4[[#This Row],[Away Differential]]</f>
        <v>1.1076779046344705</v>
      </c>
      <c r="K46" t="str">
        <f ca="1">IF(Table4[[#This Row],[HomeIce Differential]]&gt;0,Table4[[#This Row],[Home]],Table4[[#This Row],[Visitor]])</f>
        <v>Ottawa Senators</v>
      </c>
      <c r="L46" s="11">
        <f ca="1"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0.69597384991172706</v>
      </c>
      <c r="M46" t="str">
        <f ca="1">IF(OR((NHL2025_26Results[[#This Row],[Winning Team]]="")),"-",IF(Table4[[#This Row],[Predicted Winner]]=NHL2025_26Results[[#This Row],[Winning Team]],"YES","NO"))</f>
        <v>NO</v>
      </c>
      <c r="N46">
        <f ca="1">IF(Table4[[#This Row],[Adjusted Correct]]="-", "",IF(Table4[[#This Row],[Adjusted Correct]]="YES",(Table4[[#This Row],[Strength of Win]]-1)^2,(Table4[[#This Row],[Strength of Win]]-0)^2))</f>
        <v>0.48437959976095118</v>
      </c>
      <c r="O46">
        <v>-0.50375844504465972</v>
      </c>
      <c r="P46" s="11"/>
      <c r="Q46" t="s">
        <v>29</v>
      </c>
      <c r="R46" t="s">
        <v>248</v>
      </c>
    </row>
    <row r="47" spans="1:18" x14ac:dyDescent="0.2">
      <c r="A47" s="4" t="s">
        <v>39</v>
      </c>
      <c r="B47" s="12">
        <v>0.5</v>
      </c>
      <c r="D47" s="1">
        <v>45943</v>
      </c>
      <c r="E47" s="2">
        <v>0.79166666666666663</v>
      </c>
      <c r="F47" t="s">
        <v>27</v>
      </c>
      <c r="G47">
        <f>VLOOKUP(Table4[[#This Row],[Home]],'NHL Model'!$A$6:$B$38,2,FALSE)</f>
        <v>-0.51358590497437617</v>
      </c>
      <c r="H47" t="s">
        <v>11</v>
      </c>
      <c r="I47">
        <f>VLOOKUP(Table4[[#This Row],[Visitor]],'NHL Model'!$A$6:$B$38,2,FALSE)</f>
        <v>-0.28105923893144158</v>
      </c>
      <c r="J47">
        <f ca="1">($B$1+Table4[[#This Row],[Home Differential]])-Table4[[#This Row],[Away Differential]]</f>
        <v>-6.9954356380616201E-2</v>
      </c>
      <c r="K47" t="str">
        <f ca="1">IF(Table4[[#This Row],[HomeIce Differential]]&gt;0,Table4[[#This Row],[Home]],Table4[[#This Row],[Visitor]])</f>
        <v>Florida Panthers</v>
      </c>
      <c r="L47" s="11">
        <f ca="1"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0.46719730296298501</v>
      </c>
      <c r="M47" t="str">
        <f ca="1">IF(OR((NHL2025_26Results[[#This Row],[Winning Team]]="")),"-",IF(Table4[[#This Row],[Predicted Winner]]=NHL2025_26Results[[#This Row],[Winning Team]],"YES","NO"))</f>
        <v>NO</v>
      </c>
      <c r="N47">
        <f ca="1">IF(Table4[[#This Row],[Adjusted Correct]]="-", "",IF(Table4[[#This Row],[Adjusted Correct]]="YES",(Table4[[#This Row],[Strength of Win]]-1)^2,(Table4[[#This Row],[Strength of Win]]-0)^2))</f>
        <v>0.21827331989588719</v>
      </c>
      <c r="O47">
        <v>-0.56356457777219926</v>
      </c>
      <c r="P47" s="11"/>
      <c r="Q47" t="s">
        <v>11</v>
      </c>
      <c r="R47" t="s">
        <v>249</v>
      </c>
    </row>
    <row r="48" spans="1:18" x14ac:dyDescent="0.2">
      <c r="A48" s="4" t="s">
        <v>26</v>
      </c>
      <c r="B48" s="12">
        <v>0.7142857142857143</v>
      </c>
      <c r="D48" s="1">
        <v>45943</v>
      </c>
      <c r="E48" s="2">
        <v>0.66666666666666663</v>
      </c>
      <c r="F48" t="s">
        <v>19</v>
      </c>
      <c r="G48">
        <f>VLOOKUP(Table4[[#This Row],[Home]],'NHL Model'!$A$6:$B$38,2,FALSE)</f>
        <v>-0.635565543477981</v>
      </c>
      <c r="H48" t="s">
        <v>26</v>
      </c>
      <c r="I48">
        <f>VLOOKUP(Table4[[#This Row],[Visitor]],'NHL Model'!$A$6:$B$38,2,FALSE)</f>
        <v>-0.513643833119658</v>
      </c>
      <c r="J48">
        <f ca="1">($B$1+Table4[[#This Row],[Home Differential]])-Table4[[#This Row],[Away Differential]]</f>
        <v>4.0650599303995394E-2</v>
      </c>
      <c r="K48" t="str">
        <f ca="1">IF(Table4[[#This Row],[HomeIce Differential]]&gt;0,Table4[[#This Row],[Home]],Table4[[#This Row],[Visitor]])</f>
        <v>Toronto Maple Leafs</v>
      </c>
      <c r="L48" s="11">
        <f ca="1"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0.49853310125326078</v>
      </c>
      <c r="M48" t="str">
        <f ca="1">IF(OR((NHL2025_26Results[[#This Row],[Winning Team]]="")),"-",IF(Table4[[#This Row],[Predicted Winner]]=NHL2025_26Results[[#This Row],[Winning Team]],"YES","NO"))</f>
        <v>NO</v>
      </c>
      <c r="N48">
        <f ca="1">IF(Table4[[#This Row],[Adjusted Correct]]="-", "",IF(Table4[[#This Row],[Adjusted Correct]]="YES",(Table4[[#This Row],[Strength of Win]]-1)^2,(Table4[[#This Row],[Strength of Win]]-0)^2))</f>
        <v>0.24853525304519397</v>
      </c>
      <c r="O48">
        <v>-0.46138269297271539</v>
      </c>
      <c r="P48" s="11"/>
      <c r="Q48" t="s">
        <v>26</v>
      </c>
      <c r="R48" t="s">
        <v>248</v>
      </c>
    </row>
    <row r="49" spans="1:18" x14ac:dyDescent="0.2">
      <c r="A49" s="4" t="s">
        <v>17</v>
      </c>
      <c r="B49" s="12">
        <v>0.66666666666666663</v>
      </c>
      <c r="D49" s="1">
        <v>45943</v>
      </c>
      <c r="E49" s="2">
        <v>0.8125</v>
      </c>
      <c r="F49" t="s">
        <v>38</v>
      </c>
      <c r="G49">
        <f>VLOOKUP(Table4[[#This Row],[Home]],'NHL Model'!$A$6:$B$38,2,FALSE)</f>
        <v>-0.6902088310934803</v>
      </c>
      <c r="H49" t="s">
        <v>35</v>
      </c>
      <c r="I49">
        <f>VLOOKUP(Table4[[#This Row],[Visitor]],'NHL Model'!$A$6:$B$38,2,FALSE)</f>
        <v>-1.6211574240381006</v>
      </c>
      <c r="J49">
        <f ca="1">($B$1+Table4[[#This Row],[Home Differential]])-Table4[[#This Row],[Away Differential]]</f>
        <v>1.0935209026069388</v>
      </c>
      <c r="K49" t="str">
        <f ca="1">IF(Table4[[#This Row],[HomeIce Differential]]&gt;0,Table4[[#This Row],[Home]],Table4[[#This Row],[Visitor]])</f>
        <v>Vancouver Canucks</v>
      </c>
      <c r="L49" s="11">
        <f ca="1"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0.69151679541894284</v>
      </c>
      <c r="M49" t="str">
        <f ca="1">IF(OR((NHL2025_26Results[[#This Row],[Winning Team]]="")),"-",IF(Table4[[#This Row],[Predicted Winner]]=NHL2025_26Results[[#This Row],[Winning Team]],"YES","NO"))</f>
        <v>NO</v>
      </c>
      <c r="N49">
        <f ca="1">IF(Table4[[#This Row],[Adjusted Correct]]="-", "",IF(Table4[[#This Row],[Adjusted Correct]]="YES",(Table4[[#This Row],[Strength of Win]]-1)^2,(Table4[[#This Row],[Strength of Win]]-0)^2))</f>
        <v>0.47819547834648407</v>
      </c>
      <c r="O49">
        <v>-0.41348669663993171</v>
      </c>
      <c r="P49" s="11"/>
      <c r="Q49" t="s">
        <v>35</v>
      </c>
      <c r="R49" t="s">
        <v>248</v>
      </c>
    </row>
    <row r="50" spans="1:18" x14ac:dyDescent="0.2">
      <c r="A50" s="4" t="s">
        <v>11</v>
      </c>
      <c r="B50" s="12">
        <v>0.7142857142857143</v>
      </c>
      <c r="D50" s="1">
        <v>45944</v>
      </c>
      <c r="E50" s="2">
        <v>0.9375</v>
      </c>
      <c r="F50" t="s">
        <v>31</v>
      </c>
      <c r="G50">
        <f>VLOOKUP(Table4[[#This Row],[Home]],'NHL Model'!$A$6:$B$38,2,FALSE)</f>
        <v>0.51775546328552802</v>
      </c>
      <c r="H50" t="s">
        <v>14</v>
      </c>
      <c r="I50">
        <f>VLOOKUP(Table4[[#This Row],[Visitor]],'NHL Model'!$A$6:$B$38,2,FALSE)</f>
        <v>0.26289091192875702</v>
      </c>
      <c r="J50">
        <f ca="1">($B$1+Table4[[#This Row],[Home Differential]])-Table4[[#This Row],[Away Differential]]</f>
        <v>0.41743686101908939</v>
      </c>
      <c r="K50" t="str">
        <f ca="1">IF(Table4[[#This Row],[HomeIce Differential]]&gt;0,Table4[[#This Row],[Home]],Table4[[#This Row],[Visitor]])</f>
        <v>Anaheim Ducks</v>
      </c>
      <c r="L50" s="11">
        <f ca="1"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0.70216939071165219</v>
      </c>
      <c r="M50" t="str">
        <f ca="1">IF(OR((NHL2025_26Results[[#This Row],[Winning Team]]="")),"-",IF(Table4[[#This Row],[Predicted Winner]]=NHL2025_26Results[[#This Row],[Winning Team]],"YES","NO"))</f>
        <v>YES</v>
      </c>
      <c r="N50">
        <f ca="1">IF(Table4[[#This Row],[Adjusted Correct]]="-", "",IF(Table4[[#This Row],[Adjusted Correct]]="YES",(Table4[[#This Row],[Strength of Win]]-1)^2,(Table4[[#This Row],[Strength of Win]]-0)^2))</f>
        <v>8.8703071829068489E-2</v>
      </c>
      <c r="O50">
        <v>0.41593738547769288</v>
      </c>
      <c r="P50" s="11"/>
      <c r="Q50" t="s">
        <v>31</v>
      </c>
      <c r="R50" t="s">
        <v>248</v>
      </c>
    </row>
    <row r="51" spans="1:18" x14ac:dyDescent="0.2">
      <c r="A51" s="4" t="s">
        <v>13</v>
      </c>
      <c r="B51" s="12">
        <v>0.14285714285714285</v>
      </c>
      <c r="D51" s="1">
        <v>45944</v>
      </c>
      <c r="E51" s="2">
        <v>0.875</v>
      </c>
      <c r="F51" t="s">
        <v>16</v>
      </c>
      <c r="G51">
        <f>VLOOKUP(Table4[[#This Row],[Home]],'NHL Model'!$A$6:$B$38,2,FALSE)</f>
        <v>-1.3903684122795328</v>
      </c>
      <c r="H51" t="s">
        <v>20</v>
      </c>
      <c r="I51">
        <f>VLOOKUP(Table4[[#This Row],[Visitor]],'NHL Model'!$A$6:$B$38,2,FALSE)</f>
        <v>-6.3745791019188943E-4</v>
      </c>
      <c r="J51">
        <f ca="1">($B$1+Table4[[#This Row],[Home Differential]])-Table4[[#This Row],[Away Differential]]</f>
        <v>-1.2271586447070224</v>
      </c>
      <c r="K51" t="str">
        <f ca="1">IF(Table4[[#This Row],[HomeIce Differential]]&gt;0,Table4[[#This Row],[Home]],Table4[[#This Row],[Visitor]])</f>
        <v>Vegas Golden Knights</v>
      </c>
      <c r="L51" s="11">
        <f ca="1"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0.65080269320547146</v>
      </c>
      <c r="M51" t="str">
        <f ca="1">IF(OR((NHL2025_26Results[[#This Row],[Winning Team]]="")),"-",IF(Table4[[#This Row],[Predicted Winner]]=NHL2025_26Results[[#This Row],[Winning Team]],"YES","NO"))</f>
        <v>YES</v>
      </c>
      <c r="N51">
        <f ca="1">IF(Table4[[#This Row],[Adjusted Correct]]="-", "",IF(Table4[[#This Row],[Adjusted Correct]]="YES",(Table4[[#This Row],[Strength of Win]]-1)^2,(Table4[[#This Row],[Strength of Win]]-0)^2))</f>
        <v>0.12193875907255208</v>
      </c>
      <c r="O51">
        <v>-2.7999232315021185</v>
      </c>
      <c r="P51" s="11"/>
      <c r="Q51" t="s">
        <v>20</v>
      </c>
      <c r="R51" t="s">
        <v>248</v>
      </c>
    </row>
    <row r="52" spans="1:18" x14ac:dyDescent="0.2">
      <c r="A52" s="4" t="s">
        <v>34</v>
      </c>
      <c r="B52" s="12">
        <v>0.375</v>
      </c>
      <c r="D52" s="1">
        <v>45944</v>
      </c>
      <c r="E52" s="2">
        <v>0.89583333333333337</v>
      </c>
      <c r="F52" t="s">
        <v>39</v>
      </c>
      <c r="G52">
        <f>VLOOKUP(Table4[[#This Row],[Home]],'NHL Model'!$A$6:$B$38,2,FALSE)</f>
        <v>0.19809534061227302</v>
      </c>
      <c r="H52" t="s">
        <v>34</v>
      </c>
      <c r="I52">
        <f>VLOOKUP(Table4[[#This Row],[Visitor]],'NHL Model'!$A$6:$B$38,2,FALSE)</f>
        <v>-0.53650300840565446</v>
      </c>
      <c r="J52">
        <f ca="1">($B$1+Table4[[#This Row],[Home Differential]])-Table4[[#This Row],[Away Differential]]</f>
        <v>0.89717065868024592</v>
      </c>
      <c r="K52" t="str">
        <f ca="1">IF(Table4[[#This Row],[HomeIce Differential]]&gt;0,Table4[[#This Row],[Home]],Table4[[#This Row],[Visitor]])</f>
        <v>Dallas Stars</v>
      </c>
      <c r="L52" s="11">
        <f ca="1"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0.69034850377590873</v>
      </c>
      <c r="M52" t="str">
        <f ca="1">IF(OR((NHL2025_26Results[[#This Row],[Winning Team]]="")),"-",IF(Table4[[#This Row],[Predicted Winner]]=NHL2025_26Results[[#This Row],[Winning Team]],"YES","NO"))</f>
        <v>YES</v>
      </c>
      <c r="N52">
        <f ca="1">IF(Table4[[#This Row],[Adjusted Correct]]="-", "",IF(Table4[[#This Row],[Adjusted Correct]]="YES",(Table4[[#This Row],[Strength of Win]]-1)^2,(Table4[[#This Row],[Strength of Win]]-0)^2))</f>
        <v>9.5884049113818412E-2</v>
      </c>
      <c r="O52">
        <v>1.6430406835080806</v>
      </c>
      <c r="P52" s="11"/>
      <c r="Q52" t="s">
        <v>39</v>
      </c>
      <c r="R52" t="s">
        <v>248</v>
      </c>
    </row>
    <row r="53" spans="1:18" x14ac:dyDescent="0.2">
      <c r="A53" s="4" t="s">
        <v>18</v>
      </c>
      <c r="B53" s="12">
        <v>0.66666666666666663</v>
      </c>
      <c r="D53" s="1">
        <v>45944</v>
      </c>
      <c r="E53" s="2">
        <v>0.79166666666666663</v>
      </c>
      <c r="F53" t="s">
        <v>18</v>
      </c>
      <c r="G53">
        <f>VLOOKUP(Table4[[#This Row],[Home]],'NHL Model'!$A$6:$B$38,2,FALSE)</f>
        <v>-0.52437726201848234</v>
      </c>
      <c r="H53" t="s">
        <v>32</v>
      </c>
      <c r="I53">
        <f>VLOOKUP(Table4[[#This Row],[Visitor]],'NHL Model'!$A$6:$B$38,2,FALSE)</f>
        <v>-0.361361309178443</v>
      </c>
      <c r="J53">
        <f ca="1">($B$1+Table4[[#This Row],[Home Differential]])-Table4[[#This Row],[Away Differential]]</f>
        <v>-4.4364317772094264E-4</v>
      </c>
      <c r="K53" t="str">
        <f ca="1">IF(Table4[[#This Row],[HomeIce Differential]]&gt;0,Table4[[#This Row],[Home]],Table4[[#This Row],[Visitor]])</f>
        <v>Seattle Kraken</v>
      </c>
      <c r="L53" s="11">
        <f ca="1"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0.46006147060603736</v>
      </c>
      <c r="M53" t="str">
        <f ca="1">IF(OR((NHL2025_26Results[[#This Row],[Winning Team]]="")),"-",IF(Table4[[#This Row],[Predicted Winner]]=NHL2025_26Results[[#This Row],[Winning Team]],"YES","NO"))</f>
        <v>NO</v>
      </c>
      <c r="N53">
        <f ca="1">IF(Table4[[#This Row],[Adjusted Correct]]="-", "",IF(Table4[[#This Row],[Adjusted Correct]]="YES",(Table4[[#This Row],[Strength of Win]]-1)^2,(Table4[[#This Row],[Strength of Win]]-0)^2))</f>
        <v>0.21165655673618977</v>
      </c>
      <c r="O53">
        <v>0.85958615494926893</v>
      </c>
      <c r="P53" s="11"/>
      <c r="Q53" t="s">
        <v>18</v>
      </c>
      <c r="R53" t="s">
        <v>248</v>
      </c>
    </row>
    <row r="54" spans="1:18" x14ac:dyDescent="0.2">
      <c r="A54" s="4" t="s">
        <v>29</v>
      </c>
      <c r="B54" s="12">
        <v>0.4</v>
      </c>
      <c r="D54" s="1">
        <v>45944</v>
      </c>
      <c r="E54" s="2">
        <v>0.79166666666666663</v>
      </c>
      <c r="F54" t="s">
        <v>15</v>
      </c>
      <c r="G54">
        <f>VLOOKUP(Table4[[#This Row],[Home]],'NHL Model'!$A$6:$B$38,2,FALSE)</f>
        <v>-0.30719665303039001</v>
      </c>
      <c r="H54" t="s">
        <v>17</v>
      </c>
      <c r="I54">
        <f>VLOOKUP(Table4[[#This Row],[Visitor]],'NHL Model'!$A$6:$B$38,2,FALSE)</f>
        <v>-0.61980804137564283</v>
      </c>
      <c r="J54">
        <f ca="1">($B$1+Table4[[#This Row],[Home Differential]])-Table4[[#This Row],[Away Differential]]</f>
        <v>0.47518369800757121</v>
      </c>
      <c r="K54" t="str">
        <f ca="1">IF(Table4[[#This Row],[HomeIce Differential]]&gt;0,Table4[[#This Row],[Home]],Table4[[#This Row],[Visitor]])</f>
        <v>New York Rangers</v>
      </c>
      <c r="L54" s="11">
        <f ca="1"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0.60584081839294235</v>
      </c>
      <c r="M54" t="str">
        <f ca="1">IF(OR((NHL2025_26Results[[#This Row],[Winning Team]]="")),"-",IF(Table4[[#This Row],[Predicted Winner]]=NHL2025_26Results[[#This Row],[Winning Team]],"YES","NO"))</f>
        <v>NO</v>
      </c>
      <c r="N54">
        <f ca="1">IF(Table4[[#This Row],[Adjusted Correct]]="-", "",IF(Table4[[#This Row],[Adjusted Correct]]="YES",(Table4[[#This Row],[Strength of Win]]-1)^2,(Table4[[#This Row],[Strength of Win]]-0)^2))</f>
        <v>0.36704309723103012</v>
      </c>
      <c r="O54">
        <v>-0.16117643107239488</v>
      </c>
      <c r="P54" s="11"/>
      <c r="Q54" t="s">
        <v>17</v>
      </c>
      <c r="R54" t="s">
        <v>248</v>
      </c>
    </row>
    <row r="55" spans="1:18" x14ac:dyDescent="0.2">
      <c r="A55" s="4" t="s">
        <v>24</v>
      </c>
      <c r="B55" s="12">
        <v>1</v>
      </c>
      <c r="D55" s="1">
        <v>45944</v>
      </c>
      <c r="E55" s="2">
        <v>0.91666666666666663</v>
      </c>
      <c r="F55" t="s">
        <v>33</v>
      </c>
      <c r="G55">
        <f>VLOOKUP(Table4[[#This Row],[Home]],'NHL Model'!$A$6:$B$38,2,FALSE)</f>
        <v>-0.39418177254008485</v>
      </c>
      <c r="H55" t="s">
        <v>25</v>
      </c>
      <c r="I55">
        <f>VLOOKUP(Table4[[#This Row],[Visitor]],'NHL Model'!$A$6:$B$38,2,FALSE)</f>
        <v>0.67193921242367816</v>
      </c>
      <c r="J55">
        <f ca="1">($B$1+Table4[[#This Row],[Home Differential]])-Table4[[#This Row],[Away Differential]]</f>
        <v>-0.90354867530144456</v>
      </c>
      <c r="K55" t="str">
        <f ca="1">IF(Table4[[#This Row],[HomeIce Differential]]&gt;0,Table4[[#This Row],[Home]],Table4[[#This Row],[Visitor]])</f>
        <v>Carolina Hurricanes</v>
      </c>
      <c r="L55" s="11">
        <f ca="1"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0.67768068523472857</v>
      </c>
      <c r="M55" t="str">
        <f ca="1">IF(OR((NHL2025_26Results[[#This Row],[Winning Team]]="")),"-",IF(Table4[[#This Row],[Predicted Winner]]=NHL2025_26Results[[#This Row],[Winning Team]],"YES","NO"))</f>
        <v>YES</v>
      </c>
      <c r="N55">
        <f ca="1">IF(Table4[[#This Row],[Adjusted Correct]]="-", "",IF(Table4[[#This Row],[Adjusted Correct]]="YES",(Table4[[#This Row],[Strength of Win]]-1)^2,(Table4[[#This Row],[Strength of Win]]-0)^2))</f>
        <v>0.10388974067075411</v>
      </c>
      <c r="O55">
        <v>-5.0405968411257467</v>
      </c>
      <c r="P55" s="11"/>
      <c r="Q55" t="s">
        <v>25</v>
      </c>
      <c r="R55" t="s">
        <v>248</v>
      </c>
    </row>
    <row r="56" spans="1:18" x14ac:dyDescent="0.2">
      <c r="A56" s="4" t="s">
        <v>30</v>
      </c>
      <c r="B56" s="12">
        <v>0.5</v>
      </c>
      <c r="D56" s="1">
        <v>45944</v>
      </c>
      <c r="E56" s="2">
        <v>0.79166666666666663</v>
      </c>
      <c r="F56" t="s">
        <v>19</v>
      </c>
      <c r="G56">
        <f>VLOOKUP(Table4[[#This Row],[Home]],'NHL Model'!$A$6:$B$38,2,FALSE)</f>
        <v>-0.635565543477981</v>
      </c>
      <c r="H56" t="s">
        <v>29</v>
      </c>
      <c r="I56">
        <f>VLOOKUP(Table4[[#This Row],[Visitor]],'NHL Model'!$A$6:$B$38,2,FALSE)</f>
        <v>-1.3516250707060606</v>
      </c>
      <c r="J56">
        <f ca="1">($B$1+Table4[[#This Row],[Home Differential]])-Table4[[#This Row],[Away Differential]]</f>
        <v>0.87863183689039803</v>
      </c>
      <c r="K56" t="str">
        <f ca="1">IF(Table4[[#This Row],[HomeIce Differential]]&gt;0,Table4[[#This Row],[Home]],Table4[[#This Row],[Visitor]])</f>
        <v>Toronto Maple Leafs</v>
      </c>
      <c r="L56" s="11">
        <f ca="1"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0.66174205354586113</v>
      </c>
      <c r="M56" t="str">
        <f ca="1">IF(OR((NHL2025_26Results[[#This Row],[Winning Team]]="")),"-",IF(Table4[[#This Row],[Predicted Winner]]=NHL2025_26Results[[#This Row],[Winning Team]],"YES","NO"))</f>
        <v>YES</v>
      </c>
      <c r="N56">
        <f ca="1">IF(Table4[[#This Row],[Adjusted Correct]]="-", "",IF(Table4[[#This Row],[Adjusted Correct]]="YES",(Table4[[#This Row],[Strength of Win]]-1)^2,(Table4[[#This Row],[Strength of Win]]-0)^2))</f>
        <v>0.11441843833937108</v>
      </c>
      <c r="O56">
        <v>2.1298584308104078</v>
      </c>
      <c r="P56" s="11"/>
      <c r="Q56" t="s">
        <v>19</v>
      </c>
      <c r="R56" t="s">
        <v>248</v>
      </c>
    </row>
    <row r="57" spans="1:18" x14ac:dyDescent="0.2">
      <c r="A57" s="4" t="s">
        <v>15</v>
      </c>
      <c r="B57" s="12">
        <v>0</v>
      </c>
      <c r="D57" s="1">
        <v>45944</v>
      </c>
      <c r="E57" s="2">
        <v>0.79166666666666663</v>
      </c>
      <c r="F57" t="s">
        <v>22</v>
      </c>
      <c r="G57">
        <f>VLOOKUP(Table4[[#This Row],[Home]],'NHL Model'!$A$6:$B$38,2,FALSE)</f>
        <v>-6.1308839486784707E-2</v>
      </c>
      <c r="H57" t="s">
        <v>37</v>
      </c>
      <c r="I57">
        <f>VLOOKUP(Table4[[#This Row],[Visitor]],'NHL Model'!$A$6:$B$38,2,FALSE)</f>
        <v>-0.11309445867623392</v>
      </c>
      <c r="J57">
        <f ca="1">($B$1+Table4[[#This Row],[Home Differential]])-Table4[[#This Row],[Away Differential]]</f>
        <v>0.21435792885176763</v>
      </c>
      <c r="K57" t="str">
        <f ca="1">IF(Table4[[#This Row],[HomeIce Differential]]&gt;0,Table4[[#This Row],[Home]],Table4[[#This Row],[Visitor]])</f>
        <v>Washington Capitals</v>
      </c>
      <c r="L57" s="11">
        <f ca="1"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0.52260175677791987</v>
      </c>
      <c r="M57" t="str">
        <f ca="1">IF(OR((NHL2025_26Results[[#This Row],[Winning Team]]="")),"-",IF(Table4[[#This Row],[Predicted Winner]]=NHL2025_26Results[[#This Row],[Winning Team]],"YES","NO"))</f>
        <v>YES</v>
      </c>
      <c r="N57">
        <f ca="1">IF(Table4[[#This Row],[Adjusted Correct]]="-", "",IF(Table4[[#This Row],[Adjusted Correct]]="YES",(Table4[[#This Row],[Strength of Win]]-1)^2,(Table4[[#This Row],[Strength of Win]]-0)^2))</f>
        <v>0.22790908263152837</v>
      </c>
      <c r="O57">
        <v>0.14833899542151885</v>
      </c>
      <c r="P57" s="11"/>
      <c r="Q57" t="s">
        <v>22</v>
      </c>
      <c r="R57" t="s">
        <v>248</v>
      </c>
    </row>
    <row r="58" spans="1:18" x14ac:dyDescent="0.2">
      <c r="A58" s="4" t="s">
        <v>36</v>
      </c>
      <c r="B58" s="12">
        <v>0.5714285714285714</v>
      </c>
      <c r="D58" s="1">
        <v>45945</v>
      </c>
      <c r="E58" s="2">
        <v>0.79166666666666663</v>
      </c>
      <c r="F58" t="s">
        <v>23</v>
      </c>
      <c r="G58">
        <f>VLOOKUP(Table4[[#This Row],[Home]],'NHL Model'!$A$6:$B$38,2,FALSE)</f>
        <v>-0.8683412362501769</v>
      </c>
      <c r="H58" t="s">
        <v>36</v>
      </c>
      <c r="I58">
        <f>VLOOKUP(Table4[[#This Row],[Visitor]],'NHL Model'!$A$6:$B$38,2,FALSE)</f>
        <v>-0.40651947573390851</v>
      </c>
      <c r="J58">
        <f ca="1">($B$1+Table4[[#This Row],[Home Differential]])-Table4[[#This Row],[Away Differential]]</f>
        <v>-0.29924945085394999</v>
      </c>
      <c r="K58" t="str">
        <f ca="1">IF(Table4[[#This Row],[HomeIce Differential]]&gt;0,Table4[[#This Row],[Home]],Table4[[#This Row],[Visitor]])</f>
        <v>Ottawa Senators</v>
      </c>
      <c r="L58" s="11">
        <f ca="1"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0.50146360413977997</v>
      </c>
      <c r="M58" t="str">
        <f ca="1">IF(OR((NHL2025_26Results[[#This Row],[Winning Team]]="")),"-",IF(Table4[[#This Row],[Predicted Winner]]=NHL2025_26Results[[#This Row],[Winning Team]],"YES","NO"))</f>
        <v>NO</v>
      </c>
      <c r="N58">
        <f ca="1">IF(Table4[[#This Row],[Adjusted Correct]]="-", "",IF(Table4[[#This Row],[Adjusted Correct]]="YES",(Table4[[#This Row],[Strength of Win]]-1)^2,(Table4[[#This Row],[Strength of Win]]-0)^2))</f>
        <v>0.25146574627685797</v>
      </c>
      <c r="O58">
        <v>1.4455201446216579</v>
      </c>
      <c r="P58" s="11"/>
      <c r="Q58" t="s">
        <v>23</v>
      </c>
      <c r="R58" t="s">
        <v>248</v>
      </c>
    </row>
    <row r="59" spans="1:18" x14ac:dyDescent="0.2">
      <c r="A59" s="4" t="s">
        <v>27</v>
      </c>
      <c r="B59" s="12">
        <v>0.66666666666666663</v>
      </c>
      <c r="D59" s="1">
        <v>45945</v>
      </c>
      <c r="E59" s="2">
        <v>0.79166666666666663</v>
      </c>
      <c r="F59" t="s">
        <v>26</v>
      </c>
      <c r="G59">
        <f>VLOOKUP(Table4[[#This Row],[Home]],'NHL Model'!$A$6:$B$38,2,FALSE)</f>
        <v>-0.513643833119658</v>
      </c>
      <c r="H59" t="s">
        <v>11</v>
      </c>
      <c r="I59">
        <f>VLOOKUP(Table4[[#This Row],[Visitor]],'NHL Model'!$A$6:$B$38,2,FALSE)</f>
        <v>-0.28105923893144158</v>
      </c>
      <c r="J59">
        <f ca="1">($B$1+Table4[[#This Row],[Home Differential]])-Table4[[#This Row],[Away Differential]]</f>
        <v>-7.0012284525898028E-2</v>
      </c>
      <c r="K59" t="str">
        <f ca="1">IF(Table4[[#This Row],[HomeIce Differential]]&gt;0,Table4[[#This Row],[Home]],Table4[[#This Row],[Visitor]])</f>
        <v>Florida Panthers</v>
      </c>
      <c r="L59" s="11">
        <f ca="1"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0.4436630727646918</v>
      </c>
      <c r="M59" t="str">
        <f ca="1">IF(OR((NHL2025_26Results[[#This Row],[Winning Team]]="")),"-",IF(Table4[[#This Row],[Predicted Winner]]=NHL2025_26Results[[#This Row],[Winning Team]],"YES","NO"))</f>
        <v>NO</v>
      </c>
      <c r="N59">
        <f ca="1">IF(Table4[[#This Row],[Adjusted Correct]]="-", "",IF(Table4[[#This Row],[Adjusted Correct]]="YES",(Table4[[#This Row],[Strength of Win]]-1)^2,(Table4[[#This Row],[Strength of Win]]-0)^2))</f>
        <v>0.19683692213500822</v>
      </c>
      <c r="O59">
        <v>1.8633871095705374</v>
      </c>
      <c r="P59" s="11"/>
      <c r="Q59" t="s">
        <v>26</v>
      </c>
      <c r="R59" t="s">
        <v>248</v>
      </c>
    </row>
    <row r="60" spans="1:18" x14ac:dyDescent="0.2">
      <c r="A60" s="4" t="s">
        <v>14</v>
      </c>
      <c r="B60" s="12">
        <v>0.66666666666666663</v>
      </c>
      <c r="D60" s="1">
        <v>45945</v>
      </c>
      <c r="E60" s="2">
        <v>0.89583333333333337</v>
      </c>
      <c r="F60" t="s">
        <v>35</v>
      </c>
      <c r="G60">
        <f>VLOOKUP(Table4[[#This Row],[Home]],'NHL Model'!$A$6:$B$38,2,FALSE)</f>
        <v>-1.6211574240381006</v>
      </c>
      <c r="H60" t="s">
        <v>10</v>
      </c>
      <c r="I60">
        <f>VLOOKUP(Table4[[#This Row],[Visitor]],'NHL Model'!$A$6:$B$38,2,FALSE)</f>
        <v>0.30570968833820172</v>
      </c>
      <c r="J60">
        <f ca="1">($B$1+Table4[[#This Row],[Home Differential]])-Table4[[#This Row],[Away Differential]]</f>
        <v>-1.764294802713984</v>
      </c>
      <c r="K60" t="str">
        <f ca="1">IF(Table4[[#This Row],[HomeIce Differential]]&gt;0,Table4[[#This Row],[Home]],Table4[[#This Row],[Visitor]])</f>
        <v>Chicago Blackhawks</v>
      </c>
      <c r="L60" s="11">
        <f ca="1"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0.7252275616929752</v>
      </c>
      <c r="M60" t="str">
        <f ca="1">IF(OR((NHL2025_26Results[[#This Row],[Winning Team]]="")),"-",IF(Table4[[#This Row],[Predicted Winner]]=NHL2025_26Results[[#This Row],[Winning Team]],"YES","NO"))</f>
        <v>YES</v>
      </c>
      <c r="N60">
        <f ca="1">IF(Table4[[#This Row],[Adjusted Correct]]="-", "",IF(Table4[[#This Row],[Adjusted Correct]]="YES",(Table4[[#This Row],[Strength of Win]]-1)^2,(Table4[[#This Row],[Strength of Win]]-0)^2))</f>
        <v>7.5499892853187756E-2</v>
      </c>
      <c r="O60">
        <v>-4.2176854798538637</v>
      </c>
      <c r="P60" s="11"/>
      <c r="Q60" t="s">
        <v>10</v>
      </c>
      <c r="R60" t="s">
        <v>248</v>
      </c>
    </row>
    <row r="61" spans="1:18" x14ac:dyDescent="0.2">
      <c r="A61" s="4" t="s">
        <v>33</v>
      </c>
      <c r="B61" s="12">
        <v>0.33333333333333331</v>
      </c>
      <c r="D61" s="1">
        <v>45945</v>
      </c>
      <c r="E61" s="2">
        <v>0.89583333333333337</v>
      </c>
      <c r="F61" t="s">
        <v>55</v>
      </c>
      <c r="G61">
        <f>VLOOKUP(Table4[[#This Row],[Home]],'NHL Model'!$A$6:$B$38,2,FALSE)</f>
        <v>-0.12212311954851815</v>
      </c>
      <c r="H61" t="s">
        <v>16</v>
      </c>
      <c r="I61">
        <f>VLOOKUP(Table4[[#This Row],[Visitor]],'NHL Model'!$A$6:$B$38,2,FALSE)</f>
        <v>-1.3903684122795328</v>
      </c>
      <c r="J61">
        <f ca="1">($B$1+Table4[[#This Row],[Home Differential]])-Table4[[#This Row],[Away Differential]]</f>
        <v>1.430817602393333</v>
      </c>
      <c r="K61" t="str">
        <f ca="1">IF(Table4[[#This Row],[HomeIce Differential]]&gt;0,Table4[[#This Row],[Home]],Table4[[#This Row],[Visitor]])</f>
        <v>Utah Mammoth</v>
      </c>
      <c r="L61" s="11">
        <f ca="1"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0.80652468162580015</v>
      </c>
      <c r="M61" t="str">
        <f ca="1">IF(OR((NHL2025_26Results[[#This Row],[Winning Team]]="")),"-",IF(Table4[[#This Row],[Predicted Winner]]=NHL2025_26Results[[#This Row],[Winning Team]],"YES","NO"))</f>
        <v>YES</v>
      </c>
      <c r="N61">
        <f ca="1">IF(Table4[[#This Row],[Adjusted Correct]]="-", "",IF(Table4[[#This Row],[Adjusted Correct]]="YES",(Table4[[#This Row],[Strength of Win]]-1)^2,(Table4[[#This Row],[Strength of Win]]-0)^2))</f>
        <v>3.7432698819997993E-2</v>
      </c>
      <c r="O61">
        <v>2.479038166774715</v>
      </c>
      <c r="P61" s="11"/>
      <c r="Q61" t="s">
        <v>55</v>
      </c>
      <c r="R61" t="s">
        <v>248</v>
      </c>
    </row>
    <row r="62" spans="1:18" x14ac:dyDescent="0.2">
      <c r="A62" s="4" t="s">
        <v>32</v>
      </c>
      <c r="B62" s="12">
        <v>0.5714285714285714</v>
      </c>
      <c r="D62" s="1">
        <v>45946</v>
      </c>
      <c r="E62" s="2">
        <v>0.91666666666666663</v>
      </c>
      <c r="F62" t="s">
        <v>31</v>
      </c>
      <c r="G62">
        <f>VLOOKUP(Table4[[#This Row],[Home]],'NHL Model'!$A$6:$B$38,2,FALSE)</f>
        <v>0.51775546328552802</v>
      </c>
      <c r="H62" t="s">
        <v>25</v>
      </c>
      <c r="I62">
        <f>VLOOKUP(Table4[[#This Row],[Visitor]],'NHL Model'!$A$6:$B$38,2,FALSE)</f>
        <v>0.67193921242367816</v>
      </c>
      <c r="J62">
        <f ca="1">($B$1+Table4[[#This Row],[Home Differential]])-Table4[[#This Row],[Away Differential]]</f>
        <v>8.3885605241682537E-3</v>
      </c>
      <c r="K62" t="str">
        <f ca="1">IF(Table4[[#This Row],[HomeIce Differential]]&gt;0,Table4[[#This Row],[Home]],Table4[[#This Row],[Visitor]])</f>
        <v>Anaheim Ducks</v>
      </c>
      <c r="L62" s="11">
        <f ca="1"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0.55671786329541662</v>
      </c>
      <c r="M62" t="str">
        <f ca="1">IF(OR((NHL2025_26Results[[#This Row],[Winning Team]]="")),"-",IF(Table4[[#This Row],[Predicted Winner]]=NHL2025_26Results[[#This Row],[Winning Team]],"YES","NO"))</f>
        <v>NO</v>
      </c>
      <c r="N62">
        <f ca="1">IF(Table4[[#This Row],[Adjusted Correct]]="-", "",IF(Table4[[#This Row],[Adjusted Correct]]="YES",(Table4[[#This Row],[Strength of Win]]-1)^2,(Table4[[#This Row],[Strength of Win]]-0)^2))</f>
        <v>0.30993477931221419</v>
      </c>
      <c r="O62">
        <v>-4.3084880924528859</v>
      </c>
      <c r="P62" s="11"/>
      <c r="Q62" t="s">
        <v>25</v>
      </c>
      <c r="R62" t="s">
        <v>248</v>
      </c>
    </row>
    <row r="63" spans="1:18" x14ac:dyDescent="0.2">
      <c r="A63" s="4" t="s">
        <v>35</v>
      </c>
      <c r="B63" s="12">
        <v>0.25</v>
      </c>
      <c r="D63" s="1">
        <v>45946</v>
      </c>
      <c r="E63" s="2">
        <v>0.79166666666666663</v>
      </c>
      <c r="F63" t="s">
        <v>28</v>
      </c>
      <c r="G63">
        <f>VLOOKUP(Table4[[#This Row],[Home]],'NHL Model'!$A$6:$B$38,2,FALSE)</f>
        <v>-0.40822279081308277</v>
      </c>
      <c r="H63" t="s">
        <v>12</v>
      </c>
      <c r="I63">
        <f>VLOOKUP(Table4[[#This Row],[Visitor]],'NHL Model'!$A$6:$B$38,2,FALSE)</f>
        <v>1.5475013591489768</v>
      </c>
      <c r="J63">
        <f ca="1">($B$1+Table4[[#This Row],[Home Differential]])-Table4[[#This Row],[Away Differential]]</f>
        <v>-1.7931518402997413</v>
      </c>
      <c r="K63" t="str">
        <f ca="1">IF(Table4[[#This Row],[HomeIce Differential]]&gt;0,Table4[[#This Row],[Home]],Table4[[#This Row],[Visitor]])</f>
        <v>Colorado Avalanche</v>
      </c>
      <c r="L63" s="11">
        <f ca="1"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0.77477251297488592</v>
      </c>
      <c r="M63" t="str">
        <f ca="1">IF(OR((NHL2025_26Results[[#This Row],[Winning Team]]="")),"-",IF(Table4[[#This Row],[Predicted Winner]]=NHL2025_26Results[[#This Row],[Winning Team]],"YES","NO"))</f>
        <v>YES</v>
      </c>
      <c r="N63">
        <f ca="1">IF(Table4[[#This Row],[Adjusted Correct]]="-", "",IF(Table4[[#This Row],[Adjusted Correct]]="YES",(Table4[[#This Row],[Strength of Win]]-1)^2,(Table4[[#This Row],[Strength of Win]]-0)^2))</f>
        <v>5.0727420911647933E-2</v>
      </c>
      <c r="O63">
        <v>-1.5334194010980093</v>
      </c>
      <c r="P63" s="11"/>
      <c r="Q63" t="s">
        <v>12</v>
      </c>
      <c r="R63" t="s">
        <v>248</v>
      </c>
    </row>
    <row r="64" spans="1:18" x14ac:dyDescent="0.2">
      <c r="A64" s="4" t="s">
        <v>37</v>
      </c>
      <c r="B64" s="12">
        <v>0.5</v>
      </c>
      <c r="D64" s="1">
        <v>45946</v>
      </c>
      <c r="E64" s="2">
        <v>0.83333333333333337</v>
      </c>
      <c r="F64" t="s">
        <v>39</v>
      </c>
      <c r="G64">
        <f>VLOOKUP(Table4[[#This Row],[Home]],'NHL Model'!$A$6:$B$38,2,FALSE)</f>
        <v>0.19809534061227302</v>
      </c>
      <c r="H64" t="s">
        <v>38</v>
      </c>
      <c r="I64">
        <f>VLOOKUP(Table4[[#This Row],[Visitor]],'NHL Model'!$A$6:$B$38,2,FALSE)</f>
        <v>-0.6902088310934803</v>
      </c>
      <c r="J64">
        <f ca="1">($B$1+Table4[[#This Row],[Home Differential]])-Table4[[#This Row],[Away Differential]]</f>
        <v>1.0508764813680718</v>
      </c>
      <c r="K64" t="str">
        <f ca="1">IF(Table4[[#This Row],[HomeIce Differential]]&gt;0,Table4[[#This Row],[Home]],Table4[[#This Row],[Visitor]])</f>
        <v>Dallas Stars</v>
      </c>
      <c r="L64" s="11">
        <f ca="1"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0.66941756519074769</v>
      </c>
      <c r="M64" t="str">
        <f ca="1">IF(OR((NHL2025_26Results[[#This Row],[Winning Team]]="")),"-",IF(Table4[[#This Row],[Predicted Winner]]=NHL2025_26Results[[#This Row],[Winning Team]],"YES","NO"))</f>
        <v>NO</v>
      </c>
      <c r="N64">
        <f ca="1">IF(Table4[[#This Row],[Adjusted Correct]]="-", "",IF(Table4[[#This Row],[Adjusted Correct]]="YES",(Table4[[#This Row],[Strength of Win]]-1)^2,(Table4[[#This Row],[Strength of Win]]-0)^2))</f>
        <v>0.44811987658590891</v>
      </c>
      <c r="O64">
        <v>3.8850895497282538</v>
      </c>
      <c r="P64" s="11"/>
      <c r="Q64" t="s">
        <v>39</v>
      </c>
      <c r="R64" t="s">
        <v>249</v>
      </c>
    </row>
    <row r="65" spans="1:18" x14ac:dyDescent="0.2">
      <c r="A65" s="4" t="s">
        <v>19</v>
      </c>
      <c r="B65" s="12">
        <v>0.7</v>
      </c>
      <c r="D65" s="1">
        <v>45946</v>
      </c>
      <c r="E65" s="2">
        <v>0.91666666666666663</v>
      </c>
      <c r="F65" t="s">
        <v>13</v>
      </c>
      <c r="G65">
        <f>VLOOKUP(Table4[[#This Row],[Home]],'NHL Model'!$A$6:$B$38,2,FALSE)</f>
        <v>-7.5459708298993802E-2</v>
      </c>
      <c r="H65" t="s">
        <v>14</v>
      </c>
      <c r="I65">
        <f>VLOOKUP(Table4[[#This Row],[Visitor]],'NHL Model'!$A$6:$B$38,2,FALSE)</f>
        <v>0.26289091192875702</v>
      </c>
      <c r="J65">
        <f ca="1">($B$1+Table4[[#This Row],[Home Differential]])-Table4[[#This Row],[Away Differential]]</f>
        <v>-0.17577831056543242</v>
      </c>
      <c r="K65" t="str">
        <f ca="1">IF(Table4[[#This Row],[HomeIce Differential]]&gt;0,Table4[[#This Row],[Home]],Table4[[#This Row],[Visitor]])</f>
        <v>Pittsburgh Penguins</v>
      </c>
      <c r="L65" s="11">
        <f ca="1"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0.48435560788782039</v>
      </c>
      <c r="M65" t="str">
        <f ca="1">IF(OR((NHL2025_26Results[[#This Row],[Winning Team]]="")),"-",IF(Table4[[#This Row],[Predicted Winner]]=NHL2025_26Results[[#This Row],[Winning Team]],"YES","NO"))</f>
        <v>YES</v>
      </c>
      <c r="N65">
        <f ca="1">IF(Table4[[#This Row],[Adjusted Correct]]="-", "",IF(Table4[[#This Row],[Adjusted Correct]]="YES",(Table4[[#This Row],[Strength of Win]]-1)^2,(Table4[[#This Row],[Strength of Win]]-0)^2))</f>
        <v>0.26588913911673923</v>
      </c>
      <c r="O65">
        <v>-0.52754766201235714</v>
      </c>
      <c r="P65" s="11"/>
      <c r="Q65" t="s">
        <v>14</v>
      </c>
      <c r="R65" t="s">
        <v>248</v>
      </c>
    </row>
    <row r="66" spans="1:18" x14ac:dyDescent="0.2">
      <c r="A66" s="4" t="s">
        <v>55</v>
      </c>
      <c r="B66" s="12">
        <v>0.8</v>
      </c>
      <c r="D66" s="1">
        <v>45946</v>
      </c>
      <c r="E66" s="2">
        <v>0.79166666666666663</v>
      </c>
      <c r="F66" t="s">
        <v>18</v>
      </c>
      <c r="G66">
        <f>VLOOKUP(Table4[[#This Row],[Home]],'NHL Model'!$A$6:$B$38,2,FALSE)</f>
        <v>-0.52437726201848234</v>
      </c>
      <c r="H66" t="s">
        <v>29</v>
      </c>
      <c r="I66">
        <f>VLOOKUP(Table4[[#This Row],[Visitor]],'NHL Model'!$A$6:$B$38,2,FALSE)</f>
        <v>-1.3516250707060606</v>
      </c>
      <c r="J66">
        <f ca="1">($B$1+Table4[[#This Row],[Home Differential]])-Table4[[#This Row],[Away Differential]]</f>
        <v>0.98982011834989669</v>
      </c>
      <c r="K66" t="str">
        <f ca="1">IF(Table4[[#This Row],[HomeIce Differential]]&gt;0,Table4[[#This Row],[Home]],Table4[[#This Row],[Visitor]])</f>
        <v>Montreal Canadiens</v>
      </c>
      <c r="L66" s="11">
        <f ca="1"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0.6771481532872744</v>
      </c>
      <c r="M66" t="str">
        <f ca="1">IF(OR((NHL2025_26Results[[#This Row],[Winning Team]]="")),"-",IF(Table4[[#This Row],[Predicted Winner]]=NHL2025_26Results[[#This Row],[Winning Team]],"YES","NO"))</f>
        <v>YES</v>
      </c>
      <c r="N66">
        <f ca="1">IF(Table4[[#This Row],[Adjusted Correct]]="-", "",IF(Table4[[#This Row],[Adjusted Correct]]="YES",(Table4[[#This Row],[Strength of Win]]-1)^2,(Table4[[#This Row],[Strength of Win]]-0)^2))</f>
        <v>0.10423331492581726</v>
      </c>
      <c r="O66">
        <v>2.339648587475144</v>
      </c>
      <c r="P66" s="11"/>
      <c r="Q66" t="s">
        <v>18</v>
      </c>
      <c r="R66" t="s">
        <v>248</v>
      </c>
    </row>
    <row r="67" spans="1:18" x14ac:dyDescent="0.2">
      <c r="A67" s="4" t="s">
        <v>38</v>
      </c>
      <c r="B67" s="12">
        <v>0.33333333333333331</v>
      </c>
      <c r="D67" s="1">
        <v>45946</v>
      </c>
      <c r="E67" s="2">
        <v>0.79166666666666663</v>
      </c>
      <c r="F67" t="s">
        <v>24</v>
      </c>
      <c r="G67">
        <f>VLOOKUP(Table4[[#This Row],[Home]],'NHL Model'!$A$6:$B$38,2,FALSE)</f>
        <v>0.559441163373953</v>
      </c>
      <c r="H67" t="s">
        <v>11</v>
      </c>
      <c r="I67">
        <f>VLOOKUP(Table4[[#This Row],[Visitor]],'NHL Model'!$A$6:$B$38,2,FALSE)</f>
        <v>-0.28105923893144158</v>
      </c>
      <c r="J67">
        <f ca="1">($B$1+Table4[[#This Row],[Home Differential]])-Table4[[#This Row],[Away Differential]]</f>
        <v>1.003072711967713</v>
      </c>
      <c r="K67" t="str">
        <f ca="1">IF(Table4[[#This Row],[HomeIce Differential]]&gt;0,Table4[[#This Row],[Home]],Table4[[#This Row],[Visitor]])</f>
        <v>New Jersey Devils</v>
      </c>
      <c r="L67" s="11">
        <f ca="1"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0.79441512656516433</v>
      </c>
      <c r="M67" t="str">
        <f ca="1">IF(OR((NHL2025_26Results[[#This Row],[Winning Team]]="")),"-",IF(Table4[[#This Row],[Predicted Winner]]=NHL2025_26Results[[#This Row],[Winning Team]],"YES","NO"))</f>
        <v>YES</v>
      </c>
      <c r="N67">
        <f ca="1">IF(Table4[[#This Row],[Adjusted Correct]]="-", "",IF(Table4[[#This Row],[Adjusted Correct]]="YES",(Table4[[#This Row],[Strength of Win]]-1)^2,(Table4[[#This Row],[Strength of Win]]-0)^2))</f>
        <v>4.2265140185217404E-2</v>
      </c>
      <c r="O67">
        <v>-1.6909131319341026</v>
      </c>
      <c r="P67" s="11"/>
      <c r="Q67" t="s">
        <v>11</v>
      </c>
      <c r="R67" t="s">
        <v>249</v>
      </c>
    </row>
    <row r="68" spans="1:18" x14ac:dyDescent="0.2">
      <c r="A68" s="4" t="s">
        <v>20</v>
      </c>
      <c r="B68" s="12">
        <v>0.5714285714285714</v>
      </c>
      <c r="D68" s="1">
        <v>45946</v>
      </c>
      <c r="E68" s="2">
        <v>0.8125</v>
      </c>
      <c r="F68" t="s">
        <v>30</v>
      </c>
      <c r="G68">
        <f>VLOOKUP(Table4[[#This Row],[Home]],'NHL Model'!$A$6:$B$38,2,FALSE)</f>
        <v>-6.4729560818359025E-2</v>
      </c>
      <c r="H68" t="s">
        <v>17</v>
      </c>
      <c r="I68">
        <f>VLOOKUP(Table4[[#This Row],[Visitor]],'NHL Model'!$A$6:$B$38,2,FALSE)</f>
        <v>-0.61980804137564283</v>
      </c>
      <c r="J68">
        <f ca="1">($B$1+Table4[[#This Row],[Home Differential]])-Table4[[#This Row],[Away Differential]]</f>
        <v>0.71765079021960221</v>
      </c>
      <c r="K68" t="str">
        <f ca="1">IF(Table4[[#This Row],[HomeIce Differential]]&gt;0,Table4[[#This Row],[Home]],Table4[[#This Row],[Visitor]])</f>
        <v>New York Islanders</v>
      </c>
      <c r="L68" s="11">
        <f ca="1"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0.63943673477545848</v>
      </c>
      <c r="M68" t="str">
        <f ca="1">IF(OR((NHL2025_26Results[[#This Row],[Winning Team]]="")),"-",IF(Table4[[#This Row],[Predicted Winner]]=NHL2025_26Results[[#This Row],[Winning Team]],"YES","NO"))</f>
        <v>YES</v>
      </c>
      <c r="N68">
        <f ca="1">IF(Table4[[#This Row],[Adjusted Correct]]="-", "",IF(Table4[[#This Row],[Adjusted Correct]]="YES",(Table4[[#This Row],[Strength of Win]]-1)^2,(Table4[[#This Row],[Strength of Win]]-0)^2))</f>
        <v>0.13000586822938306</v>
      </c>
      <c r="O68">
        <v>-1.6728852332952138</v>
      </c>
      <c r="P68" s="11"/>
      <c r="Q68" t="s">
        <v>17</v>
      </c>
      <c r="R68" t="s">
        <v>249</v>
      </c>
    </row>
    <row r="69" spans="1:18" x14ac:dyDescent="0.2">
      <c r="A69" s="4" t="s">
        <v>22</v>
      </c>
      <c r="B69" s="12">
        <v>0.5</v>
      </c>
      <c r="D69" s="1">
        <v>45946</v>
      </c>
      <c r="E69" s="2">
        <v>0.79166666666666663</v>
      </c>
      <c r="F69" t="s">
        <v>36</v>
      </c>
      <c r="G69">
        <f>VLOOKUP(Table4[[#This Row],[Home]],'NHL Model'!$A$6:$B$38,2,FALSE)</f>
        <v>-0.40651947573390851</v>
      </c>
      <c r="H69" t="s">
        <v>32</v>
      </c>
      <c r="I69">
        <f>VLOOKUP(Table4[[#This Row],[Visitor]],'NHL Model'!$A$6:$B$38,2,FALSE)</f>
        <v>-0.361361309178443</v>
      </c>
      <c r="J69">
        <f ca="1">($B$1+Table4[[#This Row],[Home Differential]])-Table4[[#This Row],[Away Differential]]</f>
        <v>0.11741414310685289</v>
      </c>
      <c r="K69" t="str">
        <f ca="1">IF(Table4[[#This Row],[HomeIce Differential]]&gt;0,Table4[[#This Row],[Home]],Table4[[#This Row],[Visitor]])</f>
        <v>Ottawa Senators</v>
      </c>
      <c r="L69" s="11">
        <f ca="1"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0.55876422601841536</v>
      </c>
      <c r="M69" t="str">
        <f ca="1">IF(OR((NHL2025_26Results[[#This Row],[Winning Team]]="")),"-",IF(Table4[[#This Row],[Predicted Winner]]=NHL2025_26Results[[#This Row],[Winning Team]],"YES","NO"))</f>
        <v>YES</v>
      </c>
      <c r="N69">
        <f ca="1">IF(Table4[[#This Row],[Adjusted Correct]]="-", "",IF(Table4[[#This Row],[Adjusted Correct]]="YES",(Table4[[#This Row],[Strength of Win]]-1)^2,(Table4[[#This Row],[Strength of Win]]-0)^2))</f>
        <v>0.19468900824112806</v>
      </c>
      <c r="O69">
        <v>-4.8332640228227977</v>
      </c>
      <c r="P69" s="11"/>
      <c r="Q69" t="s">
        <v>32</v>
      </c>
      <c r="R69" t="s">
        <v>249</v>
      </c>
    </row>
    <row r="70" spans="1:18" x14ac:dyDescent="0.2">
      <c r="A70" s="4" t="s">
        <v>40</v>
      </c>
      <c r="B70" s="12">
        <v>0.625</v>
      </c>
      <c r="D70" s="1">
        <v>45946</v>
      </c>
      <c r="E70" s="2">
        <v>0.79166666666666663</v>
      </c>
      <c r="F70" t="s">
        <v>27</v>
      </c>
      <c r="G70">
        <f>VLOOKUP(Table4[[#This Row],[Home]],'NHL Model'!$A$6:$B$38,2,FALSE)</f>
        <v>-0.51358590497437617</v>
      </c>
      <c r="H70" t="s">
        <v>40</v>
      </c>
      <c r="I70">
        <f>VLOOKUP(Table4[[#This Row],[Visitor]],'NHL Model'!$A$6:$B$38,2,FALSE)</f>
        <v>0.105105258369765</v>
      </c>
      <c r="J70">
        <f ca="1">($B$1+Table4[[#This Row],[Home Differential]])-Table4[[#This Row],[Away Differential]]</f>
        <v>-0.45611885368182281</v>
      </c>
      <c r="K70" t="str">
        <f ca="1">IF(Table4[[#This Row],[HomeIce Differential]]&gt;0,Table4[[#This Row],[Home]],Table4[[#This Row],[Visitor]])</f>
        <v>Winnipeg Jets</v>
      </c>
      <c r="L70" s="11">
        <f ca="1"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0.58700874284161997</v>
      </c>
      <c r="M70" t="str">
        <f ca="1">IF(OR((NHL2025_26Results[[#This Row],[Winning Team]]="")),"-",IF(Table4[[#This Row],[Predicted Winner]]=NHL2025_26Results[[#This Row],[Winning Team]],"YES","NO"))</f>
        <v>YES</v>
      </c>
      <c r="N70">
        <f ca="1">IF(Table4[[#This Row],[Adjusted Correct]]="-", "",IF(Table4[[#This Row],[Adjusted Correct]]="YES",(Table4[[#This Row],[Strength of Win]]-1)^2,(Table4[[#This Row],[Strength of Win]]-0)^2))</f>
        <v>0.17056177848925919</v>
      </c>
      <c r="O70">
        <v>0.86525103971963047</v>
      </c>
      <c r="P70" s="11"/>
      <c r="Q70" t="s">
        <v>27</v>
      </c>
      <c r="R70" t="s">
        <v>249</v>
      </c>
    </row>
    <row r="71" spans="1:18" x14ac:dyDescent="0.2">
      <c r="A71" s="4" t="s">
        <v>45</v>
      </c>
      <c r="B71" s="12">
        <v>17.521428571428572</v>
      </c>
      <c r="D71" s="1">
        <v>45946</v>
      </c>
      <c r="E71" s="2">
        <v>0.79166666666666663</v>
      </c>
      <c r="F71" t="s">
        <v>19</v>
      </c>
      <c r="G71">
        <f>VLOOKUP(Table4[[#This Row],[Home]],'NHL Model'!$A$6:$B$38,2,FALSE)</f>
        <v>-0.635565543477981</v>
      </c>
      <c r="H71" t="s">
        <v>15</v>
      </c>
      <c r="I71">
        <f>VLOOKUP(Table4[[#This Row],[Visitor]],'NHL Model'!$A$6:$B$38,2,FALSE)</f>
        <v>-0.30719665303039001</v>
      </c>
      <c r="J71">
        <f ca="1">($B$1+Table4[[#This Row],[Home Differential]])-Table4[[#This Row],[Away Differential]]</f>
        <v>-0.1657965807852726</v>
      </c>
      <c r="K71" t="str">
        <f ca="1">IF(Table4[[#This Row],[HomeIce Differential]]&gt;0,Table4[[#This Row],[Home]],Table4[[#This Row],[Visitor]])</f>
        <v>New York Rangers</v>
      </c>
      <c r="L71" s="11">
        <f ca="1"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0.62538219129839789</v>
      </c>
      <c r="M71" t="str">
        <f ca="1">IF(OR((NHL2025_26Results[[#This Row],[Winning Team]]="")),"-",IF(Table4[[#This Row],[Predicted Winner]]=NHL2025_26Results[[#This Row],[Winning Team]],"YES","NO"))</f>
        <v>NO</v>
      </c>
      <c r="N71">
        <f ca="1">IF(Table4[[#This Row],[Adjusted Correct]]="-", "",IF(Table4[[#This Row],[Adjusted Correct]]="YES",(Table4[[#This Row],[Strength of Win]]-1)^2,(Table4[[#This Row],[Strength of Win]]-0)^2))</f>
        <v>0.39110288519318592</v>
      </c>
      <c r="O71">
        <v>2.9856907520763394</v>
      </c>
      <c r="P71" s="11"/>
      <c r="Q71" t="s">
        <v>19</v>
      </c>
      <c r="R71" t="s">
        <v>248</v>
      </c>
    </row>
    <row r="72" spans="1:18" x14ac:dyDescent="0.2">
      <c r="D72" s="1">
        <v>45946</v>
      </c>
      <c r="E72" s="2">
        <v>0.91666666666666663</v>
      </c>
      <c r="F72" t="s">
        <v>20</v>
      </c>
      <c r="G72">
        <f>VLOOKUP(Table4[[#This Row],[Home]],'NHL Model'!$A$6:$B$38,2,FALSE)</f>
        <v>-6.3745791019188943E-4</v>
      </c>
      <c r="H72" t="s">
        <v>21</v>
      </c>
      <c r="I72">
        <f>VLOOKUP(Table4[[#This Row],[Visitor]],'NHL Model'!$A$6:$B$38,2,FALSE)</f>
        <v>4.029141914856392E-2</v>
      </c>
      <c r="J72">
        <f ca="1">($B$1+Table4[[#This Row],[Home Differential]])-Table4[[#This Row],[Away Differential]]</f>
        <v>0.12164343260356257</v>
      </c>
      <c r="K72" t="str">
        <f ca="1">IF(Table4[[#This Row],[HomeIce Differential]]&gt;0,Table4[[#This Row],[Home]],Table4[[#This Row],[Visitor]])</f>
        <v>Vegas Golden Knights</v>
      </c>
      <c r="L72" s="11">
        <f ca="1"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0.55685475151678643</v>
      </c>
      <c r="M72" t="str">
        <f ca="1">IF(OR((NHL2025_26Results[[#This Row],[Winning Team]]="")),"-",IF(Table4[[#This Row],[Predicted Winner]]=NHL2025_26Results[[#This Row],[Winning Team]],"YES","NO"))</f>
        <v>YES</v>
      </c>
      <c r="N72">
        <f ca="1">IF(Table4[[#This Row],[Adjusted Correct]]="-", "",IF(Table4[[#This Row],[Adjusted Correct]]="YES",(Table4[[#This Row],[Strength of Win]]-1)^2,(Table4[[#This Row],[Strength of Win]]-0)^2))</f>
        <v>0.1963777112532491</v>
      </c>
      <c r="O72">
        <v>-2.5601464660303166</v>
      </c>
      <c r="P72" s="11"/>
      <c r="Q72" t="s">
        <v>21</v>
      </c>
      <c r="R72" t="s">
        <v>249</v>
      </c>
    </row>
    <row r="73" spans="1:18" x14ac:dyDescent="0.2">
      <c r="D73" s="1">
        <v>45947</v>
      </c>
      <c r="E73" s="2">
        <v>0.85416666666666663</v>
      </c>
      <c r="F73" t="s">
        <v>10</v>
      </c>
      <c r="G73">
        <f>VLOOKUP(Table4[[#This Row],[Home]],'NHL Model'!$A$6:$B$38,2,FALSE)</f>
        <v>0.30570968833820172</v>
      </c>
      <c r="H73" t="s">
        <v>38</v>
      </c>
      <c r="I73">
        <f>VLOOKUP(Table4[[#This Row],[Visitor]],'NHL Model'!$A$6:$B$38,2,FALSE)</f>
        <v>-0.6902088310934803</v>
      </c>
      <c r="J73">
        <f ca="1">($B$1+Table4[[#This Row],[Home Differential]])-Table4[[#This Row],[Away Differential]]</f>
        <v>1.1584908290940004</v>
      </c>
      <c r="K73" t="str">
        <f ca="1">IF(Table4[[#This Row],[HomeIce Differential]]&gt;0,Table4[[#This Row],[Home]],Table4[[#This Row],[Visitor]])</f>
        <v>Chicago Blackhawks</v>
      </c>
      <c r="L73" s="11">
        <f ca="1"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0.65800637882489976</v>
      </c>
      <c r="M73" t="str">
        <f ca="1">IF(OR((NHL2025_26Results[[#This Row],[Winning Team]]="")),"-",IF(Table4[[#This Row],[Predicted Winner]]=NHL2025_26Results[[#This Row],[Winning Team]],"YES","NO"))</f>
        <v>NO</v>
      </c>
      <c r="N73">
        <f ca="1">IF(Table4[[#This Row],[Adjusted Correct]]="-", "",IF(Table4[[#This Row],[Adjusted Correct]]="YES",(Table4[[#This Row],[Strength of Win]]-1)^2,(Table4[[#This Row],[Strength of Win]]-0)^2))</f>
        <v>0.43297239457425751</v>
      </c>
      <c r="O73">
        <v>0.50461758683915225</v>
      </c>
      <c r="P73" s="11"/>
      <c r="Q73" t="s">
        <v>10</v>
      </c>
      <c r="R73" t="s">
        <v>249</v>
      </c>
    </row>
    <row r="74" spans="1:18" x14ac:dyDescent="0.2">
      <c r="D74" s="1">
        <v>45947</v>
      </c>
      <c r="E74" s="2">
        <v>0.79166666666666663</v>
      </c>
      <c r="F74" t="s">
        <v>26</v>
      </c>
      <c r="G74">
        <f>VLOOKUP(Table4[[#This Row],[Home]],'NHL Model'!$A$6:$B$38,2,FALSE)</f>
        <v>-0.513643833119658</v>
      </c>
      <c r="H74" t="s">
        <v>37</v>
      </c>
      <c r="I74">
        <f>VLOOKUP(Table4[[#This Row],[Visitor]],'NHL Model'!$A$6:$B$38,2,FALSE)</f>
        <v>-0.11309445867623392</v>
      </c>
      <c r="J74">
        <f ca="1">($B$1+Table4[[#This Row],[Home Differential]])-Table4[[#This Row],[Away Differential]]</f>
        <v>-0.2379770647811057</v>
      </c>
      <c r="K74" t="str">
        <f ca="1">IF(Table4[[#This Row],[HomeIce Differential]]&gt;0,Table4[[#This Row],[Home]],Table4[[#This Row],[Visitor]])</f>
        <v>Tampa Bay Lightning</v>
      </c>
      <c r="L74" s="11">
        <f ca="1"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0.51374301494919361</v>
      </c>
      <c r="M74" t="str">
        <f ca="1">IF(OR((NHL2025_26Results[[#This Row],[Winning Team]]="")),"-",IF(Table4[[#This Row],[Predicted Winner]]=NHL2025_26Results[[#This Row],[Winning Team]],"YES","NO"))</f>
        <v>NO</v>
      </c>
      <c r="N74">
        <f ca="1">IF(Table4[[#This Row],[Adjusted Correct]]="-", "",IF(Table4[[#This Row],[Adjusted Correct]]="YES",(Table4[[#This Row],[Strength of Win]]-1)^2,(Table4[[#This Row],[Strength of Win]]-0)^2))</f>
        <v>0.26393188540908735</v>
      </c>
      <c r="O74">
        <v>2.1140058846338787</v>
      </c>
      <c r="P74" s="11"/>
      <c r="Q74" t="s">
        <v>26</v>
      </c>
      <c r="R74" t="s">
        <v>248</v>
      </c>
    </row>
    <row r="75" spans="1:18" x14ac:dyDescent="0.2">
      <c r="D75" s="1">
        <v>45947</v>
      </c>
      <c r="E75" s="2">
        <v>0.875</v>
      </c>
      <c r="F75" t="s">
        <v>55</v>
      </c>
      <c r="G75">
        <f>VLOOKUP(Table4[[#This Row],[Home]],'NHL Model'!$A$6:$B$38,2,FALSE)</f>
        <v>-0.12212311954851815</v>
      </c>
      <c r="H75" t="s">
        <v>33</v>
      </c>
      <c r="I75">
        <f>VLOOKUP(Table4[[#This Row],[Visitor]],'NHL Model'!$A$6:$B$38,2,FALSE)</f>
        <v>-0.39418177254008485</v>
      </c>
      <c r="J75">
        <f ca="1">($B$1+Table4[[#This Row],[Home Differential]])-Table4[[#This Row],[Away Differential]]</f>
        <v>0.43463096265388512</v>
      </c>
      <c r="K75" t="str">
        <f ca="1">IF(Table4[[#This Row],[HomeIce Differential]]&gt;0,Table4[[#This Row],[Home]],Table4[[#This Row],[Visitor]])</f>
        <v>Utah Mammoth</v>
      </c>
      <c r="L75" s="11">
        <f ca="1"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0.66849439163989366</v>
      </c>
      <c r="M75" t="str">
        <f ca="1">IF(OR((NHL2025_26Results[[#This Row],[Winning Team]]="")),"-",IF(Table4[[#This Row],[Predicted Winner]]=NHL2025_26Results[[#This Row],[Winning Team]],"YES","NO"))</f>
        <v>YES</v>
      </c>
      <c r="N75">
        <f ca="1">IF(Table4[[#This Row],[Adjusted Correct]]="-", "",IF(Table4[[#This Row],[Adjusted Correct]]="YES",(Table4[[#This Row],[Strength of Win]]-1)^2,(Table4[[#This Row],[Strength of Win]]-0)^2))</f>
        <v>0.10989596837420421</v>
      </c>
      <c r="O75">
        <v>1.4498410342373456</v>
      </c>
      <c r="P75" s="11"/>
      <c r="Q75" t="s">
        <v>55</v>
      </c>
      <c r="R75" t="s">
        <v>248</v>
      </c>
    </row>
    <row r="76" spans="1:18" x14ac:dyDescent="0.2">
      <c r="D76" s="1">
        <v>45947</v>
      </c>
      <c r="E76" s="2">
        <v>0.79166666666666663</v>
      </c>
      <c r="F76" t="s">
        <v>22</v>
      </c>
      <c r="G76">
        <f>VLOOKUP(Table4[[#This Row],[Home]],'NHL Model'!$A$6:$B$38,2,FALSE)</f>
        <v>-6.1308839486784707E-2</v>
      </c>
      <c r="H76" t="s">
        <v>34</v>
      </c>
      <c r="I76">
        <f>VLOOKUP(Table4[[#This Row],[Visitor]],'NHL Model'!$A$6:$B$38,2,FALSE)</f>
        <v>-0.53650300840565446</v>
      </c>
      <c r="J76">
        <f ca="1">($B$1+Table4[[#This Row],[Home Differential]])-Table4[[#This Row],[Away Differential]]</f>
        <v>0.63776647858118818</v>
      </c>
      <c r="K76" t="str">
        <f ca="1">IF(Table4[[#This Row],[HomeIce Differential]]&gt;0,Table4[[#This Row],[Home]],Table4[[#This Row],[Visitor]])</f>
        <v>Washington Capitals</v>
      </c>
      <c r="L76" s="11">
        <f ca="1"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0.62836807127314653</v>
      </c>
      <c r="M76" t="str">
        <f ca="1">IF(OR((NHL2025_26Results[[#This Row],[Winning Team]]="")),"-",IF(Table4[[#This Row],[Predicted Winner]]=NHL2025_26Results[[#This Row],[Winning Team]],"YES","NO"))</f>
        <v>YES</v>
      </c>
      <c r="N76">
        <f ca="1">IF(Table4[[#This Row],[Adjusted Correct]]="-", "",IF(Table4[[#This Row],[Adjusted Correct]]="YES",(Table4[[#This Row],[Strength of Win]]-1)^2,(Table4[[#This Row],[Strength of Win]]-0)^2))</f>
        <v>0.13811029044924109</v>
      </c>
      <c r="O76">
        <v>1.932573010009293</v>
      </c>
      <c r="P76" s="11"/>
      <c r="Q76" t="s">
        <v>22</v>
      </c>
      <c r="R76" t="s">
        <v>248</v>
      </c>
    </row>
    <row r="77" spans="1:18" x14ac:dyDescent="0.2">
      <c r="D77" s="1">
        <v>45948</v>
      </c>
      <c r="E77" s="2">
        <v>0.54166666666666663</v>
      </c>
      <c r="F77" t="s">
        <v>23</v>
      </c>
      <c r="G77">
        <f>VLOOKUP(Table4[[#This Row],[Home]],'NHL Model'!$A$6:$B$38,2,FALSE)</f>
        <v>-0.8683412362501769</v>
      </c>
      <c r="H77" t="s">
        <v>11</v>
      </c>
      <c r="I77">
        <f>VLOOKUP(Table4[[#This Row],[Visitor]],'NHL Model'!$A$6:$B$38,2,FALSE)</f>
        <v>-0.28105923893144158</v>
      </c>
      <c r="J77">
        <f ca="1">($B$1+Table4[[#This Row],[Home Differential]])-Table4[[#This Row],[Away Differential]]</f>
        <v>-0.42470968765641692</v>
      </c>
      <c r="K77" t="str">
        <f ca="1">IF(Table4[[#This Row],[HomeIce Differential]]&gt;0,Table4[[#This Row],[Home]],Table4[[#This Row],[Visitor]])</f>
        <v>Florida Panthers</v>
      </c>
      <c r="L77" s="11">
        <f ca="1"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0.51884720694745701</v>
      </c>
      <c r="M77" t="str">
        <f ca="1">IF(OR((NHL2025_26Results[[#This Row],[Winning Team]]="")),"-",IF(Table4[[#This Row],[Predicted Winner]]=NHL2025_26Results[[#This Row],[Winning Team]],"YES","NO"))</f>
        <v>NO</v>
      </c>
      <c r="N77">
        <f ca="1">IF(Table4[[#This Row],[Adjusted Correct]]="-", "",IF(Table4[[#This Row],[Adjusted Correct]]="YES",(Table4[[#This Row],[Strength of Win]]-1)^2,(Table4[[#This Row],[Strength of Win]]-0)^2))</f>
        <v>0.26920242415717727</v>
      </c>
      <c r="O77">
        <v>0.49609379868750247</v>
      </c>
      <c r="P77" s="11"/>
      <c r="Q77" t="s">
        <v>23</v>
      </c>
      <c r="R77" t="s">
        <v>248</v>
      </c>
    </row>
    <row r="78" spans="1:18" x14ac:dyDescent="0.2">
      <c r="D78" s="1">
        <v>45948</v>
      </c>
      <c r="E78" s="2">
        <v>0.79166666666666663</v>
      </c>
      <c r="F78" t="s">
        <v>28</v>
      </c>
      <c r="G78">
        <f>VLOOKUP(Table4[[#This Row],[Home]],'NHL Model'!$A$6:$B$38,2,FALSE)</f>
        <v>-0.40822279081308277</v>
      </c>
      <c r="H78" t="s">
        <v>37</v>
      </c>
      <c r="I78">
        <f>VLOOKUP(Table4[[#This Row],[Visitor]],'NHL Model'!$A$6:$B$38,2,FALSE)</f>
        <v>-0.11309445867623392</v>
      </c>
      <c r="J78">
        <f ca="1">($B$1+Table4[[#This Row],[Home Differential]])-Table4[[#This Row],[Away Differential]]</f>
        <v>-0.13255602247453047</v>
      </c>
      <c r="K78" t="str">
        <f ca="1">IF(Table4[[#This Row],[HomeIce Differential]]&gt;0,Table4[[#This Row],[Home]],Table4[[#This Row],[Visitor]])</f>
        <v>Tampa Bay Lightning</v>
      </c>
      <c r="L78" s="11">
        <f ca="1"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0.52546617687179242</v>
      </c>
      <c r="M78" t="str">
        <f ca="1">IF(OR((NHL2025_26Results[[#This Row],[Winning Team]]="")),"-",IF(Table4[[#This Row],[Predicted Winner]]=NHL2025_26Results[[#This Row],[Winning Team]],"YES","NO"))</f>
        <v>NO</v>
      </c>
      <c r="N78">
        <f ca="1">IF(Table4[[#This Row],[Adjusted Correct]]="-", "",IF(Table4[[#This Row],[Adjusted Correct]]="YES",(Table4[[#This Row],[Strength of Win]]-1)^2,(Table4[[#This Row],[Strength of Win]]-0)^2))</f>
        <v>0.27611470303625785</v>
      </c>
      <c r="O78">
        <v>0.46611340656220523</v>
      </c>
      <c r="P78" s="11"/>
      <c r="Q78" t="s">
        <v>28</v>
      </c>
      <c r="R78" t="s">
        <v>248</v>
      </c>
    </row>
    <row r="79" spans="1:18" x14ac:dyDescent="0.2">
      <c r="D79" s="1">
        <v>45948</v>
      </c>
      <c r="E79" s="2">
        <v>0.875</v>
      </c>
      <c r="F79" t="s">
        <v>12</v>
      </c>
      <c r="G79">
        <f>VLOOKUP(Table4[[#This Row],[Home]],'NHL Model'!$A$6:$B$38,2,FALSE)</f>
        <v>1.5475013591489768</v>
      </c>
      <c r="H79" t="s">
        <v>21</v>
      </c>
      <c r="I79">
        <f>VLOOKUP(Table4[[#This Row],[Visitor]],'NHL Model'!$A$6:$B$38,2,FALSE)</f>
        <v>4.029141914856392E-2</v>
      </c>
      <c r="J79">
        <f ca="1">($B$1+Table4[[#This Row],[Home Differential]])-Table4[[#This Row],[Away Differential]]</f>
        <v>1.6697822496627313</v>
      </c>
      <c r="K79" t="str">
        <f ca="1">IF(Table4[[#This Row],[HomeIce Differential]]&gt;0,Table4[[#This Row],[Home]],Table4[[#This Row],[Visitor]])</f>
        <v>Colorado Avalanche</v>
      </c>
      <c r="L79" s="11">
        <f ca="1"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0.85972904558912866</v>
      </c>
      <c r="M79" t="str">
        <f ca="1">IF(OR((NHL2025_26Results[[#This Row],[Winning Team]]="")),"-",IF(Table4[[#This Row],[Predicted Winner]]=NHL2025_26Results[[#This Row],[Winning Team]],"YES","NO"))</f>
        <v>YES</v>
      </c>
      <c r="N79">
        <f ca="1">IF(Table4[[#This Row],[Adjusted Correct]]="-", "",IF(Table4[[#This Row],[Adjusted Correct]]="YES",(Table4[[#This Row],[Strength of Win]]-1)^2,(Table4[[#This Row],[Strength of Win]]-0)^2))</f>
        <v>1.9675940651336744E-2</v>
      </c>
      <c r="O79">
        <v>1.3275581364572637</v>
      </c>
      <c r="P79" s="11"/>
      <c r="Q79" t="s">
        <v>12</v>
      </c>
      <c r="R79" t="s">
        <v>248</v>
      </c>
    </row>
    <row r="80" spans="1:18" x14ac:dyDescent="0.2">
      <c r="D80" s="1">
        <v>45948</v>
      </c>
      <c r="E80" s="2">
        <v>0.875</v>
      </c>
      <c r="F80" t="s">
        <v>13</v>
      </c>
      <c r="G80">
        <f>VLOOKUP(Table4[[#This Row],[Home]],'NHL Model'!$A$6:$B$38,2,FALSE)</f>
        <v>-7.5459708298993802E-2</v>
      </c>
      <c r="H80" t="s">
        <v>25</v>
      </c>
      <c r="I80">
        <f>VLOOKUP(Table4[[#This Row],[Visitor]],'NHL Model'!$A$6:$B$38,2,FALSE)</f>
        <v>0.67193921242367816</v>
      </c>
      <c r="J80">
        <f ca="1">($B$1+Table4[[#This Row],[Home Differential]])-Table4[[#This Row],[Away Differential]]</f>
        <v>-0.58482661106035361</v>
      </c>
      <c r="K80" t="str">
        <f ca="1">IF(Table4[[#This Row],[HomeIce Differential]]&gt;0,Table4[[#This Row],[Home]],Table4[[#This Row],[Visitor]])</f>
        <v>Carolina Hurricanes</v>
      </c>
      <c r="L80" s="11">
        <f ca="1"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0.63351898179769905</v>
      </c>
      <c r="M80" t="str">
        <f ca="1">IF(OR((NHL2025_26Results[[#This Row],[Winning Team]]="")),"-",IF(Table4[[#This Row],[Predicted Winner]]=NHL2025_26Results[[#This Row],[Winning Team]],"YES","NO"))</f>
        <v>YES</v>
      </c>
      <c r="N80">
        <f ca="1">IF(Table4[[#This Row],[Adjusted Correct]]="-", "",IF(Table4[[#This Row],[Adjusted Correct]]="YES",(Table4[[#This Row],[Strength of Win]]-1)^2,(Table4[[#This Row],[Strength of Win]]-0)^2))</f>
        <v>0.13430833670259523</v>
      </c>
      <c r="O80">
        <v>-2.4361086420440561</v>
      </c>
      <c r="P80" s="11"/>
      <c r="Q80" t="s">
        <v>25</v>
      </c>
      <c r="R80" t="s">
        <v>248</v>
      </c>
    </row>
    <row r="81" spans="4:18" x14ac:dyDescent="0.2">
      <c r="D81" s="1">
        <v>45948</v>
      </c>
      <c r="E81" s="2">
        <v>0.79166666666666663</v>
      </c>
      <c r="F81" t="s">
        <v>18</v>
      </c>
      <c r="G81">
        <f>VLOOKUP(Table4[[#This Row],[Home]],'NHL Model'!$A$6:$B$38,2,FALSE)</f>
        <v>-0.52437726201848234</v>
      </c>
      <c r="H81" t="s">
        <v>15</v>
      </c>
      <c r="I81">
        <f>VLOOKUP(Table4[[#This Row],[Visitor]],'NHL Model'!$A$6:$B$38,2,FALSE)</f>
        <v>-0.30719665303039001</v>
      </c>
      <c r="J81">
        <f ca="1">($B$1+Table4[[#This Row],[Home Differential]])-Table4[[#This Row],[Away Differential]]</f>
        <v>-5.4608299325773935E-2</v>
      </c>
      <c r="K81" t="str">
        <f ca="1">IF(Table4[[#This Row],[HomeIce Differential]]&gt;0,Table4[[#This Row],[Home]],Table4[[#This Row],[Visitor]])</f>
        <v>New York Rangers</v>
      </c>
      <c r="L81" s="11">
        <f ca="1"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0.60997609155698462</v>
      </c>
      <c r="M81" t="str">
        <f ca="1">IF(OR((NHL2025_26Results[[#This Row],[Winning Team]]="")),"-",IF(Table4[[#This Row],[Predicted Winner]]=NHL2025_26Results[[#This Row],[Winning Team]],"YES","NO"))</f>
        <v>YES</v>
      </c>
      <c r="N81">
        <f ca="1">IF(Table4[[#This Row],[Adjusted Correct]]="-", "",IF(Table4[[#This Row],[Adjusted Correct]]="YES",(Table4[[#This Row],[Strength of Win]]-1)^2,(Table4[[#This Row],[Strength of Win]]-0)^2))</f>
        <v>0.15211864915716564</v>
      </c>
      <c r="O81">
        <v>0.14585649835472669</v>
      </c>
      <c r="P81" s="11"/>
      <c r="Q81" t="s">
        <v>18</v>
      </c>
      <c r="R81" t="s">
        <v>249</v>
      </c>
    </row>
    <row r="82" spans="4:18" x14ac:dyDescent="0.2">
      <c r="D82" s="1">
        <v>45948</v>
      </c>
      <c r="E82" s="2">
        <v>0.64583333333333337</v>
      </c>
      <c r="F82" t="s">
        <v>24</v>
      </c>
      <c r="G82">
        <f>VLOOKUP(Table4[[#This Row],[Home]],'NHL Model'!$A$6:$B$38,2,FALSE)</f>
        <v>0.559441163373953</v>
      </c>
      <c r="H82" t="s">
        <v>17</v>
      </c>
      <c r="I82">
        <f>VLOOKUP(Table4[[#This Row],[Visitor]],'NHL Model'!$A$6:$B$38,2,FALSE)</f>
        <v>-0.61980804137564283</v>
      </c>
      <c r="J82">
        <f ca="1">($B$1+Table4[[#This Row],[Home Differential]])-Table4[[#This Row],[Away Differential]]</f>
        <v>1.3418215144119143</v>
      </c>
      <c r="K82" t="str">
        <f ca="1">IF(Table4[[#This Row],[HomeIce Differential]]&gt;0,Table4[[#This Row],[Home]],Table4[[#This Row],[Visitor]])</f>
        <v>New Jersey Devils</v>
      </c>
      <c r="L82" s="11">
        <f ca="1"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0.84135170809368298</v>
      </c>
      <c r="M82" t="str">
        <f ca="1">IF(OR((NHL2025_26Results[[#This Row],[Winning Team]]="")),"-",IF(Table4[[#This Row],[Predicted Winner]]=NHL2025_26Results[[#This Row],[Winning Team]],"YES","NO"))</f>
        <v>YES</v>
      </c>
      <c r="N82">
        <f ca="1">IF(Table4[[#This Row],[Adjusted Correct]]="-", "",IF(Table4[[#This Row],[Adjusted Correct]]="YES",(Table4[[#This Row],[Strength of Win]]-1)^2,(Table4[[#This Row],[Strength of Win]]-0)^2))</f>
        <v>2.5169280524791973E-2</v>
      </c>
      <c r="O82">
        <v>1.3001093292131507</v>
      </c>
      <c r="P82" s="11"/>
      <c r="Q82" t="s">
        <v>24</v>
      </c>
      <c r="R82" t="s">
        <v>248</v>
      </c>
    </row>
    <row r="83" spans="4:18" x14ac:dyDescent="0.2">
      <c r="D83" s="1">
        <v>45948</v>
      </c>
      <c r="E83" s="2">
        <v>0.625</v>
      </c>
      <c r="F83" t="s">
        <v>36</v>
      </c>
      <c r="G83">
        <f>VLOOKUP(Table4[[#This Row],[Home]],'NHL Model'!$A$6:$B$38,2,FALSE)</f>
        <v>-0.40651947573390851</v>
      </c>
      <c r="H83" t="s">
        <v>30</v>
      </c>
      <c r="I83">
        <f>VLOOKUP(Table4[[#This Row],[Visitor]],'NHL Model'!$A$6:$B$38,2,FALSE)</f>
        <v>-6.4729560818359025E-2</v>
      </c>
      <c r="J83">
        <f ca="1">($B$1+Table4[[#This Row],[Home Differential]])-Table4[[#This Row],[Away Differential]]</f>
        <v>-0.1792176052532311</v>
      </c>
      <c r="K83" t="str">
        <f ca="1">IF(Table4[[#This Row],[HomeIce Differential]]&gt;0,Table4[[#This Row],[Home]],Table4[[#This Row],[Visitor]])</f>
        <v>New York Islanders</v>
      </c>
      <c r="L83" s="11">
        <f ca="1"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0.52483215196517119</v>
      </c>
      <c r="M83" t="str">
        <f ca="1">IF(OR((NHL2025_26Results[[#This Row],[Winning Team]]="")),"-",IF(Table4[[#This Row],[Predicted Winner]]=NHL2025_26Results[[#This Row],[Winning Team]],"YES","NO"))</f>
        <v>YES</v>
      </c>
      <c r="N83">
        <f ca="1">IF(Table4[[#This Row],[Adjusted Correct]]="-", "",IF(Table4[[#This Row],[Adjusted Correct]]="YES",(Table4[[#This Row],[Strength of Win]]-1)^2,(Table4[[#This Row],[Strength of Win]]-0)^2))</f>
        <v>0.22578448380605018</v>
      </c>
      <c r="O83">
        <v>-1.5775627493950353</v>
      </c>
      <c r="P83" s="11"/>
      <c r="Q83" t="s">
        <v>30</v>
      </c>
      <c r="R83" t="s">
        <v>248</v>
      </c>
    </row>
    <row r="84" spans="4:18" x14ac:dyDescent="0.2">
      <c r="D84" s="1">
        <v>45948</v>
      </c>
      <c r="E84" s="2">
        <v>0.79166666666666663</v>
      </c>
      <c r="F84" t="s">
        <v>27</v>
      </c>
      <c r="G84">
        <f>VLOOKUP(Table4[[#This Row],[Home]],'NHL Model'!$A$6:$B$38,2,FALSE)</f>
        <v>-0.51358590497437617</v>
      </c>
      <c r="H84" t="s">
        <v>34</v>
      </c>
      <c r="I84">
        <f>VLOOKUP(Table4[[#This Row],[Visitor]],'NHL Model'!$A$6:$B$38,2,FALSE)</f>
        <v>-0.53650300840565446</v>
      </c>
      <c r="J84">
        <f ca="1">($B$1+Table4[[#This Row],[Home Differential]])-Table4[[#This Row],[Away Differential]]</f>
        <v>0.18548941309359668</v>
      </c>
      <c r="K84" t="str">
        <f ca="1">IF(Table4[[#This Row],[HomeIce Differential]]&gt;0,Table4[[#This Row],[Home]],Table4[[#This Row],[Visitor]])</f>
        <v>Philadelphia Flyers</v>
      </c>
      <c r="L84" s="11">
        <f ca="1"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0.56819664448529694</v>
      </c>
      <c r="M84" t="str">
        <f ca="1">IF(OR((NHL2025_26Results[[#This Row],[Winning Team]]="")),"-",IF(Table4[[#This Row],[Predicted Winner]]=NHL2025_26Results[[#This Row],[Winning Team]],"YES","NO"))</f>
        <v>YES</v>
      </c>
      <c r="N84">
        <f ca="1">IF(Table4[[#This Row],[Adjusted Correct]]="-", "",IF(Table4[[#This Row],[Adjusted Correct]]="YES",(Table4[[#This Row],[Strength of Win]]-1)^2,(Table4[[#This Row],[Strength of Win]]-0)^2))</f>
        <v>0.18645413783375703</v>
      </c>
      <c r="O84">
        <v>0.87342927478910926</v>
      </c>
      <c r="P84" s="11"/>
      <c r="Q84" t="s">
        <v>27</v>
      </c>
      <c r="R84" t="s">
        <v>248</v>
      </c>
    </row>
    <row r="85" spans="4:18" x14ac:dyDescent="0.2">
      <c r="D85" s="1">
        <v>45948</v>
      </c>
      <c r="E85" s="2">
        <v>0.91666666666666663</v>
      </c>
      <c r="F85" t="s">
        <v>33</v>
      </c>
      <c r="G85">
        <f>VLOOKUP(Table4[[#This Row],[Home]],'NHL Model'!$A$6:$B$38,2,FALSE)</f>
        <v>-0.39418177254008485</v>
      </c>
      <c r="H85" t="s">
        <v>14</v>
      </c>
      <c r="I85">
        <f>VLOOKUP(Table4[[#This Row],[Visitor]],'NHL Model'!$A$6:$B$38,2,FALSE)</f>
        <v>0.26289091192875702</v>
      </c>
      <c r="J85">
        <f ca="1">($B$1+Table4[[#This Row],[Home Differential]])-Table4[[#This Row],[Away Differential]]</f>
        <v>-0.49450037480652348</v>
      </c>
      <c r="K85" t="str">
        <f ca="1">IF(Table4[[#This Row],[HomeIce Differential]]&gt;0,Table4[[#This Row],[Home]],Table4[[#This Row],[Visitor]])</f>
        <v>Pittsburgh Penguins</v>
      </c>
      <c r="L85" s="11">
        <f ca="1"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0.52851731132485003</v>
      </c>
      <c r="M85" t="str">
        <f ca="1">IF(OR((NHL2025_26Results[[#This Row],[Winning Team]]="")),"-",IF(Table4[[#This Row],[Predicted Winner]]=NHL2025_26Results[[#This Row],[Winning Team]],"YES","NO"))</f>
        <v>YES</v>
      </c>
      <c r="N85">
        <f ca="1">IF(Table4[[#This Row],[Adjusted Correct]]="-", "",IF(Table4[[#This Row],[Adjusted Correct]]="YES",(Table4[[#This Row],[Strength of Win]]-1)^2,(Table4[[#This Row],[Strength of Win]]-0)^2))</f>
        <v>0.2222959257203484</v>
      </c>
      <c r="O85">
        <v>-2.3124303956750296</v>
      </c>
      <c r="P85" s="11"/>
      <c r="Q85" t="s">
        <v>14</v>
      </c>
      <c r="R85" t="s">
        <v>248</v>
      </c>
    </row>
    <row r="86" spans="4:18" x14ac:dyDescent="0.2">
      <c r="D86" s="1">
        <v>45948</v>
      </c>
      <c r="E86" s="2">
        <v>0.79166666666666663</v>
      </c>
      <c r="F86" t="s">
        <v>35</v>
      </c>
      <c r="G86">
        <f>VLOOKUP(Table4[[#This Row],[Home]],'NHL Model'!$A$6:$B$38,2,FALSE)</f>
        <v>-1.6211574240381006</v>
      </c>
      <c r="H86" t="s">
        <v>39</v>
      </c>
      <c r="I86">
        <f>VLOOKUP(Table4[[#This Row],[Visitor]],'NHL Model'!$A$6:$B$38,2,FALSE)</f>
        <v>0.19809534061227302</v>
      </c>
      <c r="J86">
        <f ca="1">($B$1+Table4[[#This Row],[Home Differential]])-Table4[[#This Row],[Away Differential]]</f>
        <v>-1.6566804549880552</v>
      </c>
      <c r="K86" t="str">
        <f ca="1">IF(Table4[[#This Row],[HomeIce Differential]]&gt;0,Table4[[#This Row],[Home]],Table4[[#This Row],[Visitor]])</f>
        <v>Dallas Stars</v>
      </c>
      <c r="L86" s="11">
        <f ca="1"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0.78203361851130226</v>
      </c>
      <c r="M86" t="str">
        <f ca="1">IF(OR((NHL2025_26Results[[#This Row],[Winning Team]]="")),"-",IF(Table4[[#This Row],[Predicted Winner]]=NHL2025_26Results[[#This Row],[Winning Team]],"YES","NO"))</f>
        <v>NO</v>
      </c>
      <c r="N86">
        <f ca="1">IF(Table4[[#This Row],[Adjusted Correct]]="-", "",IF(Table4[[#This Row],[Adjusted Correct]]="YES",(Table4[[#This Row],[Strength of Win]]-1)^2,(Table4[[#This Row],[Strength of Win]]-0)^2))</f>
        <v>0.61157658048188102</v>
      </c>
      <c r="O86">
        <v>-1.7422218213901475</v>
      </c>
      <c r="P86" s="11"/>
      <c r="Q86" t="s">
        <v>39</v>
      </c>
      <c r="R86" t="s">
        <v>249</v>
      </c>
    </row>
    <row r="87" spans="4:18" x14ac:dyDescent="0.2">
      <c r="D87" s="1">
        <v>45948</v>
      </c>
      <c r="E87" s="2">
        <v>0.79166666666666663</v>
      </c>
      <c r="F87" t="s">
        <v>19</v>
      </c>
      <c r="G87">
        <f>VLOOKUP(Table4[[#This Row],[Home]],'NHL Model'!$A$6:$B$38,2,FALSE)</f>
        <v>-0.635565543477981</v>
      </c>
      <c r="H87" t="s">
        <v>32</v>
      </c>
      <c r="I87">
        <f>VLOOKUP(Table4[[#This Row],[Visitor]],'NHL Model'!$A$6:$B$38,2,FALSE)</f>
        <v>-0.361361309178443</v>
      </c>
      <c r="J87">
        <f ca="1">($B$1+Table4[[#This Row],[Home Differential]])-Table4[[#This Row],[Away Differential]]</f>
        <v>-0.1116319246372196</v>
      </c>
      <c r="K87" t="str">
        <f ca="1">IF(Table4[[#This Row],[HomeIce Differential]]&gt;0,Table4[[#This Row],[Home]],Table4[[#This Row],[Visitor]])</f>
        <v>Seattle Kraken</v>
      </c>
      <c r="L87" s="11">
        <f ca="1"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0.47546757034745057</v>
      </c>
      <c r="M87" t="str">
        <f ca="1">IF(OR((NHL2025_26Results[[#This Row],[Winning Team]]="")),"-",IF(Table4[[#This Row],[Predicted Winner]]=NHL2025_26Results[[#This Row],[Winning Team]],"YES","NO"))</f>
        <v>YES</v>
      </c>
      <c r="N87">
        <f ca="1">IF(Table4[[#This Row],[Adjusted Correct]]="-", "",IF(Table4[[#This Row],[Adjusted Correct]]="YES",(Table4[[#This Row],[Strength of Win]]-1)^2,(Table4[[#This Row],[Strength of Win]]-0)^2))</f>
        <v>0.27513426975720673</v>
      </c>
      <c r="O87">
        <v>0.74601483428085158</v>
      </c>
      <c r="P87" s="11"/>
      <c r="Q87" t="s">
        <v>19</v>
      </c>
      <c r="R87" t="s">
        <v>249</v>
      </c>
    </row>
    <row r="88" spans="4:18" x14ac:dyDescent="0.2">
      <c r="D88" s="1">
        <v>45948</v>
      </c>
      <c r="E88" s="2">
        <v>0.91666666666666663</v>
      </c>
      <c r="F88" t="s">
        <v>20</v>
      </c>
      <c r="G88">
        <f>VLOOKUP(Table4[[#This Row],[Home]],'NHL Model'!$A$6:$B$38,2,FALSE)</f>
        <v>-6.3745791019188943E-4</v>
      </c>
      <c r="H88" t="s">
        <v>16</v>
      </c>
      <c r="I88">
        <f>VLOOKUP(Table4[[#This Row],[Visitor]],'NHL Model'!$A$6:$B$38,2,FALSE)</f>
        <v>-1.3903684122795328</v>
      </c>
      <c r="J88">
        <f ca="1">($B$1+Table4[[#This Row],[Home Differential]])-Table4[[#This Row],[Away Differential]]</f>
        <v>1.5523032640316592</v>
      </c>
      <c r="K88" t="str">
        <f ca="1">IF(Table4[[#This Row],[HomeIce Differential]]&gt;0,Table4[[#This Row],[Home]],Table4[[#This Row],[Visitor]])</f>
        <v>Vegas Golden Knights</v>
      </c>
      <c r="L88" s="11">
        <f ca="1"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0.75508506652568641</v>
      </c>
      <c r="M88" t="str">
        <f ca="1">IF(OR((NHL2025_26Results[[#This Row],[Winning Team]]="")),"-",IF(Table4[[#This Row],[Predicted Winner]]=NHL2025_26Results[[#This Row],[Winning Team]],"YES","NO"))</f>
        <v>YES</v>
      </c>
      <c r="N88">
        <f ca="1">IF(Table4[[#This Row],[Adjusted Correct]]="-", "",IF(Table4[[#This Row],[Adjusted Correct]]="YES",(Table4[[#This Row],[Strength of Win]]-1)^2,(Table4[[#This Row],[Strength of Win]]-0)^2))</f>
        <v>5.998332463872745E-2</v>
      </c>
      <c r="O88">
        <v>2.6044294042757858</v>
      </c>
      <c r="P88" s="11"/>
      <c r="Q88" t="s">
        <v>20</v>
      </c>
      <c r="R88" t="s">
        <v>248</v>
      </c>
    </row>
    <row r="89" spans="4:18" x14ac:dyDescent="0.2">
      <c r="D89" s="1">
        <v>45948</v>
      </c>
      <c r="E89" s="2">
        <v>0.79166666666666663</v>
      </c>
      <c r="F89" t="s">
        <v>40</v>
      </c>
      <c r="G89">
        <f>VLOOKUP(Table4[[#This Row],[Home]],'NHL Model'!$A$6:$B$38,2,FALSE)</f>
        <v>0.105105258369765</v>
      </c>
      <c r="H89" t="s">
        <v>29</v>
      </c>
      <c r="I89">
        <f>VLOOKUP(Table4[[#This Row],[Visitor]],'NHL Model'!$A$6:$B$38,2,FALSE)</f>
        <v>-1.3516250707060606</v>
      </c>
      <c r="J89">
        <f ca="1">($B$1+Table4[[#This Row],[Home Differential]])-Table4[[#This Row],[Away Differential]]</f>
        <v>1.619302638738144</v>
      </c>
      <c r="K89" t="str">
        <f ca="1">IF(Table4[[#This Row],[HomeIce Differential]]&gt;0,Table4[[#This Row],[Home]],Table4[[#This Row],[Visitor]])</f>
        <v>Winnipeg Jets</v>
      </c>
      <c r="L89" s="11">
        <f ca="1"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0.80040527673928241</v>
      </c>
      <c r="M89" t="str">
        <f ca="1">IF(OR((NHL2025_26Results[[#This Row],[Winning Team]]="")),"-",IF(Table4[[#This Row],[Predicted Winner]]=NHL2025_26Results[[#This Row],[Winning Team]],"YES","NO"))</f>
        <v>YES</v>
      </c>
      <c r="N89">
        <f ca="1">IF(Table4[[#This Row],[Adjusted Correct]]="-", "",IF(Table4[[#This Row],[Adjusted Correct]]="YES",(Table4[[#This Row],[Strength of Win]]-1)^2,(Table4[[#This Row],[Strength of Win]]-0)^2))</f>
        <v>3.9838053553522441E-2</v>
      </c>
      <c r="O89">
        <v>1.9282325309043316</v>
      </c>
      <c r="P89" s="11"/>
      <c r="Q89" t="s">
        <v>40</v>
      </c>
      <c r="R89" t="s">
        <v>248</v>
      </c>
    </row>
    <row r="90" spans="4:18" x14ac:dyDescent="0.2">
      <c r="D90" s="1">
        <v>45949</v>
      </c>
      <c r="E90" s="2">
        <v>0.79166666666666663</v>
      </c>
      <c r="F90" t="s">
        <v>10</v>
      </c>
      <c r="G90">
        <f>VLOOKUP(Table4[[#This Row],[Home]],'NHL Model'!$A$6:$B$38,2,FALSE)</f>
        <v>0.30570968833820172</v>
      </c>
      <c r="H90" t="s">
        <v>31</v>
      </c>
      <c r="I90">
        <f>VLOOKUP(Table4[[#This Row],[Visitor]],'NHL Model'!$A$6:$B$38,2,FALSE)</f>
        <v>0.51775546328552802</v>
      </c>
      <c r="J90">
        <f ca="1">($B$1+Table4[[#This Row],[Home Differential]])-Table4[[#This Row],[Away Differential]]</f>
        <v>-4.94734652850079E-2</v>
      </c>
      <c r="K90" t="str">
        <f ca="1">IF(Table4[[#This Row],[HomeIce Differential]]&gt;0,Table4[[#This Row],[Home]],Table4[[#This Row],[Visitor]])</f>
        <v>Anaheim Ducks</v>
      </c>
      <c r="L90" s="11">
        <f ca="1"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0.48762420802698975</v>
      </c>
      <c r="M90" t="str">
        <f ca="1">IF(OR((NHL2025_26Results[[#This Row],[Winning Team]]="")),"-",IF(Table4[[#This Row],[Predicted Winner]]=NHL2025_26Results[[#This Row],[Winning Team]],"YES","NO"))</f>
        <v>NO</v>
      </c>
      <c r="N90">
        <f ca="1">IF(Table4[[#This Row],[Adjusted Correct]]="-", "",IF(Table4[[#This Row],[Adjusted Correct]]="YES",(Table4[[#This Row],[Strength of Win]]-1)^2,(Table4[[#This Row],[Strength of Win]]-0)^2))</f>
        <v>0.23777736825394896</v>
      </c>
      <c r="O90">
        <v>1.0236082778054616</v>
      </c>
      <c r="P90" s="11"/>
      <c r="Q90" t="s">
        <v>10</v>
      </c>
      <c r="R90" t="s">
        <v>248</v>
      </c>
    </row>
    <row r="91" spans="4:18" x14ac:dyDescent="0.2">
      <c r="D91" s="1">
        <v>45949</v>
      </c>
      <c r="E91" s="2">
        <v>0.625</v>
      </c>
      <c r="F91" t="s">
        <v>26</v>
      </c>
      <c r="G91">
        <f>VLOOKUP(Table4[[#This Row],[Home]],'NHL Model'!$A$6:$B$38,2,FALSE)</f>
        <v>-0.513643833119658</v>
      </c>
      <c r="H91" t="s">
        <v>17</v>
      </c>
      <c r="I91">
        <f>VLOOKUP(Table4[[#This Row],[Visitor]],'NHL Model'!$A$6:$B$38,2,FALSE)</f>
        <v>-0.61980804137564283</v>
      </c>
      <c r="J91">
        <f ca="1">($B$1+Table4[[#This Row],[Home Differential]])-Table4[[#This Row],[Away Differential]]</f>
        <v>0.26873651791830322</v>
      </c>
      <c r="K91" t="str">
        <f ca="1">IF(Table4[[#This Row],[HomeIce Differential]]&gt;0,Table4[[#This Row],[Home]],Table4[[#This Row],[Visitor]])</f>
        <v>Detroit Red Wings</v>
      </c>
      <c r="L91" s="11">
        <f ca="1"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0.6032735087638269</v>
      </c>
      <c r="M91" t="str">
        <f ca="1">IF(OR((NHL2025_26Results[[#This Row],[Winning Team]]="")),"-",IF(Table4[[#This Row],[Predicted Winner]]=NHL2025_26Results[[#This Row],[Winning Team]],"YES","NO"))</f>
        <v>YES</v>
      </c>
      <c r="N91">
        <f ca="1">IF(Table4[[#This Row],[Adjusted Correct]]="-", "",IF(Table4[[#This Row],[Adjusted Correct]]="YES",(Table4[[#This Row],[Strength of Win]]-1)^2,(Table4[[#This Row],[Strength of Win]]-0)^2))</f>
        <v>0.15739190884856533</v>
      </c>
      <c r="O91">
        <v>1.8006704637232276</v>
      </c>
      <c r="P91" s="11"/>
      <c r="Q91" t="s">
        <v>26</v>
      </c>
      <c r="R91" t="s">
        <v>248</v>
      </c>
    </row>
    <row r="92" spans="4:18" x14ac:dyDescent="0.2">
      <c r="D92" s="1">
        <v>45949</v>
      </c>
      <c r="E92" s="2">
        <v>0.79166666666666663</v>
      </c>
      <c r="F92" t="s">
        <v>55</v>
      </c>
      <c r="G92">
        <f>VLOOKUP(Table4[[#This Row],[Home]],'NHL Model'!$A$6:$B$38,2,FALSE)</f>
        <v>-0.12212311954851815</v>
      </c>
      <c r="H92" t="s">
        <v>21</v>
      </c>
      <c r="I92">
        <f>VLOOKUP(Table4[[#This Row],[Visitor]],'NHL Model'!$A$6:$B$38,2,FALSE)</f>
        <v>4.029141914856392E-2</v>
      </c>
      <c r="J92">
        <f ca="1">($B$1+Table4[[#This Row],[Home Differential]])-Table4[[#This Row],[Away Differential]]</f>
        <v>1.5777096523632295E-4</v>
      </c>
      <c r="K92" t="str">
        <f ca="1">IF(Table4[[#This Row],[HomeIce Differential]]&gt;0,Table4[[#This Row],[Home]],Table4[[#This Row],[Visitor]])</f>
        <v>Utah Mammoth</v>
      </c>
      <c r="L92" s="11">
        <f ca="1"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0.60829436661690017</v>
      </c>
      <c r="M92" t="str">
        <f ca="1">IF(OR((NHL2025_26Results[[#This Row],[Winning Team]]="")),"-",IF(Table4[[#This Row],[Predicted Winner]]=NHL2025_26Results[[#This Row],[Winning Team]],"YES","NO"))</f>
        <v>YES</v>
      </c>
      <c r="N92">
        <f ca="1">IF(Table4[[#This Row],[Adjusted Correct]]="-", "",IF(Table4[[#This Row],[Adjusted Correct]]="YES",(Table4[[#This Row],[Strength of Win]]-1)^2,(Table4[[#This Row],[Strength of Win]]-0)^2))</f>
        <v>0.15343330322405541</v>
      </c>
      <c r="O92">
        <v>-3.8498221269855248E-2</v>
      </c>
      <c r="P92" s="11"/>
      <c r="Q92" t="s">
        <v>21</v>
      </c>
      <c r="R92" t="s">
        <v>249</v>
      </c>
    </row>
    <row r="93" spans="4:18" x14ac:dyDescent="0.2">
      <c r="D93" s="1">
        <v>45949</v>
      </c>
      <c r="E93" s="2">
        <v>0.52083333333333337</v>
      </c>
      <c r="F93" t="s">
        <v>22</v>
      </c>
      <c r="G93">
        <f>VLOOKUP(Table4[[#This Row],[Home]],'NHL Model'!$A$6:$B$38,2,FALSE)</f>
        <v>-6.1308839486784707E-2</v>
      </c>
      <c r="H93" t="s">
        <v>38</v>
      </c>
      <c r="I93">
        <f>VLOOKUP(Table4[[#This Row],[Visitor]],'NHL Model'!$A$6:$B$38,2,FALSE)</f>
        <v>-0.6902088310934803</v>
      </c>
      <c r="J93">
        <f ca="1">($B$1+Table4[[#This Row],[Home Differential]])-Table4[[#This Row],[Away Differential]]</f>
        <v>0.79147230126901402</v>
      </c>
      <c r="K93" t="str">
        <f ca="1">IF(Table4[[#This Row],[HomeIce Differential]]&gt;0,Table4[[#This Row],[Home]],Table4[[#This Row],[Visitor]])</f>
        <v>Washington Capitals</v>
      </c>
      <c r="L93" s="11">
        <f ca="1"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0.60715278191344813</v>
      </c>
      <c r="M93" t="str">
        <f ca="1">IF(OR((NHL2025_26Results[[#This Row],[Winning Team]]="")),"-",IF(Table4[[#This Row],[Predicted Winner]]=NHL2025_26Results[[#This Row],[Winning Team]],"YES","NO"))</f>
        <v>NO</v>
      </c>
      <c r="N93">
        <f ca="1">IF(Table4[[#This Row],[Adjusted Correct]]="-", "",IF(Table4[[#This Row],[Adjusted Correct]]="YES",(Table4[[#This Row],[Strength of Win]]-1)^2,(Table4[[#This Row],[Strength of Win]]-0)^2))</f>
        <v>0.36863450058523911</v>
      </c>
      <c r="O93">
        <v>0.52602722443981031</v>
      </c>
      <c r="P93" s="11"/>
      <c r="Q93" t="s">
        <v>22</v>
      </c>
      <c r="R93" t="s">
        <v>249</v>
      </c>
    </row>
    <row r="94" spans="4:18" x14ac:dyDescent="0.2">
      <c r="D94" s="1">
        <v>45950</v>
      </c>
      <c r="E94" s="2">
        <v>0.89583333333333337</v>
      </c>
      <c r="F94" t="s">
        <v>16</v>
      </c>
      <c r="G94">
        <f>VLOOKUP(Table4[[#This Row],[Home]],'NHL Model'!$A$6:$B$38,2,FALSE)</f>
        <v>-1.3903684122795328</v>
      </c>
      <c r="H94" t="s">
        <v>40</v>
      </c>
      <c r="I94">
        <f>VLOOKUP(Table4[[#This Row],[Visitor]],'NHL Model'!$A$6:$B$38,2,FALSE)</f>
        <v>0.105105258369765</v>
      </c>
      <c r="J94">
        <f ca="1">($B$1+Table4[[#This Row],[Home Differential]])-Table4[[#This Row],[Away Differential]]</f>
        <v>-1.3329013609869793</v>
      </c>
      <c r="K94" t="str">
        <f ca="1">IF(Table4[[#This Row],[HomeIce Differential]]&gt;0,Table4[[#This Row],[Home]],Table4[[#This Row],[Visitor]])</f>
        <v>Winnipeg Jets</v>
      </c>
      <c r="L94" s="11">
        <f ca="1"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0.71100082141484966</v>
      </c>
      <c r="M94" t="str">
        <f ca="1">IF(OR((NHL2025_26Results[[#This Row],[Winning Team]]="")),"-",IF(Table4[[#This Row],[Predicted Winner]]=NHL2025_26Results[[#This Row],[Winning Team]],"YES","NO"))</f>
        <v>YES</v>
      </c>
      <c r="N94">
        <f ca="1">IF(Table4[[#This Row],[Adjusted Correct]]="-", "",IF(Table4[[#This Row],[Adjusted Correct]]="YES",(Table4[[#This Row],[Strength of Win]]-1)^2,(Table4[[#This Row],[Strength of Win]]-0)^2))</f>
        <v>8.352052522289162E-2</v>
      </c>
      <c r="O94">
        <v>-3.1150923655116651</v>
      </c>
      <c r="P94" s="11"/>
      <c r="Q94" t="s">
        <v>40</v>
      </c>
      <c r="R94" t="s">
        <v>248</v>
      </c>
    </row>
    <row r="95" spans="4:18" x14ac:dyDescent="0.2">
      <c r="D95" s="1">
        <v>45950</v>
      </c>
      <c r="E95" s="2">
        <v>0.8125</v>
      </c>
      <c r="F95" t="s">
        <v>18</v>
      </c>
      <c r="G95">
        <f>VLOOKUP(Table4[[#This Row],[Home]],'NHL Model'!$A$6:$B$38,2,FALSE)</f>
        <v>-0.52437726201848234</v>
      </c>
      <c r="H95" t="s">
        <v>23</v>
      </c>
      <c r="I95">
        <f>VLOOKUP(Table4[[#This Row],[Visitor]],'NHL Model'!$A$6:$B$38,2,FALSE)</f>
        <v>-0.8683412362501769</v>
      </c>
      <c r="J95">
        <f ca="1">($B$1+Table4[[#This Row],[Home Differential]])-Table4[[#This Row],[Away Differential]]</f>
        <v>0.50653628389401295</v>
      </c>
      <c r="K95" t="str">
        <f ca="1">IF(Table4[[#This Row],[HomeIce Differential]]&gt;0,Table4[[#This Row],[Home]],Table4[[#This Row],[Visitor]])</f>
        <v>Montreal Canadiens</v>
      </c>
      <c r="L95" s="11">
        <f ca="1"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0.61018499080911281</v>
      </c>
      <c r="M95" t="str">
        <f ca="1">IF(OR((NHL2025_26Results[[#This Row],[Winning Team]]="")),"-",IF(Table4[[#This Row],[Predicted Winner]]=NHL2025_26Results[[#This Row],[Winning Team]],"YES","NO"))</f>
        <v>YES</v>
      </c>
      <c r="N95">
        <f ca="1">IF(Table4[[#This Row],[Adjusted Correct]]="-", "",IF(Table4[[#This Row],[Adjusted Correct]]="YES",(Table4[[#This Row],[Strength of Win]]-1)^2,(Table4[[#This Row],[Strength of Win]]-0)^2))</f>
        <v>0.15195574139049145</v>
      </c>
      <c r="O95">
        <v>1.3370911623551756</v>
      </c>
      <c r="P95" s="11"/>
      <c r="Q95" t="s">
        <v>18</v>
      </c>
      <c r="R95" t="s">
        <v>248</v>
      </c>
    </row>
    <row r="96" spans="4:18" x14ac:dyDescent="0.2">
      <c r="D96" s="1">
        <v>45950</v>
      </c>
      <c r="E96" s="2">
        <v>0.79166666666666663</v>
      </c>
      <c r="F96" t="s">
        <v>15</v>
      </c>
      <c r="G96">
        <f>VLOOKUP(Table4[[#This Row],[Home]],'NHL Model'!$A$6:$B$38,2,FALSE)</f>
        <v>-0.30719665303039001</v>
      </c>
      <c r="H96" t="s">
        <v>34</v>
      </c>
      <c r="I96">
        <f>VLOOKUP(Table4[[#This Row],[Visitor]],'NHL Model'!$A$6:$B$38,2,FALSE)</f>
        <v>-0.53650300840565446</v>
      </c>
      <c r="J96">
        <f ca="1">($B$1+Table4[[#This Row],[Home Differential]])-Table4[[#This Row],[Away Differential]]</f>
        <v>0.39187866503758284</v>
      </c>
      <c r="K96" t="str">
        <f ca="1">IF(Table4[[#This Row],[HomeIce Differential]]&gt;0,Table4[[#This Row],[Home]],Table4[[#This Row],[Visitor]])</f>
        <v>New York Rangers</v>
      </c>
      <c r="L96" s="11">
        <f ca="1"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0.59429818431270576</v>
      </c>
      <c r="M96" t="str">
        <f ca="1">IF(OR((NHL2025_26Results[[#This Row],[Winning Team]]="")),"-",IF(Table4[[#This Row],[Predicted Winner]]=NHL2025_26Results[[#This Row],[Winning Team]],"YES","NO"))</f>
        <v>NO</v>
      </c>
      <c r="N96">
        <f ca="1">IF(Table4[[#This Row],[Adjusted Correct]]="-", "",IF(Table4[[#This Row],[Adjusted Correct]]="YES",(Table4[[#This Row],[Strength of Win]]-1)^2,(Table4[[#This Row],[Strength of Win]]-0)^2))</f>
        <v>0.3531903318773788</v>
      </c>
      <c r="O96">
        <v>0.5226306009326972</v>
      </c>
      <c r="P96" s="11"/>
      <c r="Q96" t="s">
        <v>15</v>
      </c>
      <c r="R96" t="s">
        <v>249</v>
      </c>
    </row>
    <row r="97" spans="4:18" x14ac:dyDescent="0.2">
      <c r="D97" s="1">
        <v>45950</v>
      </c>
      <c r="E97" s="2">
        <v>0.79166666666666663</v>
      </c>
      <c r="F97" t="s">
        <v>27</v>
      </c>
      <c r="G97">
        <f>VLOOKUP(Table4[[#This Row],[Home]],'NHL Model'!$A$6:$B$38,2,FALSE)</f>
        <v>-0.51358590497437617</v>
      </c>
      <c r="H97" t="s">
        <v>32</v>
      </c>
      <c r="I97">
        <f>VLOOKUP(Table4[[#This Row],[Visitor]],'NHL Model'!$A$6:$B$38,2,FALSE)</f>
        <v>-0.361361309178443</v>
      </c>
      <c r="J97">
        <f ca="1">($B$1+Table4[[#This Row],[Home Differential]])-Table4[[#This Row],[Away Differential]]</f>
        <v>1.0347713866385222E-2</v>
      </c>
      <c r="K97" t="str">
        <f ca="1">IF(Table4[[#This Row],[HomeIce Differential]]&gt;0,Table4[[#This Row],[Home]],Table4[[#This Row],[Visitor]])</f>
        <v>Philadelphia Flyers</v>
      </c>
      <c r="L97" s="11">
        <f ca="1"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0.54392924461404457</v>
      </c>
      <c r="M97" t="str">
        <f ca="1">IF(OR((NHL2025_26Results[[#This Row],[Winning Team]]="")),"-",IF(Table4[[#This Row],[Predicted Winner]]=NHL2025_26Results[[#This Row],[Winning Team]],"YES","NO"))</f>
        <v>YES</v>
      </c>
      <c r="N97">
        <f ca="1">IF(Table4[[#This Row],[Adjusted Correct]]="-", "",IF(Table4[[#This Row],[Adjusted Correct]]="YES",(Table4[[#This Row],[Strength of Win]]-1)^2,(Table4[[#This Row],[Strength of Win]]-0)^2))</f>
        <v>0.20800053391831599</v>
      </c>
      <c r="O97">
        <v>0.66782260380233516</v>
      </c>
      <c r="P97" s="11"/>
      <c r="Q97" t="s">
        <v>27</v>
      </c>
      <c r="R97" t="s">
        <v>248</v>
      </c>
    </row>
    <row r="98" spans="4:18" x14ac:dyDescent="0.2">
      <c r="D98" s="1">
        <v>45950</v>
      </c>
      <c r="E98" s="2">
        <v>0.91666666666666663</v>
      </c>
      <c r="F98" t="s">
        <v>20</v>
      </c>
      <c r="G98">
        <f>VLOOKUP(Table4[[#This Row],[Home]],'NHL Model'!$A$6:$B$38,2,FALSE)</f>
        <v>-6.3745791019188943E-4</v>
      </c>
      <c r="H98" t="s">
        <v>25</v>
      </c>
      <c r="I98">
        <f>VLOOKUP(Table4[[#This Row],[Visitor]],'NHL Model'!$A$6:$B$38,2,FALSE)</f>
        <v>0.67193921242367816</v>
      </c>
      <c r="J98">
        <f ca="1">($B$1+Table4[[#This Row],[Home Differential]])-Table4[[#This Row],[Away Differential]]</f>
        <v>-0.51000436067155164</v>
      </c>
      <c r="K98" t="str">
        <f ca="1">IF(Table4[[#This Row],[HomeIce Differential]]&gt;0,Table4[[#This Row],[Home]],Table4[[#This Row],[Visitor]])</f>
        <v>Carolina Hurricanes</v>
      </c>
      <c r="L98" s="11">
        <f ca="1"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0.62315171073967157</v>
      </c>
      <c r="M98" t="str">
        <f ca="1">IF(OR((NHL2025_26Results[[#This Row],[Winning Team]]="")),"-",IF(Table4[[#This Row],[Predicted Winner]]=NHL2025_26Results[[#This Row],[Winning Team]],"YES","NO"))</f>
        <v>NO</v>
      </c>
      <c r="N98">
        <f ca="1">IF(Table4[[#This Row],[Adjusted Correct]]="-", "",IF(Table4[[#This Row],[Adjusted Correct]]="YES",(Table4[[#This Row],[Strength of Win]]-1)^2,(Table4[[#This Row],[Strength of Win]]-0)^2))</f>
        <v>0.38831805459777929</v>
      </c>
      <c r="O98">
        <v>-0.4989921219968072</v>
      </c>
      <c r="P98" s="11"/>
      <c r="Q98" t="s">
        <v>25</v>
      </c>
      <c r="R98" t="s">
        <v>249</v>
      </c>
    </row>
    <row r="99" spans="4:18" x14ac:dyDescent="0.2">
      <c r="D99" s="1">
        <v>45951</v>
      </c>
      <c r="E99" s="2">
        <v>0.8125</v>
      </c>
      <c r="F99" t="s">
        <v>21</v>
      </c>
      <c r="G99">
        <f>VLOOKUP(Table4[[#This Row],[Home]],'NHL Model'!$A$6:$B$38,2,FALSE)</f>
        <v>4.029141914856392E-2</v>
      </c>
      <c r="H99" t="s">
        <v>11</v>
      </c>
      <c r="I99">
        <f>VLOOKUP(Table4[[#This Row],[Visitor]],'NHL Model'!$A$6:$B$38,2,FALSE)</f>
        <v>-0.28105923893144158</v>
      </c>
      <c r="J99">
        <f ca="1">($B$1+Table4[[#This Row],[Home Differential]])-Table4[[#This Row],[Away Differential]]</f>
        <v>0.48392296774232391</v>
      </c>
      <c r="K99" t="str">
        <f ca="1">IF(Table4[[#This Row],[HomeIce Differential]]&gt;0,Table4[[#This Row],[Home]],Table4[[#This Row],[Visitor]])</f>
        <v>Boston Bruins</v>
      </c>
      <c r="L99" s="11">
        <f ca="1"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0.67960914719131127</v>
      </c>
      <c r="M99" t="str">
        <f ca="1">IF(OR((NHL2025_26Results[[#This Row],[Winning Team]]="")),"-",IF(Table4[[#This Row],[Predicted Winner]]=NHL2025_26Results[[#This Row],[Winning Team]],"YES","NO"))</f>
        <v>NO</v>
      </c>
      <c r="N99">
        <f ca="1">IF(Table4[[#This Row],[Adjusted Correct]]="-", "",IF(Table4[[#This Row],[Adjusted Correct]]="YES",(Table4[[#This Row],[Strength of Win]]-1)^2,(Table4[[#This Row],[Strength of Win]]-0)^2))</f>
        <v>0.46186859294610139</v>
      </c>
      <c r="O99">
        <v>0.44292105787578795</v>
      </c>
      <c r="P99" s="11"/>
      <c r="Q99" t="s">
        <v>21</v>
      </c>
      <c r="R99" t="s">
        <v>249</v>
      </c>
    </row>
    <row r="100" spans="4:18" x14ac:dyDescent="0.2">
      <c r="D100" s="1">
        <v>45951</v>
      </c>
      <c r="E100" s="2">
        <v>0.83333333333333337</v>
      </c>
      <c r="F100" t="s">
        <v>39</v>
      </c>
      <c r="G100">
        <f>VLOOKUP(Table4[[#This Row],[Home]],'NHL Model'!$A$6:$B$38,2,FALSE)</f>
        <v>0.19809534061227302</v>
      </c>
      <c r="H100" t="s">
        <v>28</v>
      </c>
      <c r="I100">
        <f>VLOOKUP(Table4[[#This Row],[Visitor]],'NHL Model'!$A$6:$B$38,2,FALSE)</f>
        <v>-0.40822279081308277</v>
      </c>
      <c r="J100">
        <f ca="1">($B$1+Table4[[#This Row],[Home Differential]])-Table4[[#This Row],[Away Differential]]</f>
        <v>0.76889044108767424</v>
      </c>
      <c r="K100" t="str">
        <f ca="1">IF(Table4[[#This Row],[HomeIce Differential]]&gt;0,Table4[[#This Row],[Home]],Table4[[#This Row],[Visitor]])</f>
        <v>Dallas Stars</v>
      </c>
      <c r="L100" s="11">
        <f ca="1"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0.651990977802686</v>
      </c>
      <c r="M100" t="str">
        <f ca="1">IF(OR((NHL2025_26Results[[#This Row],[Winning Team]]="")),"-",IF(Table4[[#This Row],[Predicted Winner]]=NHL2025_26Results[[#This Row],[Winning Team]],"YES","NO"))</f>
        <v>NO</v>
      </c>
      <c r="N100">
        <f ca="1">IF(Table4[[#This Row],[Adjusted Correct]]="-", "",IF(Table4[[#This Row],[Adjusted Correct]]="YES",(Table4[[#This Row],[Strength of Win]]-1)^2,(Table4[[#This Row],[Strength of Win]]-0)^2))</f>
        <v>0.42509223513610261</v>
      </c>
      <c r="O100">
        <v>-0.92191943902201234</v>
      </c>
      <c r="P100" s="11"/>
      <c r="Q100" t="s">
        <v>28</v>
      </c>
      <c r="R100" t="s">
        <v>248</v>
      </c>
    </row>
    <row r="101" spans="4:18" x14ac:dyDescent="0.2">
      <c r="D101" s="1">
        <v>45951</v>
      </c>
      <c r="E101" s="2">
        <v>0.83333333333333337</v>
      </c>
      <c r="F101" t="s">
        <v>29</v>
      </c>
      <c r="G101">
        <f>VLOOKUP(Table4[[#This Row],[Home]],'NHL Model'!$A$6:$B$38,2,FALSE)</f>
        <v>-1.3516250707060606</v>
      </c>
      <c r="H101" t="s">
        <v>31</v>
      </c>
      <c r="I101">
        <f>VLOOKUP(Table4[[#This Row],[Visitor]],'NHL Model'!$A$6:$B$38,2,FALSE)</f>
        <v>0.51775546328552802</v>
      </c>
      <c r="J101">
        <f ca="1">($B$1+Table4[[#This Row],[Home Differential]])-Table4[[#This Row],[Away Differential]]</f>
        <v>-1.7068082243292704</v>
      </c>
      <c r="K101" t="str">
        <f ca="1">IF(Table4[[#This Row],[HomeIce Differential]]&gt;0,Table4[[#This Row],[Home]],Table4[[#This Row],[Visitor]])</f>
        <v>Anaheim Ducks</v>
      </c>
      <c r="L101" s="11">
        <f ca="1"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0.7172622981889244</v>
      </c>
      <c r="M101" t="str">
        <f ca="1">IF(OR((NHL2025_26Results[[#This Row],[Winning Team]]="")),"-",IF(Table4[[#This Row],[Predicted Winner]]=NHL2025_26Results[[#This Row],[Winning Team]],"YES","NO"))</f>
        <v>YES</v>
      </c>
      <c r="N101">
        <f ca="1">IF(Table4[[#This Row],[Adjusted Correct]]="-", "",IF(Table4[[#This Row],[Adjusted Correct]]="YES",(Table4[[#This Row],[Strength of Win]]-1)^2,(Table4[[#This Row],[Strength of Win]]-0)^2))</f>
        <v>7.9940608025408699E-2</v>
      </c>
      <c r="O101">
        <v>-0.62542389291989786</v>
      </c>
      <c r="P101" s="11"/>
      <c r="Q101" t="s">
        <v>31</v>
      </c>
      <c r="R101" t="s">
        <v>248</v>
      </c>
    </row>
    <row r="102" spans="4:18" x14ac:dyDescent="0.2">
      <c r="D102" s="1">
        <v>45951</v>
      </c>
      <c r="E102" s="2">
        <v>0.79166666666666663</v>
      </c>
      <c r="F102" t="s">
        <v>30</v>
      </c>
      <c r="G102">
        <f>VLOOKUP(Table4[[#This Row],[Home]],'NHL Model'!$A$6:$B$38,2,FALSE)</f>
        <v>-6.4729560818359025E-2</v>
      </c>
      <c r="H102" t="s">
        <v>33</v>
      </c>
      <c r="I102">
        <f>VLOOKUP(Table4[[#This Row],[Visitor]],'NHL Model'!$A$6:$B$38,2,FALSE)</f>
        <v>-0.39418177254008485</v>
      </c>
      <c r="J102">
        <f ca="1">($B$1+Table4[[#This Row],[Home Differential]])-Table4[[#This Row],[Away Differential]]</f>
        <v>0.49202452138404423</v>
      </c>
      <c r="K102" t="str">
        <f ca="1">IF(Table4[[#This Row],[HomeIce Differential]]&gt;0,Table4[[#This Row],[Home]],Table4[[#This Row],[Visitor]])</f>
        <v>New York Islanders</v>
      </c>
      <c r="L102" s="11">
        <f ca="1"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0.60817426038215039</v>
      </c>
      <c r="M102" t="str">
        <f ca="1">IF(OR((NHL2025_26Results[[#This Row],[Winning Team]]="")),"-",IF(Table4[[#This Row],[Predicted Winner]]=NHL2025_26Results[[#This Row],[Winning Team]],"YES","NO"))</f>
        <v>YES</v>
      </c>
      <c r="N102">
        <f ca="1">IF(Table4[[#This Row],[Adjusted Correct]]="-", "",IF(Table4[[#This Row],[Adjusted Correct]]="YES",(Table4[[#This Row],[Strength of Win]]-1)^2,(Table4[[#This Row],[Strength of Win]]-0)^2))</f>
        <v>0.15352741022707489</v>
      </c>
      <c r="O102">
        <v>1.0691126570687239</v>
      </c>
      <c r="P102" s="11"/>
      <c r="Q102" t="s">
        <v>30</v>
      </c>
      <c r="R102" t="s">
        <v>248</v>
      </c>
    </row>
    <row r="103" spans="4:18" x14ac:dyDescent="0.2">
      <c r="D103" s="1">
        <v>45951</v>
      </c>
      <c r="E103" s="2">
        <v>0.79166666666666663</v>
      </c>
      <c r="F103" t="s">
        <v>36</v>
      </c>
      <c r="G103">
        <f>VLOOKUP(Table4[[#This Row],[Home]],'NHL Model'!$A$6:$B$38,2,FALSE)</f>
        <v>-0.40651947573390851</v>
      </c>
      <c r="H103" t="s">
        <v>17</v>
      </c>
      <c r="I103">
        <f>VLOOKUP(Table4[[#This Row],[Visitor]],'NHL Model'!$A$6:$B$38,2,FALSE)</f>
        <v>-0.61980804137564283</v>
      </c>
      <c r="J103">
        <f ca="1">($B$1+Table4[[#This Row],[Home Differential]])-Table4[[#This Row],[Away Differential]]</f>
        <v>0.37586087530405271</v>
      </c>
      <c r="K103" t="str">
        <f ca="1">IF(Table4[[#This Row],[HomeIce Differential]]&gt;0,Table4[[#This Row],[Home]],Table4[[#This Row],[Visitor]])</f>
        <v>Ottawa Senators</v>
      </c>
      <c r="L103" s="11">
        <f ca="1"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0.59457425996990443</v>
      </c>
      <c r="M103" t="str">
        <f ca="1">IF(OR((NHL2025_26Results[[#This Row],[Winning Team]]="")),"-",IF(Table4[[#This Row],[Predicted Winner]]=NHL2025_26Results[[#This Row],[Winning Team]],"YES","NO"))</f>
        <v>NO</v>
      </c>
      <c r="N103">
        <f ca="1">IF(Table4[[#This Row],[Adjusted Correct]]="-", "",IF(Table4[[#This Row],[Adjusted Correct]]="YES",(Table4[[#This Row],[Strength of Win]]-1)^2,(Table4[[#This Row],[Strength of Win]]-0)^2))</f>
        <v>0.35351855061875948</v>
      </c>
      <c r="O103">
        <v>-1.4748079518247106</v>
      </c>
      <c r="P103" s="11"/>
      <c r="Q103" t="s">
        <v>17</v>
      </c>
      <c r="R103" t="s">
        <v>248</v>
      </c>
    </row>
    <row r="104" spans="4:18" x14ac:dyDescent="0.2">
      <c r="D104" s="1">
        <v>45951</v>
      </c>
      <c r="E104" s="2">
        <v>0.79166666666666663</v>
      </c>
      <c r="F104" t="s">
        <v>14</v>
      </c>
      <c r="G104">
        <f>VLOOKUP(Table4[[#This Row],[Home]],'NHL Model'!$A$6:$B$38,2,FALSE)</f>
        <v>0.26289091192875702</v>
      </c>
      <c r="H104" t="s">
        <v>38</v>
      </c>
      <c r="I104">
        <f>VLOOKUP(Table4[[#This Row],[Visitor]],'NHL Model'!$A$6:$B$38,2,FALSE)</f>
        <v>-0.6902088310934803</v>
      </c>
      <c r="J104">
        <f ca="1">($B$1+Table4[[#This Row],[Home Differential]])-Table4[[#This Row],[Away Differential]]</f>
        <v>1.1156720526845558</v>
      </c>
      <c r="K104" t="str">
        <f ca="1">IF(Table4[[#This Row],[HomeIce Differential]]&gt;0,Table4[[#This Row],[Home]],Table4[[#This Row],[Visitor]])</f>
        <v>Pittsburgh Penguins</v>
      </c>
      <c r="L104" s="11">
        <f ca="1"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0.68856661170601086</v>
      </c>
      <c r="M104" t="str">
        <f ca="1">IF(OR((NHL2025_26Results[[#This Row],[Winning Team]]="")),"-",IF(Table4[[#This Row],[Predicted Winner]]=NHL2025_26Results[[#This Row],[Winning Team]],"YES","NO"))</f>
        <v>YES</v>
      </c>
      <c r="N104">
        <f ca="1">IF(Table4[[#This Row],[Adjusted Correct]]="-", "",IF(Table4[[#This Row],[Adjusted Correct]]="YES",(Table4[[#This Row],[Strength of Win]]-1)^2,(Table4[[#This Row],[Strength of Win]]-0)^2))</f>
        <v>9.6990755344274621E-2</v>
      </c>
      <c r="O104">
        <v>1.0677563390447324</v>
      </c>
      <c r="P104" s="11"/>
      <c r="Q104" t="s">
        <v>14</v>
      </c>
      <c r="R104" t="s">
        <v>248</v>
      </c>
    </row>
    <row r="105" spans="4:18" x14ac:dyDescent="0.2">
      <c r="D105" s="1">
        <v>45951</v>
      </c>
      <c r="E105" s="2">
        <v>0.83333333333333337</v>
      </c>
      <c r="F105" t="s">
        <v>35</v>
      </c>
      <c r="G105">
        <f>VLOOKUP(Table4[[#This Row],[Home]],'NHL Model'!$A$6:$B$38,2,FALSE)</f>
        <v>-1.6211574240381006</v>
      </c>
      <c r="H105" t="s">
        <v>13</v>
      </c>
      <c r="I105">
        <f>VLOOKUP(Table4[[#This Row],[Visitor]],'NHL Model'!$A$6:$B$38,2,FALSE)</f>
        <v>-7.5459708298993802E-2</v>
      </c>
      <c r="J105">
        <f ca="1">($B$1+Table4[[#This Row],[Home Differential]])-Table4[[#This Row],[Away Differential]]</f>
        <v>-1.3831254060767884</v>
      </c>
      <c r="K105" t="str">
        <f ca="1">IF(Table4[[#This Row],[HomeIce Differential]]&gt;0,Table4[[#This Row],[Home]],Table4[[#This Row],[Visitor]])</f>
        <v>Los Angeles Kings</v>
      </c>
      <c r="L105" s="11">
        <f ca="1"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0.77303935737117946</v>
      </c>
      <c r="M105" t="str">
        <f ca="1">IF(OR((NHL2025_26Results[[#This Row],[Winning Team]]="")),"-",IF(Table4[[#This Row],[Predicted Winner]]=NHL2025_26Results[[#This Row],[Winning Team]],"YES","NO"))</f>
        <v>YES</v>
      </c>
      <c r="N105">
        <f ca="1">IF(Table4[[#This Row],[Adjusted Correct]]="-", "",IF(Table4[[#This Row],[Adjusted Correct]]="YES",(Table4[[#This Row],[Strength of Win]]-1)^2,(Table4[[#This Row],[Strength of Win]]-0)^2))</f>
        <v>5.1511133302487189E-2</v>
      </c>
      <c r="O105">
        <v>-0.87093694319375814</v>
      </c>
      <c r="P105" s="11"/>
      <c r="Q105" t="s">
        <v>13</v>
      </c>
      <c r="R105" t="s">
        <v>248</v>
      </c>
    </row>
    <row r="106" spans="4:18" x14ac:dyDescent="0.2">
      <c r="D106" s="1">
        <v>45951</v>
      </c>
      <c r="E106" s="2">
        <v>0.79166666666666663</v>
      </c>
      <c r="F106" t="s">
        <v>19</v>
      </c>
      <c r="G106">
        <f>VLOOKUP(Table4[[#This Row],[Home]],'NHL Model'!$A$6:$B$38,2,FALSE)</f>
        <v>-0.635565543477981</v>
      </c>
      <c r="H106" t="s">
        <v>24</v>
      </c>
      <c r="I106">
        <f>VLOOKUP(Table4[[#This Row],[Visitor]],'NHL Model'!$A$6:$B$38,2,FALSE)</f>
        <v>0.559441163373953</v>
      </c>
      <c r="J106">
        <f ca="1">($B$1+Table4[[#This Row],[Home Differential]])-Table4[[#This Row],[Away Differential]]</f>
        <v>-1.0324343971896157</v>
      </c>
      <c r="K106" t="str">
        <f ca="1">IF(Table4[[#This Row],[HomeIce Differential]]&gt;0,Table4[[#This Row],[Home]],Table4[[#This Row],[Visitor]])</f>
        <v>New Jersey Devils</v>
      </c>
      <c r="L106" s="11">
        <f ca="1"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0.66936852030811889</v>
      </c>
      <c r="M106" t="str">
        <f ca="1">IF(OR((NHL2025_26Results[[#This Row],[Winning Team]]="")),"-",IF(Table4[[#This Row],[Predicted Winner]]=NHL2025_26Results[[#This Row],[Winning Team]],"YES","NO"))</f>
        <v>YES</v>
      </c>
      <c r="N106">
        <f ca="1">IF(Table4[[#This Row],[Adjusted Correct]]="-", "",IF(Table4[[#This Row],[Adjusted Correct]]="YES",(Table4[[#This Row],[Strength of Win]]-1)^2,(Table4[[#This Row],[Strength of Win]]-0)^2))</f>
        <v>0.1093171753632428</v>
      </c>
      <c r="O106">
        <v>-1.0367746954820527</v>
      </c>
      <c r="P106" s="11"/>
      <c r="Q106" t="s">
        <v>24</v>
      </c>
      <c r="R106" t="s">
        <v>248</v>
      </c>
    </row>
    <row r="107" spans="4:18" x14ac:dyDescent="0.2">
      <c r="D107" s="1">
        <v>45951</v>
      </c>
      <c r="E107" s="2">
        <v>0.91666666666666663</v>
      </c>
      <c r="F107" t="s">
        <v>55</v>
      </c>
      <c r="G107">
        <f>VLOOKUP(Table4[[#This Row],[Home]],'NHL Model'!$A$6:$B$38,2,FALSE)</f>
        <v>-0.12212311954851815</v>
      </c>
      <c r="H107" t="s">
        <v>12</v>
      </c>
      <c r="I107">
        <f>VLOOKUP(Table4[[#This Row],[Visitor]],'NHL Model'!$A$6:$B$38,2,FALSE)</f>
        <v>1.5475013591489768</v>
      </c>
      <c r="J107">
        <f ca="1">($B$1+Table4[[#This Row],[Home Differential]])-Table4[[#This Row],[Away Differential]]</f>
        <v>-1.5070521690351766</v>
      </c>
      <c r="K107" t="str">
        <f ca="1">IF(Table4[[#This Row],[HomeIce Differential]]&gt;0,Table4[[#This Row],[Home]],Table4[[#This Row],[Visitor]])</f>
        <v>Colorado Avalanche</v>
      </c>
      <c r="L107" s="11">
        <f ca="1"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0.66533687438483047</v>
      </c>
      <c r="M107" t="str">
        <f ca="1">IF(OR((NHL2025_26Results[[#This Row],[Winning Team]]="")),"-",IF(Table4[[#This Row],[Predicted Winner]]=NHL2025_26Results[[#This Row],[Winning Team]],"YES","NO"))</f>
        <v>NO</v>
      </c>
      <c r="N107">
        <f ca="1">IF(Table4[[#This Row],[Adjusted Correct]]="-", "",IF(Table4[[#This Row],[Adjusted Correct]]="YES",(Table4[[#This Row],[Strength of Win]]-1)^2,(Table4[[#This Row],[Strength of Win]]-0)^2))</f>
        <v>0.44267315641617566</v>
      </c>
      <c r="O107">
        <v>-0.97626211840201049</v>
      </c>
      <c r="P107" s="11"/>
      <c r="Q107" t="s">
        <v>12</v>
      </c>
      <c r="R107" t="s">
        <v>249</v>
      </c>
    </row>
    <row r="108" spans="4:18" x14ac:dyDescent="0.2">
      <c r="D108" s="1">
        <v>45951</v>
      </c>
      <c r="E108" s="2">
        <v>0.79166666666666663</v>
      </c>
      <c r="F108" t="s">
        <v>22</v>
      </c>
      <c r="G108">
        <f>VLOOKUP(Table4[[#This Row],[Home]],'NHL Model'!$A$6:$B$38,2,FALSE)</f>
        <v>-6.1308839486784707E-2</v>
      </c>
      <c r="H108" t="s">
        <v>32</v>
      </c>
      <c r="I108">
        <f>VLOOKUP(Table4[[#This Row],[Visitor]],'NHL Model'!$A$6:$B$38,2,FALSE)</f>
        <v>-0.361361309178443</v>
      </c>
      <c r="J108">
        <f ca="1">($B$1+Table4[[#This Row],[Home Differential]])-Table4[[#This Row],[Away Differential]]</f>
        <v>0.46262477935397672</v>
      </c>
      <c r="K108" t="str">
        <f ca="1">IF(Table4[[#This Row],[HomeIce Differential]]&gt;0,Table4[[#This Row],[Home]],Table4[[#This Row],[Visitor]])</f>
        <v>Washington Capitals</v>
      </c>
      <c r="L108" s="11">
        <f ca="1"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0.60410067140189416</v>
      </c>
      <c r="M108" t="str">
        <f ca="1">IF(OR((NHL2025_26Results[[#This Row],[Winning Team]]="")),"-",IF(Table4[[#This Row],[Predicted Winner]]=NHL2025_26Results[[#This Row],[Winning Team]],"YES","NO"))</f>
        <v>YES</v>
      </c>
      <c r="N108">
        <f ca="1">IF(Table4[[#This Row],[Adjusted Correct]]="-", "",IF(Table4[[#This Row],[Adjusted Correct]]="YES",(Table4[[#This Row],[Strength of Win]]-1)^2,(Table4[[#This Row],[Strength of Win]]-0)^2))</f>
        <v>0.15673627838443099</v>
      </c>
      <c r="O108">
        <v>1.3141203348853641</v>
      </c>
      <c r="P108" s="11"/>
      <c r="Q108" t="s">
        <v>22</v>
      </c>
      <c r="R108" t="s">
        <v>248</v>
      </c>
    </row>
    <row r="109" spans="4:18" x14ac:dyDescent="0.2">
      <c r="D109" s="1">
        <v>45952</v>
      </c>
      <c r="E109" s="2">
        <v>0.8125</v>
      </c>
      <c r="F109" t="s">
        <v>23</v>
      </c>
      <c r="G109">
        <f>VLOOKUP(Table4[[#This Row],[Home]],'NHL Model'!$A$6:$B$38,2,FALSE)</f>
        <v>-0.8683412362501769</v>
      </c>
      <c r="H109" t="s">
        <v>26</v>
      </c>
      <c r="I109">
        <f>VLOOKUP(Table4[[#This Row],[Visitor]],'NHL Model'!$A$6:$B$38,2,FALSE)</f>
        <v>-0.513643833119658</v>
      </c>
      <c r="J109">
        <f ca="1">($B$1+Table4[[#This Row],[Home Differential]])-Table4[[#This Row],[Away Differential]]</f>
        <v>-0.1921250934682005</v>
      </c>
      <c r="K109" t="str">
        <f ca="1">IF(Table4[[#This Row],[HomeIce Differential]]&gt;0,Table4[[#This Row],[Home]],Table4[[#This Row],[Visitor]])</f>
        <v>Detroit Red Wings</v>
      </c>
      <c r="L109" s="11">
        <f ca="1"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0.53371998776971596</v>
      </c>
      <c r="M109" t="str">
        <f ca="1">IF(OR((NHL2025_26Results[[#This Row],[Winning Team]]="")),"-",IF(Table4[[#This Row],[Predicted Winner]]=NHL2025_26Results[[#This Row],[Winning Team]],"YES","NO"))</f>
        <v>NO</v>
      </c>
      <c r="N109">
        <f ca="1">IF(Table4[[#This Row],[Adjusted Correct]]="-", "",IF(Table4[[#This Row],[Adjusted Correct]]="YES",(Table4[[#This Row],[Strength of Win]]-1)^2,(Table4[[#This Row],[Strength of Win]]-0)^2))</f>
        <v>0.28485702534490576</v>
      </c>
      <c r="O109">
        <v>-0.41892772401668504</v>
      </c>
      <c r="P109" s="11"/>
      <c r="Q109" t="s">
        <v>26</v>
      </c>
      <c r="R109" t="s">
        <v>249</v>
      </c>
    </row>
    <row r="110" spans="4:18" x14ac:dyDescent="0.2">
      <c r="D110" s="1">
        <v>45952</v>
      </c>
      <c r="E110" s="2">
        <v>0.85416666666666663</v>
      </c>
      <c r="F110" t="s">
        <v>16</v>
      </c>
      <c r="G110">
        <f>VLOOKUP(Table4[[#This Row],[Home]],'NHL Model'!$A$6:$B$38,2,FALSE)</f>
        <v>-1.3903684122795328</v>
      </c>
      <c r="H110" t="s">
        <v>18</v>
      </c>
      <c r="I110">
        <f>VLOOKUP(Table4[[#This Row],[Visitor]],'NHL Model'!$A$6:$B$38,2,FALSE)</f>
        <v>-0.52437726201848234</v>
      </c>
      <c r="J110">
        <f ca="1">($B$1+Table4[[#This Row],[Home Differential]])-Table4[[#This Row],[Away Differential]]</f>
        <v>-0.70341884059873205</v>
      </c>
      <c r="K110" t="str">
        <f ca="1">IF(Table4[[#This Row],[HomeIce Differential]]&gt;0,Table4[[#This Row],[Home]],Table4[[#This Row],[Visitor]])</f>
        <v>Montreal Canadiens</v>
      </c>
      <c r="L110" s="11">
        <f ca="1"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0.63394546154388343</v>
      </c>
      <c r="M110" t="str">
        <f ca="1">IF(OR((NHL2025_26Results[[#This Row],[Winning Team]]="")),"-",IF(Table4[[#This Row],[Predicted Winner]]=NHL2025_26Results[[#This Row],[Winning Team]],"YES","NO"))</f>
        <v>YES</v>
      </c>
      <c r="N110">
        <f ca="1">IF(Table4[[#This Row],[Adjusted Correct]]="-", "",IF(Table4[[#This Row],[Adjusted Correct]]="YES",(Table4[[#This Row],[Strength of Win]]-1)^2,(Table4[[#This Row],[Strength of Win]]-0)^2))</f>
        <v>0.13399592512432051</v>
      </c>
      <c r="O110">
        <v>-2.2196818976878778</v>
      </c>
      <c r="P110" s="11"/>
      <c r="Q110" t="s">
        <v>18</v>
      </c>
      <c r="R110" t="s">
        <v>248</v>
      </c>
    </row>
    <row r="111" spans="4:18" x14ac:dyDescent="0.2">
      <c r="D111" s="1">
        <v>45952</v>
      </c>
      <c r="E111" s="2">
        <v>0.79166666666666663</v>
      </c>
      <c r="F111" t="s">
        <v>24</v>
      </c>
      <c r="G111">
        <f>VLOOKUP(Table4[[#This Row],[Home]],'NHL Model'!$A$6:$B$38,2,FALSE)</f>
        <v>0.559441163373953</v>
      </c>
      <c r="H111" t="s">
        <v>34</v>
      </c>
      <c r="I111">
        <f>VLOOKUP(Table4[[#This Row],[Visitor]],'NHL Model'!$A$6:$B$38,2,FALSE)</f>
        <v>-0.53650300840565446</v>
      </c>
      <c r="J111">
        <f ca="1">($B$1+Table4[[#This Row],[Home Differential]])-Table4[[#This Row],[Away Differential]]</f>
        <v>1.2585164814419258</v>
      </c>
      <c r="K111" t="str">
        <f ca="1">IF(Table4[[#This Row],[HomeIce Differential]]&gt;0,Table4[[#This Row],[Home]],Table4[[#This Row],[Visitor]])</f>
        <v>New Jersey Devils</v>
      </c>
      <c r="L111" s="11">
        <f ca="1"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0.82980907401344628</v>
      </c>
      <c r="M111" t="str">
        <f ca="1">IF(OR((NHL2025_26Results[[#This Row],[Winning Team]]="")),"-",IF(Table4[[#This Row],[Predicted Winner]]=NHL2025_26Results[[#This Row],[Winning Team]],"YES","NO"))</f>
        <v>YES</v>
      </c>
      <c r="N111">
        <f ca="1">IF(Table4[[#This Row],[Adjusted Correct]]="-", "",IF(Table4[[#This Row],[Adjusted Correct]]="YES",(Table4[[#This Row],[Strength of Win]]-1)^2,(Table4[[#This Row],[Strength of Win]]-0)^2))</f>
        <v>2.8964951288160606E-2</v>
      </c>
      <c r="O111">
        <v>1.9998104208686476</v>
      </c>
      <c r="P111" s="11"/>
      <c r="Q111" t="s">
        <v>24</v>
      </c>
      <c r="R111" t="s">
        <v>248</v>
      </c>
    </row>
    <row r="112" spans="4:18" x14ac:dyDescent="0.2">
      <c r="D112" s="1">
        <v>45953</v>
      </c>
      <c r="E112" s="2">
        <v>0.79166666666666663</v>
      </c>
      <c r="F112" t="s">
        <v>21</v>
      </c>
      <c r="G112">
        <f>VLOOKUP(Table4[[#This Row],[Home]],'NHL Model'!$A$6:$B$38,2,FALSE)</f>
        <v>4.029141914856392E-2</v>
      </c>
      <c r="H112" t="s">
        <v>31</v>
      </c>
      <c r="I112">
        <f>VLOOKUP(Table4[[#This Row],[Visitor]],'NHL Model'!$A$6:$B$38,2,FALSE)</f>
        <v>0.51775546328552802</v>
      </c>
      <c r="J112">
        <f ca="1">($B$1+Table4[[#This Row],[Home Differential]])-Table4[[#This Row],[Away Differential]]</f>
        <v>-0.31489173447464569</v>
      </c>
      <c r="K112" t="str">
        <f ca="1">IF(Table4[[#This Row],[HomeIce Differential]]&gt;0,Table4[[#This Row],[Home]],Table4[[#This Row],[Visitor]])</f>
        <v>Anaheim Ducks</v>
      </c>
      <c r="L112" s="11">
        <f ca="1"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0.45103838546897679</v>
      </c>
      <c r="M112" t="str">
        <f ca="1">IF(OR((NHL2025_26Results[[#This Row],[Winning Team]]="")),"-",IF(Table4[[#This Row],[Predicted Winner]]=NHL2025_26Results[[#This Row],[Winning Team]],"YES","NO"))</f>
        <v>YES</v>
      </c>
      <c r="N112">
        <f ca="1">IF(Table4[[#This Row],[Adjusted Correct]]="-", "",IF(Table4[[#This Row],[Adjusted Correct]]="YES",(Table4[[#This Row],[Strength of Win]]-1)^2,(Table4[[#This Row],[Strength of Win]]-0)^2))</f>
        <v>0.30135885422850772</v>
      </c>
      <c r="O112">
        <v>-0.39773897735093061</v>
      </c>
      <c r="P112" s="11"/>
      <c r="Q112" t="s">
        <v>31</v>
      </c>
      <c r="R112" t="s">
        <v>248</v>
      </c>
    </row>
    <row r="113" spans="4:18" x14ac:dyDescent="0.2">
      <c r="D113" s="1">
        <v>45953</v>
      </c>
      <c r="E113" s="2">
        <v>0.875</v>
      </c>
      <c r="F113" t="s">
        <v>12</v>
      </c>
      <c r="G113">
        <f>VLOOKUP(Table4[[#This Row],[Home]],'NHL Model'!$A$6:$B$38,2,FALSE)</f>
        <v>1.5475013591489768</v>
      </c>
      <c r="H113" t="s">
        <v>25</v>
      </c>
      <c r="I113">
        <f>VLOOKUP(Table4[[#This Row],[Visitor]],'NHL Model'!$A$6:$B$38,2,FALSE)</f>
        <v>0.67193921242367816</v>
      </c>
      <c r="J113">
        <f ca="1">($B$1+Table4[[#This Row],[Home Differential]])-Table4[[#This Row],[Away Differential]]</f>
        <v>1.0381344563876169</v>
      </c>
      <c r="K113" t="str">
        <f ca="1">IF(Table4[[#This Row],[HomeIce Differential]]&gt;0,Table4[[#This Row],[Home]],Table4[[#This Row],[Visitor]])</f>
        <v>Colorado Avalanche</v>
      </c>
      <c r="L113" s="11">
        <f ca="1"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0.6823040618836782</v>
      </c>
      <c r="M113" t="str">
        <f ca="1">IF(OR((NHL2025_26Results[[#This Row],[Winning Team]]="")),"-",IF(Table4[[#This Row],[Predicted Winner]]=NHL2025_26Results[[#This Row],[Winning Team]],"YES","NO"))</f>
        <v>NO</v>
      </c>
      <c r="N113">
        <f ca="1">IF(Table4[[#This Row],[Adjusted Correct]]="-", "",IF(Table4[[#This Row],[Adjusted Correct]]="YES",(Table4[[#This Row],[Strength of Win]]-1)^2,(Table4[[#This Row],[Strength of Win]]-0)^2))</f>
        <v>0.46553883286296616</v>
      </c>
      <c r="O113">
        <v>-0.34965912817062916</v>
      </c>
      <c r="P113" s="11"/>
      <c r="Q113" t="s">
        <v>25</v>
      </c>
      <c r="R113" t="s">
        <v>248</v>
      </c>
    </row>
    <row r="114" spans="4:18" x14ac:dyDescent="0.2">
      <c r="D114" s="1">
        <v>45953</v>
      </c>
      <c r="E114" s="2">
        <v>0.875</v>
      </c>
      <c r="F114" t="s">
        <v>39</v>
      </c>
      <c r="G114">
        <f>VLOOKUP(Table4[[#This Row],[Home]],'NHL Model'!$A$6:$B$38,2,FALSE)</f>
        <v>0.19809534061227302</v>
      </c>
      <c r="H114" t="s">
        <v>13</v>
      </c>
      <c r="I114">
        <f>VLOOKUP(Table4[[#This Row],[Visitor]],'NHL Model'!$A$6:$B$38,2,FALSE)</f>
        <v>-7.5459708298993802E-2</v>
      </c>
      <c r="J114">
        <f ca="1">($B$1+Table4[[#This Row],[Home Differential]])-Table4[[#This Row],[Away Differential]]</f>
        <v>0.4361273585735852</v>
      </c>
      <c r="K114" t="str">
        <f ca="1">IF(Table4[[#This Row],[HomeIce Differential]]&gt;0,Table4[[#This Row],[Home]],Table4[[#This Row],[Visitor]])</f>
        <v>Dallas Stars</v>
      </c>
      <c r="L114" s="11">
        <f ca="1"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0.50487366862119543</v>
      </c>
      <c r="M114" t="str">
        <f ca="1">IF(OR((NHL2025_26Results[[#This Row],[Winning Team]]="")),"-",IF(Table4[[#This Row],[Predicted Winner]]=NHL2025_26Results[[#This Row],[Winning Team]],"YES","NO"))</f>
        <v>NO</v>
      </c>
      <c r="N114">
        <f ca="1">IF(Table4[[#This Row],[Adjusted Correct]]="-", "",IF(Table4[[#This Row],[Adjusted Correct]]="YES",(Table4[[#This Row],[Strength of Win]]-1)^2,(Table4[[#This Row],[Strength of Win]]-0)^2))</f>
        <v>0.25489742126702464</v>
      </c>
      <c r="O114">
        <v>-0.32576645692512685</v>
      </c>
      <c r="P114" s="11"/>
      <c r="Q114" t="s">
        <v>13</v>
      </c>
      <c r="R114" t="s">
        <v>248</v>
      </c>
    </row>
    <row r="115" spans="4:18" x14ac:dyDescent="0.2">
      <c r="D115" s="1">
        <v>45953</v>
      </c>
      <c r="E115" s="2">
        <v>0.875</v>
      </c>
      <c r="F115" t="s">
        <v>17</v>
      </c>
      <c r="G115">
        <f>VLOOKUP(Table4[[#This Row],[Home]],'NHL Model'!$A$6:$B$38,2,FALSE)</f>
        <v>-0.61980804137564283</v>
      </c>
      <c r="H115" t="s">
        <v>18</v>
      </c>
      <c r="I115">
        <f>VLOOKUP(Table4[[#This Row],[Visitor]],'NHL Model'!$A$6:$B$38,2,FALSE)</f>
        <v>-0.52437726201848234</v>
      </c>
      <c r="J115">
        <f ca="1">($B$1+Table4[[#This Row],[Home Differential]])-Table4[[#This Row],[Away Differential]]</f>
        <v>6.7141530305157904E-2</v>
      </c>
      <c r="K115" t="str">
        <f ca="1">IF(Table4[[#This Row],[HomeIce Differential]]&gt;0,Table4[[#This Row],[Home]],Table4[[#This Row],[Visitor]])</f>
        <v>Edmonton Oilers</v>
      </c>
      <c r="L115" s="11">
        <f ca="1"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0.50930304074399391</v>
      </c>
      <c r="M115" t="str">
        <f ca="1">IF(OR((NHL2025_26Results[[#This Row],[Winning Team]]="")),"-",IF(Table4[[#This Row],[Predicted Winner]]=NHL2025_26Results[[#This Row],[Winning Team]],"YES","NO"))</f>
        <v>YES</v>
      </c>
      <c r="N115">
        <f ca="1">IF(Table4[[#This Row],[Adjusted Correct]]="-", "",IF(Table4[[#This Row],[Adjusted Correct]]="YES",(Table4[[#This Row],[Strength of Win]]-1)^2,(Table4[[#This Row],[Strength of Win]]-0)^2))</f>
        <v>0.24078350582309049</v>
      </c>
      <c r="O115">
        <v>-0.50670452281282297</v>
      </c>
      <c r="P115" s="11"/>
      <c r="Q115" t="s">
        <v>18</v>
      </c>
      <c r="R115" t="s">
        <v>249</v>
      </c>
    </row>
    <row r="116" spans="4:18" x14ac:dyDescent="0.2">
      <c r="D116" s="1">
        <v>45953</v>
      </c>
      <c r="E116" s="2">
        <v>0.79166666666666663</v>
      </c>
      <c r="F116" t="s">
        <v>11</v>
      </c>
      <c r="G116">
        <f>VLOOKUP(Table4[[#This Row],[Home]],'NHL Model'!$A$6:$B$38,2,FALSE)</f>
        <v>-0.28105923893144158</v>
      </c>
      <c r="H116" t="s">
        <v>14</v>
      </c>
      <c r="I116">
        <f>VLOOKUP(Table4[[#This Row],[Visitor]],'NHL Model'!$A$6:$B$38,2,FALSE)</f>
        <v>0.26289091192875702</v>
      </c>
      <c r="J116">
        <f ca="1">($B$1+Table4[[#This Row],[Home Differential]])-Table4[[#This Row],[Away Differential]]</f>
        <v>-0.38137784119788021</v>
      </c>
      <c r="K116" t="str">
        <f ca="1">IF(Table4[[#This Row],[HomeIce Differential]]&gt;0,Table4[[#This Row],[Home]],Table4[[#This Row],[Visitor]])</f>
        <v>Pittsburgh Penguins</v>
      </c>
      <c r="L116" s="11">
        <f ca="1"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0.46112722785827853</v>
      </c>
      <c r="M116" t="str">
        <f ca="1">IF(OR((NHL2025_26Results[[#This Row],[Winning Team]]="")),"-",IF(Table4[[#This Row],[Predicted Winner]]=NHL2025_26Results[[#This Row],[Winning Team]],"YES","NO"))</f>
        <v>YES</v>
      </c>
      <c r="N116">
        <f ca="1">IF(Table4[[#This Row],[Adjusted Correct]]="-", "",IF(Table4[[#This Row],[Adjusted Correct]]="YES",(Table4[[#This Row],[Strength of Win]]-1)^2,(Table4[[#This Row],[Strength of Win]]-0)^2))</f>
        <v>0.29038386455570364</v>
      </c>
      <c r="O116">
        <v>-1.4674283701132262</v>
      </c>
      <c r="P116" s="11"/>
      <c r="Q116" t="s">
        <v>14</v>
      </c>
      <c r="R116" t="s">
        <v>248</v>
      </c>
    </row>
    <row r="117" spans="4:18" x14ac:dyDescent="0.2">
      <c r="D117" s="1">
        <v>45953</v>
      </c>
      <c r="E117" s="2">
        <v>0.83333333333333337</v>
      </c>
      <c r="F117" t="s">
        <v>29</v>
      </c>
      <c r="G117">
        <f>VLOOKUP(Table4[[#This Row],[Home]],'NHL Model'!$A$6:$B$38,2,FALSE)</f>
        <v>-1.3516250707060606</v>
      </c>
      <c r="H117" t="s">
        <v>38</v>
      </c>
      <c r="I117">
        <f>VLOOKUP(Table4[[#This Row],[Visitor]],'NHL Model'!$A$6:$B$38,2,FALSE)</f>
        <v>-0.6902088310934803</v>
      </c>
      <c r="J117">
        <f ca="1">($B$1+Table4[[#This Row],[Home Differential]])-Table4[[#This Row],[Away Differential]]</f>
        <v>-0.49884392995026194</v>
      </c>
      <c r="K117" t="str">
        <f ca="1">IF(Table4[[#This Row],[HomeIce Differential]]&gt;0,Table4[[#This Row],[Home]],Table4[[#This Row],[Visitor]])</f>
        <v>Vancouver Canucks</v>
      </c>
      <c r="L117" s="11">
        <f ca="1"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0.57163171133703483</v>
      </c>
      <c r="M117" t="str">
        <f ca="1">IF(OR((NHL2025_26Results[[#This Row],[Winning Team]]="")),"-",IF(Table4[[#This Row],[Predicted Winner]]=NHL2025_26Results[[#This Row],[Winning Team]],"YES","NO"))</f>
        <v>NO</v>
      </c>
      <c r="N117">
        <f ca="1">IF(Table4[[#This Row],[Adjusted Correct]]="-", "",IF(Table4[[#This Row],[Adjusted Correct]]="YES",(Table4[[#This Row],[Strength of Win]]-1)^2,(Table4[[#This Row],[Strength of Win]]-0)^2))</f>
        <v>0.32676281340610713</v>
      </c>
      <c r="O117">
        <v>-7.8624778851855703E-2</v>
      </c>
      <c r="P117" s="11"/>
      <c r="Q117" t="s">
        <v>38</v>
      </c>
      <c r="R117" t="s">
        <v>249</v>
      </c>
    </row>
    <row r="118" spans="4:18" x14ac:dyDescent="0.2">
      <c r="D118" s="1">
        <v>45953</v>
      </c>
      <c r="E118" s="2">
        <v>0.79166666666666663</v>
      </c>
      <c r="F118" t="s">
        <v>30</v>
      </c>
      <c r="G118">
        <f>VLOOKUP(Table4[[#This Row],[Home]],'NHL Model'!$A$6:$B$38,2,FALSE)</f>
        <v>-6.4729560818359025E-2</v>
      </c>
      <c r="H118" t="s">
        <v>26</v>
      </c>
      <c r="I118">
        <f>VLOOKUP(Table4[[#This Row],[Visitor]],'NHL Model'!$A$6:$B$38,2,FALSE)</f>
        <v>-0.513643833119658</v>
      </c>
      <c r="J118">
        <f ca="1">($B$1+Table4[[#This Row],[Home Differential]])-Table4[[#This Row],[Away Differential]]</f>
        <v>0.61148658196361738</v>
      </c>
      <c r="K118" t="str">
        <f ca="1">IF(Table4[[#This Row],[HomeIce Differential]]&gt;0,Table4[[#This Row],[Home]],Table4[[#This Row],[Visitor]])</f>
        <v>New York Islanders</v>
      </c>
      <c r="L118" s="11">
        <f ca="1"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0.57762737242468076</v>
      </c>
      <c r="M118" t="str">
        <f ca="1">IF(OR((NHL2025_26Results[[#This Row],[Winning Team]]="")),"-",IF(Table4[[#This Row],[Predicted Winner]]=NHL2025_26Results[[#This Row],[Winning Team]],"YES","NO"))</f>
        <v>YES</v>
      </c>
      <c r="N118">
        <f ca="1">IF(Table4[[#This Row],[Adjusted Correct]]="-", "",IF(Table4[[#This Row],[Adjusted Correct]]="YES",(Table4[[#This Row],[Strength of Win]]-1)^2,(Table4[[#This Row],[Strength of Win]]-0)^2))</f>
        <v>0.17839863652487933</v>
      </c>
      <c r="O118">
        <v>0.73239461200505884</v>
      </c>
      <c r="P118" s="11"/>
      <c r="Q118" t="s">
        <v>30</v>
      </c>
      <c r="R118" t="s">
        <v>248</v>
      </c>
    </row>
    <row r="119" spans="4:18" x14ac:dyDescent="0.2">
      <c r="D119" s="1">
        <v>45953</v>
      </c>
      <c r="E119" s="2">
        <v>0.79166666666666663</v>
      </c>
      <c r="F119" t="s">
        <v>15</v>
      </c>
      <c r="G119">
        <f>VLOOKUP(Table4[[#This Row],[Home]],'NHL Model'!$A$6:$B$38,2,FALSE)</f>
        <v>-0.30719665303039001</v>
      </c>
      <c r="H119" t="s">
        <v>33</v>
      </c>
      <c r="I119">
        <f>VLOOKUP(Table4[[#This Row],[Visitor]],'NHL Model'!$A$6:$B$38,2,FALSE)</f>
        <v>-0.39418177254008485</v>
      </c>
      <c r="J119">
        <f ca="1">($B$1+Table4[[#This Row],[Home Differential]])-Table4[[#This Row],[Away Differential]]</f>
        <v>0.24955742917201323</v>
      </c>
      <c r="K119" t="str">
        <f ca="1">IF(Table4[[#This Row],[HomeIce Differential]]&gt;0,Table4[[#This Row],[Home]],Table4[[#This Row],[Visitor]])</f>
        <v>New York Rangers</v>
      </c>
      <c r="L119" s="11">
        <f ca="1"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0.57457834399963426</v>
      </c>
      <c r="M119" t="str">
        <f ca="1">IF(OR((NHL2025_26Results[[#This Row],[Winning Team]]="")),"-",IF(Table4[[#This Row],[Predicted Winner]]=NHL2025_26Results[[#This Row],[Winning Team]],"YES","NO"))</f>
        <v>NO</v>
      </c>
      <c r="N119">
        <f ca="1">IF(Table4[[#This Row],[Adjusted Correct]]="-", "",IF(Table4[[#This Row],[Adjusted Correct]]="YES",(Table4[[#This Row],[Strength of Win]]-1)^2,(Table4[[#This Row],[Strength of Win]]-0)^2))</f>
        <v>0.33014027339336205</v>
      </c>
      <c r="O119">
        <v>1.1009319693558097</v>
      </c>
      <c r="P119" s="11"/>
      <c r="Q119" t="s">
        <v>15</v>
      </c>
      <c r="R119" t="s">
        <v>249</v>
      </c>
    </row>
    <row r="120" spans="4:18" x14ac:dyDescent="0.2">
      <c r="D120" s="1">
        <v>45953</v>
      </c>
      <c r="E120" s="2">
        <v>0.79166666666666663</v>
      </c>
      <c r="F120" t="s">
        <v>36</v>
      </c>
      <c r="G120">
        <f>VLOOKUP(Table4[[#This Row],[Home]],'NHL Model'!$A$6:$B$38,2,FALSE)</f>
        <v>-0.40651947573390851</v>
      </c>
      <c r="H120" t="s">
        <v>27</v>
      </c>
      <c r="I120">
        <f>VLOOKUP(Table4[[#This Row],[Visitor]],'NHL Model'!$A$6:$B$38,2,FALSE)</f>
        <v>-0.51358590497437617</v>
      </c>
      <c r="J120">
        <f ca="1">($B$1+Table4[[#This Row],[Home Differential]])-Table4[[#This Row],[Away Differential]]</f>
        <v>0.26963873890278606</v>
      </c>
      <c r="K120" t="str">
        <f ca="1">IF(Table4[[#This Row],[HomeIce Differential]]&gt;0,Table4[[#This Row],[Home]],Table4[[#This Row],[Visitor]])</f>
        <v>Ottawa Senators</v>
      </c>
      <c r="L120" s="11">
        <f ca="1"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0.57985626265343349</v>
      </c>
      <c r="M120" t="str">
        <f ca="1">IF(OR((NHL2025_26Results[[#This Row],[Winning Team]]="")),"-",IF(Table4[[#This Row],[Predicted Winner]]=NHL2025_26Results[[#This Row],[Winning Team]],"YES","NO"))</f>
        <v>YES</v>
      </c>
      <c r="N120">
        <f ca="1">IF(Table4[[#This Row],[Adjusted Correct]]="-", "",IF(Table4[[#This Row],[Adjusted Correct]]="YES",(Table4[[#This Row],[Strength of Win]]-1)^2,(Table4[[#This Row],[Strength of Win]]-0)^2))</f>
        <v>0.17652076003154066</v>
      </c>
      <c r="O120">
        <v>-1.4864009253791441</v>
      </c>
      <c r="P120" s="11"/>
      <c r="Q120" t="s">
        <v>27</v>
      </c>
      <c r="R120" t="s">
        <v>249</v>
      </c>
    </row>
    <row r="121" spans="4:18" x14ac:dyDescent="0.2">
      <c r="D121" s="1">
        <v>45953</v>
      </c>
      <c r="E121" s="2">
        <v>0.83333333333333337</v>
      </c>
      <c r="F121" t="s">
        <v>35</v>
      </c>
      <c r="G121">
        <f>VLOOKUP(Table4[[#This Row],[Home]],'NHL Model'!$A$6:$B$38,2,FALSE)</f>
        <v>-1.6211574240381006</v>
      </c>
      <c r="H121" t="s">
        <v>55</v>
      </c>
      <c r="I121">
        <f>VLOOKUP(Table4[[#This Row],[Visitor]],'NHL Model'!$A$6:$B$38,2,FALSE)</f>
        <v>-0.12212311954851815</v>
      </c>
      <c r="J121">
        <f ca="1">($B$1+Table4[[#This Row],[Home Differential]])-Table4[[#This Row],[Away Differential]]</f>
        <v>-1.336461994827264</v>
      </c>
      <c r="K121" t="str">
        <f ca="1">IF(Table4[[#This Row],[HomeIce Differential]]&gt;0,Table4[[#This Row],[Home]],Table4[[#This Row],[Visitor]])</f>
        <v>Utah Mammoth</v>
      </c>
      <c r="L121" s="11">
        <f ca="1"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0.64517838860938648</v>
      </c>
      <c r="M121" t="str">
        <f ca="1">IF(OR((NHL2025_26Results[[#This Row],[Winning Team]]="")),"-",IF(Table4[[#This Row],[Predicted Winner]]=NHL2025_26Results[[#This Row],[Winning Team]],"YES","NO"))</f>
        <v>YES</v>
      </c>
      <c r="N121">
        <f ca="1">IF(Table4[[#This Row],[Adjusted Correct]]="-", "",IF(Table4[[#This Row],[Adjusted Correct]]="YES",(Table4[[#This Row],[Strength of Win]]-1)^2,(Table4[[#This Row],[Strength of Win]]-0)^2))</f>
        <v>0.12589837590983155</v>
      </c>
      <c r="O121">
        <v>-2.1149466864988273</v>
      </c>
      <c r="P121" s="11"/>
      <c r="Q121" t="s">
        <v>55</v>
      </c>
      <c r="R121" t="s">
        <v>248</v>
      </c>
    </row>
    <row r="122" spans="4:18" x14ac:dyDescent="0.2">
      <c r="D122" s="1">
        <v>45953</v>
      </c>
      <c r="E122" s="2">
        <v>0.78125</v>
      </c>
      <c r="F122" t="s">
        <v>37</v>
      </c>
      <c r="G122">
        <f>VLOOKUP(Table4[[#This Row],[Home]],'NHL Model'!$A$6:$B$38,2,FALSE)</f>
        <v>-0.11309445867623392</v>
      </c>
      <c r="H122" t="s">
        <v>10</v>
      </c>
      <c r="I122">
        <f>VLOOKUP(Table4[[#This Row],[Visitor]],'NHL Model'!$A$6:$B$38,2,FALSE)</f>
        <v>0.30570968833820172</v>
      </c>
      <c r="J122">
        <f ca="1">($B$1+Table4[[#This Row],[Home Differential]])-Table4[[#This Row],[Away Differential]]</f>
        <v>-0.25623183735211724</v>
      </c>
      <c r="K122" t="str">
        <f ca="1">IF(Table4[[#This Row],[HomeIce Differential]]&gt;0,Table4[[#This Row],[Home]],Table4[[#This Row],[Visitor]])</f>
        <v>Chicago Blackhawks</v>
      </c>
      <c r="L122" s="11">
        <f ca="1"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0.51627237184988684</v>
      </c>
      <c r="M122" t="str">
        <f ca="1">IF(OR((NHL2025_26Results[[#This Row],[Winning Team]]="")),"-",IF(Table4[[#This Row],[Predicted Winner]]=NHL2025_26Results[[#This Row],[Winning Team]],"YES","NO"))</f>
        <v>YES</v>
      </c>
      <c r="N122">
        <f ca="1">IF(Table4[[#This Row],[Adjusted Correct]]="-", "",IF(Table4[[#This Row],[Adjusted Correct]]="YES",(Table4[[#This Row],[Strength of Win]]-1)^2,(Table4[[#This Row],[Strength of Win]]-0)^2))</f>
        <v>0.23399241823573416</v>
      </c>
      <c r="O122">
        <v>-0.95850189586624734</v>
      </c>
      <c r="P122" s="11"/>
      <c r="Q122" t="s">
        <v>10</v>
      </c>
      <c r="R122" t="s">
        <v>248</v>
      </c>
    </row>
    <row r="123" spans="4:18" x14ac:dyDescent="0.2">
      <c r="D123" s="1">
        <v>45953</v>
      </c>
      <c r="E123" s="2">
        <v>0.83333333333333337</v>
      </c>
      <c r="F123" t="s">
        <v>40</v>
      </c>
      <c r="G123">
        <f>VLOOKUP(Table4[[#This Row],[Home]],'NHL Model'!$A$6:$B$38,2,FALSE)</f>
        <v>0.105105258369765</v>
      </c>
      <c r="H123" t="s">
        <v>32</v>
      </c>
      <c r="I123">
        <f>VLOOKUP(Table4[[#This Row],[Visitor]],'NHL Model'!$A$6:$B$38,2,FALSE)</f>
        <v>-0.361361309178443</v>
      </c>
      <c r="J123">
        <f ca="1">($B$1+Table4[[#This Row],[Home Differential]])-Table4[[#This Row],[Away Differential]]</f>
        <v>0.62903887721052643</v>
      </c>
      <c r="K123" t="str">
        <f ca="1">IF(Table4[[#This Row],[HomeIce Differential]]&gt;0,Table4[[#This Row],[Home]],Table4[[#This Row],[Visitor]])</f>
        <v>Winnipeg Jets</v>
      </c>
      <c r="L123" s="11">
        <f ca="1"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0.66319565284597071</v>
      </c>
      <c r="M123" t="str">
        <f ca="1">IF(OR((NHL2025_26Results[[#This Row],[Winning Team]]="")),"-",IF(Table4[[#This Row],[Predicted Winner]]=NHL2025_26Results[[#This Row],[Winning Team]],"YES","NO"))</f>
        <v>NO</v>
      </c>
      <c r="N123">
        <f ca="1">IF(Table4[[#This Row],[Adjusted Correct]]="-", "",IF(Table4[[#This Row],[Adjusted Correct]]="YES",(Table4[[#This Row],[Strength of Win]]-1)^2,(Table4[[#This Row],[Strength of Win]]-0)^2))</f>
        <v>0.43982847395379332</v>
      </c>
      <c r="O123">
        <v>0.56071005316440559</v>
      </c>
      <c r="P123" s="11"/>
      <c r="Q123" t="s">
        <v>40</v>
      </c>
      <c r="R123" t="s">
        <v>249</v>
      </c>
    </row>
    <row r="124" spans="4:18" x14ac:dyDescent="0.2">
      <c r="D124" s="1">
        <v>45954</v>
      </c>
      <c r="E124" s="2">
        <v>0.8125</v>
      </c>
      <c r="F124" t="s">
        <v>23</v>
      </c>
      <c r="G124">
        <f>VLOOKUP(Table4[[#This Row],[Home]],'NHL Model'!$A$6:$B$38,2,FALSE)</f>
        <v>-0.8683412362501769</v>
      </c>
      <c r="H124" t="s">
        <v>19</v>
      </c>
      <c r="I124">
        <f>VLOOKUP(Table4[[#This Row],[Visitor]],'NHL Model'!$A$6:$B$38,2,FALSE)</f>
        <v>-0.635565543477981</v>
      </c>
      <c r="J124">
        <f ca="1">($B$1+Table4[[#This Row],[Home Differential]])-Table4[[#This Row],[Away Differential]]</f>
        <v>-7.0203383109877504E-2</v>
      </c>
      <c r="K124" t="str">
        <f ca="1">IF(Table4[[#This Row],[HomeIce Differential]]&gt;0,Table4[[#This Row],[Home]],Table4[[#This Row],[Visitor]])</f>
        <v>Toronto Maple Leafs</v>
      </c>
      <c r="L124" s="11">
        <f ca="1"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0.46972728697825394</v>
      </c>
      <c r="M124" t="str">
        <f ca="1">IF(OR((NHL2025_26Results[[#This Row],[Winning Team]]="")),"-",IF(Table4[[#This Row],[Predicted Winner]]=NHL2025_26Results[[#This Row],[Winning Team]],"YES","NO"))</f>
        <v>NO</v>
      </c>
      <c r="N124">
        <f ca="1">IF(Table4[[#This Row],[Adjusted Correct]]="-", "",IF(Table4[[#This Row],[Adjusted Correct]]="YES",(Table4[[#This Row],[Strength of Win]]-1)^2,(Table4[[#This Row],[Strength of Win]]-0)^2))</f>
        <v>0.22064372413195094</v>
      </c>
      <c r="O124">
        <v>0.41694922370540466</v>
      </c>
      <c r="P124" s="11"/>
      <c r="Q124" t="s">
        <v>23</v>
      </c>
      <c r="R124" t="s">
        <v>248</v>
      </c>
    </row>
    <row r="125" spans="4:18" x14ac:dyDescent="0.2">
      <c r="D125" s="1">
        <v>45954</v>
      </c>
      <c r="E125" s="2">
        <v>0.79166666666666663</v>
      </c>
      <c r="F125" t="s">
        <v>28</v>
      </c>
      <c r="G125">
        <f>VLOOKUP(Table4[[#This Row],[Home]],'NHL Model'!$A$6:$B$38,2,FALSE)</f>
        <v>-0.40822279081308277</v>
      </c>
      <c r="H125" t="s">
        <v>22</v>
      </c>
      <c r="I125">
        <f>VLOOKUP(Table4[[#This Row],[Visitor]],'NHL Model'!$A$6:$B$38,2,FALSE)</f>
        <v>-6.1308839486784707E-2</v>
      </c>
      <c r="J125">
        <f ca="1">($B$1+Table4[[#This Row],[Home Differential]])-Table4[[#This Row],[Away Differential]]</f>
        <v>-0.18434164166397968</v>
      </c>
      <c r="K125" t="str">
        <f ca="1">IF(Table4[[#This Row],[HomeIce Differential]]&gt;0,Table4[[#This Row],[Home]],Table4[[#This Row],[Visitor]])</f>
        <v>Washington Capitals</v>
      </c>
      <c r="L125" s="11">
        <f ca="1"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0.48554213160498944</v>
      </c>
      <c r="M125" t="str">
        <f ca="1">IF(OR((NHL2025_26Results[[#This Row],[Winning Team]]="")),"-",IF(Table4[[#This Row],[Predicted Winner]]=NHL2025_26Results[[#This Row],[Winning Team]],"YES","NO"))</f>
        <v>YES</v>
      </c>
      <c r="N125">
        <f ca="1">IF(Table4[[#This Row],[Adjusted Correct]]="-", "",IF(Table4[[#This Row],[Adjusted Correct]]="YES",(Table4[[#This Row],[Strength of Win]]-1)^2,(Table4[[#This Row],[Strength of Win]]-0)^2))</f>
        <v>0.26466689835353796</v>
      </c>
      <c r="O125">
        <v>-1.2375491643754386</v>
      </c>
      <c r="P125" s="11"/>
      <c r="Q125" t="s">
        <v>22</v>
      </c>
      <c r="R125" t="s">
        <v>248</v>
      </c>
    </row>
    <row r="126" spans="4:18" x14ac:dyDescent="0.2">
      <c r="D126" s="1">
        <v>45954</v>
      </c>
      <c r="E126" s="2">
        <v>0.79166666666666663</v>
      </c>
      <c r="F126" t="s">
        <v>24</v>
      </c>
      <c r="G126">
        <f>VLOOKUP(Table4[[#This Row],[Home]],'NHL Model'!$A$6:$B$38,2,FALSE)</f>
        <v>0.559441163373953</v>
      </c>
      <c r="H126" t="s">
        <v>33</v>
      </c>
      <c r="I126">
        <f>VLOOKUP(Table4[[#This Row],[Visitor]],'NHL Model'!$A$6:$B$38,2,FALSE)</f>
        <v>-0.39418177254008485</v>
      </c>
      <c r="J126">
        <f ca="1">($B$1+Table4[[#This Row],[Home Differential]])-Table4[[#This Row],[Away Differential]]</f>
        <v>1.1161952455763562</v>
      </c>
      <c r="K126" t="str">
        <f ca="1">IF(Table4[[#This Row],[HomeIce Differential]]&gt;0,Table4[[#This Row],[Home]],Table4[[#This Row],[Visitor]])</f>
        <v>New Jersey Devils</v>
      </c>
      <c r="L126" s="11">
        <f ca="1"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0.81008923370037489</v>
      </c>
      <c r="M126" t="str">
        <f ca="1">IF(OR((NHL2025_26Results[[#This Row],[Winning Team]]="")),"-",IF(Table4[[#This Row],[Predicted Winner]]=NHL2025_26Results[[#This Row],[Winning Team]],"YES","NO"))</f>
        <v>YES</v>
      </c>
      <c r="N126">
        <f ca="1">IF(Table4[[#This Row],[Adjusted Correct]]="-", "",IF(Table4[[#This Row],[Adjusted Correct]]="YES",(Table4[[#This Row],[Strength of Win]]-1)^2,(Table4[[#This Row],[Strength of Win]]-0)^2))</f>
        <v>3.6066099156510822E-2</v>
      </c>
      <c r="O126">
        <v>2.2472008139585085</v>
      </c>
      <c r="P126" s="11"/>
      <c r="Q126" t="s">
        <v>24</v>
      </c>
      <c r="R126" t="s">
        <v>248</v>
      </c>
    </row>
    <row r="127" spans="4:18" x14ac:dyDescent="0.2">
      <c r="D127" s="1">
        <v>45954</v>
      </c>
      <c r="E127" s="2">
        <v>0.83333333333333337</v>
      </c>
      <c r="F127" t="s">
        <v>40</v>
      </c>
      <c r="G127">
        <f>VLOOKUP(Table4[[#This Row],[Home]],'NHL Model'!$A$6:$B$38,2,FALSE)</f>
        <v>0.105105258369765</v>
      </c>
      <c r="H127" t="s">
        <v>16</v>
      </c>
      <c r="I127">
        <f>VLOOKUP(Table4[[#This Row],[Visitor]],'NHL Model'!$A$6:$B$38,2,FALSE)</f>
        <v>-1.3903684122795328</v>
      </c>
      <c r="J127">
        <f ca="1">($B$1+Table4[[#This Row],[Home Differential]])-Table4[[#This Row],[Away Differential]]</f>
        <v>1.6580459803116163</v>
      </c>
      <c r="K127" t="str">
        <f ca="1">IF(Table4[[#This Row],[HomeIce Differential]]&gt;0,Table4[[#This Row],[Home]],Table4[[#This Row],[Visitor]])</f>
        <v>Winnipeg Jets</v>
      </c>
      <c r="L127" s="11">
        <f ca="1"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0.80577350239005818</v>
      </c>
      <c r="M127" t="str">
        <f ca="1">IF(OR((NHL2025_26Results[[#This Row],[Winning Team]]="")),"-",IF(Table4[[#This Row],[Predicted Winner]]=NHL2025_26Results[[#This Row],[Winning Team]],"YES","NO"))</f>
        <v>YES</v>
      </c>
      <c r="N127">
        <f ca="1">IF(Table4[[#This Row],[Adjusted Correct]]="-", "",IF(Table4[[#This Row],[Adjusted Correct]]="YES",(Table4[[#This Row],[Strength of Win]]-1)^2,(Table4[[#This Row],[Strength of Win]]-0)^2))</f>
        <v>3.7723932373824737E-2</v>
      </c>
      <c r="O127">
        <v>2.4626344898479542</v>
      </c>
      <c r="P127" s="11"/>
      <c r="Q127" t="s">
        <v>40</v>
      </c>
      <c r="R127" t="s">
        <v>248</v>
      </c>
    </row>
    <row r="128" spans="4:18" x14ac:dyDescent="0.2">
      <c r="D128" s="1">
        <v>45955</v>
      </c>
      <c r="E128" s="2">
        <v>0.625</v>
      </c>
      <c r="F128" t="s">
        <v>21</v>
      </c>
      <c r="G128">
        <f>VLOOKUP(Table4[[#This Row],[Home]],'NHL Model'!$A$6:$B$38,2,FALSE)</f>
        <v>4.029141914856392E-2</v>
      </c>
      <c r="H128" t="s">
        <v>12</v>
      </c>
      <c r="I128">
        <f>VLOOKUP(Table4[[#This Row],[Visitor]],'NHL Model'!$A$6:$B$38,2,FALSE)</f>
        <v>1.5475013591489768</v>
      </c>
      <c r="J128">
        <f ca="1">($B$1+Table4[[#This Row],[Home Differential]])-Table4[[#This Row],[Away Differential]]</f>
        <v>-1.3446376303380945</v>
      </c>
      <c r="K128" t="str">
        <f ca="1">IF(Table4[[#This Row],[HomeIce Differential]]&gt;0,Table4[[#This Row],[Home]],Table4[[#This Row],[Visitor]])</f>
        <v>Colorado Avalanche</v>
      </c>
      <c r="L128" s="11">
        <f ca="1"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0.63836598826439617</v>
      </c>
      <c r="M128" t="str">
        <f ca="1">IF(OR((NHL2025_26Results[[#This Row],[Winning Team]]="")),"-",IF(Table4[[#This Row],[Predicted Winner]]=NHL2025_26Results[[#This Row],[Winning Team]],"YES","NO"))</f>
        <v>NO</v>
      </c>
      <c r="N128">
        <f ca="1">IF(Table4[[#This Row],[Adjusted Correct]]="-", "",IF(Table4[[#This Row],[Adjusted Correct]]="YES",(Table4[[#This Row],[Strength of Win]]-1)^2,(Table4[[#This Row],[Strength of Win]]-0)^2))</f>
        <v>0.40751113497277919</v>
      </c>
      <c r="O128">
        <v>-1.0133330670111027</v>
      </c>
      <c r="P128" s="11"/>
      <c r="Q128" t="s">
        <v>12</v>
      </c>
      <c r="R128" t="s">
        <v>249</v>
      </c>
    </row>
    <row r="129" spans="4:18" x14ac:dyDescent="0.2">
      <c r="D129" s="1">
        <v>45955</v>
      </c>
      <c r="E129" s="2">
        <v>0.83333333333333337</v>
      </c>
      <c r="F129" t="s">
        <v>39</v>
      </c>
      <c r="G129">
        <f>VLOOKUP(Table4[[#This Row],[Home]],'NHL Model'!$A$6:$B$38,2,FALSE)</f>
        <v>0.19809534061227302</v>
      </c>
      <c r="H129" t="s">
        <v>25</v>
      </c>
      <c r="I129">
        <f>VLOOKUP(Table4[[#This Row],[Visitor]],'NHL Model'!$A$6:$B$38,2,FALSE)</f>
        <v>0.67193921242367816</v>
      </c>
      <c r="J129">
        <f ca="1">($B$1+Table4[[#This Row],[Home Differential]])-Table4[[#This Row],[Away Differential]]</f>
        <v>-0.31127156214908674</v>
      </c>
      <c r="K129" t="str">
        <f ca="1">IF(Table4[[#This Row],[HomeIce Differential]]&gt;0,Table4[[#This Row],[Home]],Table4[[#This Row],[Visitor]])</f>
        <v>Carolina Hurricanes</v>
      </c>
      <c r="L129" s="11">
        <f ca="1"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0.56944516129405109</v>
      </c>
      <c r="M129" t="str">
        <f ca="1">IF(OR((NHL2025_26Results[[#This Row],[Winning Team]]="")),"-",IF(Table4[[#This Row],[Predicted Winner]]=NHL2025_26Results[[#This Row],[Winning Team]],"YES","NO"))</f>
        <v>NO</v>
      </c>
      <c r="N129">
        <f ca="1">IF(Table4[[#This Row],[Adjusted Correct]]="-", "",IF(Table4[[#This Row],[Adjusted Correct]]="YES",(Table4[[#This Row],[Strength of Win]]-1)^2,(Table4[[#This Row],[Strength of Win]]-0)^2))</f>
        <v>0.32426779172120784</v>
      </c>
      <c r="O129">
        <v>-1.7156103470627815</v>
      </c>
      <c r="P129" s="11"/>
      <c r="Q129" t="s">
        <v>25</v>
      </c>
      <c r="R129" t="s">
        <v>249</v>
      </c>
    </row>
    <row r="130" spans="4:18" x14ac:dyDescent="0.2">
      <c r="D130" s="1">
        <v>45955</v>
      </c>
      <c r="E130" s="2">
        <v>0.79166666666666663</v>
      </c>
      <c r="F130" t="s">
        <v>26</v>
      </c>
      <c r="G130">
        <f>VLOOKUP(Table4[[#This Row],[Home]],'NHL Model'!$A$6:$B$38,2,FALSE)</f>
        <v>-0.513643833119658</v>
      </c>
      <c r="H130" t="s">
        <v>35</v>
      </c>
      <c r="I130">
        <f>VLOOKUP(Table4[[#This Row],[Visitor]],'NHL Model'!$A$6:$B$38,2,FALSE)</f>
        <v>-1.6211574240381006</v>
      </c>
      <c r="J130">
        <f ca="1">($B$1+Table4[[#This Row],[Home Differential]])-Table4[[#This Row],[Away Differential]]</f>
        <v>1.270085900580761</v>
      </c>
      <c r="K130" t="str">
        <f ca="1">IF(Table4[[#This Row],[HomeIce Differential]]&gt;0,Table4[[#This Row],[Home]],Table4[[#This Row],[Visitor]])</f>
        <v>Detroit Red Wings</v>
      </c>
      <c r="L130" s="11">
        <f ca="1"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0.74201914151218218</v>
      </c>
      <c r="M130" t="str">
        <f ca="1">IF(OR((NHL2025_26Results[[#This Row],[Winning Team]]="")),"-",IF(Table4[[#This Row],[Predicted Winner]]=NHL2025_26Results[[#This Row],[Winning Team]],"YES","NO"))</f>
        <v>YES</v>
      </c>
      <c r="N130">
        <f ca="1">IF(Table4[[#This Row],[Adjusted Correct]]="-", "",IF(Table4[[#This Row],[Adjusted Correct]]="YES",(Table4[[#This Row],[Strength of Win]]-1)^2,(Table4[[#This Row],[Strength of Win]]-0)^2))</f>
        <v>6.655412334611148E-2</v>
      </c>
      <c r="O130">
        <v>1.4751590066233431</v>
      </c>
      <c r="P130" s="11"/>
      <c r="Q130" t="s">
        <v>26</v>
      </c>
      <c r="R130" t="s">
        <v>248</v>
      </c>
    </row>
    <row r="131" spans="4:18" x14ac:dyDescent="0.2">
      <c r="D131" s="1">
        <v>45955</v>
      </c>
      <c r="E131" s="2">
        <v>0.75</v>
      </c>
      <c r="F131" t="s">
        <v>11</v>
      </c>
      <c r="G131">
        <f>VLOOKUP(Table4[[#This Row],[Home]],'NHL Model'!$A$6:$B$38,2,FALSE)</f>
        <v>-0.28105923893144158</v>
      </c>
      <c r="H131" t="s">
        <v>20</v>
      </c>
      <c r="I131">
        <f>VLOOKUP(Table4[[#This Row],[Visitor]],'NHL Model'!$A$6:$B$38,2,FALSE)</f>
        <v>-6.3745791019188943E-4</v>
      </c>
      <c r="J131">
        <f ca="1">($B$1+Table4[[#This Row],[Home Differential]])-Table4[[#This Row],[Away Differential]]</f>
        <v>-0.1178494713589313</v>
      </c>
      <c r="K131" t="str">
        <f ca="1">IF(Table4[[#This Row],[HomeIce Differential]]&gt;0,Table4[[#This Row],[Home]],Table4[[#This Row],[Visitor]])</f>
        <v>Vegas Golden Knights</v>
      </c>
      <c r="L131" s="11">
        <f ca="1"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0.44490049388655234</v>
      </c>
      <c r="M131" t="str">
        <f ca="1">IF(OR((NHL2025_26Results[[#This Row],[Winning Team]]="")),"-",IF(Table4[[#This Row],[Predicted Winner]]=NHL2025_26Results[[#This Row],[Winning Team]],"YES","NO"))</f>
        <v>NO</v>
      </c>
      <c r="N131">
        <f ca="1">IF(Table4[[#This Row],[Adjusted Correct]]="-", "",IF(Table4[[#This Row],[Adjusted Correct]]="YES",(Table4[[#This Row],[Strength of Win]]-1)^2,(Table4[[#This Row],[Strength of Win]]-0)^2))</f>
        <v>0.19793644946049821</v>
      </c>
      <c r="O131">
        <v>-0.31959801453705095</v>
      </c>
      <c r="P131" s="11"/>
      <c r="Q131" t="s">
        <v>20</v>
      </c>
      <c r="R131" t="s">
        <v>249</v>
      </c>
    </row>
    <row r="132" spans="4:18" x14ac:dyDescent="0.2">
      <c r="D132" s="1">
        <v>45955</v>
      </c>
      <c r="E132" s="2">
        <v>0.75</v>
      </c>
      <c r="F132" t="s">
        <v>34</v>
      </c>
      <c r="G132">
        <f>VLOOKUP(Table4[[#This Row],[Home]],'NHL Model'!$A$6:$B$38,2,FALSE)</f>
        <v>-0.53650300840565446</v>
      </c>
      <c r="H132" t="s">
        <v>55</v>
      </c>
      <c r="I132">
        <f>VLOOKUP(Table4[[#This Row],[Visitor]],'NHL Model'!$A$6:$B$38,2,FALSE)</f>
        <v>-0.12212311954851815</v>
      </c>
      <c r="J132">
        <f ca="1">($B$1+Table4[[#This Row],[Home Differential]])-Table4[[#This Row],[Away Differential]]</f>
        <v>-0.25180757919481789</v>
      </c>
      <c r="K132" t="str">
        <f ca="1">IF(Table4[[#This Row],[HomeIce Differential]]&gt;0,Table4[[#This Row],[Home]],Table4[[#This Row],[Visitor]])</f>
        <v>Utah Mammoth</v>
      </c>
      <c r="L132" s="11">
        <f ca="1"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0.49489012178079456</v>
      </c>
      <c r="M132" t="str">
        <f ca="1">IF(OR((NHL2025_26Results[[#This Row],[Winning Team]]="")),"-",IF(Table4[[#This Row],[Predicted Winner]]=NHL2025_26Results[[#This Row],[Winning Team]],"YES","NO"))</f>
        <v>YES</v>
      </c>
      <c r="N132">
        <f ca="1">IF(Table4[[#This Row],[Adjusted Correct]]="-", "",IF(Table4[[#This Row],[Adjusted Correct]]="YES",(Table4[[#This Row],[Strength of Win]]-1)^2,(Table4[[#This Row],[Strength of Win]]-0)^2))</f>
        <v>0.25513598907462048</v>
      </c>
      <c r="O132">
        <v>-1.993561697378085</v>
      </c>
      <c r="P132" s="11"/>
      <c r="Q132" t="s">
        <v>55</v>
      </c>
      <c r="R132" t="s">
        <v>248</v>
      </c>
    </row>
    <row r="133" spans="4:18" x14ac:dyDescent="0.2">
      <c r="D133" s="1">
        <v>45955</v>
      </c>
      <c r="E133" s="2">
        <v>0.83333333333333337</v>
      </c>
      <c r="F133" t="s">
        <v>29</v>
      </c>
      <c r="G133">
        <f>VLOOKUP(Table4[[#This Row],[Home]],'NHL Model'!$A$6:$B$38,2,FALSE)</f>
        <v>-1.3516250707060606</v>
      </c>
      <c r="H133" t="s">
        <v>13</v>
      </c>
      <c r="I133">
        <f>VLOOKUP(Table4[[#This Row],[Visitor]],'NHL Model'!$A$6:$B$38,2,FALSE)</f>
        <v>-7.5459708298993802E-2</v>
      </c>
      <c r="J133">
        <f ca="1">($B$1+Table4[[#This Row],[Home Differential]])-Table4[[#This Row],[Away Differential]]</f>
        <v>-1.1135930527447484</v>
      </c>
      <c r="K133" t="str">
        <f ca="1">IF(Table4[[#This Row],[HomeIce Differential]]&gt;0,Table4[[#This Row],[Home]],Table4[[#This Row],[Visitor]])</f>
        <v>Los Angeles Kings</v>
      </c>
      <c r="L133" s="11">
        <f ca="1"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0.73569331456464693</v>
      </c>
      <c r="M133" t="str">
        <f ca="1">IF(OR((NHL2025_26Results[[#This Row],[Winning Team]]="")),"-",IF(Table4[[#This Row],[Predicted Winner]]=NHL2025_26Results[[#This Row],[Winning Team]],"YES","NO"))</f>
        <v>NO</v>
      </c>
      <c r="N133">
        <f ca="1">IF(Table4[[#This Row],[Adjusted Correct]]="-", "",IF(Table4[[#This Row],[Adjusted Correct]]="YES",(Table4[[#This Row],[Strength of Win]]-1)^2,(Table4[[#This Row],[Strength of Win]]-0)^2))</f>
        <v>0.54124465309511649</v>
      </c>
      <c r="O133">
        <v>0.10789824799456826</v>
      </c>
      <c r="P133" s="11"/>
      <c r="Q133" t="s">
        <v>29</v>
      </c>
      <c r="R133" t="s">
        <v>248</v>
      </c>
    </row>
    <row r="134" spans="4:18" x14ac:dyDescent="0.2">
      <c r="D134" s="1">
        <v>45955</v>
      </c>
      <c r="E134" s="2">
        <v>0.52083333333333337</v>
      </c>
      <c r="F134" t="s">
        <v>27</v>
      </c>
      <c r="G134">
        <f>VLOOKUP(Table4[[#This Row],[Home]],'NHL Model'!$A$6:$B$38,2,FALSE)</f>
        <v>-0.51358590497437617</v>
      </c>
      <c r="H134" t="s">
        <v>30</v>
      </c>
      <c r="I134">
        <f>VLOOKUP(Table4[[#This Row],[Visitor]],'NHL Model'!$A$6:$B$38,2,FALSE)</f>
        <v>-6.4729560818359025E-2</v>
      </c>
      <c r="J134">
        <f ca="1">($B$1+Table4[[#This Row],[Home Differential]])-Table4[[#This Row],[Away Differential]]</f>
        <v>-0.28628403449369877</v>
      </c>
      <c r="K134" t="str">
        <f ca="1">IF(Table4[[#This Row],[HomeIce Differential]]&gt;0,Table4[[#This Row],[Home]],Table4[[#This Row],[Visitor]])</f>
        <v>New York Islanders</v>
      </c>
      <c r="L134" s="11">
        <f ca="1"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0.53966713336954197</v>
      </c>
      <c r="M134" t="str">
        <f ca="1">IF(OR((NHL2025_26Results[[#This Row],[Winning Team]]="")),"-",IF(Table4[[#This Row],[Predicted Winner]]=NHL2025_26Results[[#This Row],[Winning Team]],"YES","NO"))</f>
        <v>NO</v>
      </c>
      <c r="N134">
        <f ca="1">IF(Table4[[#This Row],[Adjusted Correct]]="-", "",IF(Table4[[#This Row],[Adjusted Correct]]="YES",(Table4[[#This Row],[Strength of Win]]-1)^2,(Table4[[#This Row],[Strength of Win]]-0)^2))</f>
        <v>0.29124061483929903</v>
      </c>
      <c r="O134">
        <v>0.13057390256868451</v>
      </c>
      <c r="P134" s="11"/>
      <c r="Q134" t="s">
        <v>27</v>
      </c>
      <c r="R134" t="s">
        <v>248</v>
      </c>
    </row>
    <row r="135" spans="4:18" x14ac:dyDescent="0.2">
      <c r="D135" s="1">
        <v>45955</v>
      </c>
      <c r="E135" s="2">
        <v>0.79166666666666663</v>
      </c>
      <c r="F135" t="s">
        <v>14</v>
      </c>
      <c r="G135">
        <f>VLOOKUP(Table4[[#This Row],[Home]],'NHL Model'!$A$6:$B$38,2,FALSE)</f>
        <v>0.26289091192875702</v>
      </c>
      <c r="H135" t="s">
        <v>28</v>
      </c>
      <c r="I135">
        <f>VLOOKUP(Table4[[#This Row],[Visitor]],'NHL Model'!$A$6:$B$38,2,FALSE)</f>
        <v>-0.40822279081308277</v>
      </c>
      <c r="J135">
        <f ca="1">($B$1+Table4[[#This Row],[Home Differential]])-Table4[[#This Row],[Away Differential]]</f>
        <v>0.83368601240415818</v>
      </c>
      <c r="K135" t="str">
        <f ca="1">IF(Table4[[#This Row],[HomeIce Differential]]&gt;0,Table4[[#This Row],[Home]],Table4[[#This Row],[Visitor]])</f>
        <v>Pittsburgh Penguins</v>
      </c>
      <c r="L135" s="11">
        <f ca="1"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0.67106997570421123</v>
      </c>
      <c r="M135" t="str">
        <f ca="1">IF(OR((NHL2025_26Results[[#This Row],[Winning Team]]="")),"-",IF(Table4[[#This Row],[Predicted Winner]]=NHL2025_26Results[[#This Row],[Winning Team]],"YES","NO"))</f>
        <v>NO</v>
      </c>
      <c r="N135">
        <f ca="1">IF(Table4[[#This Row],[Adjusted Correct]]="-", "",IF(Table4[[#This Row],[Adjusted Correct]]="YES",(Table4[[#This Row],[Strength of Win]]-1)^2,(Table4[[#This Row],[Strength of Win]]-0)^2))</f>
        <v>0.45033491229165062</v>
      </c>
      <c r="O135">
        <v>0.55149848008752778</v>
      </c>
      <c r="P135" s="11"/>
      <c r="Q135" t="s">
        <v>14</v>
      </c>
      <c r="R135" t="s">
        <v>249</v>
      </c>
    </row>
    <row r="136" spans="4:18" x14ac:dyDescent="0.2">
      <c r="D136" s="1">
        <v>45955</v>
      </c>
      <c r="E136" s="2">
        <v>0.91666666666666663</v>
      </c>
      <c r="F136" t="s">
        <v>32</v>
      </c>
      <c r="G136">
        <f>VLOOKUP(Table4[[#This Row],[Home]],'NHL Model'!$A$6:$B$38,2,FALSE)</f>
        <v>-0.361361309178443</v>
      </c>
      <c r="H136" t="s">
        <v>17</v>
      </c>
      <c r="I136">
        <f>VLOOKUP(Table4[[#This Row],[Visitor]],'NHL Model'!$A$6:$B$38,2,FALSE)</f>
        <v>-0.61980804137564283</v>
      </c>
      <c r="J136">
        <f ca="1">($B$1+Table4[[#This Row],[Home Differential]])-Table4[[#This Row],[Away Differential]]</f>
        <v>0.42101904185951822</v>
      </c>
      <c r="K136" t="str">
        <f ca="1">IF(Table4[[#This Row],[HomeIce Differential]]&gt;0,Table4[[#This Row],[Home]],Table4[[#This Row],[Visitor]])</f>
        <v>Seattle Kraken</v>
      </c>
      <c r="L136" s="11">
        <f ca="1"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0.62437357184526843</v>
      </c>
      <c r="M136" t="str">
        <f ca="1">IF(OR((NHL2025_26Results[[#This Row],[Winning Team]]="")),"-",IF(Table4[[#This Row],[Predicted Winner]]=NHL2025_26Results[[#This Row],[Winning Team]],"YES","NO"))</f>
        <v>YES</v>
      </c>
      <c r="N136">
        <f ca="1">IF(Table4[[#This Row],[Adjusted Correct]]="-", "",IF(Table4[[#This Row],[Adjusted Correct]]="YES",(Table4[[#This Row],[Strength of Win]]-1)^2,(Table4[[#This Row],[Strength of Win]]-0)^2))</f>
        <v>0.14109521352828172</v>
      </c>
      <c r="O136">
        <v>0.51837409396596268</v>
      </c>
      <c r="P136" s="11"/>
      <c r="Q136" t="s">
        <v>32</v>
      </c>
      <c r="R136" t="s">
        <v>248</v>
      </c>
    </row>
    <row r="137" spans="4:18" x14ac:dyDescent="0.2">
      <c r="D137" s="1">
        <v>45955</v>
      </c>
      <c r="E137" s="2">
        <v>0.70833333333333337</v>
      </c>
      <c r="F137" t="s">
        <v>37</v>
      </c>
      <c r="G137">
        <f>VLOOKUP(Table4[[#This Row],[Home]],'NHL Model'!$A$6:$B$38,2,FALSE)</f>
        <v>-0.11309445867623392</v>
      </c>
      <c r="H137" t="s">
        <v>31</v>
      </c>
      <c r="I137">
        <f>VLOOKUP(Table4[[#This Row],[Visitor]],'NHL Model'!$A$6:$B$38,2,FALSE)</f>
        <v>0.51775546328552802</v>
      </c>
      <c r="J137">
        <f ca="1">($B$1+Table4[[#This Row],[Home Differential]])-Table4[[#This Row],[Away Differential]]</f>
        <v>-0.46827761229944354</v>
      </c>
      <c r="K137" t="str">
        <f ca="1">IF(Table4[[#This Row],[HomeIce Differential]]&gt;0,Table4[[#This Row],[Home]],Table4[[#This Row],[Visitor]])</f>
        <v>Anaheim Ducks</v>
      </c>
      <c r="L137" s="11">
        <f ca="1"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0.54565315115236868</v>
      </c>
      <c r="M137" t="str">
        <f ca="1">IF(OR((NHL2025_26Results[[#This Row],[Winning Team]]="")),"-",IF(Table4[[#This Row],[Predicted Winner]]=NHL2025_26Results[[#This Row],[Winning Team]],"YES","NO"))</f>
        <v>NO</v>
      </c>
      <c r="N137">
        <f ca="1">IF(Table4[[#This Row],[Adjusted Correct]]="-", "",IF(Table4[[#This Row],[Adjusted Correct]]="YES",(Table4[[#This Row],[Strength of Win]]-1)^2,(Table4[[#This Row],[Strength of Win]]-0)^2))</f>
        <v>0.29773736136250972</v>
      </c>
      <c r="O137">
        <v>-0.43394746276688168</v>
      </c>
      <c r="P137" s="11"/>
      <c r="Q137" t="s">
        <v>31</v>
      </c>
      <c r="R137" t="s">
        <v>249</v>
      </c>
    </row>
    <row r="138" spans="4:18" x14ac:dyDescent="0.2">
      <c r="D138" s="1">
        <v>45955</v>
      </c>
      <c r="E138" s="2">
        <v>0.79166666666666663</v>
      </c>
      <c r="F138" t="s">
        <v>19</v>
      </c>
      <c r="G138">
        <f>VLOOKUP(Table4[[#This Row],[Home]],'NHL Model'!$A$6:$B$38,2,FALSE)</f>
        <v>-0.635565543477981</v>
      </c>
      <c r="H138" t="s">
        <v>23</v>
      </c>
      <c r="I138">
        <f>VLOOKUP(Table4[[#This Row],[Visitor]],'NHL Model'!$A$6:$B$38,2,FALSE)</f>
        <v>-0.8683412362501769</v>
      </c>
      <c r="J138">
        <f ca="1">($B$1+Table4[[#This Row],[Home Differential]])-Table4[[#This Row],[Away Differential]]</f>
        <v>0.39534800243451429</v>
      </c>
      <c r="K138" t="str">
        <f ca="1">IF(Table4[[#This Row],[HomeIce Differential]]&gt;0,Table4[[#This Row],[Home]],Table4[[#This Row],[Visitor]])</f>
        <v>Toronto Maple Leafs</v>
      </c>
      <c r="L138" s="11">
        <f ca="1"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0.59477889106769966</v>
      </c>
      <c r="M138" t="str">
        <f ca="1">IF(OR((NHL2025_26Results[[#This Row],[Winning Team]]="")),"-",IF(Table4[[#This Row],[Predicted Winner]]=NHL2025_26Results[[#This Row],[Winning Team]],"YES","NO"))</f>
        <v>YES</v>
      </c>
      <c r="N138">
        <f ca="1">IF(Table4[[#This Row],[Adjusted Correct]]="-", "",IF(Table4[[#This Row],[Adjusted Correct]]="YES",(Table4[[#This Row],[Strength of Win]]-1)^2,(Table4[[#This Row],[Strength of Win]]-0)^2))</f>
        <v>0.16420414712432321</v>
      </c>
      <c r="O138">
        <v>-0.16475592245622639</v>
      </c>
      <c r="P138" s="11"/>
      <c r="Q138" t="s">
        <v>23</v>
      </c>
      <c r="R138" t="s">
        <v>249</v>
      </c>
    </row>
    <row r="139" spans="4:18" x14ac:dyDescent="0.2">
      <c r="D139" s="1">
        <v>45955</v>
      </c>
      <c r="E139" s="2">
        <v>0.79166666666666663</v>
      </c>
      <c r="F139" t="s">
        <v>38</v>
      </c>
      <c r="G139">
        <f>VLOOKUP(Table4[[#This Row],[Home]],'NHL Model'!$A$6:$B$38,2,FALSE)</f>
        <v>-0.6902088310934803</v>
      </c>
      <c r="H139" t="s">
        <v>18</v>
      </c>
      <c r="I139">
        <f>VLOOKUP(Table4[[#This Row],[Visitor]],'NHL Model'!$A$6:$B$38,2,FALSE)</f>
        <v>-0.52437726201848234</v>
      </c>
      <c r="J139">
        <f ca="1">($B$1+Table4[[#This Row],[Home Differential]])-Table4[[#This Row],[Away Differential]]</f>
        <v>-3.2592594126795715E-3</v>
      </c>
      <c r="K139" t="str">
        <f ca="1">IF(Table4[[#This Row],[HomeIce Differential]]&gt;0,Table4[[#This Row],[Home]],Table4[[#This Row],[Visitor]])</f>
        <v>Montreal Canadiens</v>
      </c>
      <c r="L139" s="11">
        <f ca="1"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0.53693228532542026</v>
      </c>
      <c r="M139" t="str">
        <f ca="1">IF(OR((NHL2025_26Results[[#This Row],[Winning Team]]="")),"-",IF(Table4[[#This Row],[Predicted Winner]]=NHL2025_26Results[[#This Row],[Winning Team]],"YES","NO"))</f>
        <v>YES</v>
      </c>
      <c r="N139">
        <f ca="1">IF(Table4[[#This Row],[Adjusted Correct]]="-", "",IF(Table4[[#This Row],[Adjusted Correct]]="YES",(Table4[[#This Row],[Strength of Win]]-1)^2,(Table4[[#This Row],[Strength of Win]]-0)^2))</f>
        <v>0.21443170837393799</v>
      </c>
      <c r="O139">
        <v>-0.91879396386780554</v>
      </c>
      <c r="P139" s="11"/>
      <c r="Q139" t="s">
        <v>18</v>
      </c>
      <c r="R139" t="s">
        <v>248</v>
      </c>
    </row>
    <row r="140" spans="4:18" x14ac:dyDescent="0.2">
      <c r="D140" s="1">
        <v>45955</v>
      </c>
      <c r="E140" s="2">
        <v>0.79166666666666663</v>
      </c>
      <c r="F140" t="s">
        <v>22</v>
      </c>
      <c r="G140">
        <f>VLOOKUP(Table4[[#This Row],[Home]],'NHL Model'!$A$6:$B$38,2,FALSE)</f>
        <v>-6.1308839486784707E-2</v>
      </c>
      <c r="H140" t="s">
        <v>36</v>
      </c>
      <c r="I140">
        <f>VLOOKUP(Table4[[#This Row],[Visitor]],'NHL Model'!$A$6:$B$38,2,FALSE)</f>
        <v>-0.40651947573390851</v>
      </c>
      <c r="J140">
        <f ca="1">($B$1+Table4[[#This Row],[Home Differential]])-Table4[[#This Row],[Away Differential]]</f>
        <v>0.50778294590944217</v>
      </c>
      <c r="K140" t="str">
        <f ca="1">IF(Table4[[#This Row],[HomeIce Differential]]&gt;0,Table4[[#This Row],[Home]],Table4[[#This Row],[Visitor]])</f>
        <v>Washington Capitals</v>
      </c>
      <c r="L140" s="11">
        <f ca="1"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0.61035772663254151</v>
      </c>
      <c r="M140" t="str">
        <f ca="1">IF(OR((NHL2025_26Results[[#This Row],[Winning Team]]="")),"-",IF(Table4[[#This Row],[Predicted Winner]]=NHL2025_26Results[[#This Row],[Winning Team]],"YES","NO"))</f>
        <v>NO</v>
      </c>
      <c r="N140">
        <f ca="1">IF(Table4[[#This Row],[Adjusted Correct]]="-", "",IF(Table4[[#This Row],[Adjusted Correct]]="YES",(Table4[[#This Row],[Strength of Win]]-1)^2,(Table4[[#This Row],[Strength of Win]]-0)^2))</f>
        <v>0.37253655446004424</v>
      </c>
      <c r="O140">
        <v>0.9258064541029658</v>
      </c>
      <c r="P140" s="11"/>
      <c r="Q140" t="s">
        <v>22</v>
      </c>
      <c r="R140" t="s">
        <v>249</v>
      </c>
    </row>
    <row r="141" spans="4:18" x14ac:dyDescent="0.2">
      <c r="D141" s="1">
        <v>45956</v>
      </c>
      <c r="E141" s="2">
        <v>0.83333333333333337</v>
      </c>
      <c r="F141" t="s">
        <v>16</v>
      </c>
      <c r="G141">
        <f>VLOOKUP(Table4[[#This Row],[Home]],'NHL Model'!$A$6:$B$38,2,FALSE)</f>
        <v>-1.3903684122795328</v>
      </c>
      <c r="H141" t="s">
        <v>15</v>
      </c>
      <c r="I141">
        <f>VLOOKUP(Table4[[#This Row],[Visitor]],'NHL Model'!$A$6:$B$38,2,FALSE)</f>
        <v>-0.30719665303039001</v>
      </c>
      <c r="J141">
        <f ca="1">($B$1+Table4[[#This Row],[Home Differential]])-Table4[[#This Row],[Away Differential]]</f>
        <v>-0.92059944958682438</v>
      </c>
      <c r="K141" t="str">
        <f ca="1">IF(Table4[[#This Row],[HomeIce Differential]]&gt;0,Table4[[#This Row],[Home]],Table4[[#This Row],[Visitor]])</f>
        <v>New York Rangers</v>
      </c>
      <c r="L141" s="11">
        <f ca="1"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0.72996666845031188</v>
      </c>
      <c r="M141" t="str">
        <f ca="1">IF(OR((NHL2025_26Results[[#This Row],[Winning Team]]="")),"-",IF(Table4[[#This Row],[Predicted Winner]]=NHL2025_26Results[[#This Row],[Winning Team]],"YES","NO"))</f>
        <v>NO</v>
      </c>
      <c r="N141">
        <f ca="1">IF(Table4[[#This Row],[Adjusted Correct]]="-", "",IF(Table4[[#This Row],[Adjusted Correct]]="YES",(Table4[[#This Row],[Strength of Win]]-1)^2,(Table4[[#This Row],[Strength of Win]]-0)^2))</f>
        <v>0.53285133704844756</v>
      </c>
      <c r="O141">
        <v>-0.64418985918620675</v>
      </c>
      <c r="P141" s="11"/>
      <c r="Q141" t="s">
        <v>15</v>
      </c>
      <c r="R141" t="s">
        <v>249</v>
      </c>
    </row>
    <row r="142" spans="4:18" x14ac:dyDescent="0.2">
      <c r="D142" s="1">
        <v>45956</v>
      </c>
      <c r="E142" s="2">
        <v>0.79166666666666663</v>
      </c>
      <c r="F142" t="s">
        <v>10</v>
      </c>
      <c r="G142">
        <f>VLOOKUP(Table4[[#This Row],[Home]],'NHL Model'!$A$6:$B$38,2,FALSE)</f>
        <v>0.30570968833820172</v>
      </c>
      <c r="H142" t="s">
        <v>13</v>
      </c>
      <c r="I142">
        <f>VLOOKUP(Table4[[#This Row],[Visitor]],'NHL Model'!$A$6:$B$38,2,FALSE)</f>
        <v>-7.5459708298993802E-2</v>
      </c>
      <c r="J142">
        <f ca="1">($B$1+Table4[[#This Row],[Home Differential]])-Table4[[#This Row],[Away Differential]]</f>
        <v>0.5437417062995139</v>
      </c>
      <c r="K142" t="str">
        <f ca="1">IF(Table4[[#This Row],[HomeIce Differential]]&gt;0,Table4[[#This Row],[Home]],Table4[[#This Row],[Visitor]])</f>
        <v>Chicago Blackhawks</v>
      </c>
      <c r="L142" s="11">
        <f ca="1"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0.49394477559728778</v>
      </c>
      <c r="M142" t="str">
        <f ca="1">IF(OR((NHL2025_26Results[[#This Row],[Winning Team]]="")),"-",IF(Table4[[#This Row],[Predicted Winner]]=NHL2025_26Results[[#This Row],[Winning Team]],"YES","NO"))</f>
        <v>NO</v>
      </c>
      <c r="N142">
        <f ca="1">IF(Table4[[#This Row],[Adjusted Correct]]="-", "",IF(Table4[[#This Row],[Adjusted Correct]]="YES",(Table4[[#This Row],[Strength of Win]]-1)^2,(Table4[[#This Row],[Strength of Win]]-0)^2))</f>
        <v>0.24398144133985497</v>
      </c>
      <c r="O142">
        <v>0.57301428236358698</v>
      </c>
      <c r="P142" s="11"/>
      <c r="Q142" t="s">
        <v>10</v>
      </c>
      <c r="R142" t="s">
        <v>249</v>
      </c>
    </row>
    <row r="143" spans="4:18" x14ac:dyDescent="0.2">
      <c r="D143" s="1">
        <v>45956</v>
      </c>
      <c r="E143" s="2">
        <v>0.75</v>
      </c>
      <c r="F143" t="s">
        <v>34</v>
      </c>
      <c r="G143">
        <f>VLOOKUP(Table4[[#This Row],[Home]],'NHL Model'!$A$6:$B$38,2,FALSE)</f>
        <v>-0.53650300840565446</v>
      </c>
      <c r="H143" t="s">
        <v>33</v>
      </c>
      <c r="I143">
        <f>VLOOKUP(Table4[[#This Row],[Visitor]],'NHL Model'!$A$6:$B$38,2,FALSE)</f>
        <v>-0.39418177254008485</v>
      </c>
      <c r="J143">
        <f ca="1">($B$1+Table4[[#This Row],[Home Differential]])-Table4[[#This Row],[Away Differential]]</f>
        <v>2.0251073796748786E-2</v>
      </c>
      <c r="K143" t="str">
        <f ca="1">IF(Table4[[#This Row],[HomeIce Differential]]&gt;0,Table4[[#This Row],[Home]],Table4[[#This Row],[Visitor]])</f>
        <v>Minnesota Wild</v>
      </c>
      <c r="L143" s="11">
        <f ca="1"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0.54280596173165141</v>
      </c>
      <c r="M143" t="str">
        <f ca="1">IF(OR((NHL2025_26Results[[#This Row],[Winning Team]]="")),"-",IF(Table4[[#This Row],[Predicted Winner]]=NHL2025_26Results[[#This Row],[Winning Team]],"YES","NO"))</f>
        <v>NO</v>
      </c>
      <c r="N143">
        <f ca="1">IF(Table4[[#This Row],[Adjusted Correct]]="-", "",IF(Table4[[#This Row],[Adjusted Correct]]="YES",(Table4[[#This Row],[Strength of Win]]-1)^2,(Table4[[#This Row],[Strength of Win]]-0)^2))</f>
        <v>0.29463831209142299</v>
      </c>
      <c r="O143">
        <v>1.6075713996527963E-2</v>
      </c>
      <c r="P143" s="11"/>
      <c r="Q143" t="s">
        <v>34</v>
      </c>
      <c r="R143" t="s">
        <v>249</v>
      </c>
    </row>
    <row r="144" spans="4:18" x14ac:dyDescent="0.2">
      <c r="D144" s="1">
        <v>45956</v>
      </c>
      <c r="E144" s="2">
        <v>0.54166666666666663</v>
      </c>
      <c r="F144" t="s">
        <v>24</v>
      </c>
      <c r="G144">
        <f>VLOOKUP(Table4[[#This Row],[Home]],'NHL Model'!$A$6:$B$38,2,FALSE)</f>
        <v>0.559441163373953</v>
      </c>
      <c r="H144" t="s">
        <v>12</v>
      </c>
      <c r="I144">
        <f>VLOOKUP(Table4[[#This Row],[Visitor]],'NHL Model'!$A$6:$B$38,2,FALSE)</f>
        <v>1.5475013591489768</v>
      </c>
      <c r="J144">
        <f ca="1">($B$1+Table4[[#This Row],[Home Differential]])-Table4[[#This Row],[Away Differential]]</f>
        <v>-0.8254878861127054</v>
      </c>
      <c r="K144" t="str">
        <f ca="1">IF(Table4[[#This Row],[HomeIce Differential]]&gt;0,Table4[[#This Row],[Home]],Table4[[#This Row],[Visitor]])</f>
        <v>Colorado Avalanche</v>
      </c>
      <c r="L144" s="11">
        <f ca="1"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0.52115815973862567</v>
      </c>
      <c r="M144" t="str">
        <f ca="1">IF(OR((NHL2025_26Results[[#This Row],[Winning Team]]="")),"-",IF(Table4[[#This Row],[Predicted Winner]]=NHL2025_26Results[[#This Row],[Winning Team]],"YES","NO"))</f>
        <v>NO</v>
      </c>
      <c r="N144">
        <f ca="1">IF(Table4[[#This Row],[Adjusted Correct]]="-", "",IF(Table4[[#This Row],[Adjusted Correct]]="YES",(Table4[[#This Row],[Strength of Win]]-1)^2,(Table4[[#This Row],[Strength of Win]]-0)^2))</f>
        <v>0.2716058274621509</v>
      </c>
      <c r="O144">
        <v>0.28310290944792438</v>
      </c>
      <c r="P144" s="11"/>
      <c r="Q144" t="s">
        <v>24</v>
      </c>
      <c r="R144" t="s">
        <v>248</v>
      </c>
    </row>
    <row r="145" spans="4:18" x14ac:dyDescent="0.2">
      <c r="D145" s="1">
        <v>45956</v>
      </c>
      <c r="E145" s="2">
        <v>0.79166666666666663</v>
      </c>
      <c r="F145" t="s">
        <v>29</v>
      </c>
      <c r="G145">
        <f>VLOOKUP(Table4[[#This Row],[Home]],'NHL Model'!$A$6:$B$38,2,FALSE)</f>
        <v>-1.3516250707060606</v>
      </c>
      <c r="H145" t="s">
        <v>39</v>
      </c>
      <c r="I145">
        <f>VLOOKUP(Table4[[#This Row],[Visitor]],'NHL Model'!$A$6:$B$38,2,FALSE)</f>
        <v>0.19809534061227302</v>
      </c>
      <c r="J145">
        <f ca="1">($B$1+Table4[[#This Row],[Home Differential]])-Table4[[#This Row],[Away Differential]]</f>
        <v>-1.3871481016560152</v>
      </c>
      <c r="K145" t="str">
        <f ca="1">IF(Table4[[#This Row],[HomeIce Differential]]&gt;0,Table4[[#This Row],[Home]],Table4[[#This Row],[Visitor]])</f>
        <v>Dallas Stars</v>
      </c>
      <c r="L145" s="11">
        <f ca="1"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0.74468757570476962</v>
      </c>
      <c r="M145" t="str">
        <f ca="1">IF(OR((NHL2025_26Results[[#This Row],[Winning Team]]="")),"-",IF(Table4[[#This Row],[Predicted Winner]]=NHL2025_26Results[[#This Row],[Winning Team]],"YES","NO"))</f>
        <v>YES</v>
      </c>
      <c r="N145">
        <f ca="1">IF(Table4[[#This Row],[Adjusted Correct]]="-", "",IF(Table4[[#This Row],[Adjusted Correct]]="YES",(Table4[[#This Row],[Strength of Win]]-1)^2,(Table4[[#This Row],[Strength of Win]]-0)^2))</f>
        <v>6.518443399950774E-2</v>
      </c>
      <c r="O145">
        <v>-0.20187186904748766</v>
      </c>
      <c r="P145" s="11"/>
      <c r="Q145" t="s">
        <v>39</v>
      </c>
      <c r="R145" t="s">
        <v>248</v>
      </c>
    </row>
    <row r="146" spans="4:18" x14ac:dyDescent="0.2">
      <c r="D146" s="1">
        <v>45956</v>
      </c>
      <c r="E146" s="2">
        <v>0.70833333333333337</v>
      </c>
      <c r="F146" t="s">
        <v>37</v>
      </c>
      <c r="G146">
        <f>VLOOKUP(Table4[[#This Row],[Home]],'NHL Model'!$A$6:$B$38,2,FALSE)</f>
        <v>-0.11309445867623392</v>
      </c>
      <c r="H146" t="s">
        <v>20</v>
      </c>
      <c r="I146">
        <f>VLOOKUP(Table4[[#This Row],[Visitor]],'NHL Model'!$A$6:$B$38,2,FALSE)</f>
        <v>-6.3745791019188943E-4</v>
      </c>
      <c r="J146">
        <f ca="1">($B$1+Table4[[#This Row],[Home Differential]])-Table4[[#This Row],[Away Differential]]</f>
        <v>5.0115308896276356E-2</v>
      </c>
      <c r="K146" t="str">
        <f ca="1">IF(Table4[[#This Row],[HomeIce Differential]]&gt;0,Table4[[#This Row],[Home]],Table4[[#This Row],[Visitor]])</f>
        <v>Tampa Bay Lightning</v>
      </c>
      <c r="L146" s="11">
        <f ca="1"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0.52617467948185992</v>
      </c>
      <c r="M146" t="str">
        <f ca="1">IF(OR((NHL2025_26Results[[#This Row],[Winning Team]]="")),"-",IF(Table4[[#This Row],[Predicted Winner]]=NHL2025_26Results[[#This Row],[Winning Team]],"YES","NO"))</f>
        <v>YES</v>
      </c>
      <c r="N146">
        <f ca="1">IF(Table4[[#This Row],[Adjusted Correct]]="-", "",IF(Table4[[#This Row],[Adjusted Correct]]="YES",(Table4[[#This Row],[Strength of Win]]-1)^2,(Table4[[#This Row],[Strength of Win]]-0)^2))</f>
        <v>0.22451043436411819</v>
      </c>
      <c r="O146">
        <v>-0.51384602530268031</v>
      </c>
      <c r="P146" s="11"/>
      <c r="Q146" t="s">
        <v>20</v>
      </c>
      <c r="R146" t="s">
        <v>249</v>
      </c>
    </row>
    <row r="147" spans="4:18" x14ac:dyDescent="0.2">
      <c r="D147" s="1">
        <v>45956</v>
      </c>
      <c r="E147" s="2">
        <v>0.91666666666666663</v>
      </c>
      <c r="F147" t="s">
        <v>38</v>
      </c>
      <c r="G147">
        <f>VLOOKUP(Table4[[#This Row],[Home]],'NHL Model'!$A$6:$B$38,2,FALSE)</f>
        <v>-0.6902088310934803</v>
      </c>
      <c r="H147" t="s">
        <v>17</v>
      </c>
      <c r="I147">
        <f>VLOOKUP(Table4[[#This Row],[Visitor]],'NHL Model'!$A$6:$B$38,2,FALSE)</f>
        <v>-0.61980804137564283</v>
      </c>
      <c r="J147">
        <f ca="1">($B$1+Table4[[#This Row],[Home Differential]])-Table4[[#This Row],[Away Differential]]</f>
        <v>9.2171519944480917E-2</v>
      </c>
      <c r="K147" t="str">
        <f ca="1">IF(Table4[[#This Row],[HomeIce Differential]]&gt;0,Table4[[#This Row],[Home]],Table4[[#This Row],[Visitor]])</f>
        <v>Vancouver Canucks</v>
      </c>
      <c r="L147" s="11">
        <f ca="1"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0.55277116267058757</v>
      </c>
      <c r="M147" t="str">
        <f ca="1">IF(OR((NHL2025_26Results[[#This Row],[Winning Team]]="")),"-",IF(Table4[[#This Row],[Predicted Winner]]=NHL2025_26Results[[#This Row],[Winning Team]],"YES","NO"))</f>
        <v>YES</v>
      </c>
      <c r="N147">
        <f ca="1">IF(Table4[[#This Row],[Adjusted Correct]]="-", "",IF(Table4[[#This Row],[Adjusted Correct]]="YES",(Table4[[#This Row],[Strength of Win]]-1)^2,(Table4[[#This Row],[Strength of Win]]-0)^2))</f>
        <v>0.20001363293901805</v>
      </c>
      <c r="O147">
        <v>2.171278557883749E-2</v>
      </c>
      <c r="P147" s="11"/>
      <c r="Q147" t="s">
        <v>38</v>
      </c>
      <c r="R147" t="s">
        <v>248</v>
      </c>
    </row>
    <row r="148" spans="4:18" x14ac:dyDescent="0.2">
      <c r="D148" s="1">
        <v>45956</v>
      </c>
      <c r="E148" s="2">
        <v>0.75</v>
      </c>
      <c r="F148" t="s">
        <v>40</v>
      </c>
      <c r="G148">
        <f>VLOOKUP(Table4[[#This Row],[Home]],'NHL Model'!$A$6:$B$38,2,FALSE)</f>
        <v>0.105105258369765</v>
      </c>
      <c r="H148" t="s">
        <v>55</v>
      </c>
      <c r="I148">
        <f>VLOOKUP(Table4[[#This Row],[Visitor]],'NHL Model'!$A$6:$B$38,2,FALSE)</f>
        <v>-0.12212311954851815</v>
      </c>
      <c r="J148">
        <f ca="1">($B$1+Table4[[#This Row],[Home Differential]])-Table4[[#This Row],[Away Differential]]</f>
        <v>0.3898006875806016</v>
      </c>
      <c r="K148" t="str">
        <f ca="1">IF(Table4[[#This Row],[HomeIce Differential]]&gt;0,Table4[[#This Row],[Home]],Table4[[#This Row],[Visitor]])</f>
        <v>Winnipeg Jets</v>
      </c>
      <c r="L148" s="11">
        <f ca="1"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0.63004712889170578</v>
      </c>
      <c r="M148" t="str">
        <f ca="1">IF(OR((NHL2025_26Results[[#This Row],[Winning Team]]="")),"-",IF(Table4[[#This Row],[Predicted Winner]]=NHL2025_26Results[[#This Row],[Winning Team]],"YES","NO"))</f>
        <v>NO</v>
      </c>
      <c r="N148">
        <f ca="1">IF(Table4[[#This Row],[Adjusted Correct]]="-", "",IF(Table4[[#This Row],[Adjusted Correct]]="YES",(Table4[[#This Row],[Strength of Win]]-1)^2,(Table4[[#This Row],[Strength of Win]]-0)^2))</f>
        <v>0.39695938462468172</v>
      </c>
      <c r="O148">
        <v>-0.38432540401627707</v>
      </c>
      <c r="P148" s="11"/>
      <c r="Q148" t="s">
        <v>55</v>
      </c>
      <c r="R148" t="s">
        <v>248</v>
      </c>
    </row>
    <row r="149" spans="4:18" x14ac:dyDescent="0.2">
      <c r="D149" s="1">
        <v>45957</v>
      </c>
      <c r="E149" s="2">
        <v>0.8125</v>
      </c>
      <c r="F149" t="s">
        <v>36</v>
      </c>
      <c r="G149">
        <f>VLOOKUP(Table4[[#This Row],[Home]],'NHL Model'!$A$6:$B$38,2,FALSE)</f>
        <v>-0.40651947573390851</v>
      </c>
      <c r="H149" t="s">
        <v>21</v>
      </c>
      <c r="I149">
        <f>VLOOKUP(Table4[[#This Row],[Visitor]],'NHL Model'!$A$6:$B$38,2,FALSE)</f>
        <v>4.029141914856392E-2</v>
      </c>
      <c r="J149">
        <f ca="1">($B$1+Table4[[#This Row],[Home Differential]])-Table4[[#This Row],[Away Differential]]</f>
        <v>-0.28423858522015405</v>
      </c>
      <c r="K149" t="str">
        <f ca="1">IF(Table4[[#This Row],[HomeIce Differential]]&gt;0,Table4[[#This Row],[Home]],Table4[[#This Row],[Visitor]])</f>
        <v>Boston Bruins</v>
      </c>
      <c r="L149" s="11">
        <f ca="1"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0.49688823944639721</v>
      </c>
      <c r="M149" t="str">
        <f ca="1">IF(OR((NHL2025_26Results[[#This Row],[Winning Team]]="")),"-",IF(Table4[[#This Row],[Predicted Winner]]=NHL2025_26Results[[#This Row],[Winning Team]],"YES","NO"))</f>
        <v>NO</v>
      </c>
      <c r="N149">
        <f ca="1">IF(Table4[[#This Row],[Adjusted Correct]]="-", "",IF(Table4[[#This Row],[Adjusted Correct]]="YES",(Table4[[#This Row],[Strength of Win]]-1)^2,(Table4[[#This Row],[Strength of Win]]-0)^2))</f>
        <v>0.24689792250014017</v>
      </c>
      <c r="O149">
        <v>0.55252281846528895</v>
      </c>
      <c r="P149" s="11"/>
      <c r="Q149" t="s">
        <v>36</v>
      </c>
      <c r="R149" t="s">
        <v>248</v>
      </c>
    </row>
    <row r="150" spans="4:18" x14ac:dyDescent="0.2">
      <c r="D150" s="1">
        <v>45957</v>
      </c>
      <c r="E150" s="2">
        <v>0.79166666666666663</v>
      </c>
      <c r="F150" t="s">
        <v>14</v>
      </c>
      <c r="G150">
        <f>VLOOKUP(Table4[[#This Row],[Home]],'NHL Model'!$A$6:$B$38,2,FALSE)</f>
        <v>0.26289091192875702</v>
      </c>
      <c r="H150" t="s">
        <v>35</v>
      </c>
      <c r="I150">
        <f>VLOOKUP(Table4[[#This Row],[Visitor]],'NHL Model'!$A$6:$B$38,2,FALSE)</f>
        <v>-1.6211574240381006</v>
      </c>
      <c r="J150">
        <f ca="1">($B$1+Table4[[#This Row],[Home Differential]])-Table4[[#This Row],[Away Differential]]</f>
        <v>2.0466206456291758</v>
      </c>
      <c r="K150" t="str">
        <f ca="1">IF(Table4[[#This Row],[HomeIce Differential]]&gt;0,Table4[[#This Row],[Home]],Table4[[#This Row],[Visitor]])</f>
        <v>Pittsburgh Penguins</v>
      </c>
      <c r="L150" s="11">
        <f ca="1"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0.85961388891540602</v>
      </c>
      <c r="M150" t="str">
        <f ca="1">IF(OR((NHL2025_26Results[[#This Row],[Winning Team]]="")),"-",IF(Table4[[#This Row],[Predicted Winner]]=NHL2025_26Results[[#This Row],[Winning Team]],"YES","NO"))</f>
        <v>YES</v>
      </c>
      <c r="N150">
        <f ca="1">IF(Table4[[#This Row],[Adjusted Correct]]="-", "",IF(Table4[[#This Row],[Adjusted Correct]]="YES",(Table4[[#This Row],[Strength of Win]]-1)^2,(Table4[[#This Row],[Strength of Win]]-0)^2))</f>
        <v>1.9708260185455961E-2</v>
      </c>
      <c r="O150">
        <v>2.3662838120905634</v>
      </c>
      <c r="P150" s="11"/>
      <c r="Q150" t="s">
        <v>14</v>
      </c>
      <c r="R150" t="s">
        <v>248</v>
      </c>
    </row>
    <row r="151" spans="4:18" x14ac:dyDescent="0.2">
      <c r="D151" s="1">
        <v>45958</v>
      </c>
      <c r="E151" s="2">
        <v>0.80208333333333337</v>
      </c>
      <c r="F151" t="s">
        <v>21</v>
      </c>
      <c r="G151">
        <f>VLOOKUP(Table4[[#This Row],[Home]],'NHL Model'!$A$6:$B$38,2,FALSE)</f>
        <v>4.029141914856392E-2</v>
      </c>
      <c r="H151" t="s">
        <v>30</v>
      </c>
      <c r="I151">
        <f>VLOOKUP(Table4[[#This Row],[Visitor]],'NHL Model'!$A$6:$B$38,2,FALSE)</f>
        <v>-6.4729560818359025E-2</v>
      </c>
      <c r="J151">
        <f ca="1">($B$1+Table4[[#This Row],[Home Differential]])-Table4[[#This Row],[Away Differential]]</f>
        <v>0.26759328962924134</v>
      </c>
      <c r="K151" t="str">
        <f ca="1">IF(Table4[[#This Row],[HomeIce Differential]]&gt;0,Table4[[#This Row],[Home]],Table4[[#This Row],[Visitor]])</f>
        <v>Boston Bruins</v>
      </c>
      <c r="L151" s="11">
        <f ca="1"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0.60850594015886028</v>
      </c>
      <c r="M151" t="str">
        <f ca="1">IF(OR((NHL2025_26Results[[#This Row],[Winning Team]]="")),"-",IF(Table4[[#This Row],[Predicted Winner]]=NHL2025_26Results[[#This Row],[Winning Team]],"YES","NO"))</f>
        <v>YES</v>
      </c>
      <c r="N151">
        <f ca="1">IF(Table4[[#This Row],[Adjusted Correct]]="-", "",IF(Table4[[#This Row],[Adjusted Correct]]="YES",(Table4[[#This Row],[Strength of Win]]-1)^2,(Table4[[#This Row],[Strength of Win]]-0)^2))</f>
        <v>0.15326759889089789</v>
      </c>
      <c r="O151">
        <v>0.26870995720827462</v>
      </c>
      <c r="P151" s="11"/>
      <c r="Q151" t="s">
        <v>21</v>
      </c>
      <c r="R151" t="s">
        <v>248</v>
      </c>
    </row>
    <row r="152" spans="4:18" x14ac:dyDescent="0.2">
      <c r="D152" s="1">
        <v>45958</v>
      </c>
      <c r="E152" s="2">
        <v>0.78125</v>
      </c>
      <c r="F152" t="s">
        <v>23</v>
      </c>
      <c r="G152">
        <f>VLOOKUP(Table4[[#This Row],[Home]],'NHL Model'!$A$6:$B$38,2,FALSE)</f>
        <v>-0.8683412362501769</v>
      </c>
      <c r="H152" t="s">
        <v>28</v>
      </c>
      <c r="I152">
        <f>VLOOKUP(Table4[[#This Row],[Visitor]],'NHL Model'!$A$6:$B$38,2,FALSE)</f>
        <v>-0.40822279081308277</v>
      </c>
      <c r="J152">
        <f ca="1">($B$1+Table4[[#This Row],[Home Differential]])-Table4[[#This Row],[Away Differential]]</f>
        <v>-0.29754613577477573</v>
      </c>
      <c r="K152" t="str">
        <f ca="1">IF(Table4[[#This Row],[HomeIce Differential]]&gt;0,Table4[[#This Row],[Home]],Table4[[#This Row],[Visitor]])</f>
        <v>Columbus Blue Jackets</v>
      </c>
      <c r="L152" s="11">
        <f ca="1"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0.52199682584711704</v>
      </c>
      <c r="M152" t="str">
        <f ca="1">IF(OR((NHL2025_26Results[[#This Row],[Winning Team]]="")),"-",IF(Table4[[#This Row],[Predicted Winner]]=NHL2025_26Results[[#This Row],[Winning Team]],"YES","NO"))</f>
        <v>YES</v>
      </c>
      <c r="N152">
        <f ca="1">IF(Table4[[#This Row],[Adjusted Correct]]="-", "",IF(Table4[[#This Row],[Adjusted Correct]]="YES",(Table4[[#This Row],[Strength of Win]]-1)^2,(Table4[[#This Row],[Strength of Win]]-0)^2))</f>
        <v>0.22848703450023136</v>
      </c>
      <c r="O152">
        <v>-0.42139729402418508</v>
      </c>
      <c r="P152" s="11"/>
      <c r="Q152" t="s">
        <v>28</v>
      </c>
      <c r="R152" t="s">
        <v>248</v>
      </c>
    </row>
    <row r="153" spans="4:18" x14ac:dyDescent="0.2">
      <c r="D153" s="1">
        <v>45958</v>
      </c>
      <c r="E153" s="2">
        <v>0.77083333333333337</v>
      </c>
      <c r="F153" t="s">
        <v>25</v>
      </c>
      <c r="G153">
        <f>VLOOKUP(Table4[[#This Row],[Home]],'NHL Model'!$A$6:$B$38,2,FALSE)</f>
        <v>0.67193921242367816</v>
      </c>
      <c r="H153" t="s">
        <v>20</v>
      </c>
      <c r="I153">
        <f>VLOOKUP(Table4[[#This Row],[Visitor]],'NHL Model'!$A$6:$B$38,2,FALSE)</f>
        <v>-6.3745791019188943E-4</v>
      </c>
      <c r="J153">
        <f ca="1">($B$1+Table4[[#This Row],[Home Differential]])-Table4[[#This Row],[Away Differential]]</f>
        <v>0.83514897999618842</v>
      </c>
      <c r="K153" t="str">
        <f ca="1">IF(Table4[[#This Row],[HomeIce Differential]]&gt;0,Table4[[#This Row],[Home]],Table4[[#This Row],[Visitor]])</f>
        <v>Carolina Hurricanes</v>
      </c>
      <c r="L153" s="11">
        <f ca="1"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0.68714569841238482</v>
      </c>
      <c r="M153" t="str">
        <f ca="1">IF(OR((NHL2025_26Results[[#This Row],[Winning Team]]="")),"-",IF(Table4[[#This Row],[Predicted Winner]]=NHL2025_26Results[[#This Row],[Winning Team]],"YES","NO"))</f>
        <v>NO</v>
      </c>
      <c r="N153">
        <f ca="1">IF(Table4[[#This Row],[Adjusted Correct]]="-", "",IF(Table4[[#This Row],[Adjusted Correct]]="YES",(Table4[[#This Row],[Strength of Win]]-1)^2,(Table4[[#This Row],[Strength of Win]]-0)^2))</f>
        <v>0.47216921084664409</v>
      </c>
      <c r="O153">
        <v>0.48863019270550906</v>
      </c>
      <c r="P153" s="11"/>
      <c r="Q153" t="s">
        <v>25</v>
      </c>
      <c r="R153" t="s">
        <v>249</v>
      </c>
    </row>
    <row r="154" spans="4:18" x14ac:dyDescent="0.2">
      <c r="D154" s="1">
        <v>45958</v>
      </c>
      <c r="E154" s="2">
        <v>0.86458333333333337</v>
      </c>
      <c r="F154" t="s">
        <v>10</v>
      </c>
      <c r="G154">
        <f>VLOOKUP(Table4[[#This Row],[Home]],'NHL Model'!$A$6:$B$38,2,FALSE)</f>
        <v>0.30570968833820172</v>
      </c>
      <c r="H154" t="s">
        <v>36</v>
      </c>
      <c r="I154">
        <f>VLOOKUP(Table4[[#This Row],[Visitor]],'NHL Model'!$A$6:$B$38,2,FALSE)</f>
        <v>-0.40651947573390851</v>
      </c>
      <c r="J154">
        <f ca="1">($B$1+Table4[[#This Row],[Home Differential]])-Table4[[#This Row],[Away Differential]]</f>
        <v>0.87480147373442863</v>
      </c>
      <c r="K154" t="str">
        <f ca="1">IF(Table4[[#This Row],[HomeIce Differential]]&gt;0,Table4[[#This Row],[Home]],Table4[[#This Row],[Visitor]])</f>
        <v>Chicago Blackhawks</v>
      </c>
      <c r="L154" s="11">
        <f ca="1"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0.66121132354399315</v>
      </c>
      <c r="M154" t="str">
        <f ca="1">IF(OR((NHL2025_26Results[[#This Row],[Winning Team]]="")),"-",IF(Table4[[#This Row],[Predicted Winner]]=NHL2025_26Results[[#This Row],[Winning Team]],"YES","NO"))</f>
        <v>YES</v>
      </c>
      <c r="N154">
        <f ca="1">IF(Table4[[#This Row],[Adjusted Correct]]="-", "",IF(Table4[[#This Row],[Adjusted Correct]]="YES",(Table4[[#This Row],[Strength of Win]]-1)^2,(Table4[[#This Row],[Strength of Win]]-0)^2))</f>
        <v>0.1147777672948129</v>
      </c>
      <c r="O154">
        <v>0.98762295214981388</v>
      </c>
      <c r="P154" s="11"/>
      <c r="Q154" t="s">
        <v>10</v>
      </c>
      <c r="R154" t="s">
        <v>248</v>
      </c>
    </row>
    <row r="155" spans="4:18" x14ac:dyDescent="0.2">
      <c r="D155" s="1">
        <v>45958</v>
      </c>
      <c r="E155" s="2">
        <v>0.875</v>
      </c>
      <c r="F155" t="s">
        <v>12</v>
      </c>
      <c r="G155">
        <f>VLOOKUP(Table4[[#This Row],[Home]],'NHL Model'!$A$6:$B$38,2,FALSE)</f>
        <v>1.5475013591489768</v>
      </c>
      <c r="H155" t="s">
        <v>24</v>
      </c>
      <c r="I155">
        <f>VLOOKUP(Table4[[#This Row],[Visitor]],'NHL Model'!$A$6:$B$38,2,FALSE)</f>
        <v>0.559441163373953</v>
      </c>
      <c r="J155">
        <f ca="1">($B$1+Table4[[#This Row],[Home Differential]])-Table4[[#This Row],[Away Differential]]</f>
        <v>1.1506325054373421</v>
      </c>
      <c r="K155" t="str">
        <f ca="1">IF(Table4[[#This Row],[HomeIce Differential]]&gt;0,Table4[[#This Row],[Home]],Table4[[#This Row],[Visitor]])</f>
        <v>Colorado Avalanche</v>
      </c>
      <c r="L155" s="11">
        <f ca="1"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0.72394623184338025</v>
      </c>
      <c r="M155" t="str">
        <f ca="1">IF(OR((NHL2025_26Results[[#This Row],[Winning Team]]="")),"-",IF(Table4[[#This Row],[Predicted Winner]]=NHL2025_26Results[[#This Row],[Winning Team]],"YES","NO"))</f>
        <v>YES</v>
      </c>
      <c r="N155">
        <f ca="1">IF(Table4[[#This Row],[Adjusted Correct]]="-", "",IF(Table4[[#This Row],[Adjusted Correct]]="YES",(Table4[[#This Row],[Strength of Win]]-1)^2,(Table4[[#This Row],[Strength of Win]]-0)^2))</f>
        <v>7.620568291346877E-2</v>
      </c>
      <c r="O155">
        <v>0.55368086990765564</v>
      </c>
      <c r="P155" s="11"/>
      <c r="Q155" t="s">
        <v>12</v>
      </c>
      <c r="R155" t="s">
        <v>248</v>
      </c>
    </row>
    <row r="156" spans="4:18" x14ac:dyDescent="0.2">
      <c r="D156" s="1">
        <v>45958</v>
      </c>
      <c r="E156" s="2">
        <v>0.85416666666666663</v>
      </c>
      <c r="F156" t="s">
        <v>39</v>
      </c>
      <c r="G156">
        <f>VLOOKUP(Table4[[#This Row],[Home]],'NHL Model'!$A$6:$B$38,2,FALSE)</f>
        <v>0.19809534061227302</v>
      </c>
      <c r="H156" t="s">
        <v>22</v>
      </c>
      <c r="I156">
        <f>VLOOKUP(Table4[[#This Row],[Visitor]],'NHL Model'!$A$6:$B$38,2,FALSE)</f>
        <v>-6.1308839486784707E-2</v>
      </c>
      <c r="J156">
        <f ca="1">($B$1+Table4[[#This Row],[Home Differential]])-Table4[[#This Row],[Away Differential]]</f>
        <v>0.42197648976137614</v>
      </c>
      <c r="K156" t="str">
        <f ca="1">IF(Table4[[#This Row],[HomeIce Differential]]&gt;0,Table4[[#This Row],[Home]],Table4[[#This Row],[Visitor]])</f>
        <v>Dallas Stars</v>
      </c>
      <c r="L156" s="11">
        <f ca="1"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0.624506234547485</v>
      </c>
      <c r="M156" t="str">
        <f ca="1">IF(OR((NHL2025_26Results[[#This Row],[Winning Team]]="")),"-",IF(Table4[[#This Row],[Predicted Winner]]=NHL2025_26Results[[#This Row],[Winning Team]],"YES","NO"))</f>
        <v>YES</v>
      </c>
      <c r="N156">
        <f ca="1">IF(Table4[[#This Row],[Adjusted Correct]]="-", "",IF(Table4[[#This Row],[Adjusted Correct]]="YES",(Table4[[#This Row],[Strength of Win]]-1)^2,(Table4[[#This Row],[Strength of Win]]-0)^2))</f>
        <v>0.14099556789370835</v>
      </c>
      <c r="O156">
        <v>-0.27880271192204642</v>
      </c>
      <c r="P156" s="11"/>
      <c r="Q156" t="s">
        <v>22</v>
      </c>
      <c r="R156" t="s">
        <v>249</v>
      </c>
    </row>
    <row r="157" spans="4:18" x14ac:dyDescent="0.2">
      <c r="D157" s="1">
        <v>45958</v>
      </c>
      <c r="E157" s="2">
        <v>0.89583333333333337</v>
      </c>
      <c r="F157" t="s">
        <v>17</v>
      </c>
      <c r="G157">
        <f>VLOOKUP(Table4[[#This Row],[Home]],'NHL Model'!$A$6:$B$38,2,FALSE)</f>
        <v>-0.61980804137564283</v>
      </c>
      <c r="H157" t="s">
        <v>55</v>
      </c>
      <c r="I157">
        <f>VLOOKUP(Table4[[#This Row],[Visitor]],'NHL Model'!$A$6:$B$38,2,FALSE)</f>
        <v>-0.12212311954851815</v>
      </c>
      <c r="J157">
        <f ca="1">($B$1+Table4[[#This Row],[Home Differential]])-Table4[[#This Row],[Away Differential]]</f>
        <v>-0.33511261216480626</v>
      </c>
      <c r="K157" t="str">
        <f ca="1">IF(Table4[[#This Row],[HomeIce Differential]]&gt;0,Table4[[#This Row],[Home]],Table4[[#This Row],[Visitor]])</f>
        <v>Utah Mammoth</v>
      </c>
      <c r="L157" s="11">
        <f ca="1"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0.47039588950158423</v>
      </c>
      <c r="M157" t="str">
        <f ca="1">IF(OR((NHL2025_26Results[[#This Row],[Winning Team]]="")),"-",IF(Table4[[#This Row],[Predicted Winner]]=NHL2025_26Results[[#This Row],[Winning Team]],"YES","NO"))</f>
        <v>NO</v>
      </c>
      <c r="N157">
        <f ca="1">IF(Table4[[#This Row],[Adjusted Correct]]="-", "",IF(Table4[[#This Row],[Adjusted Correct]]="YES",(Table4[[#This Row],[Strength of Win]]-1)^2,(Table4[[#This Row],[Strength of Win]]-0)^2))</f>
        <v>0.22127229285998665</v>
      </c>
      <c r="O157">
        <v>-0.61234047472558972</v>
      </c>
      <c r="P157" s="11"/>
      <c r="Q157" t="s">
        <v>55</v>
      </c>
      <c r="R157" t="s">
        <v>249</v>
      </c>
    </row>
    <row r="158" spans="4:18" x14ac:dyDescent="0.2">
      <c r="D158" s="1">
        <v>45958</v>
      </c>
      <c r="E158" s="2">
        <v>0.79166666666666663</v>
      </c>
      <c r="F158" t="s">
        <v>11</v>
      </c>
      <c r="G158">
        <f>VLOOKUP(Table4[[#This Row],[Home]],'NHL Model'!$A$6:$B$38,2,FALSE)</f>
        <v>-0.28105923893144158</v>
      </c>
      <c r="H158" t="s">
        <v>31</v>
      </c>
      <c r="I158">
        <f>VLOOKUP(Table4[[#This Row],[Visitor]],'NHL Model'!$A$6:$B$38,2,FALSE)</f>
        <v>0.51775546328552802</v>
      </c>
      <c r="J158">
        <f ca="1">($B$1+Table4[[#This Row],[Home Differential]])-Table4[[#This Row],[Away Differential]]</f>
        <v>-0.6362423925546512</v>
      </c>
      <c r="K158" t="str">
        <f ca="1">IF(Table4[[#This Row],[HomeIce Differential]]&gt;0,Table4[[#This Row],[Home]],Table4[[#This Row],[Visitor]])</f>
        <v>Anaheim Ducks</v>
      </c>
      <c r="L158" s="11">
        <f ca="1"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0.51672832452078099</v>
      </c>
      <c r="M158" t="str">
        <f ca="1">IF(OR((NHL2025_26Results[[#This Row],[Winning Team]]="")),"-",IF(Table4[[#This Row],[Predicted Winner]]=NHL2025_26Results[[#This Row],[Winning Team]],"YES","NO"))</f>
        <v>YES</v>
      </c>
      <c r="N158">
        <f ca="1">IF(Table4[[#This Row],[Adjusted Correct]]="-", "",IF(Table4[[#This Row],[Adjusted Correct]]="YES",(Table4[[#This Row],[Strength of Win]]-1)^2,(Table4[[#This Row],[Strength of Win]]-0)^2))</f>
        <v>0.23355151232049157</v>
      </c>
      <c r="O158">
        <v>-0.14621168379070282</v>
      </c>
      <c r="P158" s="11"/>
      <c r="Q158" t="s">
        <v>31</v>
      </c>
      <c r="R158" t="s">
        <v>248</v>
      </c>
    </row>
    <row r="159" spans="4:18" x14ac:dyDescent="0.2">
      <c r="D159" s="1">
        <v>45958</v>
      </c>
      <c r="E159" s="2">
        <v>0.83333333333333337</v>
      </c>
      <c r="F159" t="s">
        <v>34</v>
      </c>
      <c r="G159">
        <f>VLOOKUP(Table4[[#This Row],[Home]],'NHL Model'!$A$6:$B$38,2,FALSE)</f>
        <v>-0.53650300840565446</v>
      </c>
      <c r="H159" t="s">
        <v>40</v>
      </c>
      <c r="I159">
        <f>VLOOKUP(Table4[[#This Row],[Visitor]],'NHL Model'!$A$6:$B$38,2,FALSE)</f>
        <v>0.105105258369765</v>
      </c>
      <c r="J159">
        <f ca="1">($B$1+Table4[[#This Row],[Home Differential]])-Table4[[#This Row],[Away Differential]]</f>
        <v>-0.4790359571131011</v>
      </c>
      <c r="K159" t="str">
        <f ca="1">IF(Table4[[#This Row],[HomeIce Differential]]&gt;0,Table4[[#This Row],[Home]],Table4[[#This Row],[Visitor]])</f>
        <v>Winnipeg Jets</v>
      </c>
      <c r="L159" s="11">
        <f ca="1"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0.59269037174201455</v>
      </c>
      <c r="M159" t="str">
        <f ca="1">IF(OR((NHL2025_26Results[[#This Row],[Winning Team]]="")),"-",IF(Table4[[#This Row],[Predicted Winner]]=NHL2025_26Results[[#This Row],[Winning Team]],"YES","NO"))</f>
        <v>YES</v>
      </c>
      <c r="N159">
        <f ca="1">IF(Table4[[#This Row],[Adjusted Correct]]="-", "",IF(Table4[[#This Row],[Adjusted Correct]]="YES",(Table4[[#This Row],[Strength of Win]]-1)^2,(Table4[[#This Row],[Strength of Win]]-0)^2))</f>
        <v>0.16590113327165829</v>
      </c>
      <c r="O159">
        <v>-1.3973653400344825</v>
      </c>
      <c r="P159" s="11"/>
      <c r="Q159" t="s">
        <v>40</v>
      </c>
      <c r="R159" t="s">
        <v>248</v>
      </c>
    </row>
    <row r="160" spans="4:18" x14ac:dyDescent="0.2">
      <c r="D160" s="1">
        <v>45958</v>
      </c>
      <c r="E160" s="2">
        <v>0.82291666666666663</v>
      </c>
      <c r="F160" t="s">
        <v>29</v>
      </c>
      <c r="G160">
        <f>VLOOKUP(Table4[[#This Row],[Home]],'NHL Model'!$A$6:$B$38,2,FALSE)</f>
        <v>-1.3516250707060606</v>
      </c>
      <c r="H160" t="s">
        <v>37</v>
      </c>
      <c r="I160">
        <f>VLOOKUP(Table4[[#This Row],[Visitor]],'NHL Model'!$A$6:$B$38,2,FALSE)</f>
        <v>-0.11309445867623392</v>
      </c>
      <c r="J160">
        <f ca="1">($B$1+Table4[[#This Row],[Home Differential]])-Table4[[#This Row],[Away Differential]]</f>
        <v>-1.0759583023675083</v>
      </c>
      <c r="K160" t="str">
        <f ca="1">IF(Table4[[#This Row],[HomeIce Differential]]&gt;0,Table4[[#This Row],[Home]],Table4[[#This Row],[Visitor]])</f>
        <v>Tampa Bay Lightning</v>
      </c>
      <c r="L160" s="11">
        <f ca="1"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0.6561827364725632</v>
      </c>
      <c r="M160" t="str">
        <f ca="1">IF(OR((NHL2025_26Results[[#This Row],[Winning Team]]="")),"-",IF(Table4[[#This Row],[Predicted Winner]]=NHL2025_26Results[[#This Row],[Winning Team]],"YES","NO"))</f>
        <v>YES</v>
      </c>
      <c r="N160">
        <f ca="1">IF(Table4[[#This Row],[Adjusted Correct]]="-", "",IF(Table4[[#This Row],[Adjusted Correct]]="YES",(Table4[[#This Row],[Strength of Win]]-1)^2,(Table4[[#This Row],[Strength of Win]]-0)^2))</f>
        <v>0.11821031069949492</v>
      </c>
      <c r="O160">
        <v>-0.73773821882949986</v>
      </c>
      <c r="P160" s="11"/>
      <c r="Q160" t="s">
        <v>37</v>
      </c>
      <c r="R160" t="s">
        <v>248</v>
      </c>
    </row>
    <row r="161" spans="4:18" x14ac:dyDescent="0.2">
      <c r="D161" s="1">
        <v>45958</v>
      </c>
      <c r="E161" s="2">
        <v>0.75</v>
      </c>
      <c r="F161" t="s">
        <v>27</v>
      </c>
      <c r="G161">
        <f>VLOOKUP(Table4[[#This Row],[Home]],'NHL Model'!$A$6:$B$38,2,FALSE)</f>
        <v>-0.51358590497437617</v>
      </c>
      <c r="H161" t="s">
        <v>14</v>
      </c>
      <c r="I161">
        <f>VLOOKUP(Table4[[#This Row],[Visitor]],'NHL Model'!$A$6:$B$38,2,FALSE)</f>
        <v>0.26289091192875702</v>
      </c>
      <c r="J161">
        <f ca="1">($B$1+Table4[[#This Row],[Home Differential]])-Table4[[#This Row],[Away Differential]]</f>
        <v>-0.6139045072408148</v>
      </c>
      <c r="K161" t="str">
        <f ca="1">IF(Table4[[#This Row],[HomeIce Differential]]&gt;0,Table4[[#This Row],[Home]],Table4[[#This Row],[Visitor]])</f>
        <v>Pittsburgh Penguins</v>
      </c>
      <c r="L161" s="11">
        <f ca="1"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0.54256630919734727</v>
      </c>
      <c r="M161" t="str">
        <f ca="1">IF(OR((NHL2025_26Results[[#This Row],[Winning Team]]="")),"-",IF(Table4[[#This Row],[Predicted Winner]]=NHL2025_26Results[[#This Row],[Winning Team]],"YES","NO"))</f>
        <v>NO</v>
      </c>
      <c r="N161">
        <f ca="1">IF(Table4[[#This Row],[Adjusted Correct]]="-", "",IF(Table4[[#This Row],[Adjusted Correct]]="YES",(Table4[[#This Row],[Strength of Win]]-1)^2,(Table4[[#This Row],[Strength of Win]]-0)^2))</f>
        <v>0.29437819987603142</v>
      </c>
      <c r="O161">
        <v>-6.56917424764355E-2</v>
      </c>
      <c r="P161" s="11"/>
      <c r="Q161" t="s">
        <v>14</v>
      </c>
      <c r="R161" t="s">
        <v>249</v>
      </c>
    </row>
    <row r="162" spans="4:18" x14ac:dyDescent="0.2">
      <c r="D162" s="1">
        <v>45958</v>
      </c>
      <c r="E162" s="2">
        <v>0.9375</v>
      </c>
      <c r="F162" t="s">
        <v>32</v>
      </c>
      <c r="G162">
        <f>VLOOKUP(Table4[[#This Row],[Home]],'NHL Model'!$A$6:$B$38,2,FALSE)</f>
        <v>-0.361361309178443</v>
      </c>
      <c r="H162" t="s">
        <v>18</v>
      </c>
      <c r="I162">
        <f>VLOOKUP(Table4[[#This Row],[Visitor]],'NHL Model'!$A$6:$B$38,2,FALSE)</f>
        <v>-0.52437726201848234</v>
      </c>
      <c r="J162">
        <f ca="1">($B$1+Table4[[#This Row],[Home Differential]])-Table4[[#This Row],[Away Differential]]</f>
        <v>0.32558826250235773</v>
      </c>
      <c r="K162" t="str">
        <f ca="1">IF(Table4[[#This Row],[HomeIce Differential]]&gt;0,Table4[[#This Row],[Home]],Table4[[#This Row],[Visitor]])</f>
        <v>Seattle Kraken</v>
      </c>
      <c r="L162" s="11">
        <f ca="1"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0.5349089930628298</v>
      </c>
      <c r="M162" t="str">
        <f ca="1">IF(OR((NHL2025_26Results[[#This Row],[Winning Team]]="")),"-",IF(Table4[[#This Row],[Predicted Winner]]=NHL2025_26Results[[#This Row],[Winning Team]],"YES","NO"))</f>
        <v>NO</v>
      </c>
      <c r="N162">
        <f ca="1">IF(Table4[[#This Row],[Adjusted Correct]]="-", "",IF(Table4[[#This Row],[Adjusted Correct]]="YES",(Table4[[#This Row],[Strength of Win]]-1)^2,(Table4[[#This Row],[Strength of Win]]-0)^2))</f>
        <v>0.2861276308594905</v>
      </c>
      <c r="O162">
        <v>-7.2371383510853704E-2</v>
      </c>
      <c r="P162" s="11"/>
      <c r="Q162" t="s">
        <v>18</v>
      </c>
      <c r="R162" t="s">
        <v>248</v>
      </c>
    </row>
    <row r="163" spans="4:18" x14ac:dyDescent="0.2">
      <c r="D163" s="1">
        <v>45958</v>
      </c>
      <c r="E163" s="2">
        <v>0.95833333333333337</v>
      </c>
      <c r="F163" t="s">
        <v>33</v>
      </c>
      <c r="G163">
        <f>VLOOKUP(Table4[[#This Row],[Home]],'NHL Model'!$A$6:$B$38,2,FALSE)</f>
        <v>-0.39418177254008485</v>
      </c>
      <c r="H163" t="s">
        <v>13</v>
      </c>
      <c r="I163">
        <f>VLOOKUP(Table4[[#This Row],[Visitor]],'NHL Model'!$A$6:$B$38,2,FALSE)</f>
        <v>-7.5459708298993802E-2</v>
      </c>
      <c r="J163">
        <f ca="1">($B$1+Table4[[#This Row],[Home Differential]])-Table4[[#This Row],[Away Differential]]</f>
        <v>-0.15614975457877267</v>
      </c>
      <c r="K163" t="str">
        <f ca="1">IF(Table4[[#This Row],[HomeIce Differential]]&gt;0,Table4[[#This Row],[Home]],Table4[[#This Row],[Visitor]])</f>
        <v>Los Angeles Kings</v>
      </c>
      <c r="L163" s="11">
        <f ca="1"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0.60303125022951609</v>
      </c>
      <c r="M163" t="str">
        <f ca="1">IF(OR((NHL2025_26Results[[#This Row],[Winning Team]]="")),"-",IF(Table4[[#This Row],[Predicted Winner]]=NHL2025_26Results[[#This Row],[Winning Team]],"YES","NO"))</f>
        <v>YES</v>
      </c>
      <c r="N163">
        <f ca="1">IF(Table4[[#This Row],[Adjusted Correct]]="-", "",IF(Table4[[#This Row],[Adjusted Correct]]="YES",(Table4[[#This Row],[Strength of Win]]-1)^2,(Table4[[#This Row],[Strength of Win]]-0)^2))</f>
        <v>0.15758418829434107</v>
      </c>
      <c r="O163">
        <v>-0.75273919431601166</v>
      </c>
      <c r="P163" s="11"/>
      <c r="Q163" t="s">
        <v>13</v>
      </c>
      <c r="R163" t="s">
        <v>248</v>
      </c>
    </row>
    <row r="164" spans="4:18" x14ac:dyDescent="0.2">
      <c r="D164" s="1">
        <v>45958</v>
      </c>
      <c r="E164" s="2">
        <v>0.84375</v>
      </c>
      <c r="F164" t="s">
        <v>35</v>
      </c>
      <c r="G164">
        <f>VLOOKUP(Table4[[#This Row],[Home]],'NHL Model'!$A$6:$B$38,2,FALSE)</f>
        <v>-1.6211574240381006</v>
      </c>
      <c r="H164" t="s">
        <v>26</v>
      </c>
      <c r="I164">
        <f>VLOOKUP(Table4[[#This Row],[Visitor]],'NHL Model'!$A$6:$B$38,2,FALSE)</f>
        <v>-0.513643833119658</v>
      </c>
      <c r="J164">
        <f ca="1">($B$1+Table4[[#This Row],[Home Differential]])-Table4[[#This Row],[Away Differential]]</f>
        <v>-0.9449412812561242</v>
      </c>
      <c r="K164" t="str">
        <f ca="1">IF(Table4[[#This Row],[HomeIce Differential]]&gt;0,Table4[[#This Row],[Home]],Table4[[#This Row],[Visitor]])</f>
        <v>Detroit Red Wings</v>
      </c>
      <c r="L164" s="11">
        <f ca="1"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0.63802919305441019</v>
      </c>
      <c r="M164" t="str">
        <f ca="1">IF(OR((NHL2025_26Results[[#This Row],[Winning Team]]="")),"-",IF(Table4[[#This Row],[Predicted Winner]]=NHL2025_26Results[[#This Row],[Winning Team]],"YES","NO"))</f>
        <v>YES</v>
      </c>
      <c r="N164">
        <f ca="1">IF(Table4[[#This Row],[Adjusted Correct]]="-", "",IF(Table4[[#This Row],[Adjusted Correct]]="YES",(Table4[[#This Row],[Strength of Win]]-1)^2,(Table4[[#This Row],[Strength of Win]]-0)^2))</f>
        <v>0.13102286508084143</v>
      </c>
      <c r="O164">
        <v>-1.4495967256561701</v>
      </c>
      <c r="P164" s="11"/>
      <c r="Q164" t="s">
        <v>26</v>
      </c>
      <c r="R164" t="s">
        <v>248</v>
      </c>
    </row>
    <row r="165" spans="4:18" x14ac:dyDescent="0.2">
      <c r="D165" s="1">
        <v>45958</v>
      </c>
      <c r="E165" s="2">
        <v>0.76041666666666663</v>
      </c>
      <c r="F165" t="s">
        <v>19</v>
      </c>
      <c r="G165">
        <f>VLOOKUP(Table4[[#This Row],[Home]],'NHL Model'!$A$6:$B$38,2,FALSE)</f>
        <v>-0.635565543477981</v>
      </c>
      <c r="H165" t="s">
        <v>16</v>
      </c>
      <c r="I165">
        <f>VLOOKUP(Table4[[#This Row],[Visitor]],'NHL Model'!$A$6:$B$38,2,FALSE)</f>
        <v>-1.3903684122795328</v>
      </c>
      <c r="J165">
        <f ca="1">($B$1+Table4[[#This Row],[Home Differential]])-Table4[[#This Row],[Away Differential]]</f>
        <v>0.91737517846387018</v>
      </c>
      <c r="K165" t="str">
        <f ca="1">IF(Table4[[#This Row],[HomeIce Differential]]&gt;0,Table4[[#This Row],[Home]],Table4[[#This Row],[Visitor]])</f>
        <v>Toronto Maple Leafs</v>
      </c>
      <c r="L165" s="11">
        <f ca="1"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0.6671102791966369</v>
      </c>
      <c r="M165" t="str">
        <f ca="1">IF(OR((NHL2025_26Results[[#This Row],[Winning Team]]="")),"-",IF(Table4[[#This Row],[Predicted Winner]]=NHL2025_26Results[[#This Row],[Winning Team]],"YES","NO"))</f>
        <v>YES</v>
      </c>
      <c r="N165">
        <f ca="1">IF(Table4[[#This Row],[Adjusted Correct]]="-", "",IF(Table4[[#This Row],[Adjusted Correct]]="YES",(Table4[[#This Row],[Strength of Win]]-1)^2,(Table4[[#This Row],[Strength of Win]]-0)^2))</f>
        <v>0.11081556621654104</v>
      </c>
      <c r="O165">
        <v>0.97153793139646627</v>
      </c>
      <c r="P165" s="11"/>
      <c r="Q165" t="s">
        <v>19</v>
      </c>
      <c r="R165" t="s">
        <v>248</v>
      </c>
    </row>
    <row r="166" spans="4:18" x14ac:dyDescent="0.2">
      <c r="D166" s="1">
        <v>45958</v>
      </c>
      <c r="E166" s="2">
        <v>0.91666666666666663</v>
      </c>
      <c r="F166" t="s">
        <v>38</v>
      </c>
      <c r="G166">
        <f>VLOOKUP(Table4[[#This Row],[Home]],'NHL Model'!$A$6:$B$38,2,FALSE)</f>
        <v>-0.6902088310934803</v>
      </c>
      <c r="H166" t="s">
        <v>15</v>
      </c>
      <c r="I166">
        <f>VLOOKUP(Table4[[#This Row],[Visitor]],'NHL Model'!$A$6:$B$38,2,FALSE)</f>
        <v>-0.30719665303039001</v>
      </c>
      <c r="J166">
        <f ca="1">($B$1+Table4[[#This Row],[Home Differential]])-Table4[[#This Row],[Away Differential]]</f>
        <v>-0.2204398684007719</v>
      </c>
      <c r="K166" t="str">
        <f ca="1">IF(Table4[[#This Row],[HomeIce Differential]]&gt;0,Table4[[#This Row],[Home]],Table4[[#This Row],[Visitor]])</f>
        <v>New York Rangers</v>
      </c>
      <c r="L166" s="11">
        <f ca="1"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0.63295349223184882</v>
      </c>
      <c r="M166" t="str">
        <f ca="1">IF(OR((NHL2025_26Results[[#This Row],[Winning Team]]="")),"-",IF(Table4[[#This Row],[Predicted Winner]]=NHL2025_26Results[[#This Row],[Winning Team]],"YES","NO"))</f>
        <v>YES</v>
      </c>
      <c r="N166">
        <f ca="1">IF(Table4[[#This Row],[Adjusted Correct]]="-", "",IF(Table4[[#This Row],[Adjusted Correct]]="YES",(Table4[[#This Row],[Strength of Win]]-1)^2,(Table4[[#This Row],[Strength of Win]]-0)^2))</f>
        <v>0.13472313886479545</v>
      </c>
      <c r="O166">
        <v>2.5241601366947641E-2</v>
      </c>
      <c r="P166" s="11"/>
      <c r="Q166" t="s">
        <v>38</v>
      </c>
      <c r="R166" t="s">
        <v>249</v>
      </c>
    </row>
    <row r="167" spans="4:18" x14ac:dyDescent="0.2">
      <c r="D167" s="1">
        <v>45959</v>
      </c>
      <c r="E167" s="2">
        <v>0.8125</v>
      </c>
      <c r="F167" t="s">
        <v>28</v>
      </c>
      <c r="G167">
        <f>VLOOKUP(Table4[[#This Row],[Home]],'NHL Model'!$A$6:$B$38,2,FALSE)</f>
        <v>-0.40822279081308277</v>
      </c>
      <c r="H167" t="s">
        <v>19</v>
      </c>
      <c r="I167">
        <f>VLOOKUP(Table4[[#This Row],[Visitor]],'NHL Model'!$A$6:$B$38,2,FALSE)</f>
        <v>-0.635565543477981</v>
      </c>
      <c r="J167">
        <f ca="1">($B$1+Table4[[#This Row],[Home Differential]])-Table4[[#This Row],[Away Differential]]</f>
        <v>0.38991506232721662</v>
      </c>
      <c r="K167" t="str">
        <f ca="1">IF(Table4[[#This Row],[HomeIce Differential]]&gt;0,Table4[[#This Row],[Home]],Table4[[#This Row],[Visitor]])</f>
        <v>Columbus Blue Jackets</v>
      </c>
      <c r="L167" s="11">
        <f ca="1"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0.59402611014435525</v>
      </c>
      <c r="M167" t="str">
        <f ca="1">IF(OR((NHL2025_26Results[[#This Row],[Winning Team]]="")),"-",IF(Table4[[#This Row],[Predicted Winner]]=NHL2025_26Results[[#This Row],[Winning Team]],"YES","NO"))</f>
        <v>YES</v>
      </c>
      <c r="N167">
        <f ca="1">IF(Table4[[#This Row],[Adjusted Correct]]="-", "",IF(Table4[[#This Row],[Adjusted Correct]]="YES",(Table4[[#This Row],[Strength of Win]]-1)^2,(Table4[[#This Row],[Strength of Win]]-0)^2))</f>
        <v>0.16481479924452319</v>
      </c>
      <c r="O167">
        <v>1.1840705527104549</v>
      </c>
      <c r="P167" s="11"/>
      <c r="Q167" t="s">
        <v>28</v>
      </c>
      <c r="R167" t="s">
        <v>248</v>
      </c>
    </row>
    <row r="168" spans="4:18" x14ac:dyDescent="0.2">
      <c r="D168" s="1">
        <v>45960</v>
      </c>
      <c r="E168" s="2">
        <v>0.79166666666666663</v>
      </c>
      <c r="F168" t="s">
        <v>21</v>
      </c>
      <c r="G168">
        <f>VLOOKUP(Table4[[#This Row],[Home]],'NHL Model'!$A$6:$B$38,2,FALSE)</f>
        <v>4.029141914856392E-2</v>
      </c>
      <c r="H168" t="s">
        <v>23</v>
      </c>
      <c r="I168">
        <f>VLOOKUP(Table4[[#This Row],[Visitor]],'NHL Model'!$A$6:$B$38,2,FALSE)</f>
        <v>-0.8683412362501769</v>
      </c>
      <c r="J168">
        <f ca="1">($B$1+Table4[[#This Row],[Home Differential]])-Table4[[#This Row],[Away Differential]]</f>
        <v>1.0712049650610593</v>
      </c>
      <c r="K168" t="str">
        <f ca="1">IF(Table4[[#This Row],[HomeIce Differential]]&gt;0,Table4[[#This Row],[Home]],Table4[[#This Row],[Visitor]])</f>
        <v>Boston Bruins</v>
      </c>
      <c r="L168" s="11">
        <f ca="1"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0.76098215618349108</v>
      </c>
      <c r="M168" t="str">
        <f ca="1">IF(OR((NHL2025_26Results[[#This Row],[Winning Team]]="")),"-",IF(Table4[[#This Row],[Predicted Winner]]=NHL2025_26Results[[#This Row],[Winning Team]],"YES","NO"))</f>
        <v>YES</v>
      </c>
      <c r="N168">
        <f ca="1">IF(Table4[[#This Row],[Adjusted Correct]]="-", "",IF(Table4[[#This Row],[Adjusted Correct]]="YES",(Table4[[#This Row],[Strength of Win]]-1)^2,(Table4[[#This Row],[Strength of Win]]-0)^2))</f>
        <v>5.7129529662693052E-2</v>
      </c>
      <c r="O168">
        <v>0.43665774434634153</v>
      </c>
      <c r="P168" s="11"/>
      <c r="Q168" t="s">
        <v>21</v>
      </c>
      <c r="R168" t="s">
        <v>248</v>
      </c>
    </row>
    <row r="169" spans="4:18" x14ac:dyDescent="0.2">
      <c r="D169" s="1">
        <v>45960</v>
      </c>
      <c r="E169" s="2">
        <v>0.8125</v>
      </c>
      <c r="F169" t="s">
        <v>25</v>
      </c>
      <c r="G169">
        <f>VLOOKUP(Table4[[#This Row],[Home]],'NHL Model'!$A$6:$B$38,2,FALSE)</f>
        <v>0.67193921242367816</v>
      </c>
      <c r="H169" t="s">
        <v>30</v>
      </c>
      <c r="I169">
        <f>VLOOKUP(Table4[[#This Row],[Visitor]],'NHL Model'!$A$6:$B$38,2,FALSE)</f>
        <v>-6.4729560818359025E-2</v>
      </c>
      <c r="J169">
        <f ca="1">($B$1+Table4[[#This Row],[Home Differential]])-Table4[[#This Row],[Away Differential]]</f>
        <v>0.89924108290435556</v>
      </c>
      <c r="K169" t="str">
        <f ca="1">IF(Table4[[#This Row],[HomeIce Differential]]&gt;0,Table4[[#This Row],[Home]],Table4[[#This Row],[Visitor]])</f>
        <v>Carolina Hurricanes</v>
      </c>
      <c r="L169" s="11">
        <f ca="1"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0.67459764314144288</v>
      </c>
      <c r="M169" t="str">
        <f ca="1">IF(OR((NHL2025_26Results[[#This Row],[Winning Team]]="")),"-",IF(Table4[[#This Row],[Predicted Winner]]=NHL2025_26Results[[#This Row],[Winning Team]],"YES","NO"))</f>
        <v>YES</v>
      </c>
      <c r="N169">
        <f ca="1">IF(Table4[[#This Row],[Adjusted Correct]]="-", "",IF(Table4[[#This Row],[Adjusted Correct]]="YES",(Table4[[#This Row],[Strength of Win]]-1)^2,(Table4[[#This Row],[Strength of Win]]-0)^2))</f>
        <v>0.10588669384910375</v>
      </c>
      <c r="O169">
        <v>1.8923710949151284</v>
      </c>
      <c r="P169" s="11"/>
      <c r="Q169" t="s">
        <v>25</v>
      </c>
      <c r="R169" t="s">
        <v>248</v>
      </c>
    </row>
    <row r="170" spans="4:18" x14ac:dyDescent="0.2">
      <c r="D170" s="1">
        <v>45960</v>
      </c>
      <c r="E170" s="2">
        <v>0.875</v>
      </c>
      <c r="F170" t="s">
        <v>17</v>
      </c>
      <c r="G170">
        <f>VLOOKUP(Table4[[#This Row],[Home]],'NHL Model'!$A$6:$B$38,2,FALSE)</f>
        <v>-0.61980804137564283</v>
      </c>
      <c r="H170" t="s">
        <v>15</v>
      </c>
      <c r="I170">
        <f>VLOOKUP(Table4[[#This Row],[Visitor]],'NHL Model'!$A$6:$B$38,2,FALSE)</f>
        <v>-0.30719665303039001</v>
      </c>
      <c r="J170">
        <f ca="1">($B$1+Table4[[#This Row],[Home Differential]])-Table4[[#This Row],[Away Differential]]</f>
        <v>-0.15003907868293442</v>
      </c>
      <c r="K170" t="str">
        <f ca="1">IF(Table4[[#This Row],[HomeIce Differential]]&gt;0,Table4[[#This Row],[Home]],Table4[[#This Row],[Visitor]])</f>
        <v>New York Rangers</v>
      </c>
      <c r="L170" s="11">
        <f ca="1"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0.58771834816176449</v>
      </c>
      <c r="M170" t="str">
        <f ca="1">IF(OR((NHL2025_26Results[[#This Row],[Winning Team]]="")),"-",IF(Table4[[#This Row],[Predicted Winner]]=NHL2025_26Results[[#This Row],[Winning Team]],"YES","NO"))</f>
        <v>YES</v>
      </c>
      <c r="N170">
        <f ca="1">IF(Table4[[#This Row],[Adjusted Correct]]="-", "",IF(Table4[[#This Row],[Adjusted Correct]]="YES",(Table4[[#This Row],[Strength of Win]]-1)^2,(Table4[[#This Row],[Strength of Win]]-0)^2))</f>
        <v>0.16997616044246405</v>
      </c>
      <c r="O170">
        <v>0.33322147454206563</v>
      </c>
      <c r="P170" s="11"/>
      <c r="Q170" t="s">
        <v>17</v>
      </c>
      <c r="R170" t="s">
        <v>249</v>
      </c>
    </row>
    <row r="171" spans="4:18" x14ac:dyDescent="0.2">
      <c r="D171" s="1">
        <v>45960</v>
      </c>
      <c r="E171" s="2">
        <v>0.9375</v>
      </c>
      <c r="F171" t="s">
        <v>13</v>
      </c>
      <c r="G171">
        <f>VLOOKUP(Table4[[#This Row],[Home]],'NHL Model'!$A$6:$B$38,2,FALSE)</f>
        <v>-7.5459708298993802E-2</v>
      </c>
      <c r="H171" t="s">
        <v>26</v>
      </c>
      <c r="I171">
        <f>VLOOKUP(Table4[[#This Row],[Visitor]],'NHL Model'!$A$6:$B$38,2,FALSE)</f>
        <v>-0.513643833119658</v>
      </c>
      <c r="J171">
        <f ca="1">($B$1+Table4[[#This Row],[Home Differential]])-Table4[[#This Row],[Away Differential]]</f>
        <v>0.60075643448298255</v>
      </c>
      <c r="K171" t="str">
        <f ca="1">IF(Table4[[#This Row],[HomeIce Differential]]&gt;0,Table4[[#This Row],[Home]],Table4[[#This Row],[Visitor]])</f>
        <v>Los Angeles Kings</v>
      </c>
      <c r="L171" s="11">
        <f ca="1"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0.57614061752428281</v>
      </c>
      <c r="M171" t="str">
        <f ca="1">IF(OR((NHL2025_26Results[[#This Row],[Winning Team]]="")),"-",IF(Table4[[#This Row],[Predicted Winner]]=NHL2025_26Results[[#This Row],[Winning Team]],"YES","NO"))</f>
        <v>NO</v>
      </c>
      <c r="N171">
        <f ca="1">IF(Table4[[#This Row],[Adjusted Correct]]="-", "",IF(Table4[[#This Row],[Adjusted Correct]]="YES",(Table4[[#This Row],[Strength of Win]]-1)^2,(Table4[[#This Row],[Strength of Win]]-0)^2))</f>
        <v>0.33193801116126193</v>
      </c>
      <c r="O171">
        <v>7.6439562121657145E-2</v>
      </c>
      <c r="P171" s="11"/>
      <c r="Q171" t="s">
        <v>13</v>
      </c>
      <c r="R171" t="s">
        <v>249</v>
      </c>
    </row>
    <row r="172" spans="4:18" x14ac:dyDescent="0.2">
      <c r="D172" s="1">
        <v>45960</v>
      </c>
      <c r="E172" s="2">
        <v>0.83333333333333337</v>
      </c>
      <c r="F172" t="s">
        <v>34</v>
      </c>
      <c r="G172">
        <f>VLOOKUP(Table4[[#This Row],[Home]],'NHL Model'!$A$6:$B$38,2,FALSE)</f>
        <v>-0.53650300840565446</v>
      </c>
      <c r="H172" t="s">
        <v>14</v>
      </c>
      <c r="I172">
        <f>VLOOKUP(Table4[[#This Row],[Visitor]],'NHL Model'!$A$6:$B$38,2,FALSE)</f>
        <v>0.26289091192875702</v>
      </c>
      <c r="J172">
        <f ca="1">($B$1+Table4[[#This Row],[Home Differential]])-Table4[[#This Row],[Away Differential]]</f>
        <v>-0.63682161067209309</v>
      </c>
      <c r="K172" t="str">
        <f ca="1">IF(Table4[[#This Row],[HomeIce Differential]]&gt;0,Table4[[#This Row],[Home]],Table4[[#This Row],[Visitor]])</f>
        <v>Pittsburgh Penguins</v>
      </c>
      <c r="L172" s="11">
        <f ca="1"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0.54823715163792142</v>
      </c>
      <c r="M172" t="str">
        <f ca="1">IF(OR((NHL2025_26Results[[#This Row],[Winning Team]]="")),"-",IF(Table4[[#This Row],[Predicted Winner]]=NHL2025_26Results[[#This Row],[Winning Team]],"YES","NO"))</f>
        <v>YES</v>
      </c>
      <c r="N172">
        <f ca="1">IF(Table4[[#This Row],[Adjusted Correct]]="-", "",IF(Table4[[#This Row],[Adjusted Correct]]="YES",(Table4[[#This Row],[Strength of Win]]-1)^2,(Table4[[#This Row],[Strength of Win]]-0)^2))</f>
        <v>0.20408967116021842</v>
      </c>
      <c r="O172">
        <v>-1.7175845577976103</v>
      </c>
      <c r="P172" s="11"/>
      <c r="Q172" t="s">
        <v>14</v>
      </c>
      <c r="R172" t="s">
        <v>248</v>
      </c>
    </row>
    <row r="173" spans="4:18" x14ac:dyDescent="0.2">
      <c r="D173" s="1">
        <v>45960</v>
      </c>
      <c r="E173" s="2">
        <v>0.79166666666666663</v>
      </c>
      <c r="F173" t="s">
        <v>36</v>
      </c>
      <c r="G173">
        <f>VLOOKUP(Table4[[#This Row],[Home]],'NHL Model'!$A$6:$B$38,2,FALSE)</f>
        <v>-0.40651947573390851</v>
      </c>
      <c r="H173" t="s">
        <v>16</v>
      </c>
      <c r="I173">
        <f>VLOOKUP(Table4[[#This Row],[Visitor]],'NHL Model'!$A$6:$B$38,2,FALSE)</f>
        <v>-1.3903684122795328</v>
      </c>
      <c r="J173">
        <f ca="1">($B$1+Table4[[#This Row],[Home Differential]])-Table4[[#This Row],[Away Differential]]</f>
        <v>1.1464212462079426</v>
      </c>
      <c r="K173" t="str">
        <f ca="1">IF(Table4[[#This Row],[HomeIce Differential]]&gt;0,Table4[[#This Row],[Home]],Table4[[#This Row],[Visitor]])</f>
        <v>Ottawa Senators</v>
      </c>
      <c r="L173" s="11">
        <f ca="1"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0.70134207556250283</v>
      </c>
      <c r="M173" t="str">
        <f ca="1">IF(OR((NHL2025_26Results[[#This Row],[Winning Team]]="")),"-",IF(Table4[[#This Row],[Predicted Winner]]=NHL2025_26Results[[#This Row],[Winning Team]],"YES","NO"))</f>
        <v>YES</v>
      </c>
      <c r="N173">
        <f ca="1">IF(Table4[[#This Row],[Adjusted Correct]]="-", "",IF(Table4[[#This Row],[Adjusted Correct]]="YES",(Table4[[#This Row],[Strength of Win]]-1)^2,(Table4[[#This Row],[Strength of Win]]-0)^2))</f>
        <v>8.9196555829313767E-2</v>
      </c>
      <c r="O173">
        <v>1.1358057578210119</v>
      </c>
      <c r="P173" s="11"/>
      <c r="Q173" t="s">
        <v>36</v>
      </c>
      <c r="R173" t="s">
        <v>248</v>
      </c>
    </row>
    <row r="174" spans="4:18" x14ac:dyDescent="0.2">
      <c r="D174" s="1">
        <v>45960</v>
      </c>
      <c r="E174" s="2">
        <v>0.79166666666666663</v>
      </c>
      <c r="F174" t="s">
        <v>27</v>
      </c>
      <c r="G174">
        <f>VLOOKUP(Table4[[#This Row],[Home]],'NHL Model'!$A$6:$B$38,2,FALSE)</f>
        <v>-0.51358590497437617</v>
      </c>
      <c r="H174" t="s">
        <v>29</v>
      </c>
      <c r="I174">
        <f>VLOOKUP(Table4[[#This Row],[Visitor]],'NHL Model'!$A$6:$B$38,2,FALSE)</f>
        <v>-1.3516250707060606</v>
      </c>
      <c r="J174">
        <f ca="1">($B$1+Table4[[#This Row],[Home Differential]])-Table4[[#This Row],[Away Differential]]</f>
        <v>1.000611475394003</v>
      </c>
      <c r="K174" t="str">
        <f ca="1">IF(Table4[[#This Row],[HomeIce Differential]]&gt;0,Table4[[#This Row],[Home]],Table4[[#This Row],[Visitor]])</f>
        <v>Philadelphia Flyers</v>
      </c>
      <c r="L174" s="11">
        <f ca="1"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0.68113886850735628</v>
      </c>
      <c r="M174" t="str">
        <f ca="1">IF(OR((NHL2025_26Results[[#This Row],[Winning Team]]="")),"-",IF(Table4[[#This Row],[Predicted Winner]]=NHL2025_26Results[[#This Row],[Winning Team]],"YES","NO"))</f>
        <v>YES</v>
      </c>
      <c r="N174">
        <f ca="1">IF(Table4[[#This Row],[Adjusted Correct]]="-", "",IF(Table4[[#This Row],[Adjusted Correct]]="YES",(Table4[[#This Row],[Strength of Win]]-1)^2,(Table4[[#This Row],[Strength of Win]]-0)^2))</f>
        <v>0.10167242117676903</v>
      </c>
      <c r="O174">
        <v>1.7025664901942428</v>
      </c>
      <c r="P174" s="11"/>
      <c r="Q174" t="s">
        <v>27</v>
      </c>
      <c r="R174" t="s">
        <v>248</v>
      </c>
    </row>
    <row r="175" spans="4:18" x14ac:dyDescent="0.2">
      <c r="D175" s="1">
        <v>45960</v>
      </c>
      <c r="E175" s="2">
        <v>0.91666666666666663</v>
      </c>
      <c r="F175" t="s">
        <v>33</v>
      </c>
      <c r="G175">
        <f>VLOOKUP(Table4[[#This Row],[Home]],'NHL Model'!$A$6:$B$38,2,FALSE)</f>
        <v>-0.39418177254008485</v>
      </c>
      <c r="H175" t="s">
        <v>24</v>
      </c>
      <c r="I175">
        <f>VLOOKUP(Table4[[#This Row],[Visitor]],'NHL Model'!$A$6:$B$38,2,FALSE)</f>
        <v>0.559441163373953</v>
      </c>
      <c r="J175">
        <f ca="1">($B$1+Table4[[#This Row],[Home Differential]])-Table4[[#This Row],[Away Differential]]</f>
        <v>-0.7910506262517194</v>
      </c>
      <c r="K175" t="str">
        <f ca="1">IF(Table4[[#This Row],[HomeIce Differential]]&gt;0,Table4[[#This Row],[Home]],Table4[[#This Row],[Visitor]])</f>
        <v>New Jersey Devils</v>
      </c>
      <c r="L175" s="11">
        <f ca="1"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0.63592270747412649</v>
      </c>
      <c r="M175" t="str">
        <f ca="1">IF(OR((NHL2025_26Results[[#This Row],[Winning Team]]="")),"-",IF(Table4[[#This Row],[Predicted Winner]]=NHL2025_26Results[[#This Row],[Winning Team]],"YES","NO"))</f>
        <v>NO</v>
      </c>
      <c r="N175">
        <f ca="1">IF(Table4[[#This Row],[Adjusted Correct]]="-", "",IF(Table4[[#This Row],[Adjusted Correct]]="YES",(Table4[[#This Row],[Strength of Win]]-1)^2,(Table4[[#This Row],[Strength of Win]]-0)^2))</f>
        <v>0.40439768988122343</v>
      </c>
      <c r="O175">
        <v>-1.1258567565216646</v>
      </c>
      <c r="P175" s="11"/>
      <c r="Q175" t="s">
        <v>24</v>
      </c>
      <c r="R175" t="s">
        <v>249</v>
      </c>
    </row>
    <row r="176" spans="4:18" x14ac:dyDescent="0.2">
      <c r="D176" s="1">
        <v>45960</v>
      </c>
      <c r="E176" s="2">
        <v>0.83333333333333337</v>
      </c>
      <c r="F176" t="s">
        <v>35</v>
      </c>
      <c r="G176">
        <f>VLOOKUP(Table4[[#This Row],[Home]],'NHL Model'!$A$6:$B$38,2,FALSE)</f>
        <v>-1.6211574240381006</v>
      </c>
      <c r="H176" t="s">
        <v>38</v>
      </c>
      <c r="I176">
        <f>VLOOKUP(Table4[[#This Row],[Visitor]],'NHL Model'!$A$6:$B$38,2,FALSE)</f>
        <v>-0.6902088310934803</v>
      </c>
      <c r="J176">
        <f ca="1">($B$1+Table4[[#This Row],[Home Differential]])-Table4[[#This Row],[Away Differential]]</f>
        <v>-0.7683762832823019</v>
      </c>
      <c r="K176" t="str">
        <f ca="1">IF(Table4[[#This Row],[HomeIce Differential]]&gt;0,Table4[[#This Row],[Home]],Table4[[#This Row],[Visitor]])</f>
        <v>Vancouver Canucks</v>
      </c>
      <c r="L176" s="11">
        <f ca="1"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0.60897775414356747</v>
      </c>
      <c r="M176" t="str">
        <f ca="1">IF(OR((NHL2025_26Results[[#This Row],[Winning Team]]="")),"-",IF(Table4[[#This Row],[Predicted Winner]]=NHL2025_26Results[[#This Row],[Winning Team]],"YES","NO"))</f>
        <v>YES</v>
      </c>
      <c r="N176">
        <f ca="1">IF(Table4[[#This Row],[Adjusted Correct]]="-", "",IF(Table4[[#This Row],[Adjusted Correct]]="YES",(Table4[[#This Row],[Strength of Win]]-1)^2,(Table4[[#This Row],[Strength of Win]]-0)^2))</f>
        <v>0.15289839675460837</v>
      </c>
      <c r="O176">
        <v>-0.87576014407702707</v>
      </c>
      <c r="P176" s="11"/>
      <c r="Q176" t="s">
        <v>38</v>
      </c>
      <c r="R176" t="s">
        <v>248</v>
      </c>
    </row>
    <row r="177" spans="4:18" x14ac:dyDescent="0.2">
      <c r="D177" s="1">
        <v>45960</v>
      </c>
      <c r="E177" s="2">
        <v>0.79166666666666663</v>
      </c>
      <c r="F177" t="s">
        <v>37</v>
      </c>
      <c r="G177">
        <f>VLOOKUP(Table4[[#This Row],[Home]],'NHL Model'!$A$6:$B$38,2,FALSE)</f>
        <v>-0.11309445867623392</v>
      </c>
      <c r="H177" t="s">
        <v>39</v>
      </c>
      <c r="I177">
        <f>VLOOKUP(Table4[[#This Row],[Visitor]],'NHL Model'!$A$6:$B$38,2,FALSE)</f>
        <v>0.19809534061227302</v>
      </c>
      <c r="J177">
        <f ca="1">($B$1+Table4[[#This Row],[Home Differential]])-Table4[[#This Row],[Away Differential]]</f>
        <v>-0.14861748962618854</v>
      </c>
      <c r="K177" t="str">
        <f ca="1">IF(Table4[[#This Row],[HomeIce Differential]]&gt;0,Table4[[#This Row],[Home]],Table4[[#This Row],[Visitor]])</f>
        <v>Dallas Stars</v>
      </c>
      <c r="L177" s="11">
        <f ca="1"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0.57307842866821401</v>
      </c>
      <c r="M177" t="str">
        <f ca="1">IF(OR((NHL2025_26Results[[#This Row],[Winning Team]]="")),"-",IF(Table4[[#This Row],[Predicted Winner]]=NHL2025_26Results[[#This Row],[Winning Team]],"YES","NO"))</f>
        <v>NO</v>
      </c>
      <c r="N177">
        <f ca="1">IF(Table4[[#This Row],[Adjusted Correct]]="-", "",IF(Table4[[#This Row],[Adjusted Correct]]="YES",(Table4[[#This Row],[Strength of Win]]-1)^2,(Table4[[#This Row],[Strength of Win]]-0)^2))</f>
        <v>0.32841888540482927</v>
      </c>
      <c r="O177">
        <v>0.580506709220174</v>
      </c>
      <c r="P177" s="11"/>
      <c r="Q177" t="s">
        <v>37</v>
      </c>
      <c r="R177" t="s">
        <v>248</v>
      </c>
    </row>
    <row r="178" spans="4:18" x14ac:dyDescent="0.2">
      <c r="D178" s="1">
        <v>45960</v>
      </c>
      <c r="E178" s="2">
        <v>0.83333333333333337</v>
      </c>
      <c r="F178" t="s">
        <v>40</v>
      </c>
      <c r="G178">
        <f>VLOOKUP(Table4[[#This Row],[Home]],'NHL Model'!$A$6:$B$38,2,FALSE)</f>
        <v>0.105105258369765</v>
      </c>
      <c r="H178" t="s">
        <v>10</v>
      </c>
      <c r="I178">
        <f>VLOOKUP(Table4[[#This Row],[Visitor]],'NHL Model'!$A$6:$B$38,2,FALSE)</f>
        <v>0.30570968833820172</v>
      </c>
      <c r="J178">
        <f ca="1">($B$1+Table4[[#This Row],[Home Differential]])-Table4[[#This Row],[Away Differential]]</f>
        <v>-3.80321203061183E-2</v>
      </c>
      <c r="K178" t="str">
        <f ca="1">IF(Table4[[#This Row],[HomeIce Differential]]&gt;0,Table4[[#This Row],[Home]],Table4[[#This Row],[Visitor]])</f>
        <v>Chicago Blackhawks</v>
      </c>
      <c r="L178" s="11">
        <f ca="1"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0.44971412422654372</v>
      </c>
      <c r="M178" t="str">
        <f ca="1">IF(OR((NHL2025_26Results[[#This Row],[Winning Team]]="")),"-",IF(Table4[[#This Row],[Predicted Winner]]=NHL2025_26Results[[#This Row],[Winning Team]],"YES","NO"))</f>
        <v>NO</v>
      </c>
      <c r="N178">
        <f ca="1">IF(Table4[[#This Row],[Adjusted Correct]]="-", "",IF(Table4[[#This Row],[Adjusted Correct]]="YES",(Table4[[#This Row],[Strength of Win]]-1)^2,(Table4[[#This Row],[Strength of Win]]-0)^2))</f>
        <v>0.20224279352884719</v>
      </c>
      <c r="O178">
        <v>0.66717825796484931</v>
      </c>
      <c r="P178" s="11"/>
      <c r="Q178" t="s">
        <v>40</v>
      </c>
      <c r="R178" t="s">
        <v>248</v>
      </c>
    </row>
    <row r="179" spans="4:18" x14ac:dyDescent="0.2">
      <c r="D179" s="1">
        <v>45961</v>
      </c>
      <c r="E179" s="2">
        <v>0.91666666666666663</v>
      </c>
      <c r="F179" t="s">
        <v>31</v>
      </c>
      <c r="G179">
        <f>VLOOKUP(Table4[[#This Row],[Home]],'NHL Model'!$A$6:$B$38,2,FALSE)</f>
        <v>0.51775546328552802</v>
      </c>
      <c r="H179" t="s">
        <v>26</v>
      </c>
      <c r="I179">
        <f>VLOOKUP(Table4[[#This Row],[Visitor]],'NHL Model'!$A$6:$B$38,2,FALSE)</f>
        <v>-0.513643833119658</v>
      </c>
      <c r="J179">
        <f ca="1">($B$1+Table4[[#This Row],[Home Differential]])-Table4[[#This Row],[Away Differential]]</f>
        <v>1.1939716060675045</v>
      </c>
      <c r="K179" t="str">
        <f ca="1">IF(Table4[[#This Row],[HomeIce Differential]]&gt;0,Table4[[#This Row],[Home]],Table4[[#This Row],[Visitor]])</f>
        <v>Anaheim Ducks</v>
      </c>
      <c r="L179" s="11">
        <f ca="1"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0.76543511069726933</v>
      </c>
      <c r="M179" t="str">
        <f ca="1">IF(OR((NHL2025_26Results[[#This Row],[Winning Team]]="")),"-",IF(Table4[[#This Row],[Predicted Winner]]=NHL2025_26Results[[#This Row],[Winning Team]],"YES","NO"))</f>
        <v>YES</v>
      </c>
      <c r="N179">
        <f ca="1">IF(Table4[[#This Row],[Adjusted Correct]]="-", "",IF(Table4[[#This Row],[Adjusted Correct]]="YES",(Table4[[#This Row],[Strength of Win]]-1)^2,(Table4[[#This Row],[Strength of Win]]-0)^2))</f>
        <v>5.5020687293602294E-2</v>
      </c>
      <c r="O179">
        <v>0.95394730218963719</v>
      </c>
      <c r="P179" s="11"/>
      <c r="Q179" t="s">
        <v>31</v>
      </c>
      <c r="R179" t="s">
        <v>248</v>
      </c>
    </row>
    <row r="180" spans="4:18" x14ac:dyDescent="0.2">
      <c r="D180" s="1">
        <v>45961</v>
      </c>
      <c r="E180" s="2">
        <v>0.66666666666666663</v>
      </c>
      <c r="F180" t="s">
        <v>20</v>
      </c>
      <c r="G180">
        <f>VLOOKUP(Table4[[#This Row],[Home]],'NHL Model'!$A$6:$B$38,2,FALSE)</f>
        <v>-6.3745791019188943E-4</v>
      </c>
      <c r="H180" t="s">
        <v>12</v>
      </c>
      <c r="I180">
        <f>VLOOKUP(Table4[[#This Row],[Visitor]],'NHL Model'!$A$6:$B$38,2,FALSE)</f>
        <v>1.5475013591489768</v>
      </c>
      <c r="J180">
        <f ca="1">($B$1+Table4[[#This Row],[Home Differential]])-Table4[[#This Row],[Away Differential]]</f>
        <v>-1.3855665073968504</v>
      </c>
      <c r="K180" t="str">
        <f ca="1">IF(Table4[[#This Row],[HomeIce Differential]]&gt;0,Table4[[#This Row],[Home]],Table4[[#This Row],[Visitor]])</f>
        <v>Colorado Avalanche</v>
      </c>
      <c r="L180" s="11">
        <f ca="1"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0.71829803374546874</v>
      </c>
      <c r="M180" t="str">
        <f ca="1">IF(OR((NHL2025_26Results[[#This Row],[Winning Team]]="")),"-",IF(Table4[[#This Row],[Predicted Winner]]=NHL2025_26Results[[#This Row],[Winning Team]],"YES","NO"))</f>
        <v>YES</v>
      </c>
      <c r="N180">
        <f ca="1">IF(Table4[[#This Row],[Adjusted Correct]]="-", "",IF(Table4[[#This Row],[Adjusted Correct]]="YES",(Table4[[#This Row],[Strength of Win]]-1)^2,(Table4[[#This Row],[Strength of Win]]-0)^2))</f>
        <v>7.9355997791669061E-2</v>
      </c>
      <c r="O180">
        <v>-0.3993461683610306</v>
      </c>
      <c r="P180" s="11"/>
      <c r="Q180" t="s">
        <v>12</v>
      </c>
      <c r="R180" t="s">
        <v>248</v>
      </c>
    </row>
    <row r="181" spans="4:18" x14ac:dyDescent="0.2">
      <c r="D181" s="1">
        <v>45961</v>
      </c>
      <c r="E181" s="2">
        <v>0.79166666666666663</v>
      </c>
      <c r="F181" t="s">
        <v>22</v>
      </c>
      <c r="G181">
        <f>VLOOKUP(Table4[[#This Row],[Home]],'NHL Model'!$A$6:$B$38,2,FALSE)</f>
        <v>-6.1308839486784707E-2</v>
      </c>
      <c r="H181" t="s">
        <v>30</v>
      </c>
      <c r="I181">
        <f>VLOOKUP(Table4[[#This Row],[Visitor]],'NHL Model'!$A$6:$B$38,2,FALSE)</f>
        <v>-6.4729560818359025E-2</v>
      </c>
      <c r="J181">
        <f ca="1">($B$1+Table4[[#This Row],[Home Differential]])-Table4[[#This Row],[Away Differential]]</f>
        <v>0.16599303099389273</v>
      </c>
      <c r="K181" t="str">
        <f ca="1">IF(Table4[[#This Row],[HomeIce Differential]]&gt;0,Table4[[#This Row],[Home]],Table4[[#This Row],[Visitor]])</f>
        <v>Washington Capitals</v>
      </c>
      <c r="L181" s="11">
        <f ca="1"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0.52048720980857721</v>
      </c>
      <c r="M181" t="str">
        <f ca="1">IF(OR((NHL2025_26Results[[#This Row],[Winning Team]]="")),"-",IF(Table4[[#This Row],[Predicted Winner]]=NHL2025_26Results[[#This Row],[Winning Team]],"YES","NO"))</f>
        <v>NO</v>
      </c>
      <c r="N181">
        <f ca="1">IF(Table4[[#This Row],[Adjusted Correct]]="-", "",IF(Table4[[#This Row],[Adjusted Correct]]="YES",(Table4[[#This Row],[Strength of Win]]-1)^2,(Table4[[#This Row],[Strength of Win]]-0)^2))</f>
        <v>0.27090693557431789</v>
      </c>
      <c r="O181">
        <v>0.26062581828964315</v>
      </c>
      <c r="P181" s="11"/>
      <c r="Q181" t="s">
        <v>22</v>
      </c>
      <c r="R181" t="s">
        <v>249</v>
      </c>
    </row>
    <row r="182" spans="4:18" x14ac:dyDescent="0.2">
      <c r="D182" s="1">
        <v>45962</v>
      </c>
      <c r="E182" s="2">
        <v>0.54166666666666663</v>
      </c>
      <c r="F182" t="s">
        <v>21</v>
      </c>
      <c r="G182">
        <f>VLOOKUP(Table4[[#This Row],[Home]],'NHL Model'!$A$6:$B$38,2,FALSE)</f>
        <v>4.029141914856392E-2</v>
      </c>
      <c r="H182" t="s">
        <v>25</v>
      </c>
      <c r="I182">
        <f>VLOOKUP(Table4[[#This Row],[Visitor]],'NHL Model'!$A$6:$B$38,2,FALSE)</f>
        <v>0.67193921242367816</v>
      </c>
      <c r="J182">
        <f ca="1">($B$1+Table4[[#This Row],[Home Differential]])-Table4[[#This Row],[Away Differential]]</f>
        <v>-0.46907548361279583</v>
      </c>
      <c r="K182" t="str">
        <f ca="1">IF(Table4[[#This Row],[HomeIce Differential]]&gt;0,Table4[[#This Row],[Home]],Table4[[#This Row],[Visitor]])</f>
        <v>Carolina Hurricanes</v>
      </c>
      <c r="L182" s="11">
        <f ca="1"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0.54325534193164859</v>
      </c>
      <c r="M182" t="str">
        <f ca="1">IF(OR((NHL2025_26Results[[#This Row],[Winning Team]]="")),"-",IF(Table4[[#This Row],[Predicted Winner]]=NHL2025_26Results[[#This Row],[Winning Team]],"YES","NO"))</f>
        <v>NO</v>
      </c>
      <c r="N182">
        <f ca="1">IF(Table4[[#This Row],[Adjusted Correct]]="-", "",IF(Table4[[#This Row],[Adjusted Correct]]="YES",(Table4[[#This Row],[Strength of Win]]-1)^2,(Table4[[#This Row],[Strength of Win]]-0)^2))</f>
        <v>0.29512636653727242</v>
      </c>
      <c r="O182">
        <v>-0.83278704893044175</v>
      </c>
      <c r="P182" s="11"/>
      <c r="Q182" t="s">
        <v>25</v>
      </c>
      <c r="R182" t="s">
        <v>249</v>
      </c>
    </row>
    <row r="183" spans="4:18" x14ac:dyDescent="0.2">
      <c r="D183" s="1">
        <v>45962</v>
      </c>
      <c r="E183" s="2">
        <v>0.79166666666666663</v>
      </c>
      <c r="F183" t="s">
        <v>23</v>
      </c>
      <c r="G183">
        <f>VLOOKUP(Table4[[#This Row],[Home]],'NHL Model'!$A$6:$B$38,2,FALSE)</f>
        <v>-0.8683412362501769</v>
      </c>
      <c r="H183" t="s">
        <v>22</v>
      </c>
      <c r="I183">
        <f>VLOOKUP(Table4[[#This Row],[Visitor]],'NHL Model'!$A$6:$B$38,2,FALSE)</f>
        <v>-6.1308839486784707E-2</v>
      </c>
      <c r="J183">
        <f ca="1">($B$1+Table4[[#This Row],[Home Differential]])-Table4[[#This Row],[Away Differential]]</f>
        <v>-0.64446008710107383</v>
      </c>
      <c r="K183" t="str">
        <f ca="1">IF(Table4[[#This Row],[HomeIce Differential]]&gt;0,Table4[[#This Row],[Home]],Table4[[#This Row],[Visitor]])</f>
        <v>Washington Capitals</v>
      </c>
      <c r="L183" s="11">
        <f ca="1"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0.54929552872759868</v>
      </c>
      <c r="M183" t="str">
        <f ca="1">IF(OR((NHL2025_26Results[[#This Row],[Winning Team]]="")),"-",IF(Table4[[#This Row],[Predicted Winner]]=NHL2025_26Results[[#This Row],[Winning Team]],"YES","NO"))</f>
        <v>NO</v>
      </c>
      <c r="N183">
        <f ca="1">IF(Table4[[#This Row],[Adjusted Correct]]="-", "",IF(Table4[[#This Row],[Adjusted Correct]]="YES",(Table4[[#This Row],[Strength of Win]]-1)^2,(Table4[[#This Row],[Strength of Win]]-0)^2))</f>
        <v>0.30172557788013221</v>
      </c>
      <c r="O183">
        <v>0.23932364949177198</v>
      </c>
      <c r="P183" s="11"/>
      <c r="Q183" t="s">
        <v>23</v>
      </c>
      <c r="R183" t="s">
        <v>248</v>
      </c>
    </row>
    <row r="184" spans="4:18" x14ac:dyDescent="0.2">
      <c r="D184" s="1">
        <v>45962</v>
      </c>
      <c r="E184" s="2">
        <v>0.79166666666666663</v>
      </c>
      <c r="F184" t="s">
        <v>28</v>
      </c>
      <c r="G184">
        <f>VLOOKUP(Table4[[#This Row],[Home]],'NHL Model'!$A$6:$B$38,2,FALSE)</f>
        <v>-0.40822279081308277</v>
      </c>
      <c r="H184" t="s">
        <v>35</v>
      </c>
      <c r="I184">
        <f>VLOOKUP(Table4[[#This Row],[Visitor]],'NHL Model'!$A$6:$B$38,2,FALSE)</f>
        <v>-1.6211574240381006</v>
      </c>
      <c r="J184">
        <f ca="1">($B$1+Table4[[#This Row],[Home Differential]])-Table4[[#This Row],[Away Differential]]</f>
        <v>1.3755069428873363</v>
      </c>
      <c r="K184" t="str">
        <f ca="1">IF(Table4[[#This Row],[HomeIce Differential]]&gt;0,Table4[[#This Row],[Home]],Table4[[#This Row],[Visitor]])</f>
        <v>Columbus Blue Jackets</v>
      </c>
      <c r="L184" s="11">
        <f ca="1"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0.73058840445202622</v>
      </c>
      <c r="M184" t="str">
        <f ca="1">IF(OR((NHL2025_26Results[[#This Row],[Winning Team]]="")),"-",IF(Table4[[#This Row],[Predicted Winner]]=NHL2025_26Results[[#This Row],[Winning Team]],"YES","NO"))</f>
        <v>YES</v>
      </c>
      <c r="N184">
        <f ca="1">IF(Table4[[#This Row],[Adjusted Correct]]="-", "",IF(Table4[[#This Row],[Adjusted Correct]]="YES",(Table4[[#This Row],[Strength of Win]]-1)^2,(Table4[[#This Row],[Strength of Win]]-0)^2))</f>
        <v>7.2582607815705011E-2</v>
      </c>
      <c r="O184">
        <v>2.2732468074460868</v>
      </c>
      <c r="P184" s="11"/>
      <c r="Q184" t="s">
        <v>28</v>
      </c>
      <c r="R184" t="s">
        <v>248</v>
      </c>
    </row>
    <row r="185" spans="4:18" x14ac:dyDescent="0.2">
      <c r="D185" s="1">
        <v>45962</v>
      </c>
      <c r="E185" s="2">
        <v>0.91666666666666663</v>
      </c>
      <c r="F185" t="s">
        <v>17</v>
      </c>
      <c r="G185">
        <f>VLOOKUP(Table4[[#This Row],[Home]],'NHL Model'!$A$6:$B$38,2,FALSE)</f>
        <v>-0.61980804137564283</v>
      </c>
      <c r="H185" t="s">
        <v>10</v>
      </c>
      <c r="I185">
        <f>VLOOKUP(Table4[[#This Row],[Visitor]],'NHL Model'!$A$6:$B$38,2,FALSE)</f>
        <v>0.30570968833820172</v>
      </c>
      <c r="J185">
        <f ca="1">($B$1+Table4[[#This Row],[Home Differential]])-Table4[[#This Row],[Away Differential]]</f>
        <v>-0.76294542005152621</v>
      </c>
      <c r="K185" t="str">
        <f ca="1">IF(Table4[[#This Row],[HomeIce Differential]]&gt;0,Table4[[#This Row],[Home]],Table4[[#This Row],[Visitor]])</f>
        <v>Chicago Blackhawks</v>
      </c>
      <c r="L185" s="11">
        <f ca="1"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0.55015714261983362</v>
      </c>
      <c r="M185" t="str">
        <f ca="1">IF(OR((NHL2025_26Results[[#This Row],[Winning Team]]="")),"-",IF(Table4[[#This Row],[Predicted Winner]]=NHL2025_26Results[[#This Row],[Winning Team]],"YES","NO"))</f>
        <v>NO</v>
      </c>
      <c r="N185">
        <f ca="1">IF(Table4[[#This Row],[Adjusted Correct]]="-", "",IF(Table4[[#This Row],[Adjusted Correct]]="YES",(Table4[[#This Row],[Strength of Win]]-1)^2,(Table4[[#This Row],[Strength of Win]]-0)^2))</f>
        <v>0.30267288157561995</v>
      </c>
      <c r="O185">
        <v>-4.7121828211146299E-2</v>
      </c>
      <c r="P185" s="11"/>
      <c r="Q185" t="s">
        <v>10</v>
      </c>
      <c r="R185" t="s">
        <v>249</v>
      </c>
    </row>
    <row r="186" spans="4:18" x14ac:dyDescent="0.2">
      <c r="D186" s="1">
        <v>45962</v>
      </c>
      <c r="E186" s="2">
        <v>0.75</v>
      </c>
      <c r="F186" t="s">
        <v>11</v>
      </c>
      <c r="G186">
        <f>VLOOKUP(Table4[[#This Row],[Home]],'NHL Model'!$A$6:$B$38,2,FALSE)</f>
        <v>-0.28105923893144158</v>
      </c>
      <c r="H186" t="s">
        <v>39</v>
      </c>
      <c r="I186">
        <f>VLOOKUP(Table4[[#This Row],[Visitor]],'NHL Model'!$A$6:$B$38,2,FALSE)</f>
        <v>0.19809534061227302</v>
      </c>
      <c r="J186">
        <f ca="1">($B$1+Table4[[#This Row],[Home Differential]])-Table4[[#This Row],[Away Differential]]</f>
        <v>-0.31658226988139621</v>
      </c>
      <c r="K186" t="str">
        <f ca="1">IF(Table4[[#This Row],[HomeIce Differential]]&gt;0,Table4[[#This Row],[Home]],Table4[[#This Row],[Visitor]])</f>
        <v>Dallas Stars</v>
      </c>
      <c r="L186" s="11">
        <f ca="1"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0.54386521638912444</v>
      </c>
      <c r="M186" t="str">
        <f ca="1">IF(OR((NHL2025_26Results[[#This Row],[Winning Team]]="")),"-",IF(Table4[[#This Row],[Predicted Winner]]=NHL2025_26Results[[#This Row],[Winning Team]],"YES","NO"))</f>
        <v>NO</v>
      </c>
      <c r="N186">
        <f ca="1">IF(Table4[[#This Row],[Adjusted Correct]]="-", "",IF(Table4[[#This Row],[Adjusted Correct]]="YES",(Table4[[#This Row],[Strength of Win]]-1)^2,(Table4[[#This Row],[Strength of Win]]-0)^2))</f>
        <v>0.29578937359798912</v>
      </c>
      <c r="O186">
        <v>0.5084924414046591</v>
      </c>
      <c r="P186" s="11"/>
      <c r="Q186" t="s">
        <v>11</v>
      </c>
      <c r="R186" t="s">
        <v>248</v>
      </c>
    </row>
    <row r="187" spans="4:18" x14ac:dyDescent="0.2">
      <c r="D187" s="1">
        <v>45962</v>
      </c>
      <c r="E187" s="2">
        <v>0.875</v>
      </c>
      <c r="F187" t="s">
        <v>13</v>
      </c>
      <c r="G187">
        <f>VLOOKUP(Table4[[#This Row],[Home]],'NHL Model'!$A$6:$B$38,2,FALSE)</f>
        <v>-7.5459708298993802E-2</v>
      </c>
      <c r="H187" t="s">
        <v>24</v>
      </c>
      <c r="I187">
        <f>VLOOKUP(Table4[[#This Row],[Visitor]],'NHL Model'!$A$6:$B$38,2,FALSE)</f>
        <v>0.559441163373953</v>
      </c>
      <c r="J187">
        <f ca="1">($B$1+Table4[[#This Row],[Home Differential]])-Table4[[#This Row],[Away Differential]]</f>
        <v>-0.47232856201062839</v>
      </c>
      <c r="K187" t="str">
        <f ca="1">IF(Table4[[#This Row],[HomeIce Differential]]&gt;0,Table4[[#This Row],[Home]],Table4[[#This Row],[Visitor]])</f>
        <v>New Jersey Devils</v>
      </c>
      <c r="L187" s="11">
        <f ca="1"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0.59176100403709686</v>
      </c>
      <c r="M187" t="str">
        <f ca="1">IF(OR((NHL2025_26Results[[#This Row],[Winning Team]]="")),"-",IF(Table4[[#This Row],[Predicted Winner]]=NHL2025_26Results[[#This Row],[Winning Team]],"YES","NO"))</f>
        <v>YES</v>
      </c>
      <c r="N187">
        <f ca="1">IF(Table4[[#This Row],[Adjusted Correct]]="-", "",IF(Table4[[#This Row],[Adjusted Correct]]="YES",(Table4[[#This Row],[Strength of Win]]-1)^2,(Table4[[#This Row],[Strength of Win]]-0)^2))</f>
        <v>0.16665907782479925</v>
      </c>
      <c r="O187">
        <v>-1.0538766188757165</v>
      </c>
      <c r="P187" s="11"/>
      <c r="Q187" t="s">
        <v>24</v>
      </c>
      <c r="R187" t="s">
        <v>248</v>
      </c>
    </row>
    <row r="188" spans="4:18" x14ac:dyDescent="0.2">
      <c r="D188" s="1">
        <v>45962</v>
      </c>
      <c r="E188" s="2">
        <v>0.79166666666666663</v>
      </c>
      <c r="F188" t="s">
        <v>34</v>
      </c>
      <c r="G188">
        <f>VLOOKUP(Table4[[#This Row],[Home]],'NHL Model'!$A$6:$B$38,2,FALSE)</f>
        <v>-0.53650300840565446</v>
      </c>
      <c r="H188" t="s">
        <v>38</v>
      </c>
      <c r="I188">
        <f>VLOOKUP(Table4[[#This Row],[Visitor]],'NHL Model'!$A$6:$B$38,2,FALSE)</f>
        <v>-0.6902088310934803</v>
      </c>
      <c r="J188">
        <f ca="1">($B$1+Table4[[#This Row],[Home Differential]])-Table4[[#This Row],[Away Differential]]</f>
        <v>0.31627813235014424</v>
      </c>
      <c r="K188" t="str">
        <f ca="1">IF(Table4[[#This Row],[HomeIce Differential]]&gt;0,Table4[[#This Row],[Home]],Table4[[#This Row],[Visitor]])</f>
        <v>Minnesota Wild</v>
      </c>
      <c r="L188" s="11">
        <f ca="1"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0.54131051268502439</v>
      </c>
      <c r="M188" t="str">
        <f ca="1">IF(OR((NHL2025_26Results[[#This Row],[Winning Team]]="")),"-",IF(Table4[[#This Row],[Predicted Winner]]=NHL2025_26Results[[#This Row],[Winning Team]],"YES","NO"))</f>
        <v>YES</v>
      </c>
      <c r="N188">
        <f ca="1">IF(Table4[[#This Row],[Adjusted Correct]]="-", "",IF(Table4[[#This Row],[Adjusted Correct]]="YES",(Table4[[#This Row],[Strength of Win]]-1)^2,(Table4[[#This Row],[Strength of Win]]-0)^2))</f>
        <v>0.21039604577327517</v>
      </c>
      <c r="O188">
        <v>0.16670036800569887</v>
      </c>
      <c r="P188" s="11"/>
      <c r="Q188" t="s">
        <v>34</v>
      </c>
      <c r="R188" t="s">
        <v>248</v>
      </c>
    </row>
    <row r="189" spans="4:18" x14ac:dyDescent="0.2">
      <c r="D189" s="1">
        <v>45962</v>
      </c>
      <c r="E189" s="2">
        <v>0.79166666666666663</v>
      </c>
      <c r="F189" t="s">
        <v>18</v>
      </c>
      <c r="G189">
        <f>VLOOKUP(Table4[[#This Row],[Home]],'NHL Model'!$A$6:$B$38,2,FALSE)</f>
        <v>-0.52437726201848234</v>
      </c>
      <c r="H189" t="s">
        <v>36</v>
      </c>
      <c r="I189">
        <f>VLOOKUP(Table4[[#This Row],[Visitor]],'NHL Model'!$A$6:$B$38,2,FALSE)</f>
        <v>-0.40651947573390851</v>
      </c>
      <c r="J189">
        <f ca="1">($B$1+Table4[[#This Row],[Home Differential]])-Table4[[#This Row],[Away Differential]]</f>
        <v>4.4714523377744564E-2</v>
      </c>
      <c r="K189" t="str">
        <f ca="1">IF(Table4[[#This Row],[HomeIce Differential]]&gt;0,Table4[[#This Row],[Home]],Table4[[#This Row],[Visitor]])</f>
        <v>Montreal Canadiens</v>
      </c>
      <c r="L189" s="11">
        <f ca="1"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0.54619558462461004</v>
      </c>
      <c r="M189" t="str">
        <f ca="1">IF(OR((NHL2025_26Results[[#This Row],[Winning Team]]="")),"-",IF(Table4[[#This Row],[Predicted Winner]]=NHL2025_26Results[[#This Row],[Winning Team]],"YES","NO"))</f>
        <v>YES</v>
      </c>
      <c r="N189">
        <f ca="1">IF(Table4[[#This Row],[Adjusted Correct]]="-", "",IF(Table4[[#This Row],[Adjusted Correct]]="YES",(Table4[[#This Row],[Strength of Win]]-1)^2,(Table4[[#This Row],[Strength of Win]]-0)^2))</f>
        <v>0.20593844741419948</v>
      </c>
      <c r="O189">
        <v>1.0119781657833355</v>
      </c>
      <c r="P189" s="11"/>
      <c r="Q189" t="s">
        <v>18</v>
      </c>
      <c r="R189" t="s">
        <v>248</v>
      </c>
    </row>
    <row r="190" spans="4:18" x14ac:dyDescent="0.2">
      <c r="D190" s="1">
        <v>45962</v>
      </c>
      <c r="E190" s="2">
        <v>0.64583333333333337</v>
      </c>
      <c r="F190" t="s">
        <v>29</v>
      </c>
      <c r="G190">
        <f>VLOOKUP(Table4[[#This Row],[Home]],'NHL Model'!$A$6:$B$38,2,FALSE)</f>
        <v>-1.3516250707060606</v>
      </c>
      <c r="H190" t="s">
        <v>16</v>
      </c>
      <c r="I190">
        <f>VLOOKUP(Table4[[#This Row],[Visitor]],'NHL Model'!$A$6:$B$38,2,FALSE)</f>
        <v>-1.3903684122795328</v>
      </c>
      <c r="J190">
        <f ca="1">($B$1+Table4[[#This Row],[Home Differential]])-Table4[[#This Row],[Away Differential]]</f>
        <v>0.20131565123579054</v>
      </c>
      <c r="K190" t="str">
        <f ca="1">IF(Table4[[#This Row],[HomeIce Differential]]&gt;0,Table4[[#This Row],[Home]],Table4[[#This Row],[Visitor]])</f>
        <v>Nashville Predators</v>
      </c>
      <c r="L190" s="11">
        <f ca="1"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0.56789402769549857</v>
      </c>
      <c r="M190" t="str">
        <f ca="1">IF(OR((NHL2025_26Results[[#This Row],[Winning Team]]="")),"-",IF(Table4[[#This Row],[Predicted Winner]]=NHL2025_26Results[[#This Row],[Winning Team]],"YES","NO"))</f>
        <v>YES</v>
      </c>
      <c r="N190">
        <f ca="1">IF(Table4[[#This Row],[Adjusted Correct]]="-", "",IF(Table4[[#This Row],[Adjusted Correct]]="YES",(Table4[[#This Row],[Strength of Win]]-1)^2,(Table4[[#This Row],[Strength of Win]]-0)^2))</f>
        <v>0.18671557130121855</v>
      </c>
      <c r="O190">
        <v>0.71867492332139604</v>
      </c>
      <c r="P190" s="11"/>
      <c r="Q190" t="s">
        <v>29</v>
      </c>
      <c r="R190" t="s">
        <v>248</v>
      </c>
    </row>
    <row r="191" spans="4:18" x14ac:dyDescent="0.2">
      <c r="D191" s="1">
        <v>45962</v>
      </c>
      <c r="E191" s="2">
        <v>0.79166666666666663</v>
      </c>
      <c r="F191" t="s">
        <v>27</v>
      </c>
      <c r="G191">
        <f>VLOOKUP(Table4[[#This Row],[Home]],'NHL Model'!$A$6:$B$38,2,FALSE)</f>
        <v>-0.51358590497437617</v>
      </c>
      <c r="H191" t="s">
        <v>19</v>
      </c>
      <c r="I191">
        <f>VLOOKUP(Table4[[#This Row],[Visitor]],'NHL Model'!$A$6:$B$38,2,FALSE)</f>
        <v>-0.635565543477981</v>
      </c>
      <c r="J191">
        <f ca="1">($B$1+Table4[[#This Row],[Home Differential]])-Table4[[#This Row],[Away Differential]]</f>
        <v>0.28455194816592322</v>
      </c>
      <c r="K191" t="str">
        <f ca="1">IF(Table4[[#This Row],[HomeIce Differential]]&gt;0,Table4[[#This Row],[Home]],Table4[[#This Row],[Visitor]])</f>
        <v>Philadelphia Flyers</v>
      </c>
      <c r="L191" s="11">
        <f ca="1"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0.58192261700621795</v>
      </c>
      <c r="M191" t="str">
        <f ca="1">IF(OR((NHL2025_26Results[[#This Row],[Winning Team]]="")),"-",IF(Table4[[#This Row],[Predicted Winner]]=NHL2025_26Results[[#This Row],[Winning Team]],"YES","NO"))</f>
        <v>NO</v>
      </c>
      <c r="N191">
        <f ca="1">IF(Table4[[#This Row],[Adjusted Correct]]="-", "",IF(Table4[[#This Row],[Adjusted Correct]]="YES",(Table4[[#This Row],[Strength of Win]]-1)^2,(Table4[[#This Row],[Strength of Win]]-0)^2))</f>
        <v>0.3386339321833654</v>
      </c>
      <c r="O191">
        <v>0.65347118999126108</v>
      </c>
      <c r="P191" s="11"/>
      <c r="Q191" t="s">
        <v>27</v>
      </c>
      <c r="R191" t="s">
        <v>249</v>
      </c>
    </row>
    <row r="192" spans="4:18" x14ac:dyDescent="0.2">
      <c r="D192" s="1">
        <v>45962</v>
      </c>
      <c r="E192" s="2">
        <v>0.91666666666666663</v>
      </c>
      <c r="F192" t="s">
        <v>32</v>
      </c>
      <c r="G192">
        <f>VLOOKUP(Table4[[#This Row],[Home]],'NHL Model'!$A$6:$B$38,2,FALSE)</f>
        <v>-0.361361309178443</v>
      </c>
      <c r="H192" t="s">
        <v>15</v>
      </c>
      <c r="I192">
        <f>VLOOKUP(Table4[[#This Row],[Visitor]],'NHL Model'!$A$6:$B$38,2,FALSE)</f>
        <v>-0.30719665303039001</v>
      </c>
      <c r="J192">
        <f ca="1">($B$1+Table4[[#This Row],[Home Differential]])-Table4[[#This Row],[Away Differential]]</f>
        <v>0.1084076535142654</v>
      </c>
      <c r="K192" t="str">
        <f ca="1">IF(Table4[[#This Row],[HomeIce Differential]]&gt;0,Table4[[#This Row],[Home]],Table4[[#This Row],[Visitor]])</f>
        <v>Seattle Kraken</v>
      </c>
      <c r="L192" s="11">
        <f ca="1"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0.43809774272491536</v>
      </c>
      <c r="M192" t="str">
        <f ca="1">IF(OR((NHL2025_26Results[[#This Row],[Winning Team]]="")),"-",IF(Table4[[#This Row],[Predicted Winner]]=NHL2025_26Results[[#This Row],[Winning Team]],"YES","NO"))</f>
        <v>NO</v>
      </c>
      <c r="N192">
        <f ca="1">IF(Table4[[#This Row],[Adjusted Correct]]="-", "",IF(Table4[[#This Row],[Adjusted Correct]]="YES",(Table4[[#This Row],[Strength of Win]]-1)^2,(Table4[[#This Row],[Strength of Win]]-0)^2))</f>
        <v>0.19192963218066614</v>
      </c>
      <c r="O192">
        <v>0.42226421291452432</v>
      </c>
      <c r="P192" s="11"/>
      <c r="Q192" t="s">
        <v>32</v>
      </c>
      <c r="R192" t="s">
        <v>249</v>
      </c>
    </row>
    <row r="193" spans="4:18" x14ac:dyDescent="0.2">
      <c r="D193" s="1">
        <v>45962</v>
      </c>
      <c r="E193" s="2">
        <v>0.66666666666666663</v>
      </c>
      <c r="F193" t="s">
        <v>33</v>
      </c>
      <c r="G193">
        <f>VLOOKUP(Table4[[#This Row],[Home]],'NHL Model'!$A$6:$B$38,2,FALSE)</f>
        <v>-0.39418177254008485</v>
      </c>
      <c r="H193" t="s">
        <v>12</v>
      </c>
      <c r="I193">
        <f>VLOOKUP(Table4[[#This Row],[Visitor]],'NHL Model'!$A$6:$B$38,2,FALSE)</f>
        <v>1.5475013591489768</v>
      </c>
      <c r="J193">
        <f ca="1">($B$1+Table4[[#This Row],[Home Differential]])-Table4[[#This Row],[Away Differential]]</f>
        <v>-1.7791108220267433</v>
      </c>
      <c r="K193" t="str">
        <f ca="1">IF(Table4[[#This Row],[HomeIce Differential]]&gt;0,Table4[[#This Row],[Home]],Table4[[#This Row],[Visitor]])</f>
        <v>Colorado Avalanche</v>
      </c>
      <c r="L193" s="11">
        <f ca="1"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0.77282700824052586</v>
      </c>
      <c r="M193" t="str">
        <f ca="1">IF(OR((NHL2025_26Results[[#This Row],[Winning Team]]="")),"-",IF(Table4[[#This Row],[Predicted Winner]]=NHL2025_26Results[[#This Row],[Winning Team]],"YES","NO"))</f>
        <v>NO</v>
      </c>
      <c r="N193">
        <f ca="1">IF(Table4[[#This Row],[Adjusted Correct]]="-", "",IF(Table4[[#This Row],[Adjusted Correct]]="YES",(Table4[[#This Row],[Strength of Win]]-1)^2,(Table4[[#This Row],[Strength of Win]]-0)^2))</f>
        <v>0.59726158466600188</v>
      </c>
      <c r="O193">
        <v>-1.5082021501892711</v>
      </c>
      <c r="P193" s="11"/>
      <c r="Q193" t="s">
        <v>12</v>
      </c>
      <c r="R193" t="s">
        <v>249</v>
      </c>
    </row>
    <row r="194" spans="4:18" x14ac:dyDescent="0.2">
      <c r="D194" s="1">
        <v>45962</v>
      </c>
      <c r="E194" s="2">
        <v>0.625</v>
      </c>
      <c r="F194" t="s">
        <v>40</v>
      </c>
      <c r="G194">
        <f>VLOOKUP(Table4[[#This Row],[Home]],'NHL Model'!$A$6:$B$38,2,FALSE)</f>
        <v>0.105105258369765</v>
      </c>
      <c r="H194" t="s">
        <v>14</v>
      </c>
      <c r="I194">
        <f>VLOOKUP(Table4[[#This Row],[Visitor]],'NHL Model'!$A$6:$B$38,2,FALSE)</f>
        <v>0.26289091192875702</v>
      </c>
      <c r="J194">
        <f ca="1">($B$1+Table4[[#This Row],[Home Differential]])-Table4[[#This Row],[Away Differential]]</f>
        <v>4.7866561033264032E-3</v>
      </c>
      <c r="K194" t="str">
        <f ca="1">IF(Table4[[#This Row],[HomeIce Differential]]&gt;0,Table4[[#This Row],[Home]],Table4[[#This Row],[Visitor]])</f>
        <v>Winnipeg Jets</v>
      </c>
      <c r="L194" s="11">
        <f ca="1"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0.57670009903457886</v>
      </c>
      <c r="M194" t="str">
        <f ca="1">IF(OR((NHL2025_26Results[[#This Row],[Winning Team]]="")),"-",IF(Table4[[#This Row],[Predicted Winner]]=NHL2025_26Results[[#This Row],[Winning Team]],"YES","NO"))</f>
        <v>YES</v>
      </c>
      <c r="N194">
        <f ca="1">IF(Table4[[#This Row],[Adjusted Correct]]="-", "",IF(Table4[[#This Row],[Adjusted Correct]]="YES",(Table4[[#This Row],[Strength of Win]]-1)^2,(Table4[[#This Row],[Strength of Win]]-0)^2))</f>
        <v>0.17918280615733534</v>
      </c>
      <c r="O194">
        <v>0.52399175013210497</v>
      </c>
      <c r="P194" s="11"/>
      <c r="Q194" t="s">
        <v>40</v>
      </c>
      <c r="R194" t="s">
        <v>248</v>
      </c>
    </row>
    <row r="195" spans="4:18" x14ac:dyDescent="0.2">
      <c r="D195" s="1">
        <v>45963</v>
      </c>
      <c r="E195" s="2">
        <v>0.83333333333333337</v>
      </c>
      <c r="F195" t="s">
        <v>31</v>
      </c>
      <c r="G195">
        <f>VLOOKUP(Table4[[#This Row],[Home]],'NHL Model'!$A$6:$B$38,2,FALSE)</f>
        <v>0.51775546328552802</v>
      </c>
      <c r="H195" t="s">
        <v>24</v>
      </c>
      <c r="I195">
        <f>VLOOKUP(Table4[[#This Row],[Visitor]],'NHL Model'!$A$6:$B$38,2,FALSE)</f>
        <v>0.559441163373953</v>
      </c>
      <c r="J195">
        <f ca="1">($B$1+Table4[[#This Row],[Home Differential]])-Table4[[#This Row],[Away Differential]]</f>
        <v>0.12088660957389341</v>
      </c>
      <c r="K195" t="str">
        <f ca="1">IF(Table4[[#This Row],[HomeIce Differential]]&gt;0,Table4[[#This Row],[Home]],Table4[[#This Row],[Visitor]])</f>
        <v>Anaheim Ducks</v>
      </c>
      <c r="L195" s="11">
        <f ca="1"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0.59814523596605274</v>
      </c>
      <c r="M195" t="str">
        <f ca="1">IF(OR((NHL2025_26Results[[#This Row],[Winning Team]]="")),"-",IF(Table4[[#This Row],[Predicted Winner]]=NHL2025_26Results[[#This Row],[Winning Team]],"YES","NO"))</f>
        <v>YES</v>
      </c>
      <c r="N195">
        <f ca="1">IF(Table4[[#This Row],[Adjusted Correct]]="-", "",IF(Table4[[#This Row],[Adjusted Correct]]="YES",(Table4[[#This Row],[Strength of Win]]-1)^2,(Table4[[#This Row],[Strength of Win]]-0)^2))</f>
        <v>0.16148725137677944</v>
      </c>
      <c r="O195">
        <v>0.41790689936345415</v>
      </c>
      <c r="P195" s="11"/>
      <c r="Q195" t="s">
        <v>31</v>
      </c>
      <c r="R195" t="s">
        <v>248</v>
      </c>
    </row>
    <row r="196" spans="4:18" x14ac:dyDescent="0.2">
      <c r="D196" s="1">
        <v>45963</v>
      </c>
      <c r="E196" s="2">
        <v>0.70833333333333337</v>
      </c>
      <c r="F196" t="s">
        <v>30</v>
      </c>
      <c r="G196">
        <f>VLOOKUP(Table4[[#This Row],[Home]],'NHL Model'!$A$6:$B$38,2,FALSE)</f>
        <v>-6.4729560818359025E-2</v>
      </c>
      <c r="H196" t="s">
        <v>28</v>
      </c>
      <c r="I196">
        <f>VLOOKUP(Table4[[#This Row],[Visitor]],'NHL Model'!$A$6:$B$38,2,FALSE)</f>
        <v>-0.40822279081308277</v>
      </c>
      <c r="J196">
        <f ca="1">($B$1+Table4[[#This Row],[Home Differential]])-Table4[[#This Row],[Away Differential]]</f>
        <v>0.50606553965704215</v>
      </c>
      <c r="K196" t="str">
        <f ca="1">IF(Table4[[#This Row],[HomeIce Differential]]&gt;0,Table4[[#This Row],[Home]],Table4[[#This Row],[Visitor]])</f>
        <v>New York Islanders</v>
      </c>
      <c r="L196" s="11">
        <f ca="1"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0.58935053434727958</v>
      </c>
      <c r="M196" t="str">
        <f ca="1">IF(OR((NHL2025_26Results[[#This Row],[Winning Team]]="")),"-",IF(Table4[[#This Row],[Predicted Winner]]=NHL2025_26Results[[#This Row],[Winning Team]],"YES","NO"))</f>
        <v>YES</v>
      </c>
      <c r="N196">
        <f ca="1">IF(Table4[[#This Row],[Adjusted Correct]]="-", "",IF(Table4[[#This Row],[Adjusted Correct]]="YES",(Table4[[#This Row],[Strength of Win]]-1)^2,(Table4[[#This Row],[Strength of Win]]-0)^2))</f>
        <v>0.16863298364086482</v>
      </c>
      <c r="O196">
        <v>1.9007085254070299E-2</v>
      </c>
      <c r="P196" s="11"/>
      <c r="Q196" t="s">
        <v>30</v>
      </c>
      <c r="R196" t="s">
        <v>248</v>
      </c>
    </row>
    <row r="197" spans="4:18" x14ac:dyDescent="0.2">
      <c r="D197" s="1">
        <v>45963</v>
      </c>
      <c r="E197" s="2">
        <v>0.79166666666666663</v>
      </c>
      <c r="F197" t="s">
        <v>27</v>
      </c>
      <c r="G197">
        <f>VLOOKUP(Table4[[#This Row],[Home]],'NHL Model'!$A$6:$B$38,2,FALSE)</f>
        <v>-0.51358590497437617</v>
      </c>
      <c r="H197" t="s">
        <v>16</v>
      </c>
      <c r="I197">
        <f>VLOOKUP(Table4[[#This Row],[Visitor]],'NHL Model'!$A$6:$B$38,2,FALSE)</f>
        <v>-1.3903684122795328</v>
      </c>
      <c r="J197">
        <f ca="1">($B$1+Table4[[#This Row],[Home Differential]])-Table4[[#This Row],[Away Differential]]</f>
        <v>1.0393548169674749</v>
      </c>
      <c r="K197" t="str">
        <f ca="1">IF(Table4[[#This Row],[HomeIce Differential]]&gt;0,Table4[[#This Row],[Home]],Table4[[#This Row],[Visitor]])</f>
        <v>Philadelphia Flyers</v>
      </c>
      <c r="L197" s="11">
        <f ca="1"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0.68650709415813205</v>
      </c>
      <c r="M197" t="str">
        <f ca="1">IF(OR((NHL2025_26Results[[#This Row],[Winning Team]]="")),"-",IF(Table4[[#This Row],[Predicted Winner]]=NHL2025_26Results[[#This Row],[Winning Team]],"YES","NO"))</f>
        <v>NO</v>
      </c>
      <c r="N197">
        <f ca="1">IF(Table4[[#This Row],[Adjusted Correct]]="-", "",IF(Table4[[#This Row],[Adjusted Correct]]="YES",(Table4[[#This Row],[Strength of Win]]-1)^2,(Table4[[#This Row],[Strength of Win]]-0)^2))</f>
        <v>0.47129199032944236</v>
      </c>
      <c r="O197">
        <v>1.3434163037968592</v>
      </c>
      <c r="P197" s="11"/>
      <c r="Q197" t="s">
        <v>27</v>
      </c>
      <c r="R197" t="s">
        <v>249</v>
      </c>
    </row>
    <row r="198" spans="4:18" x14ac:dyDescent="0.2">
      <c r="D198" s="1">
        <v>45963</v>
      </c>
      <c r="E198" s="2">
        <v>0.83333333333333337</v>
      </c>
      <c r="F198" t="s">
        <v>33</v>
      </c>
      <c r="G198">
        <f>VLOOKUP(Table4[[#This Row],[Home]],'NHL Model'!$A$6:$B$38,2,FALSE)</f>
        <v>-0.39418177254008485</v>
      </c>
      <c r="H198" t="s">
        <v>26</v>
      </c>
      <c r="I198">
        <f>VLOOKUP(Table4[[#This Row],[Visitor]],'NHL Model'!$A$6:$B$38,2,FALSE)</f>
        <v>-0.513643833119658</v>
      </c>
      <c r="J198">
        <f ca="1">($B$1+Table4[[#This Row],[Home Differential]])-Table4[[#This Row],[Away Differential]]</f>
        <v>0.28203437024189154</v>
      </c>
      <c r="K198" t="str">
        <f ca="1">IF(Table4[[#This Row],[HomeIce Differential]]&gt;0,Table4[[#This Row],[Home]],Table4[[#This Row],[Visitor]])</f>
        <v>San Jose Sharks</v>
      </c>
      <c r="L198" s="11">
        <f ca="1"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0.53197891408725329</v>
      </c>
      <c r="M198" t="str">
        <f ca="1">IF(OR((NHL2025_26Results[[#This Row],[Winning Team]]="")),"-",IF(Table4[[#This Row],[Predicted Winner]]=NHL2025_26Results[[#This Row],[Winning Team]],"YES","NO"))</f>
        <v>NO</v>
      </c>
      <c r="N198">
        <f ca="1">IF(Table4[[#This Row],[Adjusted Correct]]="-", "",IF(Table4[[#This Row],[Adjusted Correct]]="YES",(Table4[[#This Row],[Strength of Win]]-1)^2,(Table4[[#This Row],[Strength of Win]]-0)^2))</f>
        <v>0.2830015650334532</v>
      </c>
      <c r="O198">
        <v>-0.25411072638940857</v>
      </c>
      <c r="P198" s="11"/>
      <c r="Q198" t="s">
        <v>26</v>
      </c>
      <c r="R198" t="s">
        <v>248</v>
      </c>
    </row>
    <row r="199" spans="4:18" x14ac:dyDescent="0.2">
      <c r="D199" s="1">
        <v>45963</v>
      </c>
      <c r="E199" s="2">
        <v>0.64583333333333337</v>
      </c>
      <c r="F199" t="s">
        <v>55</v>
      </c>
      <c r="G199">
        <f>VLOOKUP(Table4[[#This Row],[Home]],'NHL Model'!$A$6:$B$38,2,FALSE)</f>
        <v>-0.12212311954851815</v>
      </c>
      <c r="H199" t="s">
        <v>37</v>
      </c>
      <c r="I199">
        <f>VLOOKUP(Table4[[#This Row],[Visitor]],'NHL Model'!$A$6:$B$38,2,FALSE)</f>
        <v>-0.11309445867623392</v>
      </c>
      <c r="J199">
        <f ca="1">($B$1+Table4[[#This Row],[Home Differential]])-Table4[[#This Row],[Away Differential]]</f>
        <v>0.15354364879003418</v>
      </c>
      <c r="K199" t="str">
        <f ca="1">IF(Table4[[#This Row],[HomeIce Differential]]&gt;0,Table4[[#This Row],[Home]],Table4[[#This Row],[Visitor]])</f>
        <v>Utah Mammoth</v>
      </c>
      <c r="L199" s="11">
        <f ca="1"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0.58377480285574379</v>
      </c>
      <c r="M199" t="str">
        <f ca="1">IF(OR((NHL2025_26Results[[#This Row],[Winning Team]]="")),"-",IF(Table4[[#This Row],[Predicted Winner]]=NHL2025_26Results[[#This Row],[Winning Team]],"YES","NO"))</f>
        <v>NO</v>
      </c>
      <c r="N199">
        <f ca="1">IF(Table4[[#This Row],[Adjusted Correct]]="-", "",IF(Table4[[#This Row],[Adjusted Correct]]="YES",(Table4[[#This Row],[Strength of Win]]-1)^2,(Table4[[#This Row],[Strength of Win]]-0)^2))</f>
        <v>0.34079302044926252</v>
      </c>
      <c r="O199">
        <v>0.52491065385840874</v>
      </c>
      <c r="P199" s="11"/>
      <c r="Q199" t="s">
        <v>55</v>
      </c>
      <c r="R199" t="s">
        <v>249</v>
      </c>
    </row>
    <row r="200" spans="4:18" x14ac:dyDescent="0.2">
      <c r="D200" s="1">
        <v>45964</v>
      </c>
      <c r="E200" s="2">
        <v>0.85416666666666663</v>
      </c>
      <c r="F200" t="s">
        <v>29</v>
      </c>
      <c r="G200">
        <f>VLOOKUP(Table4[[#This Row],[Home]],'NHL Model'!$A$6:$B$38,2,FALSE)</f>
        <v>-1.3516250707060606</v>
      </c>
      <c r="H200" t="s">
        <v>38</v>
      </c>
      <c r="I200">
        <f>VLOOKUP(Table4[[#This Row],[Visitor]],'NHL Model'!$A$6:$B$38,2,FALSE)</f>
        <v>-0.6902088310934803</v>
      </c>
      <c r="J200">
        <f ca="1">($B$1+Table4[[#This Row],[Home Differential]])-Table4[[#This Row],[Away Differential]]</f>
        <v>-0.49884392995026194</v>
      </c>
      <c r="K200" t="str">
        <f ca="1">IF(Table4[[#This Row],[HomeIce Differential]]&gt;0,Table4[[#This Row],[Home]],Table4[[#This Row],[Visitor]])</f>
        <v>Vancouver Canucks</v>
      </c>
      <c r="L200" s="11">
        <f ca="1"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0.57163171133703483</v>
      </c>
      <c r="M200" t="str">
        <f ca="1">IF(OR((NHL2025_26Results[[#This Row],[Winning Team]]="")),"-",IF(Table4[[#This Row],[Predicted Winner]]=NHL2025_26Results[[#This Row],[Winning Team]],"YES","NO"))</f>
        <v>YES</v>
      </c>
      <c r="N200">
        <f ca="1">IF(Table4[[#This Row],[Adjusted Correct]]="-", "",IF(Table4[[#This Row],[Adjusted Correct]]="YES",(Table4[[#This Row],[Strength of Win]]-1)^2,(Table4[[#This Row],[Strength of Win]]-0)^2))</f>
        <v>0.18349939073203744</v>
      </c>
      <c r="O200">
        <v>0.14002329669329616</v>
      </c>
      <c r="P200" s="11"/>
      <c r="Q200" t="s">
        <v>29</v>
      </c>
      <c r="R200" t="s">
        <v>249</v>
      </c>
    </row>
    <row r="201" spans="4:18" x14ac:dyDescent="0.2">
      <c r="D201" s="1">
        <v>45964</v>
      </c>
      <c r="E201" s="2">
        <v>0.91666666666666663</v>
      </c>
      <c r="F201" t="s">
        <v>32</v>
      </c>
      <c r="G201">
        <f>VLOOKUP(Table4[[#This Row],[Home]],'NHL Model'!$A$6:$B$38,2,FALSE)</f>
        <v>-0.361361309178443</v>
      </c>
      <c r="H201" t="s">
        <v>10</v>
      </c>
      <c r="I201">
        <f>VLOOKUP(Table4[[#This Row],[Visitor]],'NHL Model'!$A$6:$B$38,2,FALSE)</f>
        <v>0.30570968833820172</v>
      </c>
      <c r="J201">
        <f ca="1">($B$1+Table4[[#This Row],[Home Differential]])-Table4[[#This Row],[Away Differential]]</f>
        <v>-0.50449868785432628</v>
      </c>
      <c r="K201" t="str">
        <f ca="1">IF(Table4[[#This Row],[HomeIce Differential]]&gt;0,Table4[[#This Row],[Home]],Table4[[#This Row],[Visitor]])</f>
        <v>Chicago Blackhawks</v>
      </c>
      <c r="L201" s="11">
        <f ca="1"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0.5244481187693546</v>
      </c>
      <c r="M201" t="str">
        <f ca="1">IF(OR((NHL2025_26Results[[#This Row],[Winning Team]]="")),"-",IF(Table4[[#This Row],[Predicted Winner]]=NHL2025_26Results[[#This Row],[Winning Team]],"YES","NO"))</f>
        <v>NO</v>
      </c>
      <c r="N201">
        <f ca="1">IF(Table4[[#This Row],[Adjusted Correct]]="-", "",IF(Table4[[#This Row],[Adjusted Correct]]="YES",(Table4[[#This Row],[Strength of Win]]-1)^2,(Table4[[#This Row],[Strength of Win]]-0)^2))</f>
        <v>0.27504582928071508</v>
      </c>
      <c r="O201">
        <v>0.35360397180144315</v>
      </c>
      <c r="P201" s="11"/>
      <c r="Q201" t="s">
        <v>32</v>
      </c>
      <c r="R201" t="s">
        <v>248</v>
      </c>
    </row>
    <row r="202" spans="4:18" x14ac:dyDescent="0.2">
      <c r="D202" s="1">
        <v>45964</v>
      </c>
      <c r="E202" s="2">
        <v>0.85416666666666663</v>
      </c>
      <c r="F202" t="s">
        <v>35</v>
      </c>
      <c r="G202">
        <f>VLOOKUP(Table4[[#This Row],[Home]],'NHL Model'!$A$6:$B$38,2,FALSE)</f>
        <v>-1.6211574240381006</v>
      </c>
      <c r="H202" t="s">
        <v>17</v>
      </c>
      <c r="I202">
        <f>VLOOKUP(Table4[[#This Row],[Visitor]],'NHL Model'!$A$6:$B$38,2,FALSE)</f>
        <v>-0.61980804137564283</v>
      </c>
      <c r="J202">
        <f ca="1">($B$1+Table4[[#This Row],[Home Differential]])-Table4[[#This Row],[Away Differential]]</f>
        <v>-0.83877707300013937</v>
      </c>
      <c r="K202" t="str">
        <f ca="1">IF(Table4[[#This Row],[HomeIce Differential]]&gt;0,Table4[[#This Row],[Home]],Table4[[#This Row],[Visitor]])</f>
        <v>Edmonton Oilers</v>
      </c>
      <c r="L202" s="11">
        <f ca="1"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0.57621983070363247</v>
      </c>
      <c r="M202" t="str">
        <f ca="1">IF(OR((NHL2025_26Results[[#This Row],[Winning Team]]="")),"-",IF(Table4[[#This Row],[Predicted Winner]]=NHL2025_26Results[[#This Row],[Winning Team]],"YES","NO"))</f>
        <v>NO</v>
      </c>
      <c r="N202">
        <f ca="1">IF(Table4[[#This Row],[Adjusted Correct]]="-", "",IF(Table4[[#This Row],[Adjusted Correct]]="YES",(Table4[[#This Row],[Strength of Win]]-1)^2,(Table4[[#This Row],[Strength of Win]]-0)^2))</f>
        <v>0.33202929329612285</v>
      </c>
      <c r="O202">
        <v>-0.91134649061052797</v>
      </c>
      <c r="P202" s="11"/>
      <c r="Q202" t="s">
        <v>17</v>
      </c>
      <c r="R202" t="s">
        <v>249</v>
      </c>
    </row>
    <row r="203" spans="4:18" x14ac:dyDescent="0.2">
      <c r="D203" s="1">
        <v>45964</v>
      </c>
      <c r="E203" s="2">
        <v>0.8125</v>
      </c>
      <c r="F203" t="s">
        <v>19</v>
      </c>
      <c r="G203">
        <f>VLOOKUP(Table4[[#This Row],[Home]],'NHL Model'!$A$6:$B$38,2,FALSE)</f>
        <v>-0.635565543477981</v>
      </c>
      <c r="H203" t="s">
        <v>14</v>
      </c>
      <c r="I203">
        <f>VLOOKUP(Table4[[#This Row],[Visitor]],'NHL Model'!$A$6:$B$38,2,FALSE)</f>
        <v>0.26289091192875702</v>
      </c>
      <c r="J203">
        <f ca="1">($B$1+Table4[[#This Row],[Home Differential]])-Table4[[#This Row],[Away Differential]]</f>
        <v>-0.73588414574441963</v>
      </c>
      <c r="K203" t="str">
        <f ca="1">IF(Table4[[#This Row],[HomeIce Differential]]&gt;0,Table4[[#This Row],[Home]],Table4[[#This Row],[Visitor]])</f>
        <v>Pittsburgh Penguins</v>
      </c>
      <c r="L203" s="11">
        <f ca="1"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0.56196312415884242</v>
      </c>
      <c r="M203" t="str">
        <f ca="1">IF(OR((NHL2025_26Results[[#This Row],[Winning Team]]="")),"-",IF(Table4[[#This Row],[Predicted Winner]]=NHL2025_26Results[[#This Row],[Winning Team]],"YES","NO"))</f>
        <v>NO</v>
      </c>
      <c r="N203">
        <f ca="1">IF(Table4[[#This Row],[Adjusted Correct]]="-", "",IF(Table4[[#This Row],[Adjusted Correct]]="YES",(Table4[[#This Row],[Strength of Win]]-1)^2,(Table4[[#This Row],[Strength of Win]]-0)^2))</f>
        <v>0.31580255291436654</v>
      </c>
      <c r="O203">
        <v>-0.38811894988392659</v>
      </c>
      <c r="P203" s="11"/>
      <c r="Q203" t="s">
        <v>14</v>
      </c>
      <c r="R203" t="s">
        <v>249</v>
      </c>
    </row>
    <row r="204" spans="4:18" x14ac:dyDescent="0.2">
      <c r="D204" s="1">
        <v>45965</v>
      </c>
      <c r="E204" s="2">
        <v>0.91666666666666663</v>
      </c>
      <c r="F204" t="s">
        <v>31</v>
      </c>
      <c r="G204">
        <f>VLOOKUP(Table4[[#This Row],[Home]],'NHL Model'!$A$6:$B$38,2,FALSE)</f>
        <v>0.51775546328552802</v>
      </c>
      <c r="H204" t="s">
        <v>11</v>
      </c>
      <c r="I204">
        <f>VLOOKUP(Table4[[#This Row],[Visitor]],'NHL Model'!$A$6:$B$38,2,FALSE)</f>
        <v>-0.28105923893144158</v>
      </c>
      <c r="J204">
        <f ca="1">($B$1+Table4[[#This Row],[Home Differential]])-Table4[[#This Row],[Away Differential]]</f>
        <v>0.96138701187928799</v>
      </c>
      <c r="K204" t="str">
        <f ca="1">IF(Table4[[#This Row],[HomeIce Differential]]&gt;0,Table4[[#This Row],[Home]],Table4[[#This Row],[Visitor]])</f>
        <v>Anaheim Ducks</v>
      </c>
      <c r="L204" s="11">
        <f ca="1"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0.77753839694601434</v>
      </c>
      <c r="M204" t="str">
        <f ca="1">IF(OR((NHL2025_26Results[[#This Row],[Winning Team]]="")),"-",IF(Table4[[#This Row],[Predicted Winner]]=NHL2025_26Results[[#This Row],[Winning Team]],"YES","NO"))</f>
        <v>YES</v>
      </c>
      <c r="N204">
        <f ca="1">IF(Table4[[#This Row],[Adjusted Correct]]="-", "",IF(Table4[[#This Row],[Adjusted Correct]]="YES",(Table4[[#This Row],[Strength of Win]]-1)^2,(Table4[[#This Row],[Strength of Win]]-0)^2))</f>
        <v>4.9489164833349079E-2</v>
      </c>
      <c r="O204">
        <v>1.6492715237405093</v>
      </c>
      <c r="P204" s="11"/>
      <c r="Q204" t="s">
        <v>31</v>
      </c>
      <c r="R204" t="s">
        <v>248</v>
      </c>
    </row>
    <row r="205" spans="4:18" x14ac:dyDescent="0.2">
      <c r="D205" s="1">
        <v>45965</v>
      </c>
      <c r="E205" s="2">
        <v>0.79166666666666663</v>
      </c>
      <c r="F205" t="s">
        <v>23</v>
      </c>
      <c r="G205">
        <f>VLOOKUP(Table4[[#This Row],[Home]],'NHL Model'!$A$6:$B$38,2,FALSE)</f>
        <v>-0.8683412362501769</v>
      </c>
      <c r="H205" t="s">
        <v>55</v>
      </c>
      <c r="I205">
        <f>VLOOKUP(Table4[[#This Row],[Visitor]],'NHL Model'!$A$6:$B$38,2,FALSE)</f>
        <v>-0.12212311954851815</v>
      </c>
      <c r="J205">
        <f ca="1">($B$1+Table4[[#This Row],[Home Differential]])-Table4[[#This Row],[Away Differential]]</f>
        <v>-0.58364580703934033</v>
      </c>
      <c r="K205" t="str">
        <f ca="1">IF(Table4[[#This Row],[HomeIce Differential]]&gt;0,Table4[[#This Row],[Home]],Table4[[#This Row],[Visitor]])</f>
        <v>Utah Mammoth</v>
      </c>
      <c r="L205" s="11">
        <f ca="1"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0.54086918332469225</v>
      </c>
      <c r="M205" t="str">
        <f ca="1">IF(OR((NHL2025_26Results[[#This Row],[Winning Team]]="")),"-",IF(Table4[[#This Row],[Predicted Winner]]=NHL2025_26Results[[#This Row],[Winning Team]],"YES","NO"))</f>
        <v>YES</v>
      </c>
      <c r="N205">
        <f ca="1">IF(Table4[[#This Row],[Adjusted Correct]]="-", "",IF(Table4[[#This Row],[Adjusted Correct]]="YES",(Table4[[#This Row],[Strength of Win]]-1)^2,(Table4[[#This Row],[Strength of Win]]-0)^2))</f>
        <v>0.21080110682093506</v>
      </c>
      <c r="O205">
        <v>-0.49386432627608945</v>
      </c>
      <c r="P205" s="11"/>
      <c r="Q205" t="s">
        <v>55</v>
      </c>
      <c r="R205" t="s">
        <v>248</v>
      </c>
    </row>
    <row r="206" spans="4:18" x14ac:dyDescent="0.2">
      <c r="D206" s="1">
        <v>45965</v>
      </c>
      <c r="E206" s="2">
        <v>0.89583333333333337</v>
      </c>
      <c r="F206" t="s">
        <v>12</v>
      </c>
      <c r="G206">
        <f>VLOOKUP(Table4[[#This Row],[Home]],'NHL Model'!$A$6:$B$38,2,FALSE)</f>
        <v>1.5475013591489768</v>
      </c>
      <c r="H206" t="s">
        <v>37</v>
      </c>
      <c r="I206">
        <f>VLOOKUP(Table4[[#This Row],[Visitor]],'NHL Model'!$A$6:$B$38,2,FALSE)</f>
        <v>-0.11309445867623392</v>
      </c>
      <c r="J206">
        <f ca="1">($B$1+Table4[[#This Row],[Home Differential]])-Table4[[#This Row],[Away Differential]]</f>
        <v>1.8231681274875291</v>
      </c>
      <c r="K206" t="str">
        <f ca="1">IF(Table4[[#This Row],[HomeIce Differential]]&gt;0,Table4[[#This Row],[Home]],Table4[[#This Row],[Visitor]])</f>
        <v>Colorado Avalanche</v>
      </c>
      <c r="L206" s="11">
        <f ca="1"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0.83594907348819558</v>
      </c>
      <c r="M206" t="str">
        <f ca="1">IF(OR((NHL2025_26Results[[#This Row],[Winning Team]]="")),"-",IF(Table4[[#This Row],[Predicted Winner]]=NHL2025_26Results[[#This Row],[Winning Team]],"YES","NO"))</f>
        <v>YES</v>
      </c>
      <c r="N206">
        <f ca="1">IF(Table4[[#This Row],[Adjusted Correct]]="-", "",IF(Table4[[#This Row],[Adjusted Correct]]="YES",(Table4[[#This Row],[Strength of Win]]-1)^2,(Table4[[#This Row],[Strength of Win]]-0)^2))</f>
        <v>2.6912706489381454E-2</v>
      </c>
      <c r="O206">
        <v>1.2471185353360101</v>
      </c>
      <c r="P206" s="11"/>
      <c r="Q206" t="s">
        <v>12</v>
      </c>
      <c r="R206" t="s">
        <v>248</v>
      </c>
    </row>
    <row r="207" spans="4:18" x14ac:dyDescent="0.2">
      <c r="D207" s="1">
        <v>45965</v>
      </c>
      <c r="E207" s="2">
        <v>0.83333333333333337</v>
      </c>
      <c r="F207" t="s">
        <v>39</v>
      </c>
      <c r="G207">
        <f>VLOOKUP(Table4[[#This Row],[Home]],'NHL Model'!$A$6:$B$38,2,FALSE)</f>
        <v>0.19809534061227302</v>
      </c>
      <c r="H207" t="s">
        <v>17</v>
      </c>
      <c r="I207">
        <f>VLOOKUP(Table4[[#This Row],[Visitor]],'NHL Model'!$A$6:$B$38,2,FALSE)</f>
        <v>-0.61980804137564283</v>
      </c>
      <c r="J207">
        <f ca="1">($B$1+Table4[[#This Row],[Home Differential]])-Table4[[#This Row],[Away Differential]]</f>
        <v>0.98047569165023418</v>
      </c>
      <c r="K207" t="str">
        <f ca="1">IF(Table4[[#This Row],[HomeIce Differential]]&gt;0,Table4[[#This Row],[Home]],Table4[[#This Row],[Visitor]])</f>
        <v>Dallas Stars</v>
      </c>
      <c r="L207" s="11">
        <f ca="1"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0.70189113785614532</v>
      </c>
      <c r="M207" t="str">
        <f ca="1">IF(OR((NHL2025_26Results[[#This Row],[Winning Team]]="")),"-",IF(Table4[[#This Row],[Predicted Winner]]=NHL2025_26Results[[#This Row],[Winning Team]],"YES","NO"))</f>
        <v>YES</v>
      </c>
      <c r="N207">
        <f ca="1">IF(Table4[[#This Row],[Adjusted Correct]]="-", "",IF(Table4[[#This Row],[Adjusted Correct]]="YES",(Table4[[#This Row],[Strength of Win]]-1)^2,(Table4[[#This Row],[Strength of Win]]-0)^2))</f>
        <v>8.8868893688703751E-2</v>
      </c>
      <c r="O207">
        <v>0.35417609343625189</v>
      </c>
      <c r="P207" s="11"/>
      <c r="Q207" t="s">
        <v>39</v>
      </c>
      <c r="R207" t="s">
        <v>248</v>
      </c>
    </row>
    <row r="208" spans="4:18" x14ac:dyDescent="0.2">
      <c r="D208" s="1">
        <v>45965</v>
      </c>
      <c r="E208" s="2">
        <v>0.9375</v>
      </c>
      <c r="F208" t="s">
        <v>13</v>
      </c>
      <c r="G208">
        <f>VLOOKUP(Table4[[#This Row],[Home]],'NHL Model'!$A$6:$B$38,2,FALSE)</f>
        <v>-7.5459708298993802E-2</v>
      </c>
      <c r="H208" t="s">
        <v>40</v>
      </c>
      <c r="I208">
        <f>VLOOKUP(Table4[[#This Row],[Visitor]],'NHL Model'!$A$6:$B$38,2,FALSE)</f>
        <v>0.105105258369765</v>
      </c>
      <c r="J208">
        <f ca="1">($B$1+Table4[[#This Row],[Home Differential]])-Table4[[#This Row],[Away Differential]]</f>
        <v>-1.7992657006440413E-2</v>
      </c>
      <c r="K208" t="str">
        <f ca="1">IF(Table4[[#This Row],[HomeIce Differential]]&gt;0,Table4[[#This Row],[Home]],Table4[[#This Row],[Visitor]])</f>
        <v>Winnipeg Jets</v>
      </c>
      <c r="L208" s="11">
        <f ca="1"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0.52880882799191353</v>
      </c>
      <c r="M208" t="str">
        <f ca="1">IF(OR((NHL2025_26Results[[#This Row],[Winning Team]]="")),"-",IF(Table4[[#This Row],[Predicted Winner]]=NHL2025_26Results[[#This Row],[Winning Team]],"YES","NO"))</f>
        <v>NO</v>
      </c>
      <c r="N208">
        <f ca="1">IF(Table4[[#This Row],[Adjusted Correct]]="-", "",IF(Table4[[#This Row],[Adjusted Correct]]="YES",(Table4[[#This Row],[Strength of Win]]-1)^2,(Table4[[#This Row],[Strength of Win]]-0)^2))</f>
        <v>0.27963877656218117</v>
      </c>
      <c r="O208">
        <v>-0.40920122541096099</v>
      </c>
      <c r="P208" s="11"/>
      <c r="Q208" t="s">
        <v>40</v>
      </c>
      <c r="R208" t="s">
        <v>249</v>
      </c>
    </row>
    <row r="209" spans="4:20" x14ac:dyDescent="0.2">
      <c r="D209" s="1">
        <v>45965</v>
      </c>
      <c r="E209" s="2">
        <v>0.83333333333333337</v>
      </c>
      <c r="F209" t="s">
        <v>34</v>
      </c>
      <c r="G209">
        <f>VLOOKUP(Table4[[#This Row],[Home]],'NHL Model'!$A$6:$B$38,2,FALSE)</f>
        <v>-0.53650300840565446</v>
      </c>
      <c r="H209" t="s">
        <v>29</v>
      </c>
      <c r="I209">
        <f>VLOOKUP(Table4[[#This Row],[Visitor]],'NHL Model'!$A$6:$B$38,2,FALSE)</f>
        <v>-1.3516250707060606</v>
      </c>
      <c r="J209">
        <f ca="1">($B$1+Table4[[#This Row],[Home Differential]])-Table4[[#This Row],[Away Differential]]</f>
        <v>0.97769437196272457</v>
      </c>
      <c r="K209" t="str">
        <f ca="1">IF(Table4[[#This Row],[HomeIce Differential]]&gt;0,Table4[[#This Row],[Home]],Table4[[#This Row],[Visitor]])</f>
        <v>Minnesota Wild</v>
      </c>
      <c r="L209" s="11">
        <f ca="1"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0.67546802606678213</v>
      </c>
      <c r="M209" t="str">
        <f ca="1">IF(OR((NHL2025_26Results[[#This Row],[Winning Team]]="")),"-",IF(Table4[[#This Row],[Predicted Winner]]=NHL2025_26Results[[#This Row],[Winning Team]],"YES","NO"))</f>
        <v>YES</v>
      </c>
      <c r="N209">
        <f ca="1">IF(Table4[[#This Row],[Adjusted Correct]]="-", "",IF(Table4[[#This Row],[Adjusted Correct]]="YES",(Table4[[#This Row],[Strength of Win]]-1)^2,(Table4[[#This Row],[Strength of Win]]-0)^2))</f>
        <v>0.1053210021049908</v>
      </c>
      <c r="O209">
        <v>0.29440526942957113</v>
      </c>
      <c r="P209" s="11"/>
      <c r="Q209" t="s">
        <v>34</v>
      </c>
      <c r="R209" t="s">
        <v>248</v>
      </c>
    </row>
    <row r="210" spans="4:20" x14ac:dyDescent="0.2">
      <c r="D210" s="1">
        <v>45965</v>
      </c>
      <c r="E210" s="2">
        <v>0.79166666666666663</v>
      </c>
      <c r="F210" t="s">
        <v>18</v>
      </c>
      <c r="G210">
        <f>VLOOKUP(Table4[[#This Row],[Home]],'NHL Model'!$A$6:$B$38,2,FALSE)</f>
        <v>-0.52437726201848234</v>
      </c>
      <c r="H210" t="s">
        <v>27</v>
      </c>
      <c r="I210">
        <f>VLOOKUP(Table4[[#This Row],[Visitor]],'NHL Model'!$A$6:$B$38,2,FALSE)</f>
        <v>-0.51358590497437617</v>
      </c>
      <c r="J210">
        <f ca="1">($B$1+Table4[[#This Row],[Home Differential]])-Table4[[#This Row],[Away Differential]]</f>
        <v>0.15178095261821223</v>
      </c>
      <c r="K210" t="str">
        <f ca="1">IF(Table4[[#This Row],[HomeIce Differential]]&gt;0,Table4[[#This Row],[Home]],Table4[[#This Row],[Visitor]])</f>
        <v>Montreal Canadiens</v>
      </c>
      <c r="L210" s="11">
        <f ca="1"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0.56103056602898083</v>
      </c>
      <c r="M210" t="str">
        <f ca="1">IF(OR((NHL2025_26Results[[#This Row],[Winning Team]]="")),"-",IF(Table4[[#This Row],[Predicted Winner]]=NHL2025_26Results[[#This Row],[Winning Team]],"YES","NO"))</f>
        <v>NO</v>
      </c>
      <c r="N210">
        <f ca="1">IF(Table4[[#This Row],[Adjusted Correct]]="-", "",IF(Table4[[#This Row],[Adjusted Correct]]="YES",(Table4[[#This Row],[Strength of Win]]-1)^2,(Table4[[#This Row],[Strength of Win]]-0)^2))</f>
        <v>0.31475529601879859</v>
      </c>
      <c r="O210">
        <v>0.53713197650222244</v>
      </c>
      <c r="P210" s="11"/>
      <c r="Q210" t="s">
        <v>18</v>
      </c>
      <c r="R210" t="s">
        <v>249</v>
      </c>
    </row>
    <row r="211" spans="4:20" x14ac:dyDescent="0.2">
      <c r="D211" s="1">
        <v>45965</v>
      </c>
      <c r="E211" s="2">
        <v>0.79166666666666663</v>
      </c>
      <c r="F211" t="s">
        <v>30</v>
      </c>
      <c r="G211">
        <f>VLOOKUP(Table4[[#This Row],[Home]],'NHL Model'!$A$6:$B$38,2,FALSE)</f>
        <v>-6.4729560818359025E-2</v>
      </c>
      <c r="H211" t="s">
        <v>21</v>
      </c>
      <c r="I211">
        <f>VLOOKUP(Table4[[#This Row],[Visitor]],'NHL Model'!$A$6:$B$38,2,FALSE)</f>
        <v>4.029141914856392E-2</v>
      </c>
      <c r="J211">
        <f ca="1">($B$1+Table4[[#This Row],[Home Differential]])-Table4[[#This Row],[Away Differential]]</f>
        <v>5.7551329695395448E-2</v>
      </c>
      <c r="K211" t="str">
        <f ca="1">IF(Table4[[#This Row],[HomeIce Differential]]&gt;0,Table4[[#This Row],[Home]],Table4[[#This Row],[Visitor]])</f>
        <v>New York Islanders</v>
      </c>
      <c r="L211" s="11">
        <f ca="1"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0.5479742353591569</v>
      </c>
      <c r="M211" t="str">
        <f ca="1">IF(OR((NHL2025_26Results[[#This Row],[Winning Team]]="")),"-",IF(Table4[[#This Row],[Predicted Winner]]=NHL2025_26Results[[#This Row],[Winning Team]],"YES","NO"))</f>
        <v>NO</v>
      </c>
      <c r="N211">
        <f ca="1">IF(Table4[[#This Row],[Adjusted Correct]]="-", "",IF(Table4[[#This Row],[Adjusted Correct]]="YES",(Table4[[#This Row],[Strength of Win]]-1)^2,(Table4[[#This Row],[Strength of Win]]-0)^2))</f>
        <v>0.3002757626174527</v>
      </c>
      <c r="O211">
        <v>-1.9511330716513675E-2</v>
      </c>
      <c r="P211" s="11"/>
      <c r="Q211" t="s">
        <v>21</v>
      </c>
      <c r="R211" t="s">
        <v>248</v>
      </c>
    </row>
    <row r="212" spans="4:20" x14ac:dyDescent="0.2">
      <c r="D212" s="1">
        <v>45965</v>
      </c>
      <c r="E212" s="2">
        <v>0.79166666666666663</v>
      </c>
      <c r="F212" t="s">
        <v>15</v>
      </c>
      <c r="G212">
        <f>VLOOKUP(Table4[[#This Row],[Home]],'NHL Model'!$A$6:$B$38,2,FALSE)</f>
        <v>-0.30719665303039001</v>
      </c>
      <c r="H212" t="s">
        <v>25</v>
      </c>
      <c r="I212">
        <f>VLOOKUP(Table4[[#This Row],[Visitor]],'NHL Model'!$A$6:$B$38,2,FALSE)</f>
        <v>0.67193921242367816</v>
      </c>
      <c r="J212">
        <f ca="1">($B$1+Table4[[#This Row],[Home Differential]])-Table4[[#This Row],[Away Differential]]</f>
        <v>-0.81656355579174977</v>
      </c>
      <c r="K212" t="str">
        <f ca="1">IF(Table4[[#This Row],[HomeIce Differential]]&gt;0,Table4[[#This Row],[Home]],Table4[[#This Row],[Visitor]])</f>
        <v>Carolina Hurricanes</v>
      </c>
      <c r="L212" s="11">
        <f ca="1"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0.66562814327981723</v>
      </c>
      <c r="M212" t="str">
        <f ca="1">IF(OR((NHL2025_26Results[[#This Row],[Winning Team]]="")),"-",IF(Table4[[#This Row],[Predicted Winner]]=NHL2025_26Results[[#This Row],[Winning Team]],"YES","NO"))</f>
        <v>YES</v>
      </c>
      <c r="N212">
        <f ca="1">IF(Table4[[#This Row],[Adjusted Correct]]="-", "",IF(Table4[[#This Row],[Adjusted Correct]]="YES",(Table4[[#This Row],[Strength of Win]]-1)^2,(Table4[[#This Row],[Strength of Win]]-0)^2))</f>
        <v>0.11180453856650244</v>
      </c>
      <c r="O212">
        <v>-1.4110652638033832</v>
      </c>
      <c r="P212" s="11"/>
      <c r="Q212" t="s">
        <v>25</v>
      </c>
      <c r="R212" t="s">
        <v>248</v>
      </c>
    </row>
    <row r="213" spans="4:20" x14ac:dyDescent="0.2">
      <c r="D213" s="1">
        <v>45965</v>
      </c>
      <c r="E213" s="2">
        <v>0.91666666666666663</v>
      </c>
      <c r="F213" t="s">
        <v>20</v>
      </c>
      <c r="G213">
        <f>VLOOKUP(Table4[[#This Row],[Home]],'NHL Model'!$A$6:$B$38,2,FALSE)</f>
        <v>-6.3745791019188943E-4</v>
      </c>
      <c r="H213" t="s">
        <v>26</v>
      </c>
      <c r="I213">
        <f>VLOOKUP(Table4[[#This Row],[Visitor]],'NHL Model'!$A$6:$B$38,2,FALSE)</f>
        <v>-0.513643833119658</v>
      </c>
      <c r="J213">
        <f ca="1">($B$1+Table4[[#This Row],[Home Differential]])-Table4[[#This Row],[Away Differential]]</f>
        <v>0.67557868487178452</v>
      </c>
      <c r="K213" t="str">
        <f ca="1">IF(Table4[[#This Row],[HomeIce Differential]]&gt;0,Table4[[#This Row],[Home]],Table4[[#This Row],[Visitor]])</f>
        <v>Vegas Golden Knights</v>
      </c>
      <c r="L213" s="11">
        <f ca="1"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0.58650788858231029</v>
      </c>
      <c r="M213" t="str">
        <f ca="1">IF(OR((NHL2025_26Results[[#This Row],[Winning Team]]="")),"-",IF(Table4[[#This Row],[Predicted Winner]]=NHL2025_26Results[[#This Row],[Winning Team]],"YES","NO"))</f>
        <v>YES</v>
      </c>
      <c r="N213">
        <f ca="1">IF(Table4[[#This Row],[Adjusted Correct]]="-", "",IF(Table4[[#This Row],[Adjusted Correct]]="YES",(Table4[[#This Row],[Strength of Win]]-1)^2,(Table4[[#This Row],[Strength of Win]]-0)^2))</f>
        <v>0.17097572620465912</v>
      </c>
      <c r="O213">
        <v>1.0630580212597851</v>
      </c>
      <c r="P213" s="11"/>
      <c r="Q213" t="s">
        <v>20</v>
      </c>
      <c r="R213" t="s">
        <v>248</v>
      </c>
    </row>
    <row r="214" spans="4:20" x14ac:dyDescent="0.2">
      <c r="D214" s="1">
        <v>45966</v>
      </c>
      <c r="E214" s="2">
        <v>0.89583333333333337</v>
      </c>
      <c r="F214" t="s">
        <v>16</v>
      </c>
      <c r="G214">
        <f>VLOOKUP(Table4[[#This Row],[Home]],'NHL Model'!$A$6:$B$38,2,FALSE)</f>
        <v>-1.3903684122795328</v>
      </c>
      <c r="H214" t="s">
        <v>28</v>
      </c>
      <c r="I214">
        <f>VLOOKUP(Table4[[#This Row],[Visitor]],'NHL Model'!$A$6:$B$38,2,FALSE)</f>
        <v>-0.40822279081308277</v>
      </c>
      <c r="J214">
        <f ca="1">($B$1+Table4[[#This Row],[Home Differential]])-Table4[[#This Row],[Away Differential]]</f>
        <v>-0.81957331180413162</v>
      </c>
      <c r="K214" t="str">
        <f ca="1">IF(Table4[[#This Row],[HomeIce Differential]]&gt;0,Table4[[#This Row],[Home]],Table4[[#This Row],[Visitor]])</f>
        <v>Columbus Blue Jackets</v>
      </c>
      <c r="L214" s="11">
        <f ca="1"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0.5943282139760544</v>
      </c>
      <c r="M214" t="str">
        <f ca="1">IF(OR((NHL2025_26Results[[#This Row],[Winning Team]]="")),"-",IF(Table4[[#This Row],[Predicted Winner]]=NHL2025_26Results[[#This Row],[Winning Team]],"YES","NO"))</f>
        <v>NO</v>
      </c>
      <c r="N214">
        <f ca="1">IF(Table4[[#This Row],[Adjusted Correct]]="-", "",IF(Table4[[#This Row],[Adjusted Correct]]="YES",(Table4[[#This Row],[Strength of Win]]-1)^2,(Table4[[#This Row],[Strength of Win]]-0)^2))</f>
        <v>0.3532260259279667</v>
      </c>
      <c r="O214">
        <v>1.5230300988070606</v>
      </c>
      <c r="P214" s="11"/>
      <c r="Q214" t="s">
        <v>20</v>
      </c>
      <c r="R214" t="s">
        <v>248</v>
      </c>
    </row>
    <row r="215" spans="4:20" x14ac:dyDescent="0.2">
      <c r="D215" s="1">
        <v>45966</v>
      </c>
      <c r="E215" s="2">
        <v>0.91666666666666663</v>
      </c>
      <c r="F215" t="s">
        <v>32</v>
      </c>
      <c r="G215">
        <f>VLOOKUP(Table4[[#This Row],[Home]],'NHL Model'!$A$6:$B$38,2,FALSE)</f>
        <v>-0.361361309178443</v>
      </c>
      <c r="H215" t="s">
        <v>33</v>
      </c>
      <c r="I215">
        <f>VLOOKUP(Table4[[#This Row],[Visitor]],'NHL Model'!$A$6:$B$38,2,FALSE)</f>
        <v>-0.39418177254008485</v>
      </c>
      <c r="J215">
        <f ca="1">($B$1+Table4[[#This Row],[Home Differential]])-Table4[[#This Row],[Away Differential]]</f>
        <v>0.19539277302396024</v>
      </c>
      <c r="K215" t="str">
        <f ca="1">IF(Table4[[#This Row],[HomeIce Differential]]&gt;0,Table4[[#This Row],[Home]],Table4[[#This Row],[Visitor]])</f>
        <v>Seattle Kraken</v>
      </c>
      <c r="L215" s="11">
        <f ca="1"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0.59311109745196033</v>
      </c>
      <c r="M215" t="str">
        <f ca="1">IF(OR((NHL2025_26Results[[#This Row],[Winning Team]]="")),"-",IF(Table4[[#This Row],[Predicted Winner]]=NHL2025_26Results[[#This Row],[Winning Team]],"YES","NO"))</f>
        <v>NO</v>
      </c>
      <c r="N215">
        <f ca="1">IF(Table4[[#This Row],[Adjusted Correct]]="-", "",IF(Table4[[#This Row],[Adjusted Correct]]="YES",(Table4[[#This Row],[Strength of Win]]-1)^2,(Table4[[#This Row],[Strength of Win]]-0)^2))</f>
        <v>0.35178077392066881</v>
      </c>
      <c r="O215">
        <v>-4.76209127026479E-2</v>
      </c>
      <c r="P215" s="11"/>
      <c r="Q215" t="s">
        <v>28</v>
      </c>
      <c r="R215" t="s">
        <v>249</v>
      </c>
    </row>
    <row r="216" spans="4:20" x14ac:dyDescent="0.2">
      <c r="D216" s="1">
        <v>45966</v>
      </c>
      <c r="E216" s="2">
        <v>0.79166666666666663</v>
      </c>
      <c r="F216" t="s">
        <v>19</v>
      </c>
      <c r="G216">
        <f>VLOOKUP(Table4[[#This Row],[Home]],'NHL Model'!$A$6:$B$38,2,FALSE)</f>
        <v>-0.635565543477981</v>
      </c>
      <c r="H216" t="s">
        <v>55</v>
      </c>
      <c r="I216">
        <f>VLOOKUP(Table4[[#This Row],[Visitor]],'NHL Model'!$A$6:$B$38,2,FALSE)</f>
        <v>-0.12212311954851815</v>
      </c>
      <c r="J216">
        <f ca="1">($B$1+Table4[[#This Row],[Home Differential]])-Table4[[#This Row],[Away Differential]]</f>
        <v>-0.35087011426714443</v>
      </c>
      <c r="K216" t="str">
        <f ca="1">IF(Table4[[#This Row],[HomeIce Differential]]&gt;0,Table4[[#This Row],[Home]],Table4[[#This Row],[Visitor]])</f>
        <v>Utah Mammoth</v>
      </c>
      <c r="L216" s="11">
        <f ca="1"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0.5086160943017155</v>
      </c>
      <c r="M216" t="str">
        <f ca="1">IF(OR((NHL2025_26Results[[#This Row],[Winning Team]]="")),"-",IF(Table4[[#This Row],[Predicted Winner]]=NHL2025_26Results[[#This Row],[Winning Team]],"YES","NO"))</f>
        <v>NO</v>
      </c>
      <c r="N216">
        <f ca="1">IF(Table4[[#This Row],[Adjusted Correct]]="-", "",IF(Table4[[#This Row],[Adjusted Correct]]="YES",(Table4[[#This Row],[Strength of Win]]-1)^2,(Table4[[#This Row],[Strength of Win]]-0)^2))</f>
        <v>0.25869033138273156</v>
      </c>
      <c r="O216">
        <v>0.5262693396027317</v>
      </c>
      <c r="P216" s="11"/>
      <c r="Q216" t="s">
        <v>32</v>
      </c>
      <c r="R216" t="s">
        <v>249</v>
      </c>
    </row>
    <row r="217" spans="4:20" x14ac:dyDescent="0.2">
      <c r="D217" s="1">
        <v>45966</v>
      </c>
      <c r="E217" s="2">
        <v>0.91666666666666663</v>
      </c>
      <c r="F217" t="s">
        <v>38</v>
      </c>
      <c r="G217">
        <f>VLOOKUP(Table4[[#This Row],[Home]],'NHL Model'!$A$6:$B$38,2,FALSE)</f>
        <v>-0.6902088310934803</v>
      </c>
      <c r="H217" t="s">
        <v>10</v>
      </c>
      <c r="I217">
        <f>VLOOKUP(Table4[[#This Row],[Visitor]],'NHL Model'!$A$6:$B$38,2,FALSE)</f>
        <v>0.30570968833820172</v>
      </c>
      <c r="J217">
        <f ca="1">($B$1+Table4[[#This Row],[Home Differential]])-Table4[[#This Row],[Away Differential]]</f>
        <v>-0.83334620976936358</v>
      </c>
      <c r="K217" t="str">
        <f ca="1">IF(Table4[[#This Row],[HomeIce Differential]]&gt;0,Table4[[#This Row],[Home]],Table4[[#This Row],[Visitor]])</f>
        <v>Chicago Blackhawks</v>
      </c>
      <c r="L217" s="11">
        <f ca="1"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0.59623656831875516</v>
      </c>
      <c r="M217" t="str">
        <f ca="1">IF(OR((NHL2025_26Results[[#This Row],[Winning Team]]="")),"-",IF(Table4[[#This Row],[Predicted Winner]]=NHL2025_26Results[[#This Row],[Winning Team]],"YES","NO"))</f>
        <v>YES</v>
      </c>
      <c r="N217">
        <f ca="1">IF(Table4[[#This Row],[Adjusted Correct]]="-", "",IF(Table4[[#This Row],[Adjusted Correct]]="YES",(Table4[[#This Row],[Strength of Win]]-1)^2,(Table4[[#This Row],[Strength of Win]]-0)^2))</f>
        <v>0.16302490876301529</v>
      </c>
      <c r="O217">
        <v>0.18113531676155015</v>
      </c>
      <c r="P217" s="11"/>
      <c r="Q217" t="s">
        <v>55</v>
      </c>
      <c r="R217" t="s">
        <v>249</v>
      </c>
    </row>
    <row r="218" spans="4:20" x14ac:dyDescent="0.2">
      <c r="D218" s="1">
        <v>45966</v>
      </c>
      <c r="E218" s="2">
        <v>0.8125</v>
      </c>
      <c r="F218" t="s">
        <v>22</v>
      </c>
      <c r="G218">
        <f>VLOOKUP(Table4[[#This Row],[Home]],'NHL Model'!$A$6:$B$38,2,FALSE)</f>
        <v>-6.1308839486784707E-2</v>
      </c>
      <c r="H218" t="s">
        <v>35</v>
      </c>
      <c r="I218">
        <f>VLOOKUP(Table4[[#This Row],[Visitor]],'NHL Model'!$A$6:$B$38,2,FALSE)</f>
        <v>-1.6211574240381006</v>
      </c>
      <c r="J218">
        <f ca="1">($B$1+Table4[[#This Row],[Home Differential]])-Table4[[#This Row],[Away Differential]]</f>
        <v>1.7224208942136343</v>
      </c>
      <c r="K218" t="str">
        <f ca="1">IF(Table4[[#This Row],[HomeIce Differential]]&gt;0,Table4[[#This Row],[Home]],Table4[[#This Row],[Visitor]])</f>
        <v>Washington Capitals</v>
      </c>
      <c r="L218" s="11">
        <f ca="1"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0.7786563381017384</v>
      </c>
      <c r="M218" t="str">
        <f ca="1">IF(OR((NHL2025_26Results[[#This Row],[Winning Team]]="")),"-",IF(Table4[[#This Row],[Predicted Winner]]=NHL2025_26Results[[#This Row],[Winning Team]],"YES","NO"))</f>
        <v>YES</v>
      </c>
      <c r="N218">
        <f ca="1">IF(Table4[[#This Row],[Adjusted Correct]]="-", "",IF(Table4[[#This Row],[Adjusted Correct]]="YES",(Table4[[#This Row],[Strength of Win]]-1)^2,(Table4[[#This Row],[Strength of Win]]-0)^2))</f>
        <v>4.8993016662531946E-2</v>
      </c>
      <c r="O218">
        <v>-0.44900289467076382</v>
      </c>
      <c r="P218" s="11"/>
      <c r="Q218" t="s">
        <v>10</v>
      </c>
      <c r="R218" t="s">
        <v>248</v>
      </c>
      <c r="T218" t="s">
        <v>254</v>
      </c>
    </row>
    <row r="219" spans="4:20" x14ac:dyDescent="0.2">
      <c r="D219" s="1">
        <v>45967</v>
      </c>
      <c r="E219" s="2">
        <v>0.79166666666666663</v>
      </c>
      <c r="F219" t="s">
        <v>21</v>
      </c>
      <c r="G219">
        <f>VLOOKUP(Table4[[#This Row],[Home]],'NHL Model'!$A$6:$B$38,2,FALSE)</f>
        <v>4.029141914856392E-2</v>
      </c>
      <c r="H219" t="s">
        <v>36</v>
      </c>
      <c r="I219">
        <f>VLOOKUP(Table4[[#This Row],[Visitor]],'NHL Model'!$A$6:$B$38,2,FALSE)</f>
        <v>-0.40651947573390851</v>
      </c>
      <c r="J219">
        <f ca="1">($B$1+Table4[[#This Row],[Home Differential]])-Table4[[#This Row],[Away Differential]]</f>
        <v>0.60938320454479089</v>
      </c>
      <c r="K219" t="str">
        <f ca="1">IF(Table4[[#This Row],[HomeIce Differential]]&gt;0,Table4[[#This Row],[Home]],Table4[[#This Row],[Visitor]])</f>
        <v>Boston Bruins</v>
      </c>
      <c r="L219" s="11">
        <f ca="1"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0.6969927499989883</v>
      </c>
      <c r="M219" t="str">
        <f ca="1">IF(OR((NHL2025_26Results[[#This Row],[Winning Team]]="")),"-",IF(Table4[[#This Row],[Predicted Winner]]=NHL2025_26Results[[#This Row],[Winning Team]],"YES","NO"))</f>
        <v>YES</v>
      </c>
      <c r="N219">
        <f ca="1">IF(Table4[[#This Row],[Adjusted Correct]]="-", "",IF(Table4[[#This Row],[Adjusted Correct]]="YES",(Table4[[#This Row],[Strength of Win]]-1)^2,(Table4[[#This Row],[Strength of Win]]-0)^2))</f>
        <v>9.181339355317561E-2</v>
      </c>
      <c r="O219">
        <v>0.90690422304210028</v>
      </c>
      <c r="P219" s="11">
        <v>0.71293671036303774</v>
      </c>
      <c r="Q219" t="s">
        <v>21</v>
      </c>
      <c r="R219" t="s">
        <v>248</v>
      </c>
    </row>
    <row r="220" spans="4:20" x14ac:dyDescent="0.2">
      <c r="D220" s="1">
        <v>45967</v>
      </c>
      <c r="E220" s="2">
        <v>0.79166666666666663</v>
      </c>
      <c r="F220" t="s">
        <v>23</v>
      </c>
      <c r="G220">
        <f>VLOOKUP(Table4[[#This Row],[Home]],'NHL Model'!$A$6:$B$38,2,FALSE)</f>
        <v>-0.8683412362501769</v>
      </c>
      <c r="H220" t="s">
        <v>35</v>
      </c>
      <c r="I220">
        <f>VLOOKUP(Table4[[#This Row],[Visitor]],'NHL Model'!$A$6:$B$38,2,FALSE)</f>
        <v>-1.6211574240381006</v>
      </c>
      <c r="J220">
        <f ca="1">($B$1+Table4[[#This Row],[Home Differential]])-Table4[[#This Row],[Away Differential]]</f>
        <v>0.91538849745024209</v>
      </c>
      <c r="K220" t="str">
        <f ca="1">IF(Table4[[#This Row],[HomeIce Differential]]&gt;0,Table4[[#This Row],[Home]],Table4[[#This Row],[Visitor]])</f>
        <v>Buffalo Sabres</v>
      </c>
      <c r="L220" s="11">
        <f ca="1"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0.66683500732941703</v>
      </c>
      <c r="M220" t="str">
        <f ca="1">IF(OR((NHL2025_26Results[[#This Row],[Winning Team]]="")),"-",IF(Table4[[#This Row],[Predicted Winner]]=NHL2025_26Results[[#This Row],[Winning Team]],"YES","NO"))</f>
        <v>NO</v>
      </c>
      <c r="N220">
        <f ca="1">IF(Table4[[#This Row],[Adjusted Correct]]="-", "",IF(Table4[[#This Row],[Adjusted Correct]]="YES",(Table4[[#This Row],[Strength of Win]]-1)^2,(Table4[[#This Row],[Strength of Win]]-0)^2))</f>
        <v>0.44466892700002364</v>
      </c>
      <c r="O220">
        <v>1.925566664482226</v>
      </c>
      <c r="P220" s="11">
        <v>0.70580738997245784</v>
      </c>
      <c r="Q220" t="s">
        <v>23</v>
      </c>
      <c r="R220" t="s">
        <v>249</v>
      </c>
    </row>
    <row r="221" spans="4:20" x14ac:dyDescent="0.2">
      <c r="D221" s="1">
        <v>45967</v>
      </c>
      <c r="E221" s="2">
        <v>0.79166666666666663</v>
      </c>
      <c r="F221" t="s">
        <v>25</v>
      </c>
      <c r="G221">
        <f>VLOOKUP(Table4[[#This Row],[Home]],'NHL Model'!$A$6:$B$38,2,FALSE)</f>
        <v>0.67193921242367816</v>
      </c>
      <c r="H221" t="s">
        <v>34</v>
      </c>
      <c r="I221">
        <f>VLOOKUP(Table4[[#This Row],[Visitor]],'NHL Model'!$A$6:$B$38,2,FALSE)</f>
        <v>-0.53650300840565446</v>
      </c>
      <c r="J221">
        <f ca="1">($B$1+Table4[[#This Row],[Home Differential]])-Table4[[#This Row],[Away Differential]]</f>
        <v>1.371014530491651</v>
      </c>
      <c r="K221" t="str">
        <f ca="1">IF(Table4[[#This Row],[HomeIce Differential]]&gt;0,Table4[[#This Row],[Home]],Table4[[#This Row],[Visitor]])</f>
        <v>Carolina Hurricanes</v>
      </c>
      <c r="L221" s="11">
        <f ca="1"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0.78168191812330268</v>
      </c>
      <c r="M221" t="str">
        <f ca="1">IF(OR((NHL2025_26Results[[#This Row],[Winning Team]]="")),"-",IF(Table4[[#This Row],[Predicted Winner]]=NHL2025_26Results[[#This Row],[Winning Team]],"YES","NO"))</f>
        <v>YES</v>
      </c>
      <c r="N221">
        <f ca="1">IF(Table4[[#This Row],[Adjusted Correct]]="-", "",IF(Table4[[#This Row],[Adjusted Correct]]="YES",(Table4[[#This Row],[Strength of Win]]-1)^2,(Table4[[#This Row],[Strength of Win]]-0)^2))</f>
        <v>4.7662784874320317E-2</v>
      </c>
      <c r="O221">
        <v>2.7341687146282365</v>
      </c>
      <c r="P221" s="11">
        <v>0.9490629979725963</v>
      </c>
      <c r="Q221" t="s">
        <v>25</v>
      </c>
      <c r="R221" t="s">
        <v>248</v>
      </c>
    </row>
    <row r="222" spans="4:20" x14ac:dyDescent="0.2">
      <c r="D222" s="1">
        <v>45967</v>
      </c>
      <c r="E222" s="2">
        <v>0.83333333333333337</v>
      </c>
      <c r="F222" t="s">
        <v>39</v>
      </c>
      <c r="G222">
        <f>VLOOKUP(Table4[[#This Row],[Home]],'NHL Model'!$A$6:$B$38,2,FALSE)</f>
        <v>0.19809534061227302</v>
      </c>
      <c r="H222" t="s">
        <v>31</v>
      </c>
      <c r="I222">
        <f>VLOOKUP(Table4[[#This Row],[Visitor]],'NHL Model'!$A$6:$B$38,2,FALSE)</f>
        <v>0.51775546328552802</v>
      </c>
      <c r="J222">
        <f ca="1">($B$1+Table4[[#This Row],[Home Differential]])-Table4[[#This Row],[Away Differential]]</f>
        <v>-0.15708781301093661</v>
      </c>
      <c r="K222" t="str">
        <f ca="1">IF(Table4[[#This Row],[HomeIce Differential]]&gt;0,Table4[[#This Row],[Home]],Table4[[#This Row],[Visitor]])</f>
        <v>Anaheim Ducks</v>
      </c>
      <c r="L222" s="11">
        <f ca="1"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0.47631133206095966</v>
      </c>
      <c r="M222" t="str">
        <f ca="1">IF(OR((NHL2025_26Results[[#This Row],[Winning Team]]="")),"-",IF(Table4[[#This Row],[Predicted Winner]]=NHL2025_26Results[[#This Row],[Winning Team]],"YES","NO"))</f>
        <v>YES</v>
      </c>
      <c r="N222">
        <f ca="1">IF(Table4[[#This Row],[Adjusted Correct]]="-", "",IF(Table4[[#This Row],[Adjusted Correct]]="YES",(Table4[[#This Row],[Strength of Win]]-1)^2,(Table4[[#This Row],[Strength of Win]]-0)^2))</f>
        <v>0.27424982092776645</v>
      </c>
      <c r="O222">
        <v>-1.130639668570925</v>
      </c>
      <c r="P222" s="11">
        <v>0.70949722264868176</v>
      </c>
      <c r="Q222" t="s">
        <v>31</v>
      </c>
      <c r="R222" t="s">
        <v>248</v>
      </c>
    </row>
    <row r="223" spans="4:20" x14ac:dyDescent="0.2">
      <c r="D223" s="1">
        <v>45967</v>
      </c>
      <c r="E223" s="2">
        <v>0.91666666666666663</v>
      </c>
      <c r="F223" t="s">
        <v>13</v>
      </c>
      <c r="G223">
        <f>VLOOKUP(Table4[[#This Row],[Home]],'NHL Model'!$A$6:$B$38,2,FALSE)</f>
        <v>-7.5459708298993802E-2</v>
      </c>
      <c r="H223" t="s">
        <v>11</v>
      </c>
      <c r="I223">
        <f>VLOOKUP(Table4[[#This Row],[Visitor]],'NHL Model'!$A$6:$B$38,2,FALSE)</f>
        <v>-0.28105923893144158</v>
      </c>
      <c r="J223">
        <f ca="1">($B$1+Table4[[#This Row],[Home Differential]])-Table4[[#This Row],[Away Differential]]</f>
        <v>0.36817184029476618</v>
      </c>
      <c r="K223" t="str">
        <f ca="1">IF(Table4[[#This Row],[HomeIce Differential]]&gt;0,Table4[[#This Row],[Home]],Table4[[#This Row],[Visitor]])</f>
        <v>Los Angeles Kings</v>
      </c>
      <c r="L223" s="11">
        <f ca="1"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0.59101339834654187</v>
      </c>
      <c r="M223" t="str">
        <f ca="1">IF(OR((NHL2025_26Results[[#This Row],[Winning Team]]="")),"-",IF(Table4[[#This Row],[Predicted Winner]]=NHL2025_26Results[[#This Row],[Winning Team]],"YES","NO"))</f>
        <v>NO</v>
      </c>
      <c r="N223">
        <f ca="1">IF(Table4[[#This Row],[Adjusted Correct]]="-", "",IF(Table4[[#This Row],[Adjusted Correct]]="YES",(Table4[[#This Row],[Strength of Win]]-1)^2,(Table4[[#This Row],[Strength of Win]]-0)^2))</f>
        <v>0.3492968370251282</v>
      </c>
      <c r="O223">
        <v>0.46423759997254921</v>
      </c>
      <c r="P223" s="11">
        <v>0.46593451019157689</v>
      </c>
      <c r="Q223" t="s">
        <v>13</v>
      </c>
      <c r="R223" t="s">
        <v>248</v>
      </c>
    </row>
    <row r="224" spans="4:20" x14ac:dyDescent="0.2">
      <c r="D224" s="1">
        <v>45967</v>
      </c>
      <c r="E224" s="2">
        <v>0.79166666666666663</v>
      </c>
      <c r="F224" t="s">
        <v>24</v>
      </c>
      <c r="G224">
        <f>VLOOKUP(Table4[[#This Row],[Home]],'NHL Model'!$A$6:$B$38,2,FALSE)</f>
        <v>0.559441163373953</v>
      </c>
      <c r="H224" t="s">
        <v>18</v>
      </c>
      <c r="I224">
        <f>VLOOKUP(Table4[[#This Row],[Visitor]],'NHL Model'!$A$6:$B$38,2,FALSE)</f>
        <v>-0.52437726201848234</v>
      </c>
      <c r="J224">
        <f ca="1">($B$1+Table4[[#This Row],[Home Differential]])-Table4[[#This Row],[Away Differential]]</f>
        <v>1.2463907350547538</v>
      </c>
      <c r="K224" t="str">
        <f ca="1">IF(Table4[[#This Row],[HomeIce Differential]]&gt;0,Table4[[#This Row],[Home]],Table4[[#This Row],[Visitor]])</f>
        <v>New Jersey Devils</v>
      </c>
      <c r="L224" s="11">
        <f ca="1"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0.75603156851580056</v>
      </c>
      <c r="M224" t="str">
        <f ca="1">IF(OR((NHL2025_26Results[[#This Row],[Winning Team]]="")),"-",IF(Table4[[#This Row],[Predicted Winner]]=NHL2025_26Results[[#This Row],[Winning Team]],"YES","NO"))</f>
        <v>YES</v>
      </c>
      <c r="N224">
        <f ca="1">IF(Table4[[#This Row],[Adjusted Correct]]="-", "",IF(Table4[[#This Row],[Adjusted Correct]]="YES",(Table4[[#This Row],[Strength of Win]]-1)^2,(Table4[[#This Row],[Strength of Win]]-0)^2))</f>
        <v>5.952059556086052E-2</v>
      </c>
      <c r="O224">
        <v>0.89057694464792725</v>
      </c>
      <c r="P224" s="11">
        <v>0.72830199952182506</v>
      </c>
      <c r="Q224" t="s">
        <v>24</v>
      </c>
      <c r="R224" t="s">
        <v>248</v>
      </c>
    </row>
    <row r="225" spans="4:18" x14ac:dyDescent="0.2">
      <c r="D225" s="1">
        <v>45967</v>
      </c>
      <c r="E225" s="2">
        <v>0.83333333333333337</v>
      </c>
      <c r="F225" t="s">
        <v>29</v>
      </c>
      <c r="G225">
        <f>VLOOKUP(Table4[[#This Row],[Home]],'NHL Model'!$A$6:$B$38,2,FALSE)</f>
        <v>-1.3516250707060606</v>
      </c>
      <c r="H225" t="s">
        <v>27</v>
      </c>
      <c r="I225">
        <f>VLOOKUP(Table4[[#This Row],[Visitor]],'NHL Model'!$A$6:$B$38,2,FALSE)</f>
        <v>-0.51358590497437617</v>
      </c>
      <c r="J225">
        <f ca="1">($B$1+Table4[[#This Row],[Home Differential]])-Table4[[#This Row],[Away Differential]]</f>
        <v>-0.67546685606936607</v>
      </c>
      <c r="K225" t="str">
        <f ca="1">IF(Table4[[#This Row],[HomeIce Differential]]&gt;0,Table4[[#This Row],[Home]],Table4[[#This Row],[Visitor]])</f>
        <v>Philadelphia Flyers</v>
      </c>
      <c r="L225" s="11">
        <f ca="1"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0.55359178521357078</v>
      </c>
      <c r="M225" t="str">
        <f ca="1">IF(OR((NHL2025_26Results[[#This Row],[Winning Team]]="")),"-",IF(Table4[[#This Row],[Predicted Winner]]=NHL2025_26Results[[#This Row],[Winning Team]],"YES","NO"))</f>
        <v>YES</v>
      </c>
      <c r="N225">
        <f ca="1">IF(Table4[[#This Row],[Adjusted Correct]]="-", "",IF(Table4[[#This Row],[Adjusted Correct]]="YES",(Table4[[#This Row],[Strength of Win]]-1)^2,(Table4[[#This Row],[Strength of Win]]-0)^2))</f>
        <v>0.19928029422880672</v>
      </c>
      <c r="O225">
        <v>-0.71361525012750082</v>
      </c>
      <c r="P225" s="11">
        <v>0.58495636257548689</v>
      </c>
      <c r="Q225" t="s">
        <v>27</v>
      </c>
      <c r="R225" t="s">
        <v>248</v>
      </c>
    </row>
    <row r="226" spans="4:18" x14ac:dyDescent="0.2">
      <c r="D226" s="1">
        <v>45967</v>
      </c>
      <c r="E226" s="2">
        <v>0.8125</v>
      </c>
      <c r="F226" t="s">
        <v>14</v>
      </c>
      <c r="G226">
        <f>VLOOKUP(Table4[[#This Row],[Home]],'NHL Model'!$A$6:$B$38,2,FALSE)</f>
        <v>0.26289091192875702</v>
      </c>
      <c r="H226" t="s">
        <v>22</v>
      </c>
      <c r="I226">
        <f>VLOOKUP(Table4[[#This Row],[Visitor]],'NHL Model'!$A$6:$B$38,2,FALSE)</f>
        <v>-6.1308839486784707E-2</v>
      </c>
      <c r="J226">
        <f ca="1">($B$1+Table4[[#This Row],[Home Differential]])-Table4[[#This Row],[Away Differential]]</f>
        <v>0.48677206107786014</v>
      </c>
      <c r="K226" t="str">
        <f ca="1">IF(Table4[[#This Row],[HomeIce Differential]]&gt;0,Table4[[#This Row],[Home]],Table4[[#This Row],[Visitor]])</f>
        <v>Pittsburgh Penguins</v>
      </c>
      <c r="L226" s="11">
        <f ca="1"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0.64348335285839042</v>
      </c>
      <c r="M226" t="str">
        <f ca="1">IF(OR((NHL2025_26Results[[#This Row],[Winning Team]]="")),"-",IF(Table4[[#This Row],[Predicted Winner]]=NHL2025_26Results[[#This Row],[Winning Team]],"YES","NO"))</f>
        <v>YES</v>
      </c>
      <c r="N226">
        <f ca="1">IF(Table4[[#This Row],[Adjusted Correct]]="-", "",IF(Table4[[#This Row],[Adjusted Correct]]="YES",(Table4[[#This Row],[Strength of Win]]-1)^2,(Table4[[#This Row],[Strength of Win]]-0)^2))</f>
        <v>0.12710411968909496</v>
      </c>
      <c r="O226">
        <v>0.69291313375044716</v>
      </c>
      <c r="P226" s="11">
        <v>0.67853927448673268</v>
      </c>
      <c r="Q226" t="s">
        <v>14</v>
      </c>
      <c r="R226" t="s">
        <v>248</v>
      </c>
    </row>
    <row r="227" spans="4:18" x14ac:dyDescent="0.2">
      <c r="D227" s="1">
        <v>45967</v>
      </c>
      <c r="E227" s="2">
        <v>0.91666666666666663</v>
      </c>
      <c r="F227" t="s">
        <v>20</v>
      </c>
      <c r="G227">
        <f>VLOOKUP(Table4[[#This Row],[Home]],'NHL Model'!$A$6:$B$38,2,FALSE)</f>
        <v>-6.3745791019188943E-4</v>
      </c>
      <c r="H227" t="s">
        <v>37</v>
      </c>
      <c r="I227">
        <f>VLOOKUP(Table4[[#This Row],[Visitor]],'NHL Model'!$A$6:$B$38,2,FALSE)</f>
        <v>-0.11309445867623392</v>
      </c>
      <c r="J227">
        <f ca="1">($B$1+Table4[[#This Row],[Home Differential]])-Table4[[#This Row],[Away Differential]]</f>
        <v>0.27502931042836043</v>
      </c>
      <c r="K227" t="str">
        <f ca="1">IF(Table4[[#This Row],[HomeIce Differential]]&gt;0,Table4[[#This Row],[Home]],Table4[[#This Row],[Visitor]])</f>
        <v>Vegas Golden Knights</v>
      </c>
      <c r="L227" s="11">
        <f ca="1"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0.53100830235762475</v>
      </c>
      <c r="M227" t="str">
        <f ca="1">IF(OR((NHL2025_26Results[[#This Row],[Winning Team]]="")),"-",IF(Table4[[#This Row],[Predicted Winner]]=NHL2025_26Results[[#This Row],[Winning Team]],"YES","NO"))</f>
        <v>NO</v>
      </c>
      <c r="N227">
        <f ca="1">IF(Table4[[#This Row],[Adjusted Correct]]="-", "",IF(Table4[[#This Row],[Adjusted Correct]]="YES",(Table4[[#This Row],[Strength of Win]]-1)^2,(Table4[[#This Row],[Strength of Win]]-0)^2))</f>
        <v>0.28196981717272662</v>
      </c>
      <c r="O227">
        <v>0.79076363896180213</v>
      </c>
      <c r="P227" s="11">
        <v>0.56501828602136839</v>
      </c>
      <c r="Q227" t="s">
        <v>20</v>
      </c>
      <c r="R227" t="s">
        <v>249</v>
      </c>
    </row>
    <row r="228" spans="4:18" x14ac:dyDescent="0.2">
      <c r="D228" s="1">
        <v>45968</v>
      </c>
      <c r="E228" s="2">
        <v>0.875</v>
      </c>
      <c r="F228" t="s">
        <v>16</v>
      </c>
      <c r="G228">
        <f>VLOOKUP(Table4[[#This Row],[Home]],'NHL Model'!$A$6:$B$38,2,FALSE)</f>
        <v>-1.3903684122795328</v>
      </c>
      <c r="H228" t="s">
        <v>10</v>
      </c>
      <c r="I228">
        <f>VLOOKUP(Table4[[#This Row],[Visitor]],'NHL Model'!$A$6:$B$38,2,FALSE)</f>
        <v>0.30570968833820172</v>
      </c>
      <c r="J228">
        <f ca="1">($B$1+Table4[[#This Row],[Home Differential]])-Table4[[#This Row],[Away Differential]]</f>
        <v>-1.5335057909554162</v>
      </c>
      <c r="K228" t="str">
        <f ca="1">IF(Table4[[#This Row],[HomeIce Differential]]&gt;0,Table4[[#This Row],[Home]],Table4[[#This Row],[Visitor]])</f>
        <v>Chicago Blackhawks</v>
      </c>
      <c r="L228" s="11">
        <f ca="1"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0.69324974453721833</v>
      </c>
      <c r="M228" t="str">
        <f ca="1">IF(OR((NHL2025_26Results[[#This Row],[Winning Team]]="")),"-",IF(Table4[[#This Row],[Predicted Winner]]=NHL2025_26Results[[#This Row],[Winning Team]],"YES","NO"))</f>
        <v>YES</v>
      </c>
      <c r="N228">
        <f ca="1">IF(Table4[[#This Row],[Adjusted Correct]]="-", "",IF(Table4[[#This Row],[Adjusted Correct]]="YES",(Table4[[#This Row],[Strength of Win]]-1)^2,(Table4[[#This Row],[Strength of Win]]-0)^2))</f>
        <v>9.4095719226481814E-2</v>
      </c>
      <c r="O228">
        <v>-0.89826751591011866</v>
      </c>
      <c r="P228" s="11">
        <v>0.57939682556639038</v>
      </c>
      <c r="Q228" t="s">
        <v>10</v>
      </c>
      <c r="R228" t="s">
        <v>248</v>
      </c>
    </row>
    <row r="229" spans="4:18" x14ac:dyDescent="0.2">
      <c r="D229" s="1">
        <v>45968</v>
      </c>
      <c r="E229" s="2">
        <v>0.79166666666666663</v>
      </c>
      <c r="F229" t="s">
        <v>26</v>
      </c>
      <c r="G229">
        <f>VLOOKUP(Table4[[#This Row],[Home]],'NHL Model'!$A$6:$B$38,2,FALSE)</f>
        <v>-0.513643833119658</v>
      </c>
      <c r="H229" t="s">
        <v>15</v>
      </c>
      <c r="I229">
        <f>VLOOKUP(Table4[[#This Row],[Visitor]],'NHL Model'!$A$6:$B$38,2,FALSE)</f>
        <v>-0.30719665303039001</v>
      </c>
      <c r="J229">
        <f ca="1">($B$1+Table4[[#This Row],[Home Differential]])-Table4[[#This Row],[Away Differential]]</f>
        <v>-4.3874870426949597E-2</v>
      </c>
      <c r="K229" t="str">
        <f ca="1">IF(Table4[[#This Row],[HomeIce Differential]]&gt;0,Table4[[#This Row],[Home]],Table4[[#This Row],[Visitor]])</f>
        <v>New York Rangers</v>
      </c>
      <c r="L229" s="11">
        <f ca="1"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0.58300232035652622</v>
      </c>
      <c r="M229" t="str">
        <f ca="1">IF(OR((NHL2025_26Results[[#This Row],[Winning Team]]="")),"-",IF(Table4[[#This Row],[Predicted Winner]]=NHL2025_26Results[[#This Row],[Winning Team]],"YES","NO"))</f>
        <v>YES</v>
      </c>
      <c r="N229">
        <f ca="1">IF(Table4[[#This Row],[Adjusted Correct]]="-", "",IF(Table4[[#This Row],[Adjusted Correct]]="YES",(Table4[[#This Row],[Strength of Win]]-1)^2,(Table4[[#This Row],[Strength of Win]]-0)^2))</f>
        <v>0.1738870648280412</v>
      </c>
      <c r="O229">
        <v>0.57594293334690938</v>
      </c>
      <c r="P229" s="11">
        <v>0.60286955183404634</v>
      </c>
      <c r="Q229" t="s">
        <v>26</v>
      </c>
      <c r="R229" t="s">
        <v>249</v>
      </c>
    </row>
    <row r="230" spans="4:18" x14ac:dyDescent="0.2">
      <c r="D230" s="1">
        <v>45968</v>
      </c>
      <c r="E230" s="2">
        <v>0.79166666666666663</v>
      </c>
      <c r="F230" t="s">
        <v>30</v>
      </c>
      <c r="G230">
        <f>VLOOKUP(Table4[[#This Row],[Home]],'NHL Model'!$A$6:$B$38,2,FALSE)</f>
        <v>-6.4729560818359025E-2</v>
      </c>
      <c r="H230" t="s">
        <v>34</v>
      </c>
      <c r="I230">
        <f>VLOOKUP(Table4[[#This Row],[Visitor]],'NHL Model'!$A$6:$B$38,2,FALSE)</f>
        <v>-0.53650300840565446</v>
      </c>
      <c r="J230">
        <f ca="1">($B$1+Table4[[#This Row],[Home Differential]])-Table4[[#This Row],[Away Differential]]</f>
        <v>0.63434575724961384</v>
      </c>
      <c r="K230" t="str">
        <f ca="1">IF(Table4[[#This Row],[HomeIce Differential]]&gt;0,Table4[[#This Row],[Home]],Table4[[#This Row],[Visitor]])</f>
        <v>New York Islanders</v>
      </c>
      <c r="L230" s="11">
        <f ca="1"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0.62789410069522178</v>
      </c>
      <c r="M230" t="str">
        <f ca="1">IF(OR((NHL2025_26Results[[#This Row],[Winning Team]]="")),"-",IF(Table4[[#This Row],[Predicted Winner]]=NHL2025_26Results[[#This Row],[Winning Team]],"YES","NO"))</f>
        <v>NO</v>
      </c>
      <c r="N230">
        <f ca="1">IF(Table4[[#This Row],[Adjusted Correct]]="-", "",IF(Table4[[#This Row],[Adjusted Correct]]="YES",(Table4[[#This Row],[Strength of Win]]-1)^2,(Table4[[#This Row],[Strength of Win]]-0)^2))</f>
        <v>0.39425100168786131</v>
      </c>
      <c r="O230">
        <v>1.0112573753351666</v>
      </c>
      <c r="P230" s="11">
        <v>0.68843194589673395</v>
      </c>
      <c r="Q230" t="s">
        <v>30</v>
      </c>
      <c r="R230" t="s">
        <v>249</v>
      </c>
    </row>
    <row r="231" spans="4:18" x14ac:dyDescent="0.2">
      <c r="D231" s="1">
        <v>45968</v>
      </c>
      <c r="E231" s="2">
        <v>0.91666666666666663</v>
      </c>
      <c r="F231" t="s">
        <v>33</v>
      </c>
      <c r="G231">
        <f>VLOOKUP(Table4[[#This Row],[Home]],'NHL Model'!$A$6:$B$38,2,FALSE)</f>
        <v>-0.39418177254008485</v>
      </c>
      <c r="H231" t="s">
        <v>40</v>
      </c>
      <c r="I231">
        <f>VLOOKUP(Table4[[#This Row],[Visitor]],'NHL Model'!$A$6:$B$38,2,FALSE)</f>
        <v>0.105105258369765</v>
      </c>
      <c r="J231">
        <f ca="1">($B$1+Table4[[#This Row],[Home Differential]])-Table4[[#This Row],[Away Differential]]</f>
        <v>-0.33671472124753143</v>
      </c>
      <c r="K231" t="str">
        <f ca="1">IF(Table4[[#This Row],[HomeIce Differential]]&gt;0,Table4[[#This Row],[Home]],Table4[[#This Row],[Visitor]])</f>
        <v>Winnipeg Jets</v>
      </c>
      <c r="L231" s="11">
        <f ca="1"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0.57297053142894316</v>
      </c>
      <c r="M231" t="str">
        <f ca="1">IF(OR((NHL2025_26Results[[#This Row],[Winning Team]]="")),"-",IF(Table4[[#This Row],[Predicted Winner]]=NHL2025_26Results[[#This Row],[Winning Team]],"YES","NO"))</f>
        <v>NO</v>
      </c>
      <c r="N231">
        <f ca="1">IF(Table4[[#This Row],[Adjusted Correct]]="-", "",IF(Table4[[#This Row],[Adjusted Correct]]="YES",(Table4[[#This Row],[Strength of Win]]-1)^2,(Table4[[#This Row],[Strength of Win]]-0)^2))</f>
        <v>0.32829522988596554</v>
      </c>
      <c r="O231">
        <v>-0.44469599768545998</v>
      </c>
      <c r="P231" s="11">
        <v>0.65612347547129402</v>
      </c>
      <c r="Q231" t="s">
        <v>40</v>
      </c>
      <c r="R231" t="s">
        <v>249</v>
      </c>
    </row>
    <row r="232" spans="4:18" x14ac:dyDescent="0.2">
      <c r="D232" s="1">
        <v>45969</v>
      </c>
      <c r="E232" s="2">
        <v>0.79166666666666663</v>
      </c>
      <c r="F232" t="s">
        <v>25</v>
      </c>
      <c r="G232">
        <f>VLOOKUP(Table4[[#This Row],[Home]],'NHL Model'!$A$6:$B$38,2,FALSE)</f>
        <v>0.67193921242367816</v>
      </c>
      <c r="H232" t="s">
        <v>23</v>
      </c>
      <c r="I232">
        <f>VLOOKUP(Table4[[#This Row],[Visitor]],'NHL Model'!$A$6:$B$38,2,FALSE)</f>
        <v>-0.8683412362501769</v>
      </c>
      <c r="J232">
        <f ca="1">($B$1+Table4[[#This Row],[Home Differential]])-Table4[[#This Row],[Away Differential]]</f>
        <v>1.7028527583361734</v>
      </c>
      <c r="K232" t="str">
        <f ca="1">IF(Table4[[#This Row],[HomeIce Differential]]&gt;0,Table4[[#This Row],[Home]],Table4[[#This Row],[Visitor]])</f>
        <v>Carolina Hurricanes</v>
      </c>
      <c r="L232" s="11">
        <f ca="1"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0.82766097966720042</v>
      </c>
      <c r="M232" t="str">
        <f ca="1">IF(OR((NHL2025_26Results[[#This Row],[Winning Team]]="")),"-",IF(Table4[[#This Row],[Predicted Winner]]=NHL2025_26Results[[#This Row],[Winning Team]],"YES","NO"))</f>
        <v>YES</v>
      </c>
      <c r="N232">
        <f ca="1">IF(Table4[[#This Row],[Adjusted Correct]]="-", "",IF(Table4[[#This Row],[Adjusted Correct]]="YES",(Table4[[#This Row],[Strength of Win]]-1)^2,(Table4[[#This Row],[Strength of Win]]-0)^2))</f>
        <v>2.9700737929269104E-2</v>
      </c>
      <c r="O232">
        <v>1.9351407626476336</v>
      </c>
      <c r="P232" s="11">
        <v>0.90867605461224943</v>
      </c>
      <c r="Q232" t="str">
        <f ca="1">IF(Table4[[#This Row],[HomeIce Differential]]&gt;0,Table4[[#This Row],[Home]],Table4[[#This Row],[Visitor]])</f>
        <v>Carolina Hurricanes</v>
      </c>
      <c r="R232" t="s">
        <v>248</v>
      </c>
    </row>
    <row r="233" spans="4:18" x14ac:dyDescent="0.2">
      <c r="D233" s="1">
        <v>45969</v>
      </c>
      <c r="E233" s="2">
        <v>0.91666666666666663</v>
      </c>
      <c r="F233" t="s">
        <v>17</v>
      </c>
      <c r="G233">
        <f>VLOOKUP(Table4[[#This Row],[Home]],'NHL Model'!$A$6:$B$38,2,FALSE)</f>
        <v>-0.61980804137564283</v>
      </c>
      <c r="H233" t="s">
        <v>12</v>
      </c>
      <c r="I233">
        <f>VLOOKUP(Table4[[#This Row],[Visitor]],'NHL Model'!$A$6:$B$38,2,FALSE)</f>
        <v>1.5475013591489768</v>
      </c>
      <c r="J233">
        <f ca="1">($B$1+Table4[[#This Row],[Home Differential]])-Table4[[#This Row],[Away Differential]]</f>
        <v>-2.0047370908623012</v>
      </c>
      <c r="K233" t="str">
        <f ca="1">IF(Table4[[#This Row],[HomeIce Differential]]&gt;0,Table4[[#This Row],[Home]],Table4[[#This Row],[Visitor]])</f>
        <v>Colorado Avalanche</v>
      </c>
      <c r="L233" s="11">
        <f ca="1"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0.76756961152749659</v>
      </c>
      <c r="M233" t="str">
        <f ca="1">IF(OR((NHL2025_26Results[[#This Row],[Winning Team]]="")),"-",IF(Table4[[#This Row],[Predicted Winner]]=NHL2025_26Results[[#This Row],[Winning Team]],"YES","NO"))</f>
        <v>YES</v>
      </c>
      <c r="N233">
        <f ca="1">IF(Table4[[#This Row],[Adjusted Correct]]="-", "",IF(Table4[[#This Row],[Adjusted Correct]]="YES",(Table4[[#This Row],[Strength of Win]]-1)^2,(Table4[[#This Row],[Strength of Win]]-0)^2))</f>
        <v>5.4023885485478845E-2</v>
      </c>
      <c r="O233">
        <v>-1.415580005270316</v>
      </c>
      <c r="P233" s="11">
        <v>0.62882698926750424</v>
      </c>
      <c r="Q233" t="str">
        <f ca="1">IF(Table4[[#This Row],[HomeIce Differential]]&gt;0,Table4[[#This Row],[Home]],Table4[[#This Row],[Visitor]])</f>
        <v>Colorado Avalanche</v>
      </c>
      <c r="R233" t="s">
        <v>248</v>
      </c>
    </row>
    <row r="234" spans="4:18" x14ac:dyDescent="0.2">
      <c r="D234" s="1">
        <v>45969</v>
      </c>
      <c r="E234" s="2">
        <v>0.79166666666666663</v>
      </c>
      <c r="F234" t="s">
        <v>18</v>
      </c>
      <c r="G234">
        <f>VLOOKUP(Table4[[#This Row],[Home]],'NHL Model'!$A$6:$B$38,2,FALSE)</f>
        <v>-0.52437726201848234</v>
      </c>
      <c r="H234" t="s">
        <v>55</v>
      </c>
      <c r="I234">
        <f>VLOOKUP(Table4[[#This Row],[Visitor]],'NHL Model'!$A$6:$B$38,2,FALSE)</f>
        <v>-0.12212311954851815</v>
      </c>
      <c r="J234">
        <f ca="1">($B$1+Table4[[#This Row],[Home Differential]])-Table4[[#This Row],[Away Differential]]</f>
        <v>-0.23968183280764579</v>
      </c>
      <c r="K234" t="str">
        <f ca="1">IF(Table4[[#This Row],[HomeIce Differential]]&gt;0,Table4[[#This Row],[Home]],Table4[[#This Row],[Visitor]])</f>
        <v>Utah Mammoth</v>
      </c>
      <c r="L234" s="11">
        <f ca="1"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0.49320999456030234</v>
      </c>
      <c r="M234" t="str">
        <f ca="1">IF(OR((NHL2025_26Results[[#This Row],[Winning Team]]="")),"-",IF(Table4[[#This Row],[Predicted Winner]]=NHL2025_26Results[[#This Row],[Winning Team]],"YES","NO"))</f>
        <v>NO</v>
      </c>
      <c r="N234">
        <f ca="1">IF(Table4[[#This Row],[Adjusted Correct]]="-", "",IF(Table4[[#This Row],[Adjusted Correct]]="YES",(Table4[[#This Row],[Strength of Win]]-1)^2,(Table4[[#This Row],[Strength of Win]]-0)^2))</f>
        <v>0.24325609873417348</v>
      </c>
      <c r="O234">
        <v>-9.1434980120831275E-2</v>
      </c>
      <c r="P234" s="11">
        <v>0.46748033858108706</v>
      </c>
      <c r="Q234" t="str">
        <f ca="1">IF(Table4[[#This Row],[HomeIce Differential]]&gt;0,Table4[[#This Row],[Home]],Table4[[#This Row],[Visitor]])</f>
        <v>Utah Mammoth</v>
      </c>
      <c r="R234" t="s">
        <v>248</v>
      </c>
    </row>
    <row r="235" spans="4:18" x14ac:dyDescent="0.2">
      <c r="D235" s="1">
        <v>45969</v>
      </c>
      <c r="E235" s="2">
        <v>0.52083333333333337</v>
      </c>
      <c r="F235" t="s">
        <v>24</v>
      </c>
      <c r="G235">
        <f>VLOOKUP(Table4[[#This Row],[Home]],'NHL Model'!$A$6:$B$38,2,FALSE)</f>
        <v>0.559441163373953</v>
      </c>
      <c r="H235" t="s">
        <v>14</v>
      </c>
      <c r="I235">
        <f>VLOOKUP(Table4[[#This Row],[Visitor]],'NHL Model'!$A$6:$B$38,2,FALSE)</f>
        <v>0.26289091192875702</v>
      </c>
      <c r="J235">
        <f ca="1">($B$1+Table4[[#This Row],[Home Differential]])-Table4[[#This Row],[Away Differential]]</f>
        <v>0.45912256110751437</v>
      </c>
      <c r="K235" t="str">
        <f ca="1">IF(Table4[[#This Row],[HomeIce Differential]]&gt;0,Table4[[#This Row],[Home]],Table4[[#This Row],[Visitor]])</f>
        <v>New Jersey Devils</v>
      </c>
      <c r="L235" s="11">
        <f ca="1"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0.71904612033080206</v>
      </c>
      <c r="M235" t="str">
        <f ca="1">IF(OR((NHL2025_26Results[[#This Row],[Winning Team]]="")),"-",IF(Table4[[#This Row],[Predicted Winner]]=NHL2025_26Results[[#This Row],[Winning Team]],"YES","NO"))</f>
        <v>YES</v>
      </c>
      <c r="N235">
        <f ca="1">IF(Table4[[#This Row],[Adjusted Correct]]="-", "",IF(Table4[[#This Row],[Adjusted Correct]]="YES",(Table4[[#This Row],[Strength of Win]]-1)^2,(Table4[[#This Row],[Strength of Win]]-0)^2))</f>
        <v>7.8935082501174147E-2</v>
      </c>
      <c r="O235">
        <v>0.39090755697587465</v>
      </c>
      <c r="P235" s="11">
        <v>0.69815702821232517</v>
      </c>
      <c r="Q235" t="str">
        <f ca="1">IF(Table4[[#This Row],[HomeIce Differential]]&gt;0,Table4[[#This Row],[Home]],Table4[[#This Row],[Visitor]])</f>
        <v>New Jersey Devils</v>
      </c>
      <c r="R235" t="s">
        <v>248</v>
      </c>
    </row>
    <row r="236" spans="4:18" x14ac:dyDescent="0.2">
      <c r="D236" s="1">
        <v>45969</v>
      </c>
      <c r="E236" s="2">
        <v>0.64583333333333337</v>
      </c>
      <c r="F236" t="s">
        <v>29</v>
      </c>
      <c r="G236">
        <f>VLOOKUP(Table4[[#This Row],[Home]],'NHL Model'!$A$6:$B$38,2,FALSE)</f>
        <v>-1.3516250707060606</v>
      </c>
      <c r="H236" t="s">
        <v>39</v>
      </c>
      <c r="I236">
        <f>VLOOKUP(Table4[[#This Row],[Visitor]],'NHL Model'!$A$6:$B$38,2,FALSE)</f>
        <v>0.19809534061227302</v>
      </c>
      <c r="J236">
        <f ca="1">($B$1+Table4[[#This Row],[Home Differential]])-Table4[[#This Row],[Away Differential]]</f>
        <v>-1.3871481016560152</v>
      </c>
      <c r="K236" t="str">
        <f ca="1">IF(Table4[[#This Row],[HomeIce Differential]]&gt;0,Table4[[#This Row],[Home]],Table4[[#This Row],[Visitor]])</f>
        <v>Dallas Stars</v>
      </c>
      <c r="L236" s="11">
        <f ca="1"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0.74468757570476962</v>
      </c>
      <c r="M236" t="str">
        <f ca="1">IF(OR((NHL2025_26Results[[#This Row],[Winning Team]]="")),"-",IF(Table4[[#This Row],[Predicted Winner]]=NHL2025_26Results[[#This Row],[Winning Team]],"YES","NO"))</f>
        <v>YES</v>
      </c>
      <c r="N236">
        <f ca="1">IF(Table4[[#This Row],[Adjusted Correct]]="-", "",IF(Table4[[#This Row],[Adjusted Correct]]="YES",(Table4[[#This Row],[Strength of Win]]-1)^2,(Table4[[#This Row],[Strength of Win]]-0)^2))</f>
        <v>6.518443399950774E-2</v>
      </c>
      <c r="O236">
        <v>-0.50338898510147534</v>
      </c>
      <c r="P236" s="11">
        <v>0.55198134388499531</v>
      </c>
      <c r="Q236" t="str">
        <f ca="1">IF(Table4[[#This Row],[HomeIce Differential]]&gt;0,Table4[[#This Row],[Home]],Table4[[#This Row],[Visitor]])</f>
        <v>Dallas Stars</v>
      </c>
      <c r="R236" t="s">
        <v>248</v>
      </c>
    </row>
    <row r="237" spans="4:18" x14ac:dyDescent="0.2">
      <c r="D237" s="1">
        <v>45969</v>
      </c>
      <c r="E237" s="2">
        <v>0.79166666666666663</v>
      </c>
      <c r="F237" t="s">
        <v>15</v>
      </c>
      <c r="G237">
        <f>VLOOKUP(Table4[[#This Row],[Home]],'NHL Model'!$A$6:$B$38,2,FALSE)</f>
        <v>-0.30719665303039001</v>
      </c>
      <c r="H237" t="s">
        <v>30</v>
      </c>
      <c r="I237">
        <f>VLOOKUP(Table4[[#This Row],[Visitor]],'NHL Model'!$A$6:$B$38,2,FALSE)</f>
        <v>-6.4729560818359025E-2</v>
      </c>
      <c r="J237">
        <f ca="1">($B$1+Table4[[#This Row],[Home Differential]])-Table4[[#This Row],[Away Differential]]</f>
        <v>-7.9894782549712592E-2</v>
      </c>
      <c r="K237" t="str">
        <f ca="1">IF(Table4[[#This Row],[HomeIce Differential]]&gt;0,Table4[[#This Row],[Home]],Table4[[#This Row],[Visitor]])</f>
        <v>New York Islanders</v>
      </c>
      <c r="L237" s="11">
        <f ca="1"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0.51358267715186356</v>
      </c>
      <c r="M237" t="str">
        <f ca="1">IF(OR((NHL2025_26Results[[#This Row],[Winning Team]]="")),"-",IF(Table4[[#This Row],[Predicted Winner]]=NHL2025_26Results[[#This Row],[Winning Team]],"YES","NO"))</f>
        <v>YES</v>
      </c>
      <c r="N237">
        <f ca="1">IF(Table4[[#This Row],[Adjusted Correct]]="-", "",IF(Table4[[#This Row],[Adjusted Correct]]="YES",(Table4[[#This Row],[Strength of Win]]-1)^2,(Table4[[#This Row],[Strength of Win]]-0)^2))</f>
        <v>0.2366018119667482</v>
      </c>
      <c r="O237">
        <v>0.51322223607554873</v>
      </c>
      <c r="P237" s="11">
        <v>0.61260317768290107</v>
      </c>
      <c r="Q237" t="str">
        <f ca="1">IF(Table4[[#This Row],[HomeIce Differential]]&gt;0,Table4[[#This Row],[Home]],Table4[[#This Row],[Visitor]])</f>
        <v>New York Islanders</v>
      </c>
      <c r="R237" t="s">
        <v>249</v>
      </c>
    </row>
    <row r="238" spans="4:18" x14ac:dyDescent="0.2">
      <c r="D238" s="1">
        <v>45969</v>
      </c>
      <c r="E238" s="2">
        <v>0.54166666666666663</v>
      </c>
      <c r="F238" t="s">
        <v>27</v>
      </c>
      <c r="G238">
        <f>VLOOKUP(Table4[[#This Row],[Home]],'NHL Model'!$A$6:$B$38,2,FALSE)</f>
        <v>-0.51358590497437617</v>
      </c>
      <c r="H238" t="s">
        <v>36</v>
      </c>
      <c r="I238">
        <f>VLOOKUP(Table4[[#This Row],[Visitor]],'NHL Model'!$A$6:$B$38,2,FALSE)</f>
        <v>-0.40651947573390851</v>
      </c>
      <c r="J238">
        <f ca="1">($B$1+Table4[[#This Row],[Home Differential]])-Table4[[#This Row],[Away Differential]]</f>
        <v>5.5505880421850728E-2</v>
      </c>
      <c r="K238" t="str">
        <f ca="1">IF(Table4[[#This Row],[HomeIce Differential]]&gt;0,Table4[[#This Row],[Home]],Table4[[#This Row],[Visitor]])</f>
        <v>Philadelphia Flyers</v>
      </c>
      <c r="L238" s="11">
        <f ca="1"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0.55018629984469203</v>
      </c>
      <c r="M238" t="str">
        <f ca="1">IF(OR((NHL2025_26Results[[#This Row],[Winning Team]]="")),"-",IF(Table4[[#This Row],[Predicted Winner]]=NHL2025_26Results[[#This Row],[Winning Team]],"YES","NO"))</f>
        <v>NO</v>
      </c>
      <c r="N238">
        <f ca="1">IF(Table4[[#This Row],[Adjusted Correct]]="-", "",IF(Table4[[#This Row],[Adjusted Correct]]="YES",(Table4[[#This Row],[Strength of Win]]-1)^2,(Table4[[#This Row],[Strength of Win]]-0)^2))</f>
        <v>0.30270496453679335</v>
      </c>
      <c r="O238">
        <v>0.76524673712820268</v>
      </c>
      <c r="P238" s="11">
        <v>0.69997189534964854</v>
      </c>
      <c r="Q238" t="str">
        <f ca="1">IF(Table4[[#This Row],[HomeIce Differential]]&gt;0,Table4[[#This Row],[Home]],Table4[[#This Row],[Visitor]])</f>
        <v>Philadelphia Flyers</v>
      </c>
      <c r="R238" t="s">
        <v>249</v>
      </c>
    </row>
    <row r="239" spans="4:18" x14ac:dyDescent="0.2">
      <c r="D239" s="1">
        <v>45969</v>
      </c>
      <c r="E239" s="2">
        <v>0.91666666666666663</v>
      </c>
      <c r="F239" t="s">
        <v>33</v>
      </c>
      <c r="G239">
        <f>VLOOKUP(Table4[[#This Row],[Home]],'NHL Model'!$A$6:$B$38,2,FALSE)</f>
        <v>-0.39418177254008485</v>
      </c>
      <c r="H239" t="s">
        <v>11</v>
      </c>
      <c r="I239">
        <f>VLOOKUP(Table4[[#This Row],[Visitor]],'NHL Model'!$A$6:$B$38,2,FALSE)</f>
        <v>-0.28105923893144158</v>
      </c>
      <c r="J239">
        <f ca="1">($B$1+Table4[[#This Row],[Home Differential]])-Table4[[#This Row],[Away Differential]]</f>
        <v>4.9449776053675121E-2</v>
      </c>
      <c r="K239" t="str">
        <f ca="1">IF(Table4[[#This Row],[HomeIce Differential]]&gt;0,Table4[[#This Row],[Home]],Table4[[#This Row],[Visitor]])</f>
        <v>San Jose Sharks</v>
      </c>
      <c r="L239" s="11">
        <f ca="1"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0.54685169490951235</v>
      </c>
      <c r="M239" t="str">
        <f ca="1">IF(OR((NHL2025_26Results[[#This Row],[Winning Team]]="")),"-",IF(Table4[[#This Row],[Predicted Winner]]=NHL2025_26Results[[#This Row],[Winning Team]],"YES","NO"))</f>
        <v>YES</v>
      </c>
      <c r="N239">
        <f ca="1">IF(Table4[[#This Row],[Adjusted Correct]]="-", "",IF(Table4[[#This Row],[Adjusted Correct]]="YES",(Table4[[#This Row],[Strength of Win]]-1)^2,(Table4[[#This Row],[Strength of Win]]-0)^2))</f>
        <v>0.20534338640638167</v>
      </c>
      <c r="O239">
        <v>0.24866365858988232</v>
      </c>
      <c r="P239" s="11">
        <v>0.57517729848560939</v>
      </c>
      <c r="Q239" t="str">
        <f ca="1">IF(Table4[[#This Row],[HomeIce Differential]]&gt;0,Table4[[#This Row],[Home]],Table4[[#This Row],[Visitor]])</f>
        <v>San Jose Sharks</v>
      </c>
      <c r="R239" t="s">
        <v>248</v>
      </c>
    </row>
    <row r="240" spans="4:18" x14ac:dyDescent="0.2">
      <c r="D240" s="1">
        <v>45969</v>
      </c>
      <c r="E240" s="2">
        <v>0.79166666666666663</v>
      </c>
      <c r="F240" t="s">
        <v>35</v>
      </c>
      <c r="G240">
        <f>VLOOKUP(Table4[[#This Row],[Home]],'NHL Model'!$A$6:$B$38,2,FALSE)</f>
        <v>-1.6211574240381006</v>
      </c>
      <c r="H240" t="s">
        <v>32</v>
      </c>
      <c r="I240">
        <f>VLOOKUP(Table4[[#This Row],[Visitor]],'NHL Model'!$A$6:$B$38,2,FALSE)</f>
        <v>-0.361361309178443</v>
      </c>
      <c r="J240">
        <f ca="1">($B$1+Table4[[#This Row],[Home Differential]])-Table4[[#This Row],[Away Differential]]</f>
        <v>-1.0972238051973391</v>
      </c>
      <c r="K240" t="str">
        <f ca="1">IF(Table4[[#This Row],[HomeIce Differential]]&gt;0,Table4[[#This Row],[Home]],Table4[[#This Row],[Visitor]])</f>
        <v>Seattle Kraken</v>
      </c>
      <c r="L240" s="11">
        <f ca="1"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0.61202986465512144</v>
      </c>
      <c r="M240" t="str">
        <f ca="1">IF(OR((NHL2025_26Results[[#This Row],[Winning Team]]="")),"-",IF(Table4[[#This Row],[Predicted Winner]]=NHL2025_26Results[[#This Row],[Winning Team]],"YES","NO"))</f>
        <v>YES</v>
      </c>
      <c r="N240">
        <f ca="1">IF(Table4[[#This Row],[Adjusted Correct]]="-", "",IF(Table4[[#This Row],[Adjusted Correct]]="YES",(Table4[[#This Row],[Strength of Win]]-1)^2,(Table4[[#This Row],[Strength of Win]]-0)^2))</f>
        <v>0.1505208259195234</v>
      </c>
      <c r="O240">
        <v>-1.0504515403746681</v>
      </c>
      <c r="P240" s="11">
        <v>0.60860252434945616</v>
      </c>
      <c r="Q240" t="str">
        <f ca="1">IF(Table4[[#This Row],[HomeIce Differential]]&gt;0,Table4[[#This Row],[Home]],Table4[[#This Row],[Visitor]])</f>
        <v>Seattle Kraken</v>
      </c>
      <c r="R240" t="s">
        <v>248</v>
      </c>
    </row>
    <row r="241" spans="4:21" x14ac:dyDescent="0.2">
      <c r="D241" s="1">
        <v>45969</v>
      </c>
      <c r="E241" s="2">
        <v>0.79166666666666663</v>
      </c>
      <c r="F241" t="s">
        <v>37</v>
      </c>
      <c r="G241">
        <f>VLOOKUP(Table4[[#This Row],[Home]],'NHL Model'!$A$6:$B$38,2,FALSE)</f>
        <v>-0.11309445867623392</v>
      </c>
      <c r="H241" t="s">
        <v>22</v>
      </c>
      <c r="I241">
        <f>VLOOKUP(Table4[[#This Row],[Visitor]],'NHL Model'!$A$6:$B$38,2,FALSE)</f>
        <v>-6.1308839486784707E-2</v>
      </c>
      <c r="J241">
        <f ca="1">($B$1+Table4[[#This Row],[Home Differential]])-Table4[[#This Row],[Away Differential]]</f>
        <v>0.11078669047286918</v>
      </c>
      <c r="K241" t="str">
        <f ca="1">IF(Table4[[#This Row],[HomeIce Differential]]&gt;0,Table4[[#This Row],[Home]],Table4[[#This Row],[Visitor]])</f>
        <v>Tampa Bay Lightning</v>
      </c>
      <c r="L241" s="11">
        <f ca="1"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0.55535045583079556</v>
      </c>
      <c r="M241" t="str">
        <f ca="1">IF(OR((NHL2025_26Results[[#This Row],[Winning Team]]="")),"-",IF(Table4[[#This Row],[Predicted Winner]]=NHL2025_26Results[[#This Row],[Winning Team]],"YES","NO"))</f>
        <v>YES</v>
      </c>
      <c r="N241">
        <f ca="1">IF(Table4[[#This Row],[Adjusted Correct]]="-", "",IF(Table4[[#This Row],[Adjusted Correct]]="YES",(Table4[[#This Row],[Strength of Win]]-1)^2,(Table4[[#This Row],[Strength of Win]]-0)^2))</f>
        <v>0.1977132171298813</v>
      </c>
      <c r="O241">
        <v>0.68630188894612598</v>
      </c>
      <c r="P241" s="11">
        <v>0.61631872545083322</v>
      </c>
      <c r="Q241" t="str">
        <f ca="1">IF(Table4[[#This Row],[HomeIce Differential]]&gt;0,Table4[[#This Row],[Home]],Table4[[#This Row],[Visitor]])</f>
        <v>Tampa Bay Lightning</v>
      </c>
      <c r="R241" t="s">
        <v>248</v>
      </c>
    </row>
    <row r="242" spans="4:21" x14ac:dyDescent="0.2">
      <c r="D242" s="1">
        <v>45969</v>
      </c>
      <c r="E242" s="2">
        <v>0.79166666666666663</v>
      </c>
      <c r="F242" t="s">
        <v>19</v>
      </c>
      <c r="G242">
        <f>VLOOKUP(Table4[[#This Row],[Home]],'NHL Model'!$A$6:$B$38,2,FALSE)</f>
        <v>-0.635565543477981</v>
      </c>
      <c r="H242" t="s">
        <v>21</v>
      </c>
      <c r="I242">
        <f>VLOOKUP(Table4[[#This Row],[Visitor]],'NHL Model'!$A$6:$B$38,2,FALSE)</f>
        <v>4.029141914856392E-2</v>
      </c>
      <c r="J242">
        <f ca="1">($B$1+Table4[[#This Row],[Home Differential]])-Table4[[#This Row],[Away Differential]]</f>
        <v>-0.51328465296422654</v>
      </c>
      <c r="K242" t="str">
        <f ca="1">IF(Table4[[#This Row],[HomeIce Differential]]&gt;0,Table4[[#This Row],[Home]],Table4[[#This Row],[Visitor]])</f>
        <v>Boston Bruins</v>
      </c>
      <c r="L242" s="11">
        <f ca="1"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0.53112003581226308</v>
      </c>
      <c r="M242" t="str">
        <f ca="1">IF(OR((NHL2025_26Results[[#This Row],[Winning Team]]="")),"-",IF(Table4[[#This Row],[Predicted Winner]]=NHL2025_26Results[[#This Row],[Winning Team]],"YES","NO"))</f>
        <v>YES</v>
      </c>
      <c r="N242">
        <f ca="1">IF(Table4[[#This Row],[Adjusted Correct]]="-", "",IF(Table4[[#This Row],[Adjusted Correct]]="YES",(Table4[[#This Row],[Strength of Win]]-1)^2,(Table4[[#This Row],[Strength of Win]]-0)^2))</f>
        <v>0.21984842081669345</v>
      </c>
      <c r="O242">
        <v>-1.8279325034129712E-2</v>
      </c>
      <c r="P242" s="11">
        <v>0.39913761576555157</v>
      </c>
      <c r="Q242" t="str">
        <f ca="1">IF(Table4[[#This Row],[HomeIce Differential]]&gt;0,Table4[[#This Row],[Home]],Table4[[#This Row],[Visitor]])</f>
        <v>Boston Bruins</v>
      </c>
      <c r="R242" t="s">
        <v>248</v>
      </c>
    </row>
    <row r="243" spans="4:21" x14ac:dyDescent="0.2">
      <c r="D243" s="1">
        <v>45969</v>
      </c>
      <c r="E243" s="2">
        <v>0.91666666666666663</v>
      </c>
      <c r="F243" t="s">
        <v>38</v>
      </c>
      <c r="G243">
        <f>VLOOKUP(Table4[[#This Row],[Home]],'NHL Model'!$A$6:$B$38,2,FALSE)</f>
        <v>-0.6902088310934803</v>
      </c>
      <c r="H243" t="s">
        <v>28</v>
      </c>
      <c r="I243">
        <f>VLOOKUP(Table4[[#This Row],[Visitor]],'NHL Model'!$A$6:$B$38,2,FALSE)</f>
        <v>-0.40822279081308277</v>
      </c>
      <c r="J243">
        <f ca="1">($B$1+Table4[[#This Row],[Home Differential]])-Table4[[#This Row],[Away Differential]]</f>
        <v>-0.11941373061807914</v>
      </c>
      <c r="K243" t="str">
        <f ca="1">IF(Table4[[#This Row],[HomeIce Differential]]&gt;0,Table4[[#This Row],[Home]],Table4[[#This Row],[Visitor]])</f>
        <v>Columbus Blue Jackets</v>
      </c>
      <c r="L243" s="11">
        <f ca="1"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0.49731503775759128</v>
      </c>
      <c r="M243" t="str">
        <f ca="1">IF(OR((NHL2025_26Results[[#This Row],[Winning Team]]="")),"-",IF(Table4[[#This Row],[Predicted Winner]]=NHL2025_26Results[[#This Row],[Winning Team]],"YES","NO"))</f>
        <v>NO</v>
      </c>
      <c r="N243">
        <f ca="1">IF(Table4[[#This Row],[Adjusted Correct]]="-", "",IF(Table4[[#This Row],[Adjusted Correct]]="YES",(Table4[[#This Row],[Strength of Win]]-1)^2,(Table4[[#This Row],[Strength of Win]]-0)^2))</f>
        <v>0.24732224677983444</v>
      </c>
      <c r="O243">
        <v>-0.55323810247638672</v>
      </c>
      <c r="P243" s="11">
        <v>0.59240285483457156</v>
      </c>
      <c r="Q243" t="str">
        <f ca="1">IF(Table4[[#This Row],[HomeIce Differential]]&gt;0,Table4[[#This Row],[Home]],Table4[[#This Row],[Visitor]])</f>
        <v>Columbus Blue Jackets</v>
      </c>
      <c r="R243" t="s">
        <v>249</v>
      </c>
    </row>
    <row r="244" spans="4:21" x14ac:dyDescent="0.2">
      <c r="D244" s="1">
        <v>45969</v>
      </c>
      <c r="E244" s="2">
        <v>0.91666666666666663</v>
      </c>
      <c r="F244" t="s">
        <v>20</v>
      </c>
      <c r="G244">
        <f>VLOOKUP(Table4[[#This Row],[Home]],'NHL Model'!$A$6:$B$38,2,FALSE)</f>
        <v>-6.3745791019188943E-4</v>
      </c>
      <c r="H244" t="s">
        <v>31</v>
      </c>
      <c r="I244">
        <f>VLOOKUP(Table4[[#This Row],[Visitor]],'NHL Model'!$A$6:$B$38,2,FALSE)</f>
        <v>0.51775546328552802</v>
      </c>
      <c r="J244">
        <f ca="1">($B$1+Table4[[#This Row],[Home Differential]])-Table4[[#This Row],[Away Differential]]</f>
        <v>-0.3558206115334015</v>
      </c>
      <c r="K244" t="str">
        <f ca="1">IF(Table4[[#This Row],[HomeIce Differential]]&gt;0,Table4[[#This Row],[Home]],Table4[[#This Row],[Visitor]])</f>
        <v>Anaheim Ducks</v>
      </c>
      <c r="L244" s="11">
        <f ca="1"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0.53007125935873656</v>
      </c>
      <c r="M244" t="str">
        <f ca="1">IF(OR((NHL2025_26Results[[#This Row],[Winning Team]]="")),"-",IF(Table4[[#This Row],[Predicted Winner]]=NHL2025_26Results[[#This Row],[Winning Team]],"YES","NO"))</f>
        <v>YES</v>
      </c>
      <c r="N244">
        <f ca="1">IF(Table4[[#This Row],[Adjusted Correct]]="-", "",IF(Table4[[#This Row],[Adjusted Correct]]="YES",(Table4[[#This Row],[Strength of Win]]-1)^2,(Table4[[#This Row],[Strength of Win]]-0)^2))</f>
        <v>0.22083302128068386</v>
      </c>
      <c r="O244">
        <v>-0.47279504855678878</v>
      </c>
      <c r="P244" s="11">
        <v>0.58927219001596975</v>
      </c>
      <c r="Q244" t="str">
        <f ca="1">IF(Table4[[#This Row],[HomeIce Differential]]&gt;0,Table4[[#This Row],[Home]],Table4[[#This Row],[Visitor]])</f>
        <v>Anaheim Ducks</v>
      </c>
      <c r="R244" t="s">
        <v>248</v>
      </c>
    </row>
    <row r="245" spans="4:21" x14ac:dyDescent="0.2">
      <c r="D245" s="1">
        <v>45970</v>
      </c>
      <c r="E245" s="2">
        <v>0.91666666666666663</v>
      </c>
      <c r="F245" t="s">
        <v>31</v>
      </c>
      <c r="G245">
        <f>VLOOKUP(Table4[[#This Row],[Home]],'NHL Model'!$A$6:$B$38,2,FALSE)</f>
        <v>0.51775546328552802</v>
      </c>
      <c r="H245" t="s">
        <v>40</v>
      </c>
      <c r="I245">
        <f>VLOOKUP(Table4[[#This Row],[Visitor]],'NHL Model'!$A$6:$B$38,2,FALSE)</f>
        <v>0.105105258369765</v>
      </c>
      <c r="J245">
        <f ca="1">($B$1+Table4[[#This Row],[Home Differential]])-Table4[[#This Row],[Away Differential]]</f>
        <v>0.57522251457808138</v>
      </c>
      <c r="K245" t="str">
        <f ca="1">IF(Table4[[#This Row],[HomeIce Differential]]&gt;0,Table4[[#This Row],[Home]],Table4[[#This Row],[Visitor]])</f>
        <v>Anaheim Ducks</v>
      </c>
      <c r="L245" s="11">
        <f ca="1"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0.66109741201123606</v>
      </c>
      <c r="M245" t="str">
        <f ca="1">IF(OR((NHL2025_26Results[[#This Row],[Winning Team]]="")),"-",IF(Table4[[#This Row],[Predicted Winner]]=NHL2025_26Results[[#This Row],[Winning Team]],"YES","NO"))</f>
        <v>YES</v>
      </c>
      <c r="N245">
        <f ca="1">IF(Table4[[#This Row],[Adjusted Correct]]="-", "",IF(Table4[[#This Row],[Adjusted Correct]]="YES",(Table4[[#This Row],[Strength of Win]]-1)^2,(Table4[[#This Row],[Strength of Win]]-0)^2))</f>
        <v>0.11485496414548188</v>
      </c>
      <c r="O245">
        <v>0.86736430428433564</v>
      </c>
      <c r="P245" s="11">
        <v>0.5702158314228003</v>
      </c>
      <c r="Q245" t="s">
        <v>31</v>
      </c>
      <c r="R245" t="s">
        <v>248</v>
      </c>
    </row>
    <row r="246" spans="4:21" x14ac:dyDescent="0.2">
      <c r="D246" s="1">
        <v>45970</v>
      </c>
      <c r="E246" s="2">
        <v>0.79166666666666663</v>
      </c>
      <c r="F246" t="s">
        <v>39</v>
      </c>
      <c r="G246">
        <f>VLOOKUP(Table4[[#This Row],[Home]],'NHL Model'!$A$6:$B$38,2,FALSE)</f>
        <v>0.19809534061227302</v>
      </c>
      <c r="H246" t="s">
        <v>32</v>
      </c>
      <c r="I246">
        <f>VLOOKUP(Table4[[#This Row],[Visitor]],'NHL Model'!$A$6:$B$38,2,FALSE)</f>
        <v>-0.361361309178443</v>
      </c>
      <c r="J246">
        <f ca="1">($B$1+Table4[[#This Row],[Home Differential]])-Table4[[#This Row],[Away Differential]]</f>
        <v>0.72202895945303447</v>
      </c>
      <c r="K246" t="str">
        <f ca="1">IF(Table4[[#This Row],[HomeIce Differential]]&gt;0,Table4[[#This Row],[Home]],Table4[[#This Row],[Visitor]])</f>
        <v>Dallas Stars</v>
      </c>
      <c r="L246" s="11">
        <f ca="1"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0.66608110390465625</v>
      </c>
      <c r="M246" t="str">
        <f ca="1">IF(OR((NHL2025_26Results[[#This Row],[Winning Team]]="")),"-",IF(Table4[[#This Row],[Predicted Winner]]=NHL2025_26Results[[#This Row],[Winning Team]],"YES","NO"))</f>
        <v>YES</v>
      </c>
      <c r="N246">
        <f ca="1">IF(Table4[[#This Row],[Adjusted Correct]]="-", "",IF(Table4[[#This Row],[Adjusted Correct]]="YES",(Table4[[#This Row],[Strength of Win]]-1)^2,(Table4[[#This Row],[Strength of Win]]-0)^2))</f>
        <v>0.11150182916953298</v>
      </c>
      <c r="O246">
        <v>0.14080241282234474</v>
      </c>
      <c r="P246" s="11">
        <v>0.55991866656926581</v>
      </c>
      <c r="Q246" t="s">
        <v>39</v>
      </c>
      <c r="R246" t="s">
        <v>248</v>
      </c>
    </row>
    <row r="247" spans="4:21" x14ac:dyDescent="0.2">
      <c r="D247" s="1">
        <v>45970</v>
      </c>
      <c r="E247" s="2">
        <v>0.54166666666666663</v>
      </c>
      <c r="F247" t="s">
        <v>26</v>
      </c>
      <c r="G247">
        <f>VLOOKUP(Table4[[#This Row],[Home]],'NHL Model'!$A$6:$B$38,2,FALSE)</f>
        <v>-0.513643833119658</v>
      </c>
      <c r="H247" t="s">
        <v>10</v>
      </c>
      <c r="I247">
        <f>VLOOKUP(Table4[[#This Row],[Visitor]],'NHL Model'!$A$6:$B$38,2,FALSE)</f>
        <v>0.30570968833820172</v>
      </c>
      <c r="J247">
        <f ca="1">($B$1+Table4[[#This Row],[Home Differential]])-Table4[[#This Row],[Away Differential]]</f>
        <v>-0.65678121179554139</v>
      </c>
      <c r="K247" t="str">
        <f ca="1">IF(Table4[[#This Row],[HomeIce Differential]]&gt;0,Table4[[#This Row],[Home]],Table4[[#This Row],[Visitor]])</f>
        <v>Chicago Blackhawks</v>
      </c>
      <c r="L247" s="11">
        <f ca="1"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0.54554818185079623</v>
      </c>
      <c r="M247" t="str">
        <f ca="1">IF(OR((NHL2025_26Results[[#This Row],[Winning Team]]="")),"-",IF(Table4[[#This Row],[Predicted Winner]]=NHL2025_26Results[[#This Row],[Winning Team]],"YES","NO"))</f>
        <v>YES</v>
      </c>
      <c r="N247">
        <f ca="1">IF(Table4[[#This Row],[Adjusted Correct]]="-", "",IF(Table4[[#This Row],[Adjusted Correct]]="YES",(Table4[[#This Row],[Strength of Win]]-1)^2,(Table4[[#This Row],[Strength of Win]]-0)^2))</f>
        <v>0.20652645501911698</v>
      </c>
      <c r="O247">
        <v>-0.44568461095378598</v>
      </c>
      <c r="P247" s="11">
        <v>0.52304894200813445</v>
      </c>
      <c r="Q247" t="s">
        <v>10</v>
      </c>
      <c r="R247" t="s">
        <v>248</v>
      </c>
    </row>
    <row r="248" spans="4:21" x14ac:dyDescent="0.2">
      <c r="D248" s="1">
        <v>45970</v>
      </c>
      <c r="E248" s="2">
        <v>0.83333333333333337</v>
      </c>
      <c r="F248" t="s">
        <v>34</v>
      </c>
      <c r="G248">
        <f>VLOOKUP(Table4[[#This Row],[Home]],'NHL Model'!$A$6:$B$38,2,FALSE)</f>
        <v>-0.53650300840565446</v>
      </c>
      <c r="H248" t="s">
        <v>16</v>
      </c>
      <c r="I248">
        <f>VLOOKUP(Table4[[#This Row],[Visitor]],'NHL Model'!$A$6:$B$38,2,FALSE)</f>
        <v>-1.3903684122795328</v>
      </c>
      <c r="J248">
        <f ca="1">($B$1+Table4[[#This Row],[Home Differential]])-Table4[[#This Row],[Away Differential]]</f>
        <v>1.0164377135361966</v>
      </c>
      <c r="K248" t="str">
        <f ca="1">IF(Table4[[#This Row],[HomeIce Differential]]&gt;0,Table4[[#This Row],[Home]],Table4[[#This Row],[Visitor]])</f>
        <v>Minnesota Wild</v>
      </c>
      <c r="L248" s="11">
        <f ca="1"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0.68083625171755791</v>
      </c>
      <c r="M248" t="str">
        <f ca="1">IF(OR((NHL2025_26Results[[#This Row],[Winning Team]]="")),"-",IF(Table4[[#This Row],[Predicted Winner]]=NHL2025_26Results[[#This Row],[Winning Team]],"YES","NO"))</f>
        <v>YES</v>
      </c>
      <c r="N248">
        <f ca="1">IF(Table4[[#This Row],[Adjusted Correct]]="-", "",IF(Table4[[#This Row],[Adjusted Correct]]="YES",(Table4[[#This Row],[Strength of Win]]-1)^2,(Table4[[#This Row],[Strength of Win]]-0)^2))</f>
        <v>0.10186549821769805</v>
      </c>
      <c r="O248">
        <v>0.73573167230839132</v>
      </c>
      <c r="P248" s="11">
        <v>0.64408055921349616</v>
      </c>
      <c r="Q248" t="s">
        <v>34</v>
      </c>
      <c r="R248" t="s">
        <v>248</v>
      </c>
    </row>
    <row r="249" spans="4:21" x14ac:dyDescent="0.2">
      <c r="D249" s="1">
        <v>45970</v>
      </c>
      <c r="E249" s="2">
        <v>0.79166666666666663</v>
      </c>
      <c r="F249" t="s">
        <v>36</v>
      </c>
      <c r="G249">
        <f>VLOOKUP(Table4[[#This Row],[Home]],'NHL Model'!$A$6:$B$38,2,FALSE)</f>
        <v>-0.40651947573390851</v>
      </c>
      <c r="H249" t="s">
        <v>55</v>
      </c>
      <c r="I249">
        <f>VLOOKUP(Table4[[#This Row],[Visitor]],'NHL Model'!$A$6:$B$38,2,FALSE)</f>
        <v>-0.12212311954851815</v>
      </c>
      <c r="J249">
        <f ca="1">($B$1+Table4[[#This Row],[Home Differential]])-Table4[[#This Row],[Away Differential]]</f>
        <v>-0.12182404652307197</v>
      </c>
      <c r="K249" t="str">
        <f ca="1">IF(Table4[[#This Row],[HomeIce Differential]]&gt;0,Table4[[#This Row],[Home]],Table4[[#This Row],[Visitor]])</f>
        <v>Utah Mammoth</v>
      </c>
      <c r="L249" s="11">
        <f ca="1"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0.47438429793584963</v>
      </c>
      <c r="M249" t="str">
        <f ca="1">IF(OR((NHL2025_26Results[[#This Row],[Winning Team]]="")),"-",IF(Table4[[#This Row],[Predicted Winner]]=NHL2025_26Results[[#This Row],[Winning Team]],"YES","NO"))</f>
        <v>NO</v>
      </c>
      <c r="N249">
        <f ca="1">IF(Table4[[#This Row],[Adjusted Correct]]="-", "",IF(Table4[[#This Row],[Adjusted Correct]]="YES",(Table4[[#This Row],[Strength of Win]]-1)^2,(Table4[[#This Row],[Strength of Win]]-0)^2))</f>
        <v>0.22504046212808895</v>
      </c>
      <c r="O249">
        <v>-0.38200240782504313</v>
      </c>
      <c r="P249" s="11">
        <v>0.53480934583262985</v>
      </c>
      <c r="Q249" t="s">
        <v>55</v>
      </c>
      <c r="R249" t="s">
        <v>249</v>
      </c>
    </row>
    <row r="250" spans="4:21" x14ac:dyDescent="0.2">
      <c r="D250" s="1">
        <v>45970</v>
      </c>
      <c r="E250" s="2">
        <v>0.58333333333333337</v>
      </c>
      <c r="F250" t="s">
        <v>14</v>
      </c>
      <c r="G250">
        <f>VLOOKUP(Table4[[#This Row],[Home]],'NHL Model'!$A$6:$B$38,2,FALSE)</f>
        <v>0.26289091192875702</v>
      </c>
      <c r="H250" t="s">
        <v>13</v>
      </c>
      <c r="I250">
        <f>VLOOKUP(Table4[[#This Row],[Visitor]],'NHL Model'!$A$6:$B$38,2,FALSE)</f>
        <v>-7.5459708298993802E-2</v>
      </c>
      <c r="J250">
        <f ca="1">($B$1+Table4[[#This Row],[Home Differential]])-Table4[[#This Row],[Away Differential]]</f>
        <v>0.50092292989006926</v>
      </c>
      <c r="K250" t="str">
        <f ca="1">IF(Table4[[#This Row],[HomeIce Differential]]&gt;0,Table4[[#This Row],[Home]],Table4[[#This Row],[Visitor]])</f>
        <v>Pittsburgh Penguins</v>
      </c>
      <c r="L250" s="11">
        <f ca="1"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0.52395266652272054</v>
      </c>
      <c r="M250" t="str">
        <f ca="1">IF(OR((NHL2025_26Results[[#This Row],[Winning Team]]="")),"-",IF(Table4[[#This Row],[Predicted Winner]]=NHL2025_26Results[[#This Row],[Winning Team]],"YES","NO"))</f>
        <v>NO</v>
      </c>
      <c r="N250">
        <f ca="1">IF(Table4[[#This Row],[Adjusted Correct]]="-", "",IF(Table4[[#This Row],[Adjusted Correct]]="YES",(Table4[[#This Row],[Strength of Win]]-1)^2,(Table4[[#This Row],[Strength of Win]]-0)^2))</f>
        <v>0.27452639675626922</v>
      </c>
      <c r="O250">
        <v>0.98327925538779593</v>
      </c>
      <c r="P250" s="11">
        <v>0.60261928495973316</v>
      </c>
      <c r="Q250" t="s">
        <v>14</v>
      </c>
      <c r="R250" t="s">
        <v>249</v>
      </c>
    </row>
    <row r="251" spans="4:21" x14ac:dyDescent="0.2">
      <c r="D251" s="1">
        <v>45970</v>
      </c>
      <c r="E251" s="2">
        <v>0.79166666666666663</v>
      </c>
      <c r="F251" t="s">
        <v>19</v>
      </c>
      <c r="G251">
        <f>VLOOKUP(Table4[[#This Row],[Home]],'NHL Model'!$A$6:$B$38,2,FALSE)</f>
        <v>-0.635565543477981</v>
      </c>
      <c r="H251" t="s">
        <v>25</v>
      </c>
      <c r="I251">
        <f>VLOOKUP(Table4[[#This Row],[Visitor]],'NHL Model'!$A$6:$B$38,2,FALSE)</f>
        <v>0.67193921242367816</v>
      </c>
      <c r="J251">
        <f ca="1">($B$1+Table4[[#This Row],[Home Differential]])-Table4[[#This Row],[Away Differential]]</f>
        <v>-1.1449324462393409</v>
      </c>
      <c r="K251" t="str">
        <f ca="1">IF(Table4[[#This Row],[HomeIce Differential]]&gt;0,Table4[[#This Row],[Home]],Table4[[#This Row],[Visitor]])</f>
        <v>Carolina Hurricanes</v>
      </c>
      <c r="L251" s="11">
        <f ca="1"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0.71112649806872108</v>
      </c>
      <c r="M251" t="str">
        <f ca="1">IF(OR((NHL2025_26Results[[#This Row],[Winning Team]]="")),"-",IF(Table4[[#This Row],[Predicted Winner]]=NHL2025_26Results[[#This Row],[Winning Team]],"YES","NO"))</f>
        <v>YES</v>
      </c>
      <c r="N251">
        <f ca="1">IF(Table4[[#This Row],[Adjusted Correct]]="-", "",IF(Table4[[#This Row],[Adjusted Correct]]="YES",(Table4[[#This Row],[Strength of Win]]-1)^2,(Table4[[#This Row],[Strength of Win]]-0)^2))</f>
        <v>8.344790011804061E-2</v>
      </c>
      <c r="O251">
        <v>-1.465407578305931</v>
      </c>
      <c r="P251" s="11">
        <v>0.74378512385133699</v>
      </c>
      <c r="Q251" t="s">
        <v>25</v>
      </c>
      <c r="R251" t="s">
        <v>248</v>
      </c>
    </row>
    <row r="252" spans="4:21" x14ac:dyDescent="0.2">
      <c r="D252" s="1">
        <v>45970</v>
      </c>
      <c r="E252" s="2">
        <v>0.91666666666666663</v>
      </c>
      <c r="F252" t="s">
        <v>38</v>
      </c>
      <c r="G252">
        <f>VLOOKUP(Table4[[#This Row],[Home]],'NHL Model'!$A$6:$B$38,2,FALSE)</f>
        <v>-0.6902088310934803</v>
      </c>
      <c r="H252" t="s">
        <v>12</v>
      </c>
      <c r="I252">
        <f>VLOOKUP(Table4[[#This Row],[Visitor]],'NHL Model'!$A$6:$B$38,2,FALSE)</f>
        <v>1.5475013591489768</v>
      </c>
      <c r="J252">
        <f ca="1">($B$1+Table4[[#This Row],[Home Differential]])-Table4[[#This Row],[Away Differential]]</f>
        <v>-2.0751378805801388</v>
      </c>
      <c r="K252" t="str">
        <f ca="1">IF(Table4[[#This Row],[HomeIce Differential]]&gt;0,Table4[[#This Row],[Home]],Table4[[#This Row],[Visitor]])</f>
        <v>Colorado Avalanche</v>
      </c>
      <c r="L252" s="11">
        <f ca="1"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0.8138441220079693</v>
      </c>
      <c r="M252" t="str">
        <f ca="1">IF(OR((NHL2025_26Results[[#This Row],[Winning Team]]="")),"-",IF(Table4[[#This Row],[Predicted Winner]]=NHL2025_26Results[[#This Row],[Winning Team]],"YES","NO"))</f>
        <v>YES</v>
      </c>
      <c r="N252">
        <f ca="1">IF(Table4[[#This Row],[Adjusted Correct]]="-", "",IF(Table4[[#This Row],[Adjusted Correct]]="YES",(Table4[[#This Row],[Strength of Win]]-1)^2,(Table4[[#This Row],[Strength of Win]]-0)^2))</f>
        <v>3.4654010910983822E-2</v>
      </c>
      <c r="O252">
        <v>-2.4133299615338308</v>
      </c>
      <c r="P252" s="11">
        <v>0.84850202700277499</v>
      </c>
      <c r="Q252" t="s">
        <v>12</v>
      </c>
      <c r="R252" t="s">
        <v>248</v>
      </c>
    </row>
    <row r="253" spans="4:21" x14ac:dyDescent="0.2">
      <c r="D253" s="1">
        <v>45971</v>
      </c>
      <c r="E253" s="2">
        <v>0.85416666666666663</v>
      </c>
      <c r="F253" t="s">
        <v>17</v>
      </c>
      <c r="G253">
        <f>VLOOKUP(Table4[[#This Row],[Home]],'NHL Model'!$A$6:$B$38,2,FALSE)</f>
        <v>-0.61980804137564283</v>
      </c>
      <c r="H253" t="s">
        <v>28</v>
      </c>
      <c r="I253">
        <f>VLOOKUP(Table4[[#This Row],[Visitor]],'NHL Model'!$A$6:$B$38,2,FALSE)</f>
        <v>-0.40822279081308277</v>
      </c>
      <c r="J253">
        <f ca="1">($B$1+Table4[[#This Row],[Home Differential]])-Table4[[#This Row],[Away Differential]]</f>
        <v>-4.9012940900241664E-2</v>
      </c>
      <c r="K253" t="str">
        <f ca="1">IF(Table4[[#This Row],[HomeIce Differential]]&gt;0,Table4[[#This Row],[Home]],Table4[[#This Row],[Visitor]])</f>
        <v>Columbus Blue Jackets</v>
      </c>
      <c r="L253" s="11">
        <f ca="1"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0.45123561205866969</v>
      </c>
      <c r="M253" t="str">
        <f ca="1">IF(OR((NHL2025_26Results[[#This Row],[Winning Team]]="")),"-",IF(Table4[[#This Row],[Predicted Winner]]=NHL2025_26Results[[#This Row],[Winning Team]],"YES","NO"))</f>
        <v>NO</v>
      </c>
      <c r="N253">
        <f ca="1">IF(Table4[[#This Row],[Adjusted Correct]]="-", "",IF(Table4[[#This Row],[Adjusted Correct]]="YES",(Table4[[#This Row],[Strength of Win]]-1)^2,(Table4[[#This Row],[Strength of Win]]-0)^2))</f>
        <v>0.20361357758996224</v>
      </c>
      <c r="O253">
        <v>-0.37024261700213967</v>
      </c>
      <c r="P253" s="11">
        <v>0.51989919760509484</v>
      </c>
      <c r="Q253" t="s">
        <v>28</v>
      </c>
      <c r="R253" t="s">
        <v>249</v>
      </c>
    </row>
    <row r="254" spans="4:21" x14ac:dyDescent="0.2">
      <c r="D254" s="1">
        <v>45971</v>
      </c>
      <c r="E254" s="2">
        <v>0.79166666666666663</v>
      </c>
      <c r="F254" t="s">
        <v>24</v>
      </c>
      <c r="G254">
        <f>VLOOKUP(Table4[[#This Row],[Home]],'NHL Model'!$A$6:$B$38,2,FALSE)</f>
        <v>0.559441163373953</v>
      </c>
      <c r="H254" t="s">
        <v>30</v>
      </c>
      <c r="I254">
        <f>VLOOKUP(Table4[[#This Row],[Visitor]],'NHL Model'!$A$6:$B$38,2,FALSE)</f>
        <v>-6.4729560818359025E-2</v>
      </c>
      <c r="J254">
        <f ca="1">($B$1+Table4[[#This Row],[Home Differential]])-Table4[[#This Row],[Away Differential]]</f>
        <v>0.7867430338546304</v>
      </c>
      <c r="K254" t="str">
        <f ca="1">IF(Table4[[#This Row],[HomeIce Differential]]&gt;0,Table4[[#This Row],[Home]],Table4[[#This Row],[Visitor]])</f>
        <v>New Jersey Devils</v>
      </c>
      <c r="L254" s="11">
        <f ca="1"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0.72501006375246035</v>
      </c>
      <c r="M254" t="str">
        <f ca="1">IF(OR((NHL2025_26Results[[#This Row],[Winning Team]]="")),"-",IF(Table4[[#This Row],[Predicted Winner]]=NHL2025_26Results[[#This Row],[Winning Team]],"YES","NO"))</f>
        <v>NO</v>
      </c>
      <c r="N254">
        <f ca="1">IF(Table4[[#This Row],[Adjusted Correct]]="-", "",IF(Table4[[#This Row],[Adjusted Correct]]="YES",(Table4[[#This Row],[Strength of Win]]-1)^2,(Table4[[#This Row],[Strength of Win]]-0)^2))</f>
        <v>0.5256395925423466</v>
      </c>
      <c r="O254">
        <v>1.1289718320781263</v>
      </c>
      <c r="P254" s="11">
        <v>0.8472521723262596</v>
      </c>
      <c r="Q254" t="s">
        <v>24</v>
      </c>
      <c r="R254" t="s">
        <v>249</v>
      </c>
      <c r="U254" s="16"/>
    </row>
    <row r="255" spans="4:21" x14ac:dyDescent="0.2">
      <c r="D255" s="1">
        <v>45971</v>
      </c>
      <c r="E255" s="2">
        <v>0.79166666666666663</v>
      </c>
      <c r="F255" t="s">
        <v>15</v>
      </c>
      <c r="G255">
        <f>VLOOKUP(Table4[[#This Row],[Home]],'NHL Model'!$A$6:$B$38,2,FALSE)</f>
        <v>-0.30719665303039001</v>
      </c>
      <c r="H255" t="s">
        <v>29</v>
      </c>
      <c r="I255">
        <f>VLOOKUP(Table4[[#This Row],[Visitor]],'NHL Model'!$A$6:$B$38,2,FALSE)</f>
        <v>-1.3516250707060606</v>
      </c>
      <c r="J255">
        <f ca="1">($B$1+Table4[[#This Row],[Home Differential]])-Table4[[#This Row],[Away Differential]]</f>
        <v>1.207000727337989</v>
      </c>
      <c r="K255" t="str">
        <f ca="1">IF(Table4[[#This Row],[HomeIce Differential]]&gt;0,Table4[[#This Row],[Home]],Table4[[#This Row],[Visitor]])</f>
        <v>New York Rangers</v>
      </c>
      <c r="L255" s="11">
        <f ca="1"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0.70724040833476498</v>
      </c>
      <c r="M255" t="str">
        <f ca="1">IF(OR((NHL2025_26Results[[#This Row],[Winning Team]]="")),"-",IF(Table4[[#This Row],[Predicted Winner]]=NHL2025_26Results[[#This Row],[Winning Team]],"YES","NO"))</f>
        <v>YES</v>
      </c>
      <c r="N255">
        <f ca="1">IF(Table4[[#This Row],[Adjusted Correct]]="-", "",IF(Table4[[#This Row],[Adjusted Correct]]="YES",(Table4[[#This Row],[Strength of Win]]-1)^2,(Table4[[#This Row],[Strength of Win]]-0)^2))</f>
        <v>8.5708178511995151E-2</v>
      </c>
      <c r="O255">
        <v>0.74792470595760885</v>
      </c>
      <c r="P255" s="11">
        <v>0.64753469001455644</v>
      </c>
      <c r="Q255" t="s">
        <v>15</v>
      </c>
      <c r="R255" t="s">
        <v>248</v>
      </c>
      <c r="U255" s="16"/>
    </row>
    <row r="256" spans="4:21" x14ac:dyDescent="0.2">
      <c r="D256" s="1">
        <v>45971</v>
      </c>
      <c r="E256" s="2">
        <v>0.91666666666666663</v>
      </c>
      <c r="F256" t="s">
        <v>20</v>
      </c>
      <c r="G256">
        <f>VLOOKUP(Table4[[#This Row],[Home]],'NHL Model'!$A$6:$B$38,2,FALSE)</f>
        <v>-6.3745791019188943E-4</v>
      </c>
      <c r="H256" t="s">
        <v>11</v>
      </c>
      <c r="I256">
        <f>VLOOKUP(Table4[[#This Row],[Visitor]],'NHL Model'!$A$6:$B$38,2,FALSE)</f>
        <v>-0.28105923893144158</v>
      </c>
      <c r="J256">
        <f ca="1">($B$1+Table4[[#This Row],[Home Differential]])-Table4[[#This Row],[Away Differential]]</f>
        <v>0.4429940906835681</v>
      </c>
      <c r="K256" t="str">
        <f ca="1">IF(Table4[[#This Row],[HomeIce Differential]]&gt;0,Table4[[#This Row],[Home]],Table4[[#This Row],[Visitor]])</f>
        <v>Vegas Golden Knights</v>
      </c>
      <c r="L256" s="11">
        <f ca="1"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0.60138066940456936</v>
      </c>
      <c r="M256" t="str">
        <f ca="1">IF(OR((NHL2025_26Results[[#This Row],[Winning Team]]="")),"-",IF(Table4[[#This Row],[Predicted Winner]]=NHL2025_26Results[[#This Row],[Winning Team]],"YES","NO"))</f>
        <v>NO</v>
      </c>
      <c r="N256">
        <f ca="1">IF(Table4[[#This Row],[Adjusted Correct]]="-", "",IF(Table4[[#This Row],[Adjusted Correct]]="YES",(Table4[[#This Row],[Strength of Win]]-1)^2,(Table4[[#This Row],[Strength of Win]]-0)^2))</f>
        <v>0.36165870953348794</v>
      </c>
      <c r="O256">
        <v>0.85796449281372977</v>
      </c>
      <c r="P256" s="11">
        <v>0.66335592746611294</v>
      </c>
      <c r="Q256" t="s">
        <v>20</v>
      </c>
      <c r="R256" t="s">
        <v>249</v>
      </c>
      <c r="U256" s="16"/>
    </row>
    <row r="257" spans="4:21" x14ac:dyDescent="0.2">
      <c r="D257" s="1">
        <v>45972</v>
      </c>
      <c r="E257" s="2">
        <v>0.79166666666666663</v>
      </c>
      <c r="F257" t="s">
        <v>21</v>
      </c>
      <c r="G257">
        <f>VLOOKUP(Table4[[#This Row],[Home]],'NHL Model'!$A$6:$B$38,2,FALSE)</f>
        <v>4.029141914856392E-2</v>
      </c>
      <c r="H257" t="s">
        <v>19</v>
      </c>
      <c r="I257">
        <f>VLOOKUP(Table4[[#This Row],[Visitor]],'NHL Model'!$A$6:$B$38,2,FALSE)</f>
        <v>-0.635565543477981</v>
      </c>
      <c r="J257">
        <f ca="1">($B$1+Table4[[#This Row],[Home Differential]])-Table4[[#This Row],[Away Differential]]</f>
        <v>0.83842927228886333</v>
      </c>
      <c r="K257" t="str">
        <f ca="1">IF(Table4[[#This Row],[HomeIce Differential]]&gt;0,Table4[[#This Row],[Home]],Table4[[#This Row],[Visitor]])</f>
        <v>Boston Bruins</v>
      </c>
      <c r="L257" s="11">
        <f ca="1"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0.72872906716051433</v>
      </c>
      <c r="M257" t="str">
        <f ca="1">IF(OR((NHL2025_26Results[[#This Row],[Winning Team]]="")),"-",IF(Table4[[#This Row],[Predicted Winner]]=NHL2025_26Results[[#This Row],[Winning Team]],"YES","NO"))</f>
        <v>YES</v>
      </c>
      <c r="N257">
        <f ca="1">IF(Table4[[#This Row],[Adjusted Correct]]="-", "",IF(Table4[[#This Row],[Adjusted Correct]]="YES",(Table4[[#This Row],[Strength of Win]]-1)^2,(Table4[[#This Row],[Strength of Win]]-0)^2))</f>
        <v>7.3587919003604743E-2</v>
      </c>
      <c r="O257">
        <v>0.84013607035320859</v>
      </c>
      <c r="P257" s="16">
        <v>0.72</v>
      </c>
      <c r="Q257" t="s">
        <v>21</v>
      </c>
      <c r="R257" t="s">
        <v>248</v>
      </c>
      <c r="U257" s="16"/>
    </row>
    <row r="258" spans="4:21" x14ac:dyDescent="0.2">
      <c r="D258" s="1">
        <v>45972</v>
      </c>
      <c r="E258" s="2">
        <v>0.79166666666666663</v>
      </c>
      <c r="F258" t="s">
        <v>25</v>
      </c>
      <c r="G258">
        <f>VLOOKUP(Table4[[#This Row],[Home]],'NHL Model'!$A$6:$B$38,2,FALSE)</f>
        <v>0.67193921242367816</v>
      </c>
      <c r="H258" t="s">
        <v>22</v>
      </c>
      <c r="I258">
        <f>VLOOKUP(Table4[[#This Row],[Visitor]],'NHL Model'!$A$6:$B$38,2,FALSE)</f>
        <v>-6.1308839486784707E-2</v>
      </c>
      <c r="J258">
        <f ca="1">($B$1+Table4[[#This Row],[Home Differential]])-Table4[[#This Row],[Away Differential]]</f>
        <v>0.89582036157278122</v>
      </c>
      <c r="K258" t="str">
        <f ca="1">IF(Table4[[#This Row],[HomeIce Differential]]&gt;0,Table4[[#This Row],[Home]],Table4[[#This Row],[Visitor]])</f>
        <v>Carolina Hurricanes</v>
      </c>
      <c r="L258" s="11">
        <f ca="1"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0.71583964889487894</v>
      </c>
      <c r="M258" t="str">
        <f ca="1">IF(OR((NHL2025_26Results[[#This Row],[Winning Team]]="")),"-",IF(Table4[[#This Row],[Predicted Winner]]=NHL2025_26Results[[#This Row],[Winning Team]],"YES","NO"))</f>
        <v>NO</v>
      </c>
      <c r="N258">
        <f ca="1">IF(Table4[[#This Row],[Adjusted Correct]]="-", "",IF(Table4[[#This Row],[Adjusted Correct]]="YES",(Table4[[#This Row],[Strength of Win]]-1)^2,(Table4[[#This Row],[Strength of Win]]-0)^2))</f>
        <v>0.51242640292994357</v>
      </c>
      <c r="O258">
        <v>1.4734162288057981</v>
      </c>
      <c r="P258" s="16">
        <v>0.85</v>
      </c>
      <c r="Q258" t="s">
        <v>25</v>
      </c>
      <c r="R258" t="s">
        <v>249</v>
      </c>
      <c r="U258" s="16"/>
    </row>
    <row r="259" spans="4:21" x14ac:dyDescent="0.2">
      <c r="D259" s="1">
        <v>45972</v>
      </c>
      <c r="E259" s="2">
        <v>0.89583333333333337</v>
      </c>
      <c r="F259" t="s">
        <v>12</v>
      </c>
      <c r="G259">
        <f>VLOOKUP(Table4[[#This Row],[Home]],'NHL Model'!$A$6:$B$38,2,FALSE)</f>
        <v>1.5475013591489768</v>
      </c>
      <c r="H259" t="s">
        <v>31</v>
      </c>
      <c r="I259">
        <f>VLOOKUP(Table4[[#This Row],[Visitor]],'NHL Model'!$A$6:$B$38,2,FALSE)</f>
        <v>0.51775546328552802</v>
      </c>
      <c r="J259">
        <f ca="1">($B$1+Table4[[#This Row],[Home Differential]])-Table4[[#This Row],[Away Differential]]</f>
        <v>1.1923182055257673</v>
      </c>
      <c r="K259" t="str">
        <f ca="1">IF(Table4[[#This Row],[HomeIce Differential]]&gt;0,Table4[[#This Row],[Home]],Table4[[#This Row],[Visitor]])</f>
        <v>Colorado Avalanche</v>
      </c>
      <c r="L259" s="11">
        <f ca="1"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0.77390166990091469</v>
      </c>
      <c r="M259" t="str">
        <f ca="1">IF(OR((NHL2025_26Results[[#This Row],[Winning Team]]="")),"-",IF(Table4[[#This Row],[Predicted Winner]]=NHL2025_26Results[[#This Row],[Winning Team]],"YES","NO"))</f>
        <v>YES</v>
      </c>
      <c r="N259">
        <f ca="1">IF(Table4[[#This Row],[Adjusted Correct]]="-", "",IF(Table4[[#This Row],[Adjusted Correct]]="YES",(Table4[[#This Row],[Strength of Win]]-1)^2,(Table4[[#This Row],[Strength of Win]]-0)^2))</f>
        <v>5.1120454873594949E-2</v>
      </c>
      <c r="O259">
        <v>0.37513787125487419</v>
      </c>
      <c r="P259" s="16">
        <v>0.55000000000000004</v>
      </c>
      <c r="Q259" t="s">
        <v>12</v>
      </c>
      <c r="R259" t="s">
        <v>248</v>
      </c>
      <c r="U259" s="16"/>
    </row>
    <row r="260" spans="4:21" x14ac:dyDescent="0.2">
      <c r="D260" s="1">
        <v>45972</v>
      </c>
      <c r="E260" s="2">
        <v>0.83333333333333337</v>
      </c>
      <c r="F260" t="s">
        <v>34</v>
      </c>
      <c r="G260">
        <f>VLOOKUP(Table4[[#This Row],[Home]],'NHL Model'!$A$6:$B$38,2,FALSE)</f>
        <v>-0.53650300840565446</v>
      </c>
      <c r="H260" t="s">
        <v>33</v>
      </c>
      <c r="I260">
        <f>VLOOKUP(Table4[[#This Row],[Visitor]],'NHL Model'!$A$6:$B$38,2,FALSE)</f>
        <v>-0.39418177254008485</v>
      </c>
      <c r="J260">
        <f ca="1">($B$1+Table4[[#This Row],[Home Differential]])-Table4[[#This Row],[Away Differential]]</f>
        <v>2.0251073796748786E-2</v>
      </c>
      <c r="K260" t="str">
        <f ca="1">IF(Table4[[#This Row],[HomeIce Differential]]&gt;0,Table4[[#This Row],[Home]],Table4[[#This Row],[Visitor]])</f>
        <v>Minnesota Wild</v>
      </c>
      <c r="L260" s="11">
        <f ca="1"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0.54280596173165141</v>
      </c>
      <c r="M260" t="str">
        <f ca="1">IF(OR((NHL2025_26Results[[#This Row],[Winning Team]]="")),"-",IF(Table4[[#This Row],[Predicted Winner]]=NHL2025_26Results[[#This Row],[Winning Team]],"YES","NO"))</f>
        <v>NO</v>
      </c>
      <c r="N260">
        <f ca="1">IF(Table4[[#This Row],[Adjusted Correct]]="-", "",IF(Table4[[#This Row],[Adjusted Correct]]="YES",(Table4[[#This Row],[Strength of Win]]-1)^2,(Table4[[#This Row],[Strength of Win]]-0)^2))</f>
        <v>0.29463831209142299</v>
      </c>
      <c r="O260">
        <v>-0.49569859894234214</v>
      </c>
      <c r="P260" s="16">
        <v>0.55000000000000004</v>
      </c>
      <c r="Q260" t="s">
        <v>33</v>
      </c>
      <c r="R260" t="s">
        <v>248</v>
      </c>
      <c r="U260" s="16"/>
    </row>
    <row r="261" spans="4:21" x14ac:dyDescent="0.2">
      <c r="D261" s="1">
        <v>45972</v>
      </c>
      <c r="E261" s="2">
        <v>0.79166666666666663</v>
      </c>
      <c r="F261" t="s">
        <v>18</v>
      </c>
      <c r="G261">
        <f>VLOOKUP(Table4[[#This Row],[Home]],'NHL Model'!$A$6:$B$38,2,FALSE)</f>
        <v>-0.52437726201848234</v>
      </c>
      <c r="H261" t="s">
        <v>13</v>
      </c>
      <c r="I261">
        <f>VLOOKUP(Table4[[#This Row],[Visitor]],'NHL Model'!$A$6:$B$38,2,FALSE)</f>
        <v>-7.5459708298993802E-2</v>
      </c>
      <c r="J261">
        <f ca="1">($B$1+Table4[[#This Row],[Home Differential]])-Table4[[#This Row],[Away Differential]]</f>
        <v>-0.28634524405717016</v>
      </c>
      <c r="K261" t="str">
        <f ca="1">IF(Table4[[#This Row],[HomeIce Differential]]&gt;0,Table4[[#This Row],[Home]],Table4[[#This Row],[Visitor]])</f>
        <v>Los Angeles Kings</v>
      </c>
      <c r="L261" s="11">
        <f ca="1"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0.62107096332209533</v>
      </c>
      <c r="M261" t="str">
        <f ca="1">IF(OR((NHL2025_26Results[[#This Row],[Winning Team]]="")),"-",IF(Table4[[#This Row],[Predicted Winner]]=NHL2025_26Results[[#This Row],[Winning Team]],"YES","NO"))</f>
        <v>YES</v>
      </c>
      <c r="N261">
        <f ca="1">IF(Table4[[#This Row],[Adjusted Correct]]="-", "",IF(Table4[[#This Row],[Adjusted Correct]]="YES",(Table4[[#This Row],[Strength of Win]]-1)^2,(Table4[[#This Row],[Strength of Win]]-0)^2))</f>
        <v>0.14358721483764483</v>
      </c>
      <c r="O261">
        <v>0.742329524465279</v>
      </c>
      <c r="P261" s="16">
        <v>0.62</v>
      </c>
      <c r="Q261" t="s">
        <v>18</v>
      </c>
      <c r="R261" t="s">
        <v>249</v>
      </c>
      <c r="U261" s="16"/>
    </row>
    <row r="262" spans="4:21" x14ac:dyDescent="0.2">
      <c r="D262" s="1">
        <v>45972</v>
      </c>
      <c r="E262" s="2">
        <v>0.79166666666666663</v>
      </c>
      <c r="F262" t="s">
        <v>36</v>
      </c>
      <c r="G262">
        <f>VLOOKUP(Table4[[#This Row],[Home]],'NHL Model'!$A$6:$B$38,2,FALSE)</f>
        <v>-0.40651947573390851</v>
      </c>
      <c r="H262" t="s">
        <v>39</v>
      </c>
      <c r="I262">
        <f>VLOOKUP(Table4[[#This Row],[Visitor]],'NHL Model'!$A$6:$B$38,2,FALSE)</f>
        <v>0.19809534061227302</v>
      </c>
      <c r="J262">
        <f ca="1">($B$1+Table4[[#This Row],[Home Differential]])-Table4[[#This Row],[Away Differential]]</f>
        <v>-0.44204250668386313</v>
      </c>
      <c r="K262" t="str">
        <f ca="1">IF(Table4[[#This Row],[HomeIce Differential]]&gt;0,Table4[[#This Row],[Home]],Table4[[#This Row],[Visitor]])</f>
        <v>Dallas Stars</v>
      </c>
      <c r="L262" s="11">
        <f ca="1"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0.61124881919680152</v>
      </c>
      <c r="M262" t="str">
        <f ca="1">IF(OR((NHL2025_26Results[[#This Row],[Winning Team]]="")),"-",IF(Table4[[#This Row],[Predicted Winner]]=NHL2025_26Results[[#This Row],[Winning Team]],"YES","NO"))</f>
        <v>YES</v>
      </c>
      <c r="N262">
        <f ca="1">IF(Table4[[#This Row],[Adjusted Correct]]="-", "",IF(Table4[[#This Row],[Adjusted Correct]]="YES",(Table4[[#This Row],[Strength of Win]]-1)^2,(Table4[[#This Row],[Strength of Win]]-0)^2))</f>
        <v>0.15112748057588113</v>
      </c>
      <c r="O262">
        <v>0.27946614982820012</v>
      </c>
      <c r="P262" s="16">
        <v>0.56000000000000005</v>
      </c>
      <c r="Q262" t="s">
        <v>36</v>
      </c>
      <c r="R262" t="s">
        <v>249</v>
      </c>
      <c r="U262" s="16"/>
    </row>
    <row r="263" spans="4:21" x14ac:dyDescent="0.2">
      <c r="D263" s="1">
        <v>45972</v>
      </c>
      <c r="E263" s="2">
        <v>0.91666666666666663</v>
      </c>
      <c r="F263" t="s">
        <v>32</v>
      </c>
      <c r="G263">
        <f>VLOOKUP(Table4[[#This Row],[Home]],'NHL Model'!$A$6:$B$38,2,FALSE)</f>
        <v>-0.361361309178443</v>
      </c>
      <c r="H263" t="s">
        <v>28</v>
      </c>
      <c r="I263">
        <f>VLOOKUP(Table4[[#This Row],[Visitor]],'NHL Model'!$A$6:$B$38,2,FALSE)</f>
        <v>-0.40822279081308277</v>
      </c>
      <c r="J263">
        <f ca="1">($B$1+Table4[[#This Row],[Home Differential]])-Table4[[#This Row],[Away Differential]]</f>
        <v>0.20943379129695816</v>
      </c>
      <c r="K263" t="str">
        <f ca="1">IF(Table4[[#This Row],[HomeIce Differential]]&gt;0,Table4[[#This Row],[Home]],Table4[[#This Row],[Visitor]])</f>
        <v>Seattle Kraken</v>
      </c>
      <c r="L263" s="11">
        <f ca="1"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0.57447341179180922</v>
      </c>
      <c r="M263" t="str">
        <f ca="1">IF(OR((NHL2025_26Results[[#This Row],[Winning Team]]="")),"-",IF(Table4[[#This Row],[Predicted Winner]]=NHL2025_26Results[[#This Row],[Winning Team]],"YES","NO"))</f>
        <v>NO</v>
      </c>
      <c r="N263">
        <f ca="1">IF(Table4[[#This Row],[Adjusted Correct]]="-", "",IF(Table4[[#This Row],[Adjusted Correct]]="YES",(Table4[[#This Row],[Strength of Win]]-1)^2,(Table4[[#This Row],[Strength of Win]]-0)^2))</f>
        <v>0.33001970085572163</v>
      </c>
      <c r="O263">
        <v>0.22727338724377955</v>
      </c>
      <c r="P263" s="16">
        <v>0.59</v>
      </c>
      <c r="Q263" t="s">
        <v>32</v>
      </c>
      <c r="R263" t="s">
        <v>249</v>
      </c>
    </row>
    <row r="264" spans="4:21" x14ac:dyDescent="0.2">
      <c r="D264" s="1">
        <v>45972</v>
      </c>
      <c r="E264" s="2">
        <v>0.83333333333333337</v>
      </c>
      <c r="F264" t="s">
        <v>35</v>
      </c>
      <c r="G264">
        <f>VLOOKUP(Table4[[#This Row],[Home]],'NHL Model'!$A$6:$B$38,2,FALSE)</f>
        <v>-1.6211574240381006</v>
      </c>
      <c r="H264" t="s">
        <v>16</v>
      </c>
      <c r="I264">
        <f>VLOOKUP(Table4[[#This Row],[Visitor]],'NHL Model'!$A$6:$B$38,2,FALSE)</f>
        <v>-1.3903684122795328</v>
      </c>
      <c r="J264">
        <f ca="1">($B$1+Table4[[#This Row],[Home Differential]])-Table4[[#This Row],[Away Differential]]</f>
        <v>-6.8216702096249415E-2</v>
      </c>
      <c r="K264" t="str">
        <f ca="1">IF(Table4[[#This Row],[HomeIce Differential]]&gt;0,Table4[[#This Row],[Home]],Table4[[#This Row],[Visitor]])</f>
        <v>Calgary Flames</v>
      </c>
      <c r="L264" s="11">
        <f ca="1"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0.46945201511103407</v>
      </c>
      <c r="M264" t="str">
        <f ca="1">IF(OR((NHL2025_26Results[[#This Row],[Winning Team]]="")),"-",IF(Table4[[#This Row],[Predicted Winner]]=NHL2025_26Results[[#This Row],[Winning Team]],"YES","NO"))</f>
        <v>NO</v>
      </c>
      <c r="N264">
        <f ca="1">IF(Table4[[#This Row],[Adjusted Correct]]="-", "",IF(Table4[[#This Row],[Adjusted Correct]]="YES",(Table4[[#This Row],[Strength of Win]]-1)^2,(Table4[[#This Row],[Strength of Win]]-0)^2))</f>
        <v>0.22038519449181057</v>
      </c>
      <c r="O264">
        <v>-8.9644336710186456E-2</v>
      </c>
      <c r="P264" s="16">
        <v>0.47</v>
      </c>
      <c r="Q264" t="s">
        <v>16</v>
      </c>
      <c r="R264" t="s">
        <v>249</v>
      </c>
    </row>
    <row r="265" spans="4:21" x14ac:dyDescent="0.2">
      <c r="D265" s="1">
        <v>45972</v>
      </c>
      <c r="E265" s="2">
        <v>0.91666666666666663</v>
      </c>
      <c r="F265" t="s">
        <v>38</v>
      </c>
      <c r="G265">
        <f>VLOOKUP(Table4[[#This Row],[Home]],'NHL Model'!$A$6:$B$38,2,FALSE)</f>
        <v>-0.6902088310934803</v>
      </c>
      <c r="H265" t="s">
        <v>40</v>
      </c>
      <c r="I265">
        <f>VLOOKUP(Table4[[#This Row],[Visitor]],'NHL Model'!$A$6:$B$38,2,FALSE)</f>
        <v>0.105105258369765</v>
      </c>
      <c r="J265">
        <f ca="1">($B$1+Table4[[#This Row],[Home Differential]])-Table4[[#This Row],[Away Differential]]</f>
        <v>-0.63274177980092694</v>
      </c>
      <c r="K265" t="str">
        <f ca="1">IF(Table4[[#This Row],[HomeIce Differential]]&gt;0,Table4[[#This Row],[Home]],Table4[[#This Row],[Visitor]])</f>
        <v>Winnipeg Jets</v>
      </c>
      <c r="L265" s="11">
        <f ca="1"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0.6139876451963866</v>
      </c>
      <c r="M265" t="str">
        <f ca="1">IF(OR((NHL2025_26Results[[#This Row],[Winning Team]]="")),"-",IF(Table4[[#This Row],[Predicted Winner]]=NHL2025_26Results[[#This Row],[Winning Team]],"YES","NO"))</f>
        <v>YES</v>
      </c>
      <c r="N265">
        <f ca="1">IF(Table4[[#This Row],[Adjusted Correct]]="-", "",IF(Table4[[#This Row],[Adjusted Correct]]="YES",(Table4[[#This Row],[Strength of Win]]-1)^2,(Table4[[#This Row],[Strength of Win]]-0)^2))</f>
        <v>0.14900553806103073</v>
      </c>
      <c r="O265">
        <v>-0.98356899366419159</v>
      </c>
      <c r="P265" s="16">
        <v>0.65</v>
      </c>
      <c r="Q265" t="s">
        <v>40</v>
      </c>
      <c r="R265" t="s">
        <v>248</v>
      </c>
    </row>
    <row r="266" spans="4:21" x14ac:dyDescent="0.2">
      <c r="D266" s="1">
        <v>45973</v>
      </c>
      <c r="E266" s="2">
        <v>0.89583333333333337</v>
      </c>
      <c r="F266" t="s">
        <v>10</v>
      </c>
      <c r="G266">
        <f>VLOOKUP(Table4[[#This Row],[Home]],'NHL Model'!$A$6:$B$38,2,FALSE)</f>
        <v>0.30570968833820172</v>
      </c>
      <c r="H266" t="s">
        <v>24</v>
      </c>
      <c r="I266">
        <f>VLOOKUP(Table4[[#This Row],[Visitor]],'NHL Model'!$A$6:$B$38,2,FALSE)</f>
        <v>0.559441163373953</v>
      </c>
      <c r="J266">
        <f ca="1">($B$1+Table4[[#This Row],[Home Differential]])-Table4[[#This Row],[Away Differential]]</f>
        <v>-9.1159165373432882E-2</v>
      </c>
      <c r="K266" t="str">
        <f ca="1">IF(Table4[[#This Row],[HomeIce Differential]]&gt;0,Table4[[#This Row],[Home]],Table4[[#This Row],[Visitor]])</f>
        <v>New Jersey Devils</v>
      </c>
      <c r="L266" s="11">
        <f ca="1"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0.53894668164732262</v>
      </c>
      <c r="M266" t="str">
        <f ca="1">IF(OR((NHL2025_26Results[[#This Row],[Winning Team]]="")),"-",IF(Table4[[#This Row],[Predicted Winner]]=NHL2025_26Results[[#This Row],[Winning Team]],"YES","NO"))</f>
        <v>YES</v>
      </c>
      <c r="N266">
        <f ca="1">IF(Table4[[#This Row],[Adjusted Correct]]="-", "",IF(Table4[[#This Row],[Adjusted Correct]]="YES",(Table4[[#This Row],[Strength of Win]]-1)^2,(Table4[[#This Row],[Strength of Win]]-0)^2))</f>
        <v>0.21257016236401527</v>
      </c>
      <c r="O266">
        <v>-0.17192837851363024</v>
      </c>
      <c r="P266" s="11">
        <v>0.53177013878421053</v>
      </c>
      <c r="Q266" t="s">
        <v>24</v>
      </c>
      <c r="R266" t="s">
        <v>248</v>
      </c>
    </row>
    <row r="267" spans="4:21" x14ac:dyDescent="0.2">
      <c r="D267" s="1">
        <v>45973</v>
      </c>
      <c r="E267" s="2">
        <v>0.8125</v>
      </c>
      <c r="F267" t="s">
        <v>27</v>
      </c>
      <c r="G267">
        <f>VLOOKUP(Table4[[#This Row],[Home]],'NHL Model'!$A$6:$B$38,2,FALSE)</f>
        <v>-0.51358590497437617</v>
      </c>
      <c r="H267" t="s">
        <v>17</v>
      </c>
      <c r="I267">
        <f>VLOOKUP(Table4[[#This Row],[Visitor]],'NHL Model'!$A$6:$B$38,2,FALSE)</f>
        <v>-0.61980804137564283</v>
      </c>
      <c r="J267">
        <f ca="1">($B$1+Table4[[#This Row],[Home Differential]])-Table4[[#This Row],[Away Differential]]</f>
        <v>0.26879444606358505</v>
      </c>
      <c r="K267" t="str">
        <f ca="1">IF(Table4[[#This Row],[HomeIce Differential]]&gt;0,Table4[[#This Row],[Home]],Table4[[#This Row],[Visitor]])</f>
        <v>Philadelphia Flyers</v>
      </c>
      <c r="L267" s="11">
        <f ca="1"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0.57973927856553364</v>
      </c>
      <c r="M267" t="str">
        <f ca="1">IF(OR((NHL2025_26Results[[#This Row],[Winning Team]]="")),"-",IF(Table4[[#This Row],[Predicted Winner]]=NHL2025_26Results[[#This Row],[Winning Team]],"YES","NO"))</f>
        <v>NO</v>
      </c>
      <c r="N267">
        <f ca="1">IF(Table4[[#This Row],[Adjusted Correct]]="-", "",IF(Table4[[#This Row],[Adjusted Correct]]="YES",(Table4[[#This Row],[Strength of Win]]-1)^2,(Table4[[#This Row],[Strength of Win]]-0)^2))</f>
        <v>0.33609763111168539</v>
      </c>
      <c r="O267">
        <v>0.61300416745127484</v>
      </c>
      <c r="P267" s="11">
        <v>0.63045810086061171</v>
      </c>
      <c r="Q267" t="s">
        <v>27</v>
      </c>
      <c r="R267" t="s">
        <v>249</v>
      </c>
    </row>
    <row r="268" spans="4:21" x14ac:dyDescent="0.2">
      <c r="D268" s="1">
        <v>45973</v>
      </c>
      <c r="E268" s="2">
        <v>0.79166666666666663</v>
      </c>
      <c r="F268" t="s">
        <v>37</v>
      </c>
      <c r="G268">
        <f>VLOOKUP(Table4[[#This Row],[Home]],'NHL Model'!$A$6:$B$38,2,FALSE)</f>
        <v>-0.11309445867623392</v>
      </c>
      <c r="H268" t="s">
        <v>15</v>
      </c>
      <c r="I268">
        <f>VLOOKUP(Table4[[#This Row],[Visitor]],'NHL Model'!$A$6:$B$38,2,FALSE)</f>
        <v>-0.30719665303039001</v>
      </c>
      <c r="J268">
        <f ca="1">($B$1+Table4[[#This Row],[Home Differential]])-Table4[[#This Row],[Away Differential]]</f>
        <v>0.35667450401647449</v>
      </c>
      <c r="K268" t="str">
        <f ca="1">IF(Table4[[#This Row],[HomeIce Differential]]&gt;0,Table4[[#This Row],[Home]],Table4[[#This Row],[Visitor]])</f>
        <v>Tampa Bay Lightning</v>
      </c>
      <c r="L268" s="11">
        <f ca="1"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0.44701070423701939</v>
      </c>
      <c r="M268" t="str">
        <f ca="1">IF(OR((NHL2025_26Results[[#This Row],[Winning Team]]="")),"-",IF(Table4[[#This Row],[Predicted Winner]]=NHL2025_26Results[[#This Row],[Winning Team]],"YES","NO"))</f>
        <v>NO</v>
      </c>
      <c r="N268">
        <f ca="1">IF(Table4[[#This Row],[Adjusted Correct]]="-", "",IF(Table4[[#This Row],[Adjusted Correct]]="YES",(Table4[[#This Row],[Strength of Win]]-1)^2,(Table4[[#This Row],[Strength of Win]]-0)^2))</f>
        <v>0.19981856970247602</v>
      </c>
      <c r="O268">
        <v>0.51817683327806419</v>
      </c>
      <c r="P268" s="11">
        <v>0.47734051159917035</v>
      </c>
      <c r="Q268" t="s">
        <v>37</v>
      </c>
      <c r="R268" t="s">
        <v>249</v>
      </c>
    </row>
    <row r="269" spans="4:21" x14ac:dyDescent="0.2">
      <c r="D269" s="1">
        <v>45973</v>
      </c>
      <c r="E269" s="2">
        <v>0.875</v>
      </c>
      <c r="F269" t="s">
        <v>55</v>
      </c>
      <c r="G269">
        <f>VLOOKUP(Table4[[#This Row],[Home]],'NHL Model'!$A$6:$B$38,2,FALSE)</f>
        <v>-0.12212311954851815</v>
      </c>
      <c r="H269" t="s">
        <v>23</v>
      </c>
      <c r="I269">
        <f>VLOOKUP(Table4[[#This Row],[Visitor]],'NHL Model'!$A$6:$B$38,2,FALSE)</f>
        <v>-0.8683412362501769</v>
      </c>
      <c r="J269">
        <f ca="1">($B$1+Table4[[#This Row],[Home Differential]])-Table4[[#This Row],[Away Differential]]</f>
        <v>0.90879042636397711</v>
      </c>
      <c r="K269" t="str">
        <f ca="1">IF(Table4[[#This Row],[HomeIce Differential]]&gt;0,Table4[[#This Row],[Home]],Table4[[#This Row],[Visitor]])</f>
        <v>Utah Mammoth</v>
      </c>
      <c r="L269" s="11">
        <f ca="1"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0.73419329349686291</v>
      </c>
      <c r="M269" t="str">
        <f ca="1">IF(OR((NHL2025_26Results[[#This Row],[Winning Team]]="")),"-",IF(Table4[[#This Row],[Predicted Winner]]=NHL2025_26Results[[#This Row],[Winning Team]],"YES","NO"))</f>
        <v>YES</v>
      </c>
      <c r="N269">
        <f ca="1">IF(Table4[[#This Row],[Adjusted Correct]]="-", "",IF(Table4[[#This Row],[Adjusted Correct]]="YES",(Table4[[#This Row],[Strength of Win]]-1)^2,(Table4[[#This Row],[Strength of Win]]-0)^2))</f>
        <v>7.0653205222044865E-2</v>
      </c>
      <c r="O269">
        <v>0.96461121881967093</v>
      </c>
      <c r="P269" s="11">
        <v>0.78274613645614943</v>
      </c>
      <c r="Q269" t="s">
        <v>55</v>
      </c>
      <c r="R269" t="s">
        <v>248</v>
      </c>
    </row>
    <row r="270" spans="4:21" x14ac:dyDescent="0.2">
      <c r="D270" s="1">
        <v>45974</v>
      </c>
      <c r="E270" s="2">
        <v>0.8125</v>
      </c>
      <c r="F270" t="s">
        <v>28</v>
      </c>
      <c r="G270">
        <f>VLOOKUP(Table4[[#This Row],[Home]],'NHL Model'!$A$6:$B$38,2,FALSE)</f>
        <v>-0.40822279081308277</v>
      </c>
      <c r="H270" t="s">
        <v>17</v>
      </c>
      <c r="I270">
        <f>VLOOKUP(Table4[[#This Row],[Visitor]],'NHL Model'!$A$6:$B$38,2,FALSE)</f>
        <v>-0.61980804137564283</v>
      </c>
      <c r="J270">
        <f ca="1">($B$1+Table4[[#This Row],[Home Differential]])-Table4[[#This Row],[Away Differential]]</f>
        <v>0.37415756022487845</v>
      </c>
      <c r="K270" t="str">
        <f ca="1">IF(Table4[[#This Row],[HomeIce Differential]]&gt;0,Table4[[#This Row],[Home]],Table4[[#This Row],[Visitor]])</f>
        <v>Columbus Blue Jackets</v>
      </c>
      <c r="L270" s="11">
        <f ca="1"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0.59184277170367094</v>
      </c>
      <c r="M270" t="str">
        <f ca="1">IF(OR((NHL2025_26Results[[#This Row],[Winning Team]]="")),"-",IF(Table4[[#This Row],[Predicted Winner]]=NHL2025_26Results[[#This Row],[Winning Team]],"YES","NO"))</f>
        <v>YES</v>
      </c>
      <c r="N270">
        <f ca="1">IF(Table4[[#This Row],[Adjusted Correct]]="-", "",IF(Table4[[#This Row],[Adjusted Correct]]="YES",(Table4[[#This Row],[Strength of Win]]-1)^2,(Table4[[#This Row],[Strength of Win]]-0)^2))</f>
        <v>0.16659232301054167</v>
      </c>
      <c r="O270">
        <v>0.46750762202084228</v>
      </c>
      <c r="P270" s="11">
        <v>0.60655393581935702</v>
      </c>
      <c r="Q270" t="s">
        <v>28</v>
      </c>
      <c r="R270" t="s">
        <v>248</v>
      </c>
    </row>
    <row r="271" spans="4:21" x14ac:dyDescent="0.2">
      <c r="D271" s="1">
        <v>45974</v>
      </c>
      <c r="E271" s="2">
        <v>0.875</v>
      </c>
      <c r="F271" t="s">
        <v>16</v>
      </c>
      <c r="G271">
        <f>VLOOKUP(Table4[[#This Row],[Home]],'NHL Model'!$A$6:$B$38,2,FALSE)</f>
        <v>-1.3903684122795328</v>
      </c>
      <c r="H271" t="s">
        <v>33</v>
      </c>
      <c r="I271">
        <f>VLOOKUP(Table4[[#This Row],[Visitor]],'NHL Model'!$A$6:$B$38,2,FALSE)</f>
        <v>-0.39418177254008485</v>
      </c>
      <c r="J271">
        <f ca="1">($B$1+Table4[[#This Row],[Home Differential]])-Table4[[#This Row],[Away Differential]]</f>
        <v>-0.83361433007712948</v>
      </c>
      <c r="K271" t="str">
        <f ca="1">IF(Table4[[#This Row],[HomeIce Differential]]&gt;0,Table4[[#This Row],[Home]],Table4[[#This Row],[Visitor]])</f>
        <v>San Jose Sharks</v>
      </c>
      <c r="L271" s="11">
        <f ca="1"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0.5755044879411837</v>
      </c>
      <c r="M271" t="str">
        <f ca="1">IF(OR((NHL2025_26Results[[#This Row],[Winning Team]]="")),"-",IF(Table4[[#This Row],[Predicted Winner]]=NHL2025_26Results[[#This Row],[Winning Team]],"YES","NO"))</f>
        <v>NO</v>
      </c>
      <c r="N271">
        <f ca="1">IF(Table4[[#This Row],[Adjusted Correct]]="-", "",IF(Table4[[#This Row],[Adjusted Correct]]="YES",(Table4[[#This Row],[Strength of Win]]-1)^2,(Table4[[#This Row],[Strength of Win]]-0)^2))</f>
        <v>0.33120541564044403</v>
      </c>
      <c r="O271">
        <v>-1.373893816442042</v>
      </c>
      <c r="P271" s="11">
        <v>0.70972502094590872</v>
      </c>
      <c r="Q271" t="s">
        <v>33</v>
      </c>
      <c r="R271" t="s">
        <v>249</v>
      </c>
    </row>
    <row r="272" spans="4:21" x14ac:dyDescent="0.2">
      <c r="D272" s="1">
        <v>45974</v>
      </c>
      <c r="E272" s="2">
        <v>0.875</v>
      </c>
      <c r="F272" t="s">
        <v>12</v>
      </c>
      <c r="G272">
        <f>VLOOKUP(Table4[[#This Row],[Home]],'NHL Model'!$A$6:$B$38,2,FALSE)</f>
        <v>1.5475013591489768</v>
      </c>
      <c r="H272" t="s">
        <v>23</v>
      </c>
      <c r="I272">
        <f>VLOOKUP(Table4[[#This Row],[Visitor]],'NHL Model'!$A$6:$B$38,2,FALSE)</f>
        <v>-0.8683412362501769</v>
      </c>
      <c r="J272">
        <f ca="1">($B$1+Table4[[#This Row],[Home Differential]])-Table4[[#This Row],[Away Differential]]</f>
        <v>2.578414905061472</v>
      </c>
      <c r="K272" t="str">
        <f ca="1">IF(Table4[[#This Row],[HomeIce Differential]]&gt;0,Table4[[#This Row],[Home]],Table4[[#This Row],[Visitor]])</f>
        <v>Colorado Avalanche</v>
      </c>
      <c r="L272" s="11">
        <f ca="1"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0.98562797246909128</v>
      </c>
      <c r="M272" t="str">
        <f ca="1">IF(OR((NHL2025_26Results[[#This Row],[Winning Team]]="")),"-",IF(Table4[[#This Row],[Predicted Winner]]=NHL2025_26Results[[#This Row],[Winning Team]],"YES","NO"))</f>
        <v>YES</v>
      </c>
      <c r="N272">
        <f ca="1">IF(Table4[[#This Row],[Adjusted Correct]]="-", "",IF(Table4[[#This Row],[Adjusted Correct]]="YES",(Table4[[#This Row],[Strength of Win]]-1)^2,(Table4[[#This Row],[Strength of Win]]-0)^2))</f>
        <v>2.0655517534919806E-4</v>
      </c>
      <c r="O272">
        <v>2.4925655891404026</v>
      </c>
      <c r="P272" s="11">
        <v>0.96311174812141942</v>
      </c>
      <c r="Q272" t="s">
        <v>12</v>
      </c>
      <c r="R272" t="s">
        <v>248</v>
      </c>
    </row>
    <row r="273" spans="4:18" x14ac:dyDescent="0.2">
      <c r="D273" s="1">
        <v>45974</v>
      </c>
      <c r="E273" s="2">
        <v>0.79166666666666663</v>
      </c>
      <c r="F273" t="s">
        <v>26</v>
      </c>
      <c r="G273">
        <f>VLOOKUP(Table4[[#This Row],[Home]],'NHL Model'!$A$6:$B$38,2,FALSE)</f>
        <v>-0.513643833119658</v>
      </c>
      <c r="H273" t="s">
        <v>31</v>
      </c>
      <c r="I273">
        <f>VLOOKUP(Table4[[#This Row],[Visitor]],'NHL Model'!$A$6:$B$38,2,FALSE)</f>
        <v>0.51775546328552802</v>
      </c>
      <c r="J273">
        <f ca="1">($B$1+Table4[[#This Row],[Home Differential]])-Table4[[#This Row],[Away Differential]]</f>
        <v>-0.86882698674286762</v>
      </c>
      <c r="K273" t="str">
        <f ca="1">IF(Table4[[#This Row],[HomeIce Differential]]&gt;0,Table4[[#This Row],[Home]],Table4[[#This Row],[Visitor]])</f>
        <v>Anaheim Ducks</v>
      </c>
      <c r="L273" s="11">
        <f ca="1"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0.57492896115327807</v>
      </c>
      <c r="M273" t="str">
        <f ca="1">IF(OR((NHL2025_26Results[[#This Row],[Winning Team]]="")),"-",IF(Table4[[#This Row],[Predicted Winner]]=NHL2025_26Results[[#This Row],[Winning Team]],"YES","NO"))</f>
        <v>NO</v>
      </c>
      <c r="N273">
        <f ca="1">IF(Table4[[#This Row],[Adjusted Correct]]="-", "",IF(Table4[[#This Row],[Adjusted Correct]]="YES",(Table4[[#This Row],[Strength of Win]]-1)^2,(Table4[[#This Row],[Strength of Win]]-0)^2))</f>
        <v>0.3305433103727875</v>
      </c>
      <c r="O273">
        <v>-1.4741895320739622</v>
      </c>
      <c r="P273" s="11">
        <v>0.69966012353071072</v>
      </c>
      <c r="Q273" t="s">
        <v>31</v>
      </c>
      <c r="R273" t="s">
        <v>249</v>
      </c>
    </row>
    <row r="274" spans="4:18" x14ac:dyDescent="0.2">
      <c r="D274" s="1">
        <v>45974</v>
      </c>
      <c r="E274" s="2">
        <v>0.79166666666666663</v>
      </c>
      <c r="F274" t="s">
        <v>11</v>
      </c>
      <c r="G274">
        <f>VLOOKUP(Table4[[#This Row],[Home]],'NHL Model'!$A$6:$B$38,2,FALSE)</f>
        <v>-0.28105923893144158</v>
      </c>
      <c r="H274" t="s">
        <v>22</v>
      </c>
      <c r="I274">
        <f>VLOOKUP(Table4[[#This Row],[Visitor]],'NHL Model'!$A$6:$B$38,2,FALSE)</f>
        <v>-6.1308839486784707E-2</v>
      </c>
      <c r="J274">
        <f ca="1">($B$1+Table4[[#This Row],[Home Differential]])-Table4[[#This Row],[Away Differential]]</f>
        <v>-5.717808978233848E-2</v>
      </c>
      <c r="K274" t="str">
        <f ca="1">IF(Table4[[#This Row],[HomeIce Differential]]&gt;0,Table4[[#This Row],[Home]],Table4[[#This Row],[Visitor]])</f>
        <v>Washington Capitals</v>
      </c>
      <c r="L274" s="11">
        <f ca="1"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0.41620654340405794</v>
      </c>
      <c r="M274" t="str">
        <f ca="1">IF(OR((NHL2025_26Results[[#This Row],[Winning Team]]="")),"-",IF(Table4[[#This Row],[Predicted Winner]]=NHL2025_26Results[[#This Row],[Winning Team]],"YES","NO"))</f>
        <v>NO</v>
      </c>
      <c r="N274">
        <f ca="1">IF(Table4[[#This Row],[Adjusted Correct]]="-", "",IF(Table4[[#This Row],[Adjusted Correct]]="YES",(Table4[[#This Row],[Strength of Win]]-1)^2,(Table4[[#This Row],[Strength of Win]]-0)^2))</f>
        <v>0.17322788677235396</v>
      </c>
      <c r="O274">
        <v>-0.25218898579568283</v>
      </c>
      <c r="P274" s="11">
        <v>0.44766608755917686</v>
      </c>
      <c r="Q274" t="s">
        <v>22</v>
      </c>
      <c r="R274" t="s">
        <v>249</v>
      </c>
    </row>
    <row r="275" spans="4:18" x14ac:dyDescent="0.2">
      <c r="D275" s="1">
        <v>45974</v>
      </c>
      <c r="E275" s="2">
        <v>0.79166666666666663</v>
      </c>
      <c r="F275" t="s">
        <v>18</v>
      </c>
      <c r="G275">
        <f>VLOOKUP(Table4[[#This Row],[Home]],'NHL Model'!$A$6:$B$38,2,FALSE)</f>
        <v>-0.52437726201848234</v>
      </c>
      <c r="H275" t="s">
        <v>39</v>
      </c>
      <c r="I275">
        <f>VLOOKUP(Table4[[#This Row],[Visitor]],'NHL Model'!$A$6:$B$38,2,FALSE)</f>
        <v>0.19809534061227302</v>
      </c>
      <c r="J275">
        <f ca="1">($B$1+Table4[[#This Row],[Home Differential]])-Table4[[#This Row],[Away Differential]]</f>
        <v>-0.55990029296843691</v>
      </c>
      <c r="K275" t="str">
        <f ca="1">IF(Table4[[#This Row],[HomeIce Differential]]&gt;0,Table4[[#This Row],[Home]],Table4[[#This Row],[Visitor]])</f>
        <v>Dallas Stars</v>
      </c>
      <c r="L275" s="11">
        <f ca="1"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0.63006522446221813</v>
      </c>
      <c r="M275" t="str">
        <f ca="1">IF(OR((NHL2025_26Results[[#This Row],[Winning Team]]="")),"-",IF(Table4[[#This Row],[Predicted Winner]]=NHL2025_26Results[[#This Row],[Winning Team]],"YES","NO"))</f>
        <v>YES</v>
      </c>
      <c r="N275">
        <f ca="1">IF(Table4[[#This Row],[Adjusted Correct]]="-", "",IF(Table4[[#This Row],[Adjusted Correct]]="YES",(Table4[[#This Row],[Strength of Win]]-1)^2,(Table4[[#This Row],[Strength of Win]]-0)^2))</f>
        <v>0.13685173815218907</v>
      </c>
      <c r="O275">
        <v>0.36080347970302373</v>
      </c>
      <c r="P275" s="11">
        <v>0.55136363665635635</v>
      </c>
      <c r="Q275" t="s">
        <v>18</v>
      </c>
      <c r="R275" t="s">
        <v>249</v>
      </c>
    </row>
    <row r="276" spans="4:18" x14ac:dyDescent="0.2">
      <c r="D276" s="1">
        <v>45974</v>
      </c>
      <c r="E276" s="2">
        <v>0.79166666666666663</v>
      </c>
      <c r="F276" t="s">
        <v>36</v>
      </c>
      <c r="G276">
        <f>VLOOKUP(Table4[[#This Row],[Home]],'NHL Model'!$A$6:$B$38,2,FALSE)</f>
        <v>-0.40651947573390851</v>
      </c>
      <c r="H276" t="s">
        <v>21</v>
      </c>
      <c r="I276">
        <f>VLOOKUP(Table4[[#This Row],[Visitor]],'NHL Model'!$A$6:$B$38,2,FALSE)</f>
        <v>4.029141914856392E-2</v>
      </c>
      <c r="J276">
        <f ca="1">($B$1+Table4[[#This Row],[Home Differential]])-Table4[[#This Row],[Away Differential]]</f>
        <v>-0.28423858522015405</v>
      </c>
      <c r="K276" t="str">
        <f ca="1">IF(Table4[[#This Row],[HomeIce Differential]]&gt;0,Table4[[#This Row],[Home]],Table4[[#This Row],[Visitor]])</f>
        <v>Boston Bruins</v>
      </c>
      <c r="L276" s="11">
        <f ca="1"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0.49688823944639721</v>
      </c>
      <c r="M276" t="str">
        <f ca="1">IF(OR((NHL2025_26Results[[#This Row],[Winning Team]]="")),"-",IF(Table4[[#This Row],[Predicted Winner]]=NHL2025_26Results[[#This Row],[Winning Team]],"YES","NO"))</f>
        <v>NO</v>
      </c>
      <c r="N276">
        <f ca="1">IF(Table4[[#This Row],[Adjusted Correct]]="-", "",IF(Table4[[#This Row],[Adjusted Correct]]="YES",(Table4[[#This Row],[Strength of Win]]-1)^2,(Table4[[#This Row],[Strength of Win]]-0)^2))</f>
        <v>0.24689792250014017</v>
      </c>
      <c r="O276">
        <v>-0.53550251254725545</v>
      </c>
      <c r="P276" s="11">
        <v>0.52918767123503918</v>
      </c>
      <c r="Q276" t="s">
        <v>21</v>
      </c>
      <c r="R276" t="s">
        <v>249</v>
      </c>
    </row>
    <row r="277" spans="4:18" x14ac:dyDescent="0.2">
      <c r="D277" s="1">
        <v>45974</v>
      </c>
      <c r="E277" s="2">
        <v>0.91666666666666663</v>
      </c>
      <c r="F277" t="s">
        <v>32</v>
      </c>
      <c r="G277">
        <f>VLOOKUP(Table4[[#This Row],[Home]],'NHL Model'!$A$6:$B$38,2,FALSE)</f>
        <v>-0.361361309178443</v>
      </c>
      <c r="H277" t="s">
        <v>40</v>
      </c>
      <c r="I277">
        <f>VLOOKUP(Table4[[#This Row],[Visitor]],'NHL Model'!$A$6:$B$38,2,FALSE)</f>
        <v>0.105105258369765</v>
      </c>
      <c r="J277">
        <f ca="1">($B$1+Table4[[#This Row],[Home Differential]])-Table4[[#This Row],[Away Differential]]</f>
        <v>-0.30389425788588964</v>
      </c>
      <c r="K277" t="str">
        <f ca="1">IF(Table4[[#This Row],[HomeIce Differential]]&gt;0,Table4[[#This Row],[Home]],Table4[[#This Row],[Visitor]])</f>
        <v>Winnipeg Jets</v>
      </c>
      <c r="L277" s="11">
        <f ca="1"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0.542107182397078</v>
      </c>
      <c r="M277" t="str">
        <f ca="1">IF(OR((NHL2025_26Results[[#This Row],[Winning Team]]="")),"-",IF(Table4[[#This Row],[Predicted Winner]]=NHL2025_26Results[[#This Row],[Winning Team]],"YES","NO"))</f>
        <v>NO</v>
      </c>
      <c r="N277">
        <f ca="1">IF(Table4[[#This Row],[Adjusted Correct]]="-", "",IF(Table4[[#This Row],[Adjusted Correct]]="YES",(Table4[[#This Row],[Strength of Win]]-1)^2,(Table4[[#This Row],[Strength of Win]]-0)^2))</f>
        <v>0.29388019720649877</v>
      </c>
      <c r="O277">
        <v>-0.67968457260993353</v>
      </c>
      <c r="P277" s="11">
        <v>0.63323992930902162</v>
      </c>
      <c r="Q277" t="s">
        <v>40</v>
      </c>
      <c r="R277" t="s">
        <v>249</v>
      </c>
    </row>
    <row r="278" spans="4:18" x14ac:dyDescent="0.2">
      <c r="D278" s="1">
        <v>45974</v>
      </c>
      <c r="E278" s="2">
        <v>0.79166666666666663</v>
      </c>
      <c r="F278" t="s">
        <v>19</v>
      </c>
      <c r="G278">
        <f>VLOOKUP(Table4[[#This Row],[Home]],'NHL Model'!$A$6:$B$38,2,FALSE)</f>
        <v>-0.635565543477981</v>
      </c>
      <c r="H278" t="s">
        <v>13</v>
      </c>
      <c r="I278">
        <f>VLOOKUP(Table4[[#This Row],[Visitor]],'NHL Model'!$A$6:$B$38,2,FALSE)</f>
        <v>-7.5459708298993802E-2</v>
      </c>
      <c r="J278">
        <f ca="1">($B$1+Table4[[#This Row],[Home Differential]])-Table4[[#This Row],[Away Differential]]</f>
        <v>-0.39753352551666882</v>
      </c>
      <c r="K278" t="str">
        <f ca="1">IF(Table4[[#This Row],[HomeIce Differential]]&gt;0,Table4[[#This Row],[Home]],Table4[[#This Row],[Visitor]])</f>
        <v>Los Angeles Kings</v>
      </c>
      <c r="L278" s="11">
        <f ca="1"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0.6364770630635086</v>
      </c>
      <c r="M278" t="str">
        <f ca="1">IF(OR((NHL2025_26Results[[#This Row],[Winning Team]]="")),"-",IF(Table4[[#This Row],[Predicted Winner]]=NHL2025_26Results[[#This Row],[Winning Team]],"YES","NO"))</f>
        <v>YES</v>
      </c>
      <c r="N278">
        <f ca="1">IF(Table4[[#This Row],[Adjusted Correct]]="-", "",IF(Table4[[#This Row],[Adjusted Correct]]="YES",(Table4[[#This Row],[Strength of Win]]-1)^2,(Table4[[#This Row],[Strength of Win]]-0)^2))</f>
        <v>0.1321489256789323</v>
      </c>
      <c r="O278">
        <v>-0.28616254222907439</v>
      </c>
      <c r="P278" s="11">
        <v>0.58619236997833224</v>
      </c>
      <c r="Q278" t="s">
        <v>13</v>
      </c>
      <c r="R278" t="s">
        <v>248</v>
      </c>
    </row>
    <row r="279" spans="4:18" x14ac:dyDescent="0.2">
      <c r="D279" s="1">
        <v>45974</v>
      </c>
      <c r="E279" s="2">
        <v>0.91666666666666663</v>
      </c>
      <c r="F279" t="s">
        <v>20</v>
      </c>
      <c r="G279">
        <f>VLOOKUP(Table4[[#This Row],[Home]],'NHL Model'!$A$6:$B$38,2,FALSE)</f>
        <v>-6.3745791019188943E-4</v>
      </c>
      <c r="H279" t="s">
        <v>30</v>
      </c>
      <c r="I279">
        <f>VLOOKUP(Table4[[#This Row],[Visitor]],'NHL Model'!$A$6:$B$38,2,FALSE)</f>
        <v>-6.4729560818359025E-2</v>
      </c>
      <c r="J279">
        <f ca="1">($B$1+Table4[[#This Row],[Home Differential]])-Table4[[#This Row],[Away Differential]]</f>
        <v>0.22666441257048553</v>
      </c>
      <c r="K279" t="str">
        <f ca="1">IF(Table4[[#This Row],[HomeIce Differential]]&gt;0,Table4[[#This Row],[Home]],Table4[[#This Row],[Visitor]])</f>
        <v>Vegas Golden Knights</v>
      </c>
      <c r="L279" s="11">
        <f ca="1"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0.52889375538828209</v>
      </c>
      <c r="M279" t="str">
        <f ca="1">IF(OR((NHL2025_26Results[[#This Row],[Winning Team]]="")),"-",IF(Table4[[#This Row],[Predicted Winner]]=NHL2025_26Results[[#This Row],[Winning Team]],"YES","NO"))</f>
        <v>NO</v>
      </c>
      <c r="N279">
        <f ca="1">IF(Table4[[#This Row],[Adjusted Correct]]="-", "",IF(Table4[[#This Row],[Adjusted Correct]]="YES",(Table4[[#This Row],[Strength of Win]]-1)^2,(Table4[[#This Row],[Strength of Win]]-0)^2))</f>
        <v>0.27972860448872</v>
      </c>
      <c r="O279">
        <v>0.34947228259784413</v>
      </c>
      <c r="P279" s="11">
        <v>0.568981307555948</v>
      </c>
      <c r="Q279" t="s">
        <v>20</v>
      </c>
      <c r="R279" t="s">
        <v>249</v>
      </c>
    </row>
    <row r="280" spans="4:18" x14ac:dyDescent="0.2">
      <c r="D280" s="1">
        <v>45975</v>
      </c>
      <c r="E280" s="2">
        <v>0.79166666666666663</v>
      </c>
      <c r="F280" t="s">
        <v>25</v>
      </c>
      <c r="G280">
        <f>VLOOKUP(Table4[[#This Row],[Home]],'NHL Model'!$A$6:$B$38,2,FALSE)</f>
        <v>0.67193921242367816</v>
      </c>
      <c r="H280" t="s">
        <v>38</v>
      </c>
      <c r="I280">
        <f>VLOOKUP(Table4[[#This Row],[Visitor]],'NHL Model'!$A$6:$B$38,2,FALSE)</f>
        <v>-0.6902088310934803</v>
      </c>
      <c r="J280">
        <f ca="1">($B$1+Table4[[#This Row],[Home Differential]])-Table4[[#This Row],[Away Differential]]</f>
        <v>1.5247203531794769</v>
      </c>
      <c r="K280" t="str">
        <f ca="1">IF(Table4[[#This Row],[HomeIce Differential]]&gt;0,Table4[[#This Row],[Home]],Table4[[#This Row],[Visitor]])</f>
        <v>Carolina Hurricanes</v>
      </c>
      <c r="L280" s="11">
        <f ca="1"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0.7612632152463138</v>
      </c>
      <c r="M280" t="str">
        <f ca="1">IF(OR((NHL2025_26Results[[#This Row],[Winning Team]]="")),"-",IF(Table4[[#This Row],[Predicted Winner]]=NHL2025_26Results[[#This Row],[Winning Team]],"YES","NO"))</f>
        <v>YES</v>
      </c>
      <c r="N280">
        <f ca="1">IF(Table4[[#This Row],[Adjusted Correct]]="-", "",IF(Table4[[#This Row],[Adjusted Correct]]="YES",(Table4[[#This Row],[Strength of Win]]-1)^2,(Table4[[#This Row],[Strength of Win]]-0)^2))</f>
        <v>5.69952523945279E-2</v>
      </c>
      <c r="O280">
        <v>2.0746320760100323</v>
      </c>
      <c r="P280" s="11">
        <v>0.83653294556976232</v>
      </c>
      <c r="Q280" t="s">
        <v>25</v>
      </c>
      <c r="R280" t="s">
        <v>248</v>
      </c>
    </row>
    <row r="281" spans="4:18" x14ac:dyDescent="0.2">
      <c r="D281" s="1">
        <v>45975</v>
      </c>
      <c r="E281" s="2">
        <v>0.58333333333333337</v>
      </c>
      <c r="F281" t="s">
        <v>29</v>
      </c>
      <c r="G281">
        <f>VLOOKUP(Table4[[#This Row],[Home]],'NHL Model'!$A$6:$B$38,2,FALSE)</f>
        <v>-1.3516250707060606</v>
      </c>
      <c r="H281" t="s">
        <v>14</v>
      </c>
      <c r="I281">
        <f>VLOOKUP(Table4[[#This Row],[Visitor]],'NHL Model'!$A$6:$B$38,2,FALSE)</f>
        <v>0.26289091192875702</v>
      </c>
      <c r="J281">
        <f ca="1">($B$1+Table4[[#This Row],[Home Differential]])-Table4[[#This Row],[Away Differential]]</f>
        <v>-1.4519436729724993</v>
      </c>
      <c r="K281" t="str">
        <f ca="1">IF(Table4[[#This Row],[HomeIce Differential]]&gt;0,Table4[[#This Row],[Home]],Table4[[#This Row],[Visitor]])</f>
        <v>Pittsburgh Penguins</v>
      </c>
      <c r="L281" s="11">
        <f ca="1"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0.66117937565998075</v>
      </c>
      <c r="M281" t="str">
        <f ca="1">IF(OR((NHL2025_26Results[[#This Row],[Winning Team]]="")),"-",IF(Table4[[#This Row],[Predicted Winner]]=NHL2025_26Results[[#This Row],[Winning Team]],"YES","NO"))</f>
        <v>NO</v>
      </c>
      <c r="N281">
        <f ca="1">IF(Table4[[#This Row],[Adjusted Correct]]="-", "",IF(Table4[[#This Row],[Adjusted Correct]]="YES",(Table4[[#This Row],[Strength of Win]]-1)^2,(Table4[[#This Row],[Strength of Win]]-0)^2))</f>
        <v>0.43715816679812197</v>
      </c>
      <c r="O281">
        <v>-1.5093690744652657</v>
      </c>
      <c r="P281" s="11">
        <v>0.68013800473665997</v>
      </c>
      <c r="Q281" t="s">
        <v>14</v>
      </c>
      <c r="R281" t="s">
        <v>249</v>
      </c>
    </row>
    <row r="282" spans="4:18" x14ac:dyDescent="0.2">
      <c r="D282" s="1">
        <v>45975</v>
      </c>
      <c r="E282" s="2">
        <v>0.83333333333333337</v>
      </c>
      <c r="F282" t="s">
        <v>35</v>
      </c>
      <c r="G282">
        <f>VLOOKUP(Table4[[#This Row],[Home]],'NHL Model'!$A$6:$B$38,2,FALSE)</f>
        <v>-1.6211574240381006</v>
      </c>
      <c r="H282" t="s">
        <v>27</v>
      </c>
      <c r="I282">
        <f>VLOOKUP(Table4[[#This Row],[Visitor]],'NHL Model'!$A$6:$B$38,2,FALSE)</f>
        <v>-0.51358590497437617</v>
      </c>
      <c r="J282">
        <f ca="1">($B$1+Table4[[#This Row],[Home Differential]])-Table4[[#This Row],[Away Differential]]</f>
        <v>-0.94499920940140603</v>
      </c>
      <c r="K282" t="str">
        <f ca="1">IF(Table4[[#This Row],[HomeIce Differential]]&gt;0,Table4[[#This Row],[Home]],Table4[[#This Row],[Visitor]])</f>
        <v>Philadelphia Flyers</v>
      </c>
      <c r="L282" s="11">
        <f ca="1"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0.59093782802010342</v>
      </c>
      <c r="M282" t="str">
        <f ca="1">IF(OR((NHL2025_26Results[[#This Row],[Winning Team]]="")),"-",IF(Table4[[#This Row],[Predicted Winner]]=NHL2025_26Results[[#This Row],[Winning Team]],"YES","NO"))</f>
        <v>YES</v>
      </c>
      <c r="N282">
        <f ca="1">IF(Table4[[#This Row],[Adjusted Correct]]="-", "",IF(Table4[[#This Row],[Adjusted Correct]]="YES",(Table4[[#This Row],[Strength of Win]]-1)^2,(Table4[[#This Row],[Strength of Win]]-0)^2))</f>
        <v>0.16733186054491048</v>
      </c>
      <c r="O282">
        <v>-1.1179349546942468</v>
      </c>
      <c r="P282" s="11">
        <v>0.607665223213671</v>
      </c>
      <c r="Q282" t="s">
        <v>27</v>
      </c>
      <c r="R282" t="s">
        <v>248</v>
      </c>
    </row>
    <row r="283" spans="4:18" x14ac:dyDescent="0.2">
      <c r="D283" s="1">
        <v>45975</v>
      </c>
      <c r="E283" s="2">
        <v>0.875</v>
      </c>
      <c r="F283" t="s">
        <v>55</v>
      </c>
      <c r="G283">
        <f>VLOOKUP(Table4[[#This Row],[Home]],'NHL Model'!$A$6:$B$38,2,FALSE)</f>
        <v>-0.12212311954851815</v>
      </c>
      <c r="H283" t="s">
        <v>30</v>
      </c>
      <c r="I283">
        <f>VLOOKUP(Table4[[#This Row],[Visitor]],'NHL Model'!$A$6:$B$38,2,FALSE)</f>
        <v>-6.4729560818359025E-2</v>
      </c>
      <c r="J283">
        <f ca="1">($B$1+Table4[[#This Row],[Home Differential]])-Table4[[#This Row],[Away Differential]]</f>
        <v>0.10517875093215927</v>
      </c>
      <c r="K283" t="str">
        <f ca="1">IF(Table4[[#This Row],[HomeIce Differential]]&gt;0,Table4[[#This Row],[Home]],Table4[[#This Row],[Visitor]])</f>
        <v>Utah Mammoth</v>
      </c>
      <c r="L283" s="11">
        <f ca="1"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0.5815837364980917</v>
      </c>
      <c r="M283" t="str">
        <f ca="1">IF(OR((NHL2025_26Results[[#This Row],[Winning Team]]="")),"-",IF(Table4[[#This Row],[Predicted Winner]]=NHL2025_26Results[[#This Row],[Winning Team]],"YES","NO"))</f>
        <v>NO</v>
      </c>
      <c r="N283">
        <f ca="1">IF(Table4[[#This Row],[Adjusted Correct]]="-", "",IF(Table4[[#This Row],[Adjusted Correct]]="YES",(Table4[[#This Row],[Strength of Win]]-1)^2,(Table4[[#This Row],[Strength of Win]]-0)^2))</f>
        <v>0.33823964255908173</v>
      </c>
      <c r="O283">
        <v>0.12877203755320293</v>
      </c>
      <c r="P283" s="11">
        <v>0.61700917534524502</v>
      </c>
      <c r="Q283" t="s">
        <v>55</v>
      </c>
      <c r="R283" t="s">
        <v>249</v>
      </c>
    </row>
    <row r="284" spans="4:18" x14ac:dyDescent="0.2">
      <c r="D284" s="1">
        <v>45976</v>
      </c>
      <c r="E284" s="2">
        <v>0.79166666666666663</v>
      </c>
      <c r="F284" t="s">
        <v>25</v>
      </c>
      <c r="G284">
        <f>VLOOKUP(Table4[[#This Row],[Home]],'NHL Model'!$A$6:$B$38,2,FALSE)</f>
        <v>0.67193921242367816</v>
      </c>
      <c r="H284" t="s">
        <v>17</v>
      </c>
      <c r="I284">
        <f>VLOOKUP(Table4[[#This Row],[Visitor]],'NHL Model'!$A$6:$B$38,2,FALSE)</f>
        <v>-0.61980804137564283</v>
      </c>
      <c r="J284">
        <f ca="1">($B$1+Table4[[#This Row],[Home Differential]])-Table4[[#This Row],[Away Differential]]</f>
        <v>1.4543195634616395</v>
      </c>
      <c r="K284" t="str">
        <f ca="1">IF(Table4[[#This Row],[HomeIce Differential]]&gt;0,Table4[[#This Row],[Home]],Table4[[#This Row],[Visitor]])</f>
        <v>Carolina Hurricanes</v>
      </c>
      <c r="L284" s="11">
        <f ca="1"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0.79322455220353938</v>
      </c>
      <c r="M284" t="str">
        <f ca="1">IF(OR((NHL2025_26Results[[#This Row],[Winning Team]]="")),"-",IF(Table4[[#This Row],[Predicted Winner]]=NHL2025_26Results[[#This Row],[Winning Team]],"YES","NO"))</f>
        <v>NO</v>
      </c>
      <c r="N284">
        <f ca="1">IF(Table4[[#This Row],[Adjusted Correct]]="-", "",IF(Table4[[#This Row],[Adjusted Correct]]="YES",(Table4[[#This Row],[Strength of Win]]-1)^2,(Table4[[#This Row],[Strength of Win]]-0)^2))</f>
        <v>0.62920519021850552</v>
      </c>
      <c r="O284">
        <v>1.7577742949996158</v>
      </c>
      <c r="P284" s="11">
        <v>0.87282166183561605</v>
      </c>
      <c r="Q284" t="s">
        <v>25</v>
      </c>
      <c r="R284" t="s">
        <v>249</v>
      </c>
    </row>
    <row r="285" spans="4:18" x14ac:dyDescent="0.2">
      <c r="D285" s="1">
        <v>45976</v>
      </c>
      <c r="E285" s="2">
        <v>0.79166666666666663</v>
      </c>
      <c r="F285" t="s">
        <v>28</v>
      </c>
      <c r="G285">
        <f>VLOOKUP(Table4[[#This Row],[Home]],'NHL Model'!$A$6:$B$38,2,FALSE)</f>
        <v>-0.40822279081308277</v>
      </c>
      <c r="H285" t="s">
        <v>15</v>
      </c>
      <c r="I285">
        <f>VLOOKUP(Table4[[#This Row],[Visitor]],'NHL Model'!$A$6:$B$38,2,FALSE)</f>
        <v>-0.30719665303039001</v>
      </c>
      <c r="J285">
        <f ca="1">($B$1+Table4[[#This Row],[Home Differential]])-Table4[[#This Row],[Away Differential]]</f>
        <v>6.1546171879625633E-2</v>
      </c>
      <c r="K285" t="str">
        <f ca="1">IF(Table4[[#This Row],[HomeIce Differential]]&gt;0,Table4[[#This Row],[Home]],Table4[[#This Row],[Visitor]])</f>
        <v>Columbus Blue Jackets</v>
      </c>
      <c r="L285" s="11">
        <f ca="1"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0.40611811680123444</v>
      </c>
      <c r="M285" t="str">
        <f ca="1">IF(OR((NHL2025_26Results[[#This Row],[Winning Team]]="")),"-",IF(Table4[[#This Row],[Predicted Winner]]=NHL2025_26Results[[#This Row],[Winning Team]],"YES","NO"))</f>
        <v>NO</v>
      </c>
      <c r="N285">
        <f ca="1">IF(Table4[[#This Row],[Adjusted Correct]]="-", "",IF(Table4[[#This Row],[Adjusted Correct]]="YES",(Table4[[#This Row],[Strength of Win]]-1)^2,(Table4[[#This Row],[Strength of Win]]-0)^2))</f>
        <v>0.16493192479418109</v>
      </c>
      <c r="O285">
        <v>8.2519648684287294E-2</v>
      </c>
      <c r="P285" s="11">
        <v>0.42854327356960809</v>
      </c>
      <c r="Q285" t="s">
        <v>28</v>
      </c>
      <c r="R285" t="s">
        <v>249</v>
      </c>
    </row>
    <row r="286" spans="4:18" x14ac:dyDescent="0.2">
      <c r="D286" s="1">
        <v>45976</v>
      </c>
      <c r="E286" s="2">
        <v>0.91666666666666663</v>
      </c>
      <c r="F286" t="s">
        <v>16</v>
      </c>
      <c r="G286">
        <f>VLOOKUP(Table4[[#This Row],[Home]],'NHL Model'!$A$6:$B$38,2,FALSE)</f>
        <v>-1.3903684122795328</v>
      </c>
      <c r="H286" t="s">
        <v>40</v>
      </c>
      <c r="I286">
        <f>VLOOKUP(Table4[[#This Row],[Visitor]],'NHL Model'!$A$6:$B$38,2,FALSE)</f>
        <v>0.105105258369765</v>
      </c>
      <c r="J286">
        <f ca="1">($B$1+Table4[[#This Row],[Home Differential]])-Table4[[#This Row],[Away Differential]]</f>
        <v>-1.3329013609869793</v>
      </c>
      <c r="K286" t="str">
        <f ca="1">IF(Table4[[#This Row],[HomeIce Differential]]&gt;0,Table4[[#This Row],[Home]],Table4[[#This Row],[Visitor]])</f>
        <v>Winnipeg Jets</v>
      </c>
      <c r="L286" s="11">
        <f ca="1"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0.71100082141484966</v>
      </c>
      <c r="M286" t="str">
        <f ca="1">IF(OR((NHL2025_26Results[[#This Row],[Winning Team]]="")),"-",IF(Table4[[#This Row],[Predicted Winner]]=NHL2025_26Results[[#This Row],[Winning Team]],"YES","NO"))</f>
        <v>YES</v>
      </c>
      <c r="N286">
        <f ca="1">IF(Table4[[#This Row],[Adjusted Correct]]="-", "",IF(Table4[[#This Row],[Adjusted Correct]]="YES",(Table4[[#This Row],[Strength of Win]]-1)^2,(Table4[[#This Row],[Strength of Win]]-0)^2))</f>
        <v>8.352052522289162E-2</v>
      </c>
      <c r="O286">
        <v>-1.3364567566098906</v>
      </c>
      <c r="P286" s="11">
        <v>0.69944838707283219</v>
      </c>
      <c r="Q286" t="s">
        <v>40</v>
      </c>
      <c r="R286" t="s">
        <v>248</v>
      </c>
    </row>
    <row r="287" spans="4:18" x14ac:dyDescent="0.2">
      <c r="D287" s="1">
        <v>45976</v>
      </c>
      <c r="E287" s="2">
        <v>0.79166666666666663</v>
      </c>
      <c r="F287" t="s">
        <v>10</v>
      </c>
      <c r="G287">
        <f>VLOOKUP(Table4[[#This Row],[Home]],'NHL Model'!$A$6:$B$38,2,FALSE)</f>
        <v>0.30570968833820172</v>
      </c>
      <c r="H287" t="s">
        <v>19</v>
      </c>
      <c r="I287">
        <f>VLOOKUP(Table4[[#This Row],[Visitor]],'NHL Model'!$A$6:$B$38,2,FALSE)</f>
        <v>-0.635565543477981</v>
      </c>
      <c r="J287">
        <f ca="1">($B$1+Table4[[#This Row],[Home Differential]])-Table4[[#This Row],[Away Differential]]</f>
        <v>1.1038475414785012</v>
      </c>
      <c r="K287" t="str">
        <f ca="1">IF(Table4[[#This Row],[HomeIce Differential]]&gt;0,Table4[[#This Row],[Home]],Table4[[#This Row],[Visitor]])</f>
        <v>Chicago Blackhawks</v>
      </c>
      <c r="L287" s="11">
        <f ca="1"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0.69294764070551917</v>
      </c>
      <c r="M287" t="str">
        <f ca="1">IF(OR((NHL2025_26Results[[#This Row],[Winning Team]]="")),"-",IF(Table4[[#This Row],[Predicted Winner]]=NHL2025_26Results[[#This Row],[Winning Team]],"YES","NO"))</f>
        <v>YES</v>
      </c>
      <c r="N287">
        <f ca="1">IF(Table4[[#This Row],[Adjusted Correct]]="-", "",IF(Table4[[#This Row],[Adjusted Correct]]="YES",(Table4[[#This Row],[Strength of Win]]-1)^2,(Table4[[#This Row],[Strength of Win]]-0)^2))</f>
        <v>9.4281151348306946E-2</v>
      </c>
      <c r="O287">
        <v>1.1038163157984502</v>
      </c>
      <c r="P287" s="11">
        <v>0.6988663146876376</v>
      </c>
      <c r="Q287" t="s">
        <v>10</v>
      </c>
      <c r="R287" t="s">
        <v>248</v>
      </c>
    </row>
    <row r="288" spans="4:18" x14ac:dyDescent="0.2">
      <c r="D288" s="1">
        <v>45976</v>
      </c>
      <c r="E288" s="2">
        <v>0.83333333333333337</v>
      </c>
      <c r="F288" t="s">
        <v>39</v>
      </c>
      <c r="G288">
        <f>VLOOKUP(Table4[[#This Row],[Home]],'NHL Model'!$A$6:$B$38,2,FALSE)</f>
        <v>0.19809534061227302</v>
      </c>
      <c r="H288" t="s">
        <v>27</v>
      </c>
      <c r="I288">
        <f>VLOOKUP(Table4[[#This Row],[Visitor]],'NHL Model'!$A$6:$B$38,2,FALSE)</f>
        <v>-0.51358590497437617</v>
      </c>
      <c r="J288">
        <f ca="1">($B$1+Table4[[#This Row],[Home Differential]])-Table4[[#This Row],[Away Differential]]</f>
        <v>0.87425355524896764</v>
      </c>
      <c r="K288" t="str">
        <f ca="1">IF(Table4[[#This Row],[HomeIce Differential]]&gt;0,Table4[[#This Row],[Home]],Table4[[#This Row],[Visitor]])</f>
        <v>Dallas Stars</v>
      </c>
      <c r="L288" s="11">
        <f ca="1"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0.68717314053967438</v>
      </c>
      <c r="M288" t="str">
        <f ca="1">IF(OR((NHL2025_26Results[[#This Row],[Winning Team]]="")),"-",IF(Table4[[#This Row],[Predicted Winner]]=NHL2025_26Results[[#This Row],[Winning Team]],"YES","NO"))</f>
        <v>YES</v>
      </c>
      <c r="N288">
        <f ca="1">IF(Table4[[#This Row],[Adjusted Correct]]="-", "",IF(Table4[[#This Row],[Adjusted Correct]]="YES",(Table4[[#This Row],[Strength of Win]]-1)^2,(Table4[[#This Row],[Strength of Win]]-0)^2))</f>
        <v>9.7860643999810315E-2</v>
      </c>
      <c r="O288">
        <v>0.51364057191077117</v>
      </c>
      <c r="P288" s="11">
        <v>0.60024130005511533</v>
      </c>
      <c r="Q288" t="s">
        <v>39</v>
      </c>
      <c r="R288" t="s">
        <v>248</v>
      </c>
    </row>
    <row r="289" spans="4:18" x14ac:dyDescent="0.2">
      <c r="D289" s="1">
        <v>45976</v>
      </c>
      <c r="E289" s="2">
        <v>0.79166666666666663</v>
      </c>
      <c r="F289" t="s">
        <v>26</v>
      </c>
      <c r="G289">
        <f>VLOOKUP(Table4[[#This Row],[Home]],'NHL Model'!$A$6:$B$38,2,FALSE)</f>
        <v>-0.513643833119658</v>
      </c>
      <c r="H289" t="s">
        <v>23</v>
      </c>
      <c r="I289">
        <f>VLOOKUP(Table4[[#This Row],[Visitor]],'NHL Model'!$A$6:$B$38,2,FALSE)</f>
        <v>-0.8683412362501769</v>
      </c>
      <c r="J289">
        <f ca="1">($B$1+Table4[[#This Row],[Home Differential]])-Table4[[#This Row],[Away Differential]]</f>
        <v>0.51726971279283729</v>
      </c>
      <c r="K289" t="str">
        <f ca="1">IF(Table4[[#This Row],[HomeIce Differential]]&gt;0,Table4[[#This Row],[Home]],Table4[[#This Row],[Visitor]])</f>
        <v>Detroit Red Wings</v>
      </c>
      <c r="L289" s="11">
        <f ca="1"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0.63770993622748795</v>
      </c>
      <c r="M289" t="str">
        <f ca="1">IF(OR((NHL2025_26Results[[#This Row],[Winning Team]]="")),"-",IF(Table4[[#This Row],[Predicted Winner]]=NHL2025_26Results[[#This Row],[Winning Team]],"YES","NO"))</f>
        <v>NO</v>
      </c>
      <c r="N289">
        <f ca="1">IF(Table4[[#This Row],[Adjusted Correct]]="-", "",IF(Table4[[#This Row],[Adjusted Correct]]="YES",(Table4[[#This Row],[Strength of Win]]-1)^2,(Table4[[#This Row],[Strength of Win]]-0)^2))</f>
        <v>0.40667396276326673</v>
      </c>
      <c r="O289">
        <v>0.64655027944453514</v>
      </c>
      <c r="P289" s="11">
        <v>0.6847704625583706</v>
      </c>
      <c r="Q289" t="s">
        <v>26</v>
      </c>
      <c r="R289" t="s">
        <v>249</v>
      </c>
    </row>
    <row r="290" spans="4:18" x14ac:dyDescent="0.2">
      <c r="D290" s="1">
        <v>45976</v>
      </c>
      <c r="E290" s="2">
        <v>0.70833333333333337</v>
      </c>
      <c r="F290" t="s">
        <v>11</v>
      </c>
      <c r="G290">
        <f>VLOOKUP(Table4[[#This Row],[Home]],'NHL Model'!$A$6:$B$38,2,FALSE)</f>
        <v>-0.28105923893144158</v>
      </c>
      <c r="H290" t="s">
        <v>37</v>
      </c>
      <c r="I290">
        <f>VLOOKUP(Table4[[#This Row],[Visitor]],'NHL Model'!$A$6:$B$38,2,FALSE)</f>
        <v>-0.11309445867623392</v>
      </c>
      <c r="J290">
        <f ca="1">($B$1+Table4[[#This Row],[Home Differential]])-Table4[[#This Row],[Away Differential]]</f>
        <v>-5.3924705928892619E-3</v>
      </c>
      <c r="K290" t="str">
        <f ca="1">IF(Table4[[#This Row],[HomeIce Differential]]&gt;0,Table4[[#This Row],[Home]],Table4[[#This Row],[Visitor]])</f>
        <v>Tampa Bay Lightning</v>
      </c>
      <c r="L290" s="11">
        <f ca="1"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0.45529262806694609</v>
      </c>
      <c r="M290" t="str">
        <f ca="1">IF(OR((NHL2025_26Results[[#This Row],[Winning Team]]="")),"-",IF(Table4[[#This Row],[Predicted Winner]]=NHL2025_26Results[[#This Row],[Winning Team]],"YES","NO"))</f>
        <v>YES</v>
      </c>
      <c r="N290">
        <f ca="1">IF(Table4[[#This Row],[Adjusted Correct]]="-", "",IF(Table4[[#This Row],[Adjusted Correct]]="YES",(Table4[[#This Row],[Strength of Win]]-1)^2,(Table4[[#This Row],[Strength of Win]]-0)^2))</f>
        <v>0.29670612103821437</v>
      </c>
      <c r="O290">
        <v>-2.3512614637521065E-2</v>
      </c>
      <c r="P290" s="11">
        <v>0.4033840435067601</v>
      </c>
      <c r="Q290" t="s">
        <v>37</v>
      </c>
      <c r="R290" t="s">
        <v>248</v>
      </c>
    </row>
    <row r="291" spans="4:18" x14ac:dyDescent="0.2">
      <c r="D291" s="1">
        <v>45976</v>
      </c>
      <c r="E291" s="2">
        <v>0.75</v>
      </c>
      <c r="F291" t="s">
        <v>34</v>
      </c>
      <c r="G291">
        <f>VLOOKUP(Table4[[#This Row],[Home]],'NHL Model'!$A$6:$B$38,2,FALSE)</f>
        <v>-0.53650300840565446</v>
      </c>
      <c r="H291" t="s">
        <v>31</v>
      </c>
      <c r="I291">
        <f>VLOOKUP(Table4[[#This Row],[Visitor]],'NHL Model'!$A$6:$B$38,2,FALSE)</f>
        <v>0.51775546328552802</v>
      </c>
      <c r="J291">
        <f ca="1">($B$1+Table4[[#This Row],[Home Differential]])-Table4[[#This Row],[Away Differential]]</f>
        <v>-0.89168616202886408</v>
      </c>
      <c r="K291" t="str">
        <f ca="1">IF(Table4[[#This Row],[HomeIce Differential]]&gt;0,Table4[[#This Row],[Home]],Table4[[#This Row],[Visitor]])</f>
        <v>Anaheim Ducks</v>
      </c>
      <c r="L291" s="11">
        <f ca="1"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0.60432007416686506</v>
      </c>
      <c r="M291" t="str">
        <f ca="1">IF(OR((NHL2025_26Results[[#This Row],[Winning Team]]="")),"-",IF(Table4[[#This Row],[Predicted Winner]]=NHL2025_26Results[[#This Row],[Winning Team]],"YES","NO"))</f>
        <v>NO</v>
      </c>
      <c r="N291">
        <f ca="1">IF(Table4[[#This Row],[Adjusted Correct]]="-", "",IF(Table4[[#This Row],[Adjusted Correct]]="YES",(Table4[[#This Row],[Strength of Win]]-1)^2,(Table4[[#This Row],[Strength of Win]]-0)^2))</f>
        <v>0.3652027520410453</v>
      </c>
      <c r="O291">
        <v>-1.3195948668743118</v>
      </c>
      <c r="P291" s="11">
        <v>0.69243471777823418</v>
      </c>
      <c r="Q291" t="s">
        <v>31</v>
      </c>
      <c r="R291" t="s">
        <v>249</v>
      </c>
    </row>
    <row r="292" spans="4:18" x14ac:dyDescent="0.2">
      <c r="D292" s="1">
        <v>45976</v>
      </c>
      <c r="E292" s="2">
        <v>0.79166666666666663</v>
      </c>
      <c r="F292" t="s">
        <v>18</v>
      </c>
      <c r="G292">
        <f>VLOOKUP(Table4[[#This Row],[Home]],'NHL Model'!$A$6:$B$38,2,FALSE)</f>
        <v>-0.52437726201848234</v>
      </c>
      <c r="H292" t="s">
        <v>21</v>
      </c>
      <c r="I292">
        <f>VLOOKUP(Table4[[#This Row],[Visitor]],'NHL Model'!$A$6:$B$38,2,FALSE)</f>
        <v>4.029141914856392E-2</v>
      </c>
      <c r="J292">
        <f ca="1">($B$1+Table4[[#This Row],[Home Differential]])-Table4[[#This Row],[Away Differential]]</f>
        <v>-0.40209637150472788</v>
      </c>
      <c r="K292" t="str">
        <f ca="1">IF(Table4[[#This Row],[HomeIce Differential]]&gt;0,Table4[[#This Row],[Home]],Table4[[#This Row],[Visitor]])</f>
        <v>Boston Bruins</v>
      </c>
      <c r="L292" s="11">
        <f ca="1"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0.51571393607084992</v>
      </c>
      <c r="M292" t="str">
        <f ca="1">IF(OR((NHL2025_26Results[[#This Row],[Winning Team]]="")),"-",IF(Table4[[#This Row],[Predicted Winner]]=NHL2025_26Results[[#This Row],[Winning Team]],"YES","NO"))</f>
        <v>YES</v>
      </c>
      <c r="N292">
        <f ca="1">IF(Table4[[#This Row],[Adjusted Correct]]="-", "",IF(Table4[[#This Row],[Adjusted Correct]]="YES",(Table4[[#This Row],[Strength of Win]]-1)^2,(Table4[[#This Row],[Strength of Win]]-0)^2))</f>
        <v>0.23453299171598885</v>
      </c>
      <c r="O292">
        <v>-0.41696684430534969</v>
      </c>
      <c r="P292" s="11">
        <v>0.51296583176167698</v>
      </c>
      <c r="Q292" t="s">
        <v>21</v>
      </c>
      <c r="R292" t="s">
        <v>248</v>
      </c>
    </row>
    <row r="293" spans="4:18" x14ac:dyDescent="0.2">
      <c r="D293" s="1">
        <v>45976</v>
      </c>
      <c r="E293" s="2">
        <v>0.79166666666666663</v>
      </c>
      <c r="F293" t="s">
        <v>36</v>
      </c>
      <c r="G293">
        <f>VLOOKUP(Table4[[#This Row],[Home]],'NHL Model'!$A$6:$B$38,2,FALSE)</f>
        <v>-0.40651947573390851</v>
      </c>
      <c r="H293" t="s">
        <v>13</v>
      </c>
      <c r="I293">
        <f>VLOOKUP(Table4[[#This Row],[Visitor]],'NHL Model'!$A$6:$B$38,2,FALSE)</f>
        <v>-7.5459708298993802E-2</v>
      </c>
      <c r="J293">
        <f ca="1">($B$1+Table4[[#This Row],[Home Differential]])-Table4[[#This Row],[Away Differential]]</f>
        <v>-0.16848745777259633</v>
      </c>
      <c r="K293" t="str">
        <f ca="1">IF(Table4[[#This Row],[HomeIce Differential]]&gt;0,Table4[[#This Row],[Home]],Table4[[#This Row],[Visitor]])</f>
        <v>Los Angeles Kings</v>
      </c>
      <c r="L293" s="11">
        <f ca="1"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0.60229276548582589</v>
      </c>
      <c r="M293" t="str">
        <f ca="1">IF(OR((NHL2025_26Results[[#This Row],[Winning Team]]="")),"-",IF(Table4[[#This Row],[Predicted Winner]]=NHL2025_26Results[[#This Row],[Winning Team]],"YES","NO"))</f>
        <v>YES</v>
      </c>
      <c r="N293">
        <f ca="1">IF(Table4[[#This Row],[Adjusted Correct]]="-", "",IF(Table4[[#This Row],[Adjusted Correct]]="YES",(Table4[[#This Row],[Strength of Win]]-1)^2,(Table4[[#This Row],[Strength of Win]]-0)^2))</f>
        <v>0.15817104438491228</v>
      </c>
      <c r="O293">
        <v>-4.8100585047105321E-2</v>
      </c>
      <c r="P293" s="11">
        <v>0.55486806263546851</v>
      </c>
      <c r="Q293" t="s">
        <v>13</v>
      </c>
      <c r="R293" t="s">
        <v>248</v>
      </c>
    </row>
    <row r="294" spans="4:18" x14ac:dyDescent="0.2">
      <c r="D294" s="1">
        <v>45976</v>
      </c>
      <c r="E294" s="2">
        <v>0.91666666666666663</v>
      </c>
      <c r="F294" t="s">
        <v>32</v>
      </c>
      <c r="G294">
        <f>VLOOKUP(Table4[[#This Row],[Home]],'NHL Model'!$A$6:$B$38,2,FALSE)</f>
        <v>-0.361361309178443</v>
      </c>
      <c r="H294" t="s">
        <v>33</v>
      </c>
      <c r="I294">
        <f>VLOOKUP(Table4[[#This Row],[Visitor]],'NHL Model'!$A$6:$B$38,2,FALSE)</f>
        <v>-0.39418177254008485</v>
      </c>
      <c r="J294">
        <f ca="1">($B$1+Table4[[#This Row],[Home Differential]])-Table4[[#This Row],[Away Differential]]</f>
        <v>0.19539277302396024</v>
      </c>
      <c r="K294" t="str">
        <f ca="1">IF(Table4[[#This Row],[HomeIce Differential]]&gt;0,Table4[[#This Row],[Home]],Table4[[#This Row],[Visitor]])</f>
        <v>Seattle Kraken</v>
      </c>
      <c r="L294" s="11">
        <f ca="1"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0.59311109745196033</v>
      </c>
      <c r="M294" t="str">
        <f ca="1">IF(OR((NHL2025_26Results[[#This Row],[Winning Team]]="")),"-",IF(Table4[[#This Row],[Predicted Winner]]=NHL2025_26Results[[#This Row],[Winning Team]],"YES","NO"))</f>
        <v>YES</v>
      </c>
      <c r="N294">
        <f ca="1">IF(Table4[[#This Row],[Adjusted Correct]]="-", "",IF(Table4[[#This Row],[Adjusted Correct]]="YES",(Table4[[#This Row],[Strength of Win]]-1)^2,(Table4[[#This Row],[Strength of Win]]-0)^2))</f>
        <v>0.16555857901674811</v>
      </c>
      <c r="O294">
        <v>-9.0735069653309852E-2</v>
      </c>
      <c r="P294" s="11">
        <v>0.48674321855367986</v>
      </c>
      <c r="Q294" t="s">
        <v>33</v>
      </c>
      <c r="R294" t="s">
        <v>249</v>
      </c>
    </row>
    <row r="295" spans="4:18" x14ac:dyDescent="0.2">
      <c r="D295" s="1">
        <v>45976</v>
      </c>
      <c r="E295" s="2">
        <v>0.83333333333333337</v>
      </c>
      <c r="F295" t="s">
        <v>35</v>
      </c>
      <c r="G295">
        <f>VLOOKUP(Table4[[#This Row],[Home]],'NHL Model'!$A$6:$B$38,2,FALSE)</f>
        <v>-1.6211574240381006</v>
      </c>
      <c r="H295" t="s">
        <v>20</v>
      </c>
      <c r="I295">
        <f>VLOOKUP(Table4[[#This Row],[Visitor]],'NHL Model'!$A$6:$B$38,2,FALSE)</f>
        <v>-6.3745791019188943E-4</v>
      </c>
      <c r="J295">
        <f ca="1">($B$1+Table4[[#This Row],[Home Differential]])-Table4[[#This Row],[Away Differential]]</f>
        <v>-1.4579476564655902</v>
      </c>
      <c r="K295" t="str">
        <f ca="1">IF(Table4[[#This Row],[HomeIce Differential]]&gt;0,Table4[[#This Row],[Home]],Table4[[#This Row],[Visitor]])</f>
        <v>Vegas Golden Knights</v>
      </c>
      <c r="L295" s="11">
        <f ca="1"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0.68278051036122833</v>
      </c>
      <c r="M295" t="str">
        <f ca="1">IF(OR((NHL2025_26Results[[#This Row],[Winning Team]]="")),"-",IF(Table4[[#This Row],[Predicted Winner]]=NHL2025_26Results[[#This Row],[Winning Team]],"YES","NO"))</f>
        <v>YES</v>
      </c>
      <c r="N295">
        <f ca="1">IF(Table4[[#This Row],[Adjusted Correct]]="-", "",IF(Table4[[#This Row],[Adjusted Correct]]="YES",(Table4[[#This Row],[Strength of Win]]-1)^2,(Table4[[#This Row],[Strength of Win]]-0)^2))</f>
        <v>0.10062820460668277</v>
      </c>
      <c r="O295">
        <v>-1.5045011124019096</v>
      </c>
      <c r="P295" s="11">
        <v>0.69730394197962842</v>
      </c>
      <c r="Q295" t="s">
        <v>20</v>
      </c>
      <c r="R295" t="s">
        <v>248</v>
      </c>
    </row>
    <row r="296" spans="4:18" x14ac:dyDescent="0.2">
      <c r="D296" s="1">
        <v>45976</v>
      </c>
      <c r="E296" s="2">
        <v>0.79166666666666663</v>
      </c>
      <c r="F296" t="s">
        <v>22</v>
      </c>
      <c r="G296">
        <f>VLOOKUP(Table4[[#This Row],[Home]],'NHL Model'!$A$6:$B$38,2,FALSE)</f>
        <v>-6.1308839486784707E-2</v>
      </c>
      <c r="H296" t="s">
        <v>24</v>
      </c>
      <c r="I296">
        <f>VLOOKUP(Table4[[#This Row],[Visitor]],'NHL Model'!$A$6:$B$38,2,FALSE)</f>
        <v>0.559441163373953</v>
      </c>
      <c r="J296">
        <f ca="1">($B$1+Table4[[#This Row],[Home Differential]])-Table4[[#This Row],[Away Differential]]</f>
        <v>-0.45817769319841928</v>
      </c>
      <c r="K296" t="str">
        <f ca="1">IF(Table4[[#This Row],[HomeIce Differential]]&gt;0,Table4[[#This Row],[Home]],Table4[[#This Row],[Visitor]])</f>
        <v>New Jersey Devils</v>
      </c>
      <c r="L296" s="11">
        <f ca="1"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0.58980027855877426</v>
      </c>
      <c r="M296" t="str">
        <f ca="1">IF(OR((NHL2025_26Results[[#This Row],[Winning Team]]="")),"-",IF(Table4[[#This Row],[Predicted Winner]]=NHL2025_26Results[[#This Row],[Winning Team]],"YES","NO"))</f>
        <v>YES</v>
      </c>
      <c r="N296">
        <f ca="1">IF(Table4[[#This Row],[Adjusted Correct]]="-", "",IF(Table4[[#This Row],[Adjusted Correct]]="YES",(Table4[[#This Row],[Strength of Win]]-1)^2,(Table4[[#This Row],[Strength of Win]]-0)^2))</f>
        <v>0.16826381147045918</v>
      </c>
      <c r="O296">
        <v>-0.41696391359614637</v>
      </c>
      <c r="P296" s="11">
        <v>0.56711075330123228</v>
      </c>
      <c r="Q296" t="s">
        <v>24</v>
      </c>
      <c r="R296" t="s">
        <v>248</v>
      </c>
    </row>
    <row r="297" spans="4:18" x14ac:dyDescent="0.2">
      <c r="D297" s="1">
        <v>45977</v>
      </c>
      <c r="E297" s="2">
        <v>0.875</v>
      </c>
      <c r="F297" t="s">
        <v>12</v>
      </c>
      <c r="G297">
        <f>VLOOKUP(Table4[[#This Row],[Home]],'NHL Model'!$A$6:$B$38,2,FALSE)</f>
        <v>1.5475013591489768</v>
      </c>
      <c r="H297" t="s">
        <v>30</v>
      </c>
      <c r="I297">
        <f>VLOOKUP(Table4[[#This Row],[Visitor]],'NHL Model'!$A$6:$B$38,2,FALSE)</f>
        <v>-6.4729560818359025E-2</v>
      </c>
      <c r="J297">
        <f ca="1">($B$1+Table4[[#This Row],[Home Differential]])-Table4[[#This Row],[Away Differential]]</f>
        <v>1.7748032296296543</v>
      </c>
      <c r="K297" t="str">
        <f ca="1">IF(Table4[[#This Row],[HomeIce Differential]]&gt;0,Table4[[#This Row],[Home]],Table4[[#This Row],[Visitor]])</f>
        <v>Colorado Avalanche</v>
      </c>
      <c r="L297" s="11">
        <f ca="1"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0.83370062406084455</v>
      </c>
      <c r="M297" t="str">
        <f ca="1">IF(OR((NHL2025_26Results[[#This Row],[Winning Team]]="")),"-",IF(Table4[[#This Row],[Predicted Winner]]=NHL2025_26Results[[#This Row],[Winning Team]],"YES","NO"))</f>
        <v>YES</v>
      </c>
      <c r="N297">
        <f ca="1">IF(Table4[[#This Row],[Adjusted Correct]]="-", "",IF(Table4[[#This Row],[Adjusted Correct]]="YES",(Table4[[#This Row],[Strength of Win]]-1)^2,(Table4[[#This Row],[Strength of Win]]-0)^2))</f>
        <v>2.7655482437752555E-2</v>
      </c>
      <c r="O297">
        <v>1.6282896807033209</v>
      </c>
      <c r="P297" s="11">
        <v>0.78990648615412085</v>
      </c>
      <c r="Q297" t="s">
        <v>12</v>
      </c>
      <c r="R297" t="s">
        <v>248</v>
      </c>
    </row>
    <row r="298" spans="4:18" x14ac:dyDescent="0.2">
      <c r="D298" s="1">
        <v>45977</v>
      </c>
      <c r="E298" s="2">
        <v>0.75</v>
      </c>
      <c r="F298" t="s">
        <v>34</v>
      </c>
      <c r="G298">
        <f>VLOOKUP(Table4[[#This Row],[Home]],'NHL Model'!$A$6:$B$38,2,FALSE)</f>
        <v>-0.53650300840565446</v>
      </c>
      <c r="H298" t="s">
        <v>20</v>
      </c>
      <c r="I298">
        <f>VLOOKUP(Table4[[#This Row],[Visitor]],'NHL Model'!$A$6:$B$38,2,FALSE)</f>
        <v>-6.3745791019188943E-4</v>
      </c>
      <c r="J298">
        <f ca="1">($B$1+Table4[[#This Row],[Home Differential]])-Table4[[#This Row],[Away Differential]]</f>
        <v>-0.37329324083314419</v>
      </c>
      <c r="K298" t="str">
        <f ca="1">IF(Table4[[#This Row],[HomeIce Differential]]&gt;0,Table4[[#This Row],[Home]],Table4[[#This Row],[Visitor]])</f>
        <v>Vegas Golden Knights</v>
      </c>
      <c r="L298" s="11">
        <f ca="1"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0.53249224353263647</v>
      </c>
      <c r="M298" t="str">
        <f ca="1">IF(OR((NHL2025_26Results[[#This Row],[Winning Team]]="")),"-",IF(Table4[[#This Row],[Predicted Winner]]=NHL2025_26Results[[#This Row],[Winning Team]],"YES","NO"))</f>
        <v>NO</v>
      </c>
      <c r="N298">
        <f ca="1">IF(Table4[[#This Row],[Adjusted Correct]]="-", "",IF(Table4[[#This Row],[Adjusted Correct]]="YES",(Table4[[#This Row],[Strength of Win]]-1)^2,(Table4[[#This Row],[Strength of Win]]-0)^2))</f>
        <v>0.2835479894224206</v>
      </c>
      <c r="O298">
        <v>-0.66509769070949665</v>
      </c>
      <c r="P298" s="11">
        <v>0.57649314562534082</v>
      </c>
      <c r="Q298" t="s">
        <v>20</v>
      </c>
      <c r="R298" t="s">
        <v>249</v>
      </c>
    </row>
    <row r="299" spans="4:18" x14ac:dyDescent="0.2">
      <c r="D299" s="1">
        <v>45977</v>
      </c>
      <c r="E299" s="2">
        <v>0.79166666666666663</v>
      </c>
      <c r="F299" t="s">
        <v>15</v>
      </c>
      <c r="G299">
        <f>VLOOKUP(Table4[[#This Row],[Home]],'NHL Model'!$A$6:$B$38,2,FALSE)</f>
        <v>-0.30719665303039001</v>
      </c>
      <c r="H299" t="s">
        <v>26</v>
      </c>
      <c r="I299">
        <f>VLOOKUP(Table4[[#This Row],[Visitor]],'NHL Model'!$A$6:$B$38,2,FALSE)</f>
        <v>-0.513643833119658</v>
      </c>
      <c r="J299">
        <f ca="1">($B$1+Table4[[#This Row],[Home Differential]])-Table4[[#This Row],[Away Differential]]</f>
        <v>0.36901948975158638</v>
      </c>
      <c r="K299" t="str">
        <f ca="1">IF(Table4[[#This Row],[HomeIce Differential]]&gt;0,Table4[[#This Row],[Home]],Table4[[#This Row],[Visitor]])</f>
        <v>New York Rangers</v>
      </c>
      <c r="L299" s="11">
        <f ca="1"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0.54403145604216463</v>
      </c>
      <c r="M299" t="str">
        <f ca="1">IF(OR((NHL2025_26Results[[#This Row],[Winning Team]]="")),"-",IF(Table4[[#This Row],[Predicted Winner]]=NHL2025_26Results[[#This Row],[Winning Team]],"YES","NO"))</f>
        <v>NO</v>
      </c>
      <c r="N299">
        <f ca="1">IF(Table4[[#This Row],[Adjusted Correct]]="-", "",IF(Table4[[#This Row],[Adjusted Correct]]="YES",(Table4[[#This Row],[Strength of Win]]-1)^2,(Table4[[#This Row],[Strength of Win]]-0)^2))</f>
        <v>0.29597022516335769</v>
      </c>
      <c r="O299">
        <v>0.30519086846352605</v>
      </c>
      <c r="P299" s="11">
        <v>0.56315524095236036</v>
      </c>
      <c r="Q299" t="s">
        <v>15</v>
      </c>
      <c r="R299" t="s">
        <v>249</v>
      </c>
    </row>
    <row r="300" spans="4:18" x14ac:dyDescent="0.2">
      <c r="D300" s="1">
        <v>45977</v>
      </c>
      <c r="E300" s="2">
        <v>0.375</v>
      </c>
      <c r="F300" t="s">
        <v>14</v>
      </c>
      <c r="G300">
        <f>VLOOKUP(Table4[[#This Row],[Home]],'NHL Model'!$A$6:$B$38,2,FALSE)</f>
        <v>0.26289091192875702</v>
      </c>
      <c r="H300" t="s">
        <v>29</v>
      </c>
      <c r="I300">
        <f>VLOOKUP(Table4[[#This Row],[Visitor]],'NHL Model'!$A$6:$B$38,2,FALSE)</f>
        <v>-1.3516250707060606</v>
      </c>
      <c r="J300">
        <f ca="1">($B$1+Table4[[#This Row],[Home Differential]])-Table4[[#This Row],[Away Differential]]</f>
        <v>1.7770882922971361</v>
      </c>
      <c r="K300" t="str">
        <f ca="1">IF(Table4[[#This Row],[HomeIce Differential]]&gt;0,Table4[[#This Row],[Home]],Table4[[#This Row],[Visitor]])</f>
        <v>Pittsburgh Penguins</v>
      </c>
      <c r="L300" s="11">
        <f ca="1"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0.82226784610887349</v>
      </c>
      <c r="M300" t="str">
        <f ca="1">IF(OR((NHL2025_26Results[[#This Row],[Winning Team]]="")),"-",IF(Table4[[#This Row],[Predicted Winner]]=NHL2025_26Results[[#This Row],[Winning Team]],"YES","NO"))</f>
        <v>YES</v>
      </c>
      <c r="N300">
        <f ca="1">IF(Table4[[#This Row],[Adjusted Correct]]="-", "",IF(Table4[[#This Row],[Adjusted Correct]]="YES",(Table4[[#This Row],[Strength of Win]]-1)^2,(Table4[[#This Row],[Strength of Win]]-0)^2))</f>
        <v>3.1588718526779073E-2</v>
      </c>
      <c r="O300">
        <v>1.5835502930976153</v>
      </c>
      <c r="P300" s="11">
        <v>0.78192845291700996</v>
      </c>
      <c r="Q300" t="s">
        <v>14</v>
      </c>
      <c r="R300" t="s">
        <v>248</v>
      </c>
    </row>
    <row r="301" spans="4:18" x14ac:dyDescent="0.2">
      <c r="D301" s="1">
        <v>45977</v>
      </c>
      <c r="E301" s="2">
        <v>0.70833333333333337</v>
      </c>
      <c r="F301" t="s">
        <v>37</v>
      </c>
      <c r="G301">
        <f>VLOOKUP(Table4[[#This Row],[Home]],'NHL Model'!$A$6:$B$38,2,FALSE)</f>
        <v>-0.11309445867623392</v>
      </c>
      <c r="H301" t="s">
        <v>38</v>
      </c>
      <c r="I301">
        <f>VLOOKUP(Table4[[#This Row],[Visitor]],'NHL Model'!$A$6:$B$38,2,FALSE)</f>
        <v>-0.6902088310934803</v>
      </c>
      <c r="J301">
        <f ca="1">($B$1+Table4[[#This Row],[Home Differential]])-Table4[[#This Row],[Away Differential]]</f>
        <v>0.73968668207956478</v>
      </c>
      <c r="K301" t="str">
        <f ca="1">IF(Table4[[#This Row],[HomeIce Differential]]&gt;0,Table4[[#This Row],[Home]],Table4[[#This Row],[Visitor]])</f>
        <v>Tampa Bay Lightning</v>
      </c>
      <c r="L301" s="11">
        <f ca="1"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0.59997743569952089</v>
      </c>
      <c r="M301" t="str">
        <f ca="1">IF(OR((NHL2025_26Results[[#This Row],[Winning Team]]="")),"-",IF(Table4[[#This Row],[Predicted Winner]]=NHL2025_26Results[[#This Row],[Winning Team]],"YES","NO"))</f>
        <v>NO</v>
      </c>
      <c r="N301">
        <f ca="1">IF(Table4[[#This Row],[Adjusted Correct]]="-", "",IF(Table4[[#This Row],[Adjusted Correct]]="YES",(Table4[[#This Row],[Strength of Win]]-1)^2,(Table4[[#This Row],[Strength of Win]]-0)^2))</f>
        <v>0.35997292334857273</v>
      </c>
      <c r="O301">
        <v>1.2119761228420511</v>
      </c>
      <c r="P301" s="11">
        <v>0.69366394019368627</v>
      </c>
      <c r="Q301" t="s">
        <v>37</v>
      </c>
      <c r="R301" t="s">
        <v>249</v>
      </c>
    </row>
    <row r="302" spans="4:18" x14ac:dyDescent="0.2">
      <c r="D302" s="1">
        <v>45978</v>
      </c>
      <c r="E302" s="2">
        <v>0.91666666666666663</v>
      </c>
      <c r="F302" t="s">
        <v>31</v>
      </c>
      <c r="G302">
        <f>VLOOKUP(Table4[[#This Row],[Home]],'NHL Model'!$A$6:$B$38,2,FALSE)</f>
        <v>0.51775546328552802</v>
      </c>
      <c r="H302" t="s">
        <v>55</v>
      </c>
      <c r="I302">
        <f>VLOOKUP(Table4[[#This Row],[Visitor]],'NHL Model'!$A$6:$B$38,2,FALSE)</f>
        <v>-0.12212311954851815</v>
      </c>
      <c r="J302">
        <f ca="1">($B$1+Table4[[#This Row],[Home Differential]])-Table4[[#This Row],[Away Differential]]</f>
        <v>0.80245089249636459</v>
      </c>
      <c r="K302" t="str">
        <f ca="1">IF(Table4[[#This Row],[HomeIce Differential]]&gt;0,Table4[[#This Row],[Home]],Table4[[#This Row],[Visitor]])</f>
        <v>Anaheim Ducks</v>
      </c>
      <c r="L302" s="11">
        <f ca="1"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0.7555164205687791</v>
      </c>
      <c r="M302" t="str">
        <f ca="1">IF(OR((NHL2025_26Results[[#This Row],[Winning Team]]="")),"-",IF(Table4[[#This Row],[Predicted Winner]]=NHL2025_26Results[[#This Row],[Winning Team]],"YES","NO"))</f>
        <v>-</v>
      </c>
      <c r="N302" t="str">
        <f ca="1">IF(Table4[[#This Row],[Adjusted Correct]]="-", "",IF(Table4[[#This Row],[Adjusted Correct]]="YES",(Table4[[#This Row],[Strength of Win]]-1)^2,(Table4[[#This Row],[Strength of Win]]-0)^2))</f>
        <v/>
      </c>
      <c r="O302">
        <v>0.80245089249636459</v>
      </c>
      <c r="P302" s="11">
        <v>0.7555164205687791</v>
      </c>
      <c r="Q302" t="s">
        <v>31</v>
      </c>
    </row>
    <row r="303" spans="4:18" x14ac:dyDescent="0.2">
      <c r="D303" s="1">
        <v>45978</v>
      </c>
      <c r="E303" s="2">
        <v>0.79166666666666663</v>
      </c>
      <c r="F303" t="s">
        <v>21</v>
      </c>
      <c r="G303">
        <f ca="1">VLOOKUP(Table4[[#This Row],[Home]],'NHL Model'!$A$6:$B$38,2,FALSE)</f>
        <v>4.029141914856392E-2</v>
      </c>
      <c r="H303" t="s">
        <v>25</v>
      </c>
      <c r="I303">
        <f ca="1">VLOOKUP(Table4[[#This Row],[Visitor]],'NHL Model'!$A$6:$B$38,2,FALSE)</f>
        <v>0.67193921242367816</v>
      </c>
      <c r="J303">
        <f ca="1">($B$1+Table4[[#This Row],[Home Differential]])-Table4[[#This Row],[Away Differential]]</f>
        <v>-0.46907548361279583</v>
      </c>
      <c r="K303" t="str">
        <f ca="1">IF(Table4[[#This Row],[HomeIce Differential]]&gt;0,Table4[[#This Row],[Home]],Table4[[#This Row],[Visitor]])</f>
        <v>Carolina Hurricanes</v>
      </c>
      <c r="L303" s="18">
        <f ca="1"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0.54325534193164859</v>
      </c>
      <c r="M303" t="str">
        <f ca="1">IF(OR((NHL2025_26Results[[#This Row],[Winning Team]]="")),"-",IF(Table4[[#This Row],[Predicted Winner]]=NHL2025_26Results[[#This Row],[Winning Team]],"YES","NO"))</f>
        <v>-</v>
      </c>
      <c r="N303" t="str">
        <f ca="1">IF(Table4[[#This Row],[Adjusted Correct]]="-", "",IF(Table4[[#This Row],[Adjusted Correct]]="YES",(Table4[[#This Row],[Strength of Win]]-1)^2,(Table4[[#This Row],[Strength of Win]]-0)^2))</f>
        <v/>
      </c>
      <c r="O303">
        <v>-0.46907548361279583</v>
      </c>
      <c r="P303" s="11">
        <v>0.54325534193164859</v>
      </c>
      <c r="Q303" t="s">
        <v>25</v>
      </c>
    </row>
    <row r="304" spans="4:18" x14ac:dyDescent="0.2">
      <c r="D304" s="1">
        <v>45978</v>
      </c>
      <c r="E304" s="2">
        <v>0.79166666666666663</v>
      </c>
      <c r="F304" t="s">
        <v>23</v>
      </c>
      <c r="G304">
        <f>VLOOKUP(Table4[[#This Row],[Home]],'NHL Model'!$A$6:$B$38,2,FALSE)</f>
        <v>-0.8683412362501769</v>
      </c>
      <c r="H304" t="s">
        <v>17</v>
      </c>
      <c r="I304">
        <f>VLOOKUP(Table4[[#This Row],[Visitor]],'NHL Model'!$A$6:$B$38,2,FALSE)</f>
        <v>-0.61980804137564283</v>
      </c>
      <c r="J304">
        <f ca="1">($B$1+Table4[[#This Row],[Home Differential]])-Table4[[#This Row],[Away Differential]]</f>
        <v>-8.5960885212215676E-2</v>
      </c>
      <c r="K304" t="str">
        <f ca="1">IF(Table4[[#This Row],[HomeIce Differential]]&gt;0,Table4[[#This Row],[Home]],Table4[[#This Row],[Visitor]])</f>
        <v>Edmonton Oilers</v>
      </c>
      <c r="L304" s="11">
        <f ca="1"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0.4719106254189383</v>
      </c>
      <c r="M304" t="str">
        <f ca="1">IF(OR((NHL2025_26Results[[#This Row],[Winning Team]]="")),"-",IF(Table4[[#This Row],[Predicted Winner]]=NHL2025_26Results[[#This Row],[Winning Team]],"YES","NO"))</f>
        <v>-</v>
      </c>
      <c r="N304" t="str">
        <f ca="1">IF(Table4[[#This Row],[Adjusted Correct]]="-", "",IF(Table4[[#This Row],[Adjusted Correct]]="YES",(Table4[[#This Row],[Strength of Win]]-1)^2,(Table4[[#This Row],[Strength of Win]]-0)^2))</f>
        <v/>
      </c>
      <c r="O304">
        <v>-8.5960885212215676E-2</v>
      </c>
      <c r="P304" s="11">
        <v>0.4719106254189383</v>
      </c>
      <c r="Q304" t="s">
        <v>17</v>
      </c>
    </row>
    <row r="305" spans="4:17" x14ac:dyDescent="0.2">
      <c r="D305" s="1">
        <v>45978</v>
      </c>
      <c r="E305" s="2">
        <v>0.8125</v>
      </c>
      <c r="F305" t="s">
        <v>28</v>
      </c>
      <c r="G305">
        <f>VLOOKUP(Table4[[#This Row],[Home]],'NHL Model'!$A$6:$B$38,2,FALSE)</f>
        <v>-0.40822279081308277</v>
      </c>
      <c r="H305" t="s">
        <v>18</v>
      </c>
      <c r="I305">
        <f>VLOOKUP(Table4[[#This Row],[Visitor]],'NHL Model'!$A$6:$B$38,2,FALSE)</f>
        <v>-0.52437726201848234</v>
      </c>
      <c r="J305">
        <f ca="1">($B$1+Table4[[#This Row],[Home Differential]])-Table4[[#This Row],[Away Differential]]</f>
        <v>0.27872678086771796</v>
      </c>
      <c r="K305" t="str">
        <f ca="1">IF(Table4[[#This Row],[HomeIce Differential]]&gt;0,Table4[[#This Row],[Home]],Table4[[#This Row],[Visitor]])</f>
        <v>Columbus Blue Jackets</v>
      </c>
      <c r="L305" s="11">
        <f ca="1"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0.50213932370766312</v>
      </c>
      <c r="M305" t="str">
        <f ca="1">IF(OR((NHL2025_26Results[[#This Row],[Winning Team]]="")),"-",IF(Table4[[#This Row],[Predicted Winner]]=NHL2025_26Results[[#This Row],[Winning Team]],"YES","NO"))</f>
        <v>-</v>
      </c>
      <c r="N305" t="str">
        <f ca="1">IF(Table4[[#This Row],[Adjusted Correct]]="-", "",IF(Table4[[#This Row],[Adjusted Correct]]="YES",(Table4[[#This Row],[Strength of Win]]-1)^2,(Table4[[#This Row],[Strength of Win]]-0)^2))</f>
        <v/>
      </c>
      <c r="O305">
        <v>0.27872678086771796</v>
      </c>
      <c r="P305" s="11">
        <v>0.50213932370766312</v>
      </c>
      <c r="Q305" t="s">
        <v>28</v>
      </c>
    </row>
    <row r="306" spans="4:17" x14ac:dyDescent="0.2">
      <c r="D306" s="1">
        <v>45978</v>
      </c>
      <c r="E306" s="2">
        <v>0.79166666666666663</v>
      </c>
      <c r="F306" t="s">
        <v>11</v>
      </c>
      <c r="G306">
        <f>VLOOKUP(Table4[[#This Row],[Home]],'NHL Model'!$A$6:$B$38,2,FALSE)</f>
        <v>-0.28105923893144158</v>
      </c>
      <c r="H306" t="s">
        <v>38</v>
      </c>
      <c r="I306">
        <f>VLOOKUP(Table4[[#This Row],[Visitor]],'NHL Model'!$A$6:$B$38,2,FALSE)</f>
        <v>-0.6902088310934803</v>
      </c>
      <c r="J306">
        <f ca="1">($B$1+Table4[[#This Row],[Home Differential]])-Table4[[#This Row],[Away Differential]]</f>
        <v>0.57172190182435711</v>
      </c>
      <c r="K306" t="str">
        <f ca="1">IF(Table4[[#This Row],[HomeIce Differential]]&gt;0,Table4[[#This Row],[Home]],Table4[[#This Row],[Visitor]])</f>
        <v>Florida Panthers</v>
      </c>
      <c r="L306" s="11">
        <f ca="1"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0.6292170229473768</v>
      </c>
      <c r="M306" t="str">
        <f ca="1">IF(OR((NHL2025_26Results[[#This Row],[Winning Team]]="")),"-",IF(Table4[[#This Row],[Predicted Winner]]=NHL2025_26Results[[#This Row],[Winning Team]],"YES","NO"))</f>
        <v>-</v>
      </c>
      <c r="N306" t="str">
        <f ca="1">IF(Table4[[#This Row],[Adjusted Correct]]="-", "",IF(Table4[[#This Row],[Adjusted Correct]]="YES",(Table4[[#This Row],[Strength of Win]]-1)^2,(Table4[[#This Row],[Strength of Win]]-0)^2))</f>
        <v/>
      </c>
      <c r="O306">
        <v>0.57172190182435711</v>
      </c>
      <c r="P306" s="11">
        <v>0.6292170229473768</v>
      </c>
      <c r="Q306" t="s">
        <v>11</v>
      </c>
    </row>
    <row r="307" spans="4:17" x14ac:dyDescent="0.2">
      <c r="D307" s="1">
        <v>45978</v>
      </c>
      <c r="E307" s="2">
        <v>0.79166666666666663</v>
      </c>
      <c r="F307" t="s">
        <v>22</v>
      </c>
      <c r="G307">
        <f>VLOOKUP(Table4[[#This Row],[Home]],'NHL Model'!$A$6:$B$38,2,FALSE)</f>
        <v>-6.1308839486784707E-2</v>
      </c>
      <c r="H307" t="s">
        <v>13</v>
      </c>
      <c r="I307">
        <f>VLOOKUP(Table4[[#This Row],[Visitor]],'NHL Model'!$A$6:$B$38,2,FALSE)</f>
        <v>-7.5459708298993802E-2</v>
      </c>
      <c r="J307">
        <f ca="1">($B$1+Table4[[#This Row],[Home Differential]])-Table4[[#This Row],[Away Differential]]</f>
        <v>0.17672317847452751</v>
      </c>
      <c r="K307" t="str">
        <f ca="1">IF(Table4[[#This Row],[HomeIce Differential]]&gt;0,Table4[[#This Row],[Home]],Table4[[#This Row],[Visitor]])</f>
        <v>Washington Capitals</v>
      </c>
      <c r="L307" s="11">
        <f ca="1"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0.44309117868583614</v>
      </c>
      <c r="M307" t="str">
        <f ca="1">IF(OR((NHL2025_26Results[[#This Row],[Winning Team]]="")),"-",IF(Table4[[#This Row],[Predicted Winner]]=NHL2025_26Results[[#This Row],[Winning Team]],"YES","NO"))</f>
        <v>-</v>
      </c>
      <c r="N307" t="str">
        <f ca="1">IF(Table4[[#This Row],[Adjusted Correct]]="-", "",IF(Table4[[#This Row],[Adjusted Correct]]="YES",(Table4[[#This Row],[Strength of Win]]-1)^2,(Table4[[#This Row],[Strength of Win]]-0)^2))</f>
        <v/>
      </c>
      <c r="O307">
        <v>0.17672317847452751</v>
      </c>
      <c r="P307" s="11">
        <v>0.44309117868583614</v>
      </c>
      <c r="Q307" t="s">
        <v>22</v>
      </c>
    </row>
    <row r="308" spans="4:17" x14ac:dyDescent="0.2">
      <c r="D308" s="1">
        <v>45979</v>
      </c>
      <c r="E308" s="2">
        <v>0.85416666666666663</v>
      </c>
      <c r="F308" t="s">
        <v>10</v>
      </c>
      <c r="G308">
        <f>VLOOKUP(Table4[[#This Row],[Home]],'NHL Model'!$A$6:$B$38,2,FALSE)</f>
        <v>0.30570968833820172</v>
      </c>
      <c r="H308" t="s">
        <v>16</v>
      </c>
      <c r="I308">
        <f>VLOOKUP(Table4[[#This Row],[Visitor]],'NHL Model'!$A$6:$B$38,2,FALSE)</f>
        <v>-1.3903684122795328</v>
      </c>
      <c r="J308">
        <f ca="1">($B$1+Table4[[#This Row],[Home Differential]])-Table4[[#This Row],[Away Differential]]</f>
        <v>1.858650410280053</v>
      </c>
      <c r="K308" t="str">
        <f ca="1">IF(Table4[[#This Row],[HomeIce Differential]]&gt;0,Table4[[#This Row],[Home]],Table4[[#This Row],[Visitor]])</f>
        <v>Chicago Blackhawks</v>
      </c>
      <c r="L308" s="11">
        <f ca="1"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0.79753211785743328</v>
      </c>
      <c r="M308" t="str">
        <f ca="1">IF(OR((NHL2025_26Results[[#This Row],[Winning Team]]="")),"-",IF(Table4[[#This Row],[Predicted Winner]]=NHL2025_26Results[[#This Row],[Winning Team]],"YES","NO"))</f>
        <v>-</v>
      </c>
      <c r="N308" t="str">
        <f ca="1">IF(Table4[[#This Row],[Adjusted Correct]]="-", "",IF(Table4[[#This Row],[Adjusted Correct]]="YES",(Table4[[#This Row],[Strength of Win]]-1)^2,(Table4[[#This Row],[Strength of Win]]-0)^2))</f>
        <v/>
      </c>
      <c r="P308" s="11"/>
    </row>
    <row r="309" spans="4:17" x14ac:dyDescent="0.2">
      <c r="D309" s="1">
        <v>45979</v>
      </c>
      <c r="E309" s="2">
        <v>0.83333333333333337</v>
      </c>
      <c r="F309" t="s">
        <v>39</v>
      </c>
      <c r="G309">
        <f>VLOOKUP(Table4[[#This Row],[Home]],'NHL Model'!$A$6:$B$38,2,FALSE)</f>
        <v>0.19809534061227302</v>
      </c>
      <c r="H309" t="s">
        <v>30</v>
      </c>
      <c r="I309">
        <f>VLOOKUP(Table4[[#This Row],[Visitor]],'NHL Model'!$A$6:$B$38,2,FALSE)</f>
        <v>-6.4729560818359025E-2</v>
      </c>
      <c r="J309">
        <f ca="1">($B$1+Table4[[#This Row],[Home Differential]])-Table4[[#This Row],[Away Differential]]</f>
        <v>0.42539721109295042</v>
      </c>
      <c r="K309" t="str">
        <f ca="1">IF(Table4[[#This Row],[HomeIce Differential]]&gt;0,Table4[[#This Row],[Home]],Table4[[#This Row],[Visitor]])</f>
        <v>Dallas Stars</v>
      </c>
      <c r="L309" s="11">
        <f ca="1"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0.58275199308587677</v>
      </c>
      <c r="M309" t="str">
        <f ca="1">IF(OR((NHL2025_26Results[[#This Row],[Winning Team]]="")),"-",IF(Table4[[#This Row],[Predicted Winner]]=NHL2025_26Results[[#This Row],[Winning Team]],"YES","NO"))</f>
        <v>-</v>
      </c>
      <c r="N309" t="str">
        <f ca="1">IF(Table4[[#This Row],[Adjusted Correct]]="-", "",IF(Table4[[#This Row],[Adjusted Correct]]="YES",(Table4[[#This Row],[Strength of Win]]-1)^2,(Table4[[#This Row],[Strength of Win]]-0)^2))</f>
        <v/>
      </c>
      <c r="P309" s="11"/>
    </row>
    <row r="310" spans="4:17" x14ac:dyDescent="0.2">
      <c r="D310" s="1">
        <v>45979</v>
      </c>
      <c r="E310" s="2">
        <v>0.79166666666666663</v>
      </c>
      <c r="F310" t="s">
        <v>26</v>
      </c>
      <c r="G310">
        <f>VLOOKUP(Table4[[#This Row],[Home]],'NHL Model'!$A$6:$B$38,2,FALSE)</f>
        <v>-0.513643833119658</v>
      </c>
      <c r="H310" t="s">
        <v>32</v>
      </c>
      <c r="I310">
        <f>VLOOKUP(Table4[[#This Row],[Visitor]],'NHL Model'!$A$6:$B$38,2,FALSE)</f>
        <v>-0.361361309178443</v>
      </c>
      <c r="J310">
        <f ca="1">($B$1+Table4[[#This Row],[Home Differential]])-Table4[[#This Row],[Away Differential]]</f>
        <v>1.0289785721103395E-2</v>
      </c>
      <c r="K310" t="str">
        <f ca="1">IF(Table4[[#This Row],[HomeIce Differential]]&gt;0,Table4[[#This Row],[Home]],Table4[[#This Row],[Visitor]])</f>
        <v>Detroit Red Wings</v>
      </c>
      <c r="L310" s="11">
        <f ca="1"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0.56746347481233783</v>
      </c>
      <c r="M310" t="str">
        <f ca="1">IF(OR((NHL2025_26Results[[#This Row],[Winning Team]]="")),"-",IF(Table4[[#This Row],[Predicted Winner]]=NHL2025_26Results[[#This Row],[Winning Team]],"YES","NO"))</f>
        <v>-</v>
      </c>
      <c r="N310" t="str">
        <f ca="1">IF(Table4[[#This Row],[Adjusted Correct]]="-", "",IF(Table4[[#This Row],[Adjusted Correct]]="YES",(Table4[[#This Row],[Strength of Win]]-1)^2,(Table4[[#This Row],[Strength of Win]]-0)^2))</f>
        <v/>
      </c>
      <c r="P310" s="11"/>
    </row>
    <row r="311" spans="4:17" x14ac:dyDescent="0.2">
      <c r="D311" s="1">
        <v>45979</v>
      </c>
      <c r="E311" s="2">
        <v>0.91666666666666663</v>
      </c>
      <c r="F311" t="s">
        <v>33</v>
      </c>
      <c r="G311">
        <f>VLOOKUP(Table4[[#This Row],[Home]],'NHL Model'!$A$6:$B$38,2,FALSE)</f>
        <v>-0.39418177254008485</v>
      </c>
      <c r="H311" t="s">
        <v>55</v>
      </c>
      <c r="I311">
        <f>VLOOKUP(Table4[[#This Row],[Visitor]],'NHL Model'!$A$6:$B$38,2,FALSE)</f>
        <v>-0.12212311954851815</v>
      </c>
      <c r="J311">
        <f ca="1">($B$1+Table4[[#This Row],[Home Differential]])-Table4[[#This Row],[Away Differential]]</f>
        <v>-0.10948634332924831</v>
      </c>
      <c r="K311" t="str">
        <f ca="1">IF(Table4[[#This Row],[HomeIce Differential]]&gt;0,Table4[[#This Row],[Home]],Table4[[#This Row],[Visitor]])</f>
        <v>Utah Mammoth</v>
      </c>
      <c r="L311" s="11">
        <f ca="1"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0.47517028146772311</v>
      </c>
      <c r="M311" t="str">
        <f ca="1">IF(OR((NHL2025_26Results[[#This Row],[Winning Team]]="")),"-",IF(Table4[[#This Row],[Predicted Winner]]=NHL2025_26Results[[#This Row],[Winning Team]],"YES","NO"))</f>
        <v>-</v>
      </c>
      <c r="N311" t="str">
        <f ca="1">IF(Table4[[#This Row],[Adjusted Correct]]="-", "",IF(Table4[[#This Row],[Adjusted Correct]]="YES",(Table4[[#This Row],[Strength of Win]]-1)^2,(Table4[[#This Row],[Strength of Win]]-0)^2))</f>
        <v/>
      </c>
      <c r="P311" s="11"/>
    </row>
    <row r="312" spans="4:17" x14ac:dyDescent="0.2">
      <c r="D312" s="1">
        <v>45979</v>
      </c>
      <c r="E312" s="2">
        <v>0.79166666666666663</v>
      </c>
      <c r="F312" t="s">
        <v>37</v>
      </c>
      <c r="G312">
        <f>VLOOKUP(Table4[[#This Row],[Home]],'NHL Model'!$A$6:$B$38,2,FALSE)</f>
        <v>-0.11309445867623392</v>
      </c>
      <c r="H312" t="s">
        <v>24</v>
      </c>
      <c r="I312">
        <f>VLOOKUP(Table4[[#This Row],[Visitor]],'NHL Model'!$A$6:$B$38,2,FALSE)</f>
        <v>0.559441163373953</v>
      </c>
      <c r="J312">
        <f ca="1">($B$1+Table4[[#This Row],[Home Differential]])-Table4[[#This Row],[Away Differential]]</f>
        <v>-0.50996331238786852</v>
      </c>
      <c r="K312" t="str">
        <f ca="1">IF(Table4[[#This Row],[HomeIce Differential]]&gt;0,Table4[[#This Row],[Home]],Table4[[#This Row],[Visitor]])</f>
        <v>New Jersey Devils</v>
      </c>
      <c r="L312" s="11">
        <f ca="1"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0.5969756247727015</v>
      </c>
      <c r="M312" t="str">
        <f ca="1">IF(OR((NHL2025_26Results[[#This Row],[Winning Team]]="")),"-",IF(Table4[[#This Row],[Predicted Winner]]=NHL2025_26Results[[#This Row],[Winning Team]],"YES","NO"))</f>
        <v>-</v>
      </c>
      <c r="N312" t="str">
        <f ca="1">IF(Table4[[#This Row],[Adjusted Correct]]="-", "",IF(Table4[[#This Row],[Adjusted Correct]]="YES",(Table4[[#This Row],[Strength of Win]]-1)^2,(Table4[[#This Row],[Strength of Win]]-0)^2))</f>
        <v/>
      </c>
      <c r="P312" s="11"/>
    </row>
    <row r="313" spans="4:17" x14ac:dyDescent="0.2">
      <c r="D313" s="1">
        <v>45979</v>
      </c>
      <c r="E313" s="2">
        <v>0.79166666666666663</v>
      </c>
      <c r="F313" t="s">
        <v>19</v>
      </c>
      <c r="G313">
        <f>VLOOKUP(Table4[[#This Row],[Home]],'NHL Model'!$A$6:$B$38,2,FALSE)</f>
        <v>-0.635565543477981</v>
      </c>
      <c r="H313" t="s">
        <v>35</v>
      </c>
      <c r="I313">
        <f>VLOOKUP(Table4[[#This Row],[Visitor]],'NHL Model'!$A$6:$B$38,2,FALSE)</f>
        <v>-1.6211574240381006</v>
      </c>
      <c r="J313">
        <f ca="1">($B$1+Table4[[#This Row],[Home Differential]])-Table4[[#This Row],[Away Differential]]</f>
        <v>1.148164190222438</v>
      </c>
      <c r="K313" t="str">
        <f ca="1">IF(Table4[[#This Row],[HomeIce Differential]]&gt;0,Table4[[#This Row],[Home]],Table4[[#This Row],[Visitor]])</f>
        <v>Toronto Maple Leafs</v>
      </c>
      <c r="L313" s="11">
        <f ca="1"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0.69908809635239377</v>
      </c>
      <c r="M313" t="str">
        <f ca="1">IF(OR((NHL2025_26Results[[#This Row],[Winning Team]]="")),"-",IF(Table4[[#This Row],[Predicted Winner]]=NHL2025_26Results[[#This Row],[Winning Team]],"YES","NO"))</f>
        <v>-</v>
      </c>
      <c r="N313" t="str">
        <f ca="1">IF(Table4[[#This Row],[Adjusted Correct]]="-", "",IF(Table4[[#This Row],[Adjusted Correct]]="YES",(Table4[[#This Row],[Strength of Win]]-1)^2,(Table4[[#This Row],[Strength of Win]]-0)^2))</f>
        <v/>
      </c>
      <c r="P313" s="11"/>
    </row>
    <row r="314" spans="4:17" x14ac:dyDescent="0.2">
      <c r="D314" s="1">
        <v>45979</v>
      </c>
      <c r="E314" s="2">
        <v>0.91666666666666663</v>
      </c>
      <c r="F314" t="s">
        <v>20</v>
      </c>
      <c r="G314">
        <f>VLOOKUP(Table4[[#This Row],[Home]],'NHL Model'!$A$6:$B$38,2,FALSE)</f>
        <v>-6.3745791019188943E-4</v>
      </c>
      <c r="H314" t="s">
        <v>15</v>
      </c>
      <c r="I314">
        <f>VLOOKUP(Table4[[#This Row],[Visitor]],'NHL Model'!$A$6:$B$38,2,FALSE)</f>
        <v>-0.30719665303039001</v>
      </c>
      <c r="J314">
        <f ca="1">($B$1+Table4[[#This Row],[Home Differential]])-Table4[[#This Row],[Away Differential]]</f>
        <v>0.46913150478251653</v>
      </c>
      <c r="K314" t="str">
        <f ca="1">IF(Table4[[#This Row],[HomeIce Differential]]&gt;0,Table4[[#This Row],[Home]],Table4[[#This Row],[Visitor]])</f>
        <v>Vegas Golden Knights</v>
      </c>
      <c r="L314" s="11">
        <f ca="1"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0.46259259603065156</v>
      </c>
      <c r="M314" t="str">
        <f ca="1">IF(OR((NHL2025_26Results[[#This Row],[Winning Team]]="")),"-",IF(Table4[[#This Row],[Predicted Winner]]=NHL2025_26Results[[#This Row],[Winning Team]],"YES","NO"))</f>
        <v>-</v>
      </c>
      <c r="N314" t="str">
        <f ca="1">IF(Table4[[#This Row],[Adjusted Correct]]="-", "",IF(Table4[[#This Row],[Adjusted Correct]]="YES",(Table4[[#This Row],[Strength of Win]]-1)^2,(Table4[[#This Row],[Strength of Win]]-0)^2))</f>
        <v/>
      </c>
      <c r="P314" s="11"/>
    </row>
    <row r="315" spans="4:17" x14ac:dyDescent="0.2">
      <c r="D315" s="1">
        <v>45979</v>
      </c>
      <c r="E315" s="2">
        <v>0.83333333333333337</v>
      </c>
      <c r="F315" t="s">
        <v>40</v>
      </c>
      <c r="G315">
        <f>VLOOKUP(Table4[[#This Row],[Home]],'NHL Model'!$A$6:$B$38,2,FALSE)</f>
        <v>0.105105258369765</v>
      </c>
      <c r="H315" t="s">
        <v>28</v>
      </c>
      <c r="I315">
        <f>VLOOKUP(Table4[[#This Row],[Visitor]],'NHL Model'!$A$6:$B$38,2,FALSE)</f>
        <v>-0.40822279081308277</v>
      </c>
      <c r="J315">
        <f ca="1">($B$1+Table4[[#This Row],[Home Differential]])-Table4[[#This Row],[Away Differential]]</f>
        <v>0.67590035884516619</v>
      </c>
      <c r="K315" t="str">
        <f ca="1">IF(Table4[[#This Row],[HomeIce Differential]]&gt;0,Table4[[#This Row],[Home]],Table4[[#This Row],[Visitor]])</f>
        <v>Winnipeg Jets</v>
      </c>
      <c r="L315" s="11">
        <f ca="1"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0.64920740633462015</v>
      </c>
      <c r="M315" t="str">
        <f ca="1">IF(OR((NHL2025_26Results[[#This Row],[Winning Team]]="")),"-",IF(Table4[[#This Row],[Predicted Winner]]=NHL2025_26Results[[#This Row],[Winning Team]],"YES","NO"))</f>
        <v>-</v>
      </c>
      <c r="N315" t="str">
        <f ca="1">IF(Table4[[#This Row],[Adjusted Correct]]="-", "",IF(Table4[[#This Row],[Adjusted Correct]]="YES",(Table4[[#This Row],[Strength of Win]]-1)^2,(Table4[[#This Row],[Strength of Win]]-0)^2))</f>
        <v/>
      </c>
      <c r="P315" s="11"/>
    </row>
    <row r="316" spans="4:17" x14ac:dyDescent="0.2">
      <c r="D316" s="1">
        <v>45980</v>
      </c>
      <c r="E316" s="2">
        <v>0.91666666666666663</v>
      </c>
      <c r="F316" t="s">
        <v>31</v>
      </c>
      <c r="G316">
        <f>VLOOKUP(Table4[[#This Row],[Home]],'NHL Model'!$A$6:$B$38,2,FALSE)</f>
        <v>0.51775546328552802</v>
      </c>
      <c r="H316" t="s">
        <v>21</v>
      </c>
      <c r="I316">
        <f>VLOOKUP(Table4[[#This Row],[Visitor]],'NHL Model'!$A$6:$B$38,2,FALSE)</f>
        <v>4.029141914856392E-2</v>
      </c>
      <c r="J316">
        <f ca="1">($B$1+Table4[[#This Row],[Home Differential]])-Table4[[#This Row],[Away Differential]]</f>
        <v>0.64003635379928248</v>
      </c>
      <c r="K316" t="str">
        <f ca="1">IF(Table4[[#This Row],[HomeIce Differential]]&gt;0,Table4[[#This Row],[Home]],Table4[[#This Row],[Visitor]])</f>
        <v>Anaheim Ducks</v>
      </c>
      <c r="L316" s="11">
        <f ca="1"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0.73301247905823153</v>
      </c>
      <c r="M316" t="str">
        <f ca="1">IF(OR((NHL2025_26Results[[#This Row],[Winning Team]]="")),"-",IF(Table4[[#This Row],[Predicted Winner]]=NHL2025_26Results[[#This Row],[Winning Team]],"YES","NO"))</f>
        <v>-</v>
      </c>
      <c r="N316" t="str">
        <f ca="1">IF(Table4[[#This Row],[Adjusted Correct]]="-", "",IF(Table4[[#This Row],[Adjusted Correct]]="YES",(Table4[[#This Row],[Strength of Win]]-1)^2,(Table4[[#This Row],[Strength of Win]]-0)^2))</f>
        <v/>
      </c>
      <c r="P316" s="11"/>
    </row>
    <row r="317" spans="4:17" x14ac:dyDescent="0.2">
      <c r="D317" s="1">
        <v>45980</v>
      </c>
      <c r="E317" s="2">
        <v>0.8125</v>
      </c>
      <c r="F317" t="s">
        <v>23</v>
      </c>
      <c r="G317">
        <f>VLOOKUP(Table4[[#This Row],[Home]],'NHL Model'!$A$6:$B$38,2,FALSE)</f>
        <v>-0.8683412362501769</v>
      </c>
      <c r="H317" t="s">
        <v>16</v>
      </c>
      <c r="I317">
        <f>VLOOKUP(Table4[[#This Row],[Visitor]],'NHL Model'!$A$6:$B$38,2,FALSE)</f>
        <v>-1.3903684122795328</v>
      </c>
      <c r="J317">
        <f ca="1">($B$1+Table4[[#This Row],[Home Differential]])-Table4[[#This Row],[Away Differential]]</f>
        <v>0.68459948569167428</v>
      </c>
      <c r="K317" t="str">
        <f ca="1">IF(Table4[[#This Row],[HomeIce Differential]]&gt;0,Table4[[#This Row],[Home]],Table4[[#This Row],[Visitor]])</f>
        <v>Buffalo Sabres</v>
      </c>
      <c r="L317" s="11">
        <f ca="1"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0.63485719017366016</v>
      </c>
      <c r="M317" t="str">
        <f ca="1">IF(OR((NHL2025_26Results[[#This Row],[Winning Team]]="")),"-",IF(Table4[[#This Row],[Predicted Winner]]=NHL2025_26Results[[#This Row],[Winning Team]],"YES","NO"))</f>
        <v>-</v>
      </c>
      <c r="N317" t="str">
        <f ca="1">IF(Table4[[#This Row],[Adjusted Correct]]="-", "",IF(Table4[[#This Row],[Adjusted Correct]]="YES",(Table4[[#This Row],[Strength of Win]]-1)^2,(Table4[[#This Row],[Strength of Win]]-0)^2))</f>
        <v/>
      </c>
      <c r="P317" s="11"/>
    </row>
    <row r="318" spans="4:17" x14ac:dyDescent="0.2">
      <c r="D318" s="1">
        <v>45980</v>
      </c>
      <c r="E318" s="2">
        <v>0.89583333333333337</v>
      </c>
      <c r="F318" t="s">
        <v>34</v>
      </c>
      <c r="G318">
        <f>VLOOKUP(Table4[[#This Row],[Home]],'NHL Model'!$A$6:$B$38,2,FALSE)</f>
        <v>-0.53650300840565446</v>
      </c>
      <c r="H318" t="s">
        <v>25</v>
      </c>
      <c r="I318">
        <f>VLOOKUP(Table4[[#This Row],[Visitor]],'NHL Model'!$A$6:$B$38,2,FALSE)</f>
        <v>0.67193921242367816</v>
      </c>
      <c r="J318">
        <f ca="1">($B$1+Table4[[#This Row],[Home Differential]])-Table4[[#This Row],[Away Differential]]</f>
        <v>-1.0458699111670142</v>
      </c>
      <c r="K318" t="str">
        <f ca="1">IF(Table4[[#This Row],[HomeIce Differential]]&gt;0,Table4[[#This Row],[Home]],Table4[[#This Row],[Visitor]])</f>
        <v>Carolina Hurricanes</v>
      </c>
      <c r="L318" s="11">
        <f ca="1"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0.69740052554780008</v>
      </c>
      <c r="M318" t="str">
        <f ca="1">IF(OR((NHL2025_26Results[[#This Row],[Winning Team]]="")),"-",IF(Table4[[#This Row],[Predicted Winner]]=NHL2025_26Results[[#This Row],[Winning Team]],"YES","NO"))</f>
        <v>-</v>
      </c>
      <c r="N318" t="str">
        <f ca="1">IF(Table4[[#This Row],[Adjusted Correct]]="-", "",IF(Table4[[#This Row],[Adjusted Correct]]="YES",(Table4[[#This Row],[Strength of Win]]-1)^2,(Table4[[#This Row],[Strength of Win]]-0)^2))</f>
        <v/>
      </c>
      <c r="P318" s="11"/>
    </row>
    <row r="319" spans="4:17" x14ac:dyDescent="0.2">
      <c r="D319" s="1">
        <v>45980</v>
      </c>
      <c r="E319" s="2">
        <v>0.79166666666666663</v>
      </c>
      <c r="F319" t="s">
        <v>22</v>
      </c>
      <c r="G319">
        <f>VLOOKUP(Table4[[#This Row],[Home]],'NHL Model'!$A$6:$B$38,2,FALSE)</f>
        <v>-6.1308839486784707E-2</v>
      </c>
      <c r="H319" t="s">
        <v>17</v>
      </c>
      <c r="I319">
        <f>VLOOKUP(Table4[[#This Row],[Visitor]],'NHL Model'!$A$6:$B$38,2,FALSE)</f>
        <v>-0.61980804137564283</v>
      </c>
      <c r="J319">
        <f ca="1">($B$1+Table4[[#This Row],[Home Differential]])-Table4[[#This Row],[Away Differential]]</f>
        <v>0.72107151155117655</v>
      </c>
      <c r="K319" t="str">
        <f ca="1">IF(Table4[[#This Row],[HomeIce Differential]]&gt;0,Table4[[#This Row],[Home]],Table4[[#This Row],[Visitor]])</f>
        <v>Washington Capitals</v>
      </c>
      <c r="L319" s="11">
        <f ca="1"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0.63991070535338324</v>
      </c>
      <c r="M319" t="str">
        <f ca="1">IF(OR((NHL2025_26Results[[#This Row],[Winning Team]]="")),"-",IF(Table4[[#This Row],[Predicted Winner]]=NHL2025_26Results[[#This Row],[Winning Team]],"YES","NO"))</f>
        <v>-</v>
      </c>
      <c r="N319" t="str">
        <f ca="1">IF(Table4[[#This Row],[Adjusted Correct]]="-", "",IF(Table4[[#This Row],[Adjusted Correct]]="YES",(Table4[[#This Row],[Strength of Win]]-1)^2,(Table4[[#This Row],[Strength of Win]]-0)^2))</f>
        <v/>
      </c>
      <c r="P319" s="11"/>
    </row>
    <row r="320" spans="4:17" x14ac:dyDescent="0.2">
      <c r="D320" s="1">
        <v>45981</v>
      </c>
      <c r="E320" s="2">
        <v>0.91666666666666663</v>
      </c>
      <c r="F320" t="s">
        <v>31</v>
      </c>
      <c r="G320">
        <f>VLOOKUP(Table4[[#This Row],[Home]],'NHL Model'!$A$6:$B$38,2,FALSE)</f>
        <v>0.51775546328552802</v>
      </c>
      <c r="H320" t="s">
        <v>36</v>
      </c>
      <c r="I320">
        <f>VLOOKUP(Table4[[#This Row],[Visitor]],'NHL Model'!$A$6:$B$38,2,FALSE)</f>
        <v>-0.40651947573390851</v>
      </c>
      <c r="J320">
        <f ca="1">($B$1+Table4[[#This Row],[Home Differential]])-Table4[[#This Row],[Away Differential]]</f>
        <v>1.0868472486817549</v>
      </c>
      <c r="K320" t="str">
        <f ca="1">IF(Table4[[#This Row],[HomeIce Differential]]&gt;0,Table4[[#This Row],[Home]],Table4[[#This Row],[Visitor]])</f>
        <v>Anaheim Ducks</v>
      </c>
      <c r="L320" s="11">
        <f ca="1"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0.79492199975369138</v>
      </c>
      <c r="M320" t="str">
        <f ca="1">IF(OR((NHL2025_26Results[[#This Row],[Winning Team]]="")),"-",IF(Table4[[#This Row],[Predicted Winner]]=NHL2025_26Results[[#This Row],[Winning Team]],"YES","NO"))</f>
        <v>-</v>
      </c>
      <c r="N320" t="str">
        <f ca="1">IF(Table4[[#This Row],[Adjusted Correct]]="-", "",IF(Table4[[#This Row],[Adjusted Correct]]="YES",(Table4[[#This Row],[Strength of Win]]-1)^2,(Table4[[#This Row],[Strength of Win]]-0)^2))</f>
        <v/>
      </c>
      <c r="P320" s="11"/>
    </row>
    <row r="321" spans="4:16" x14ac:dyDescent="0.2">
      <c r="D321" s="1">
        <v>45981</v>
      </c>
      <c r="E321" s="2">
        <v>0.83333333333333337</v>
      </c>
      <c r="F321" t="s">
        <v>10</v>
      </c>
      <c r="G321">
        <f>VLOOKUP(Table4[[#This Row],[Home]],'NHL Model'!$A$6:$B$38,2,FALSE)</f>
        <v>0.30570968833820172</v>
      </c>
      <c r="H321" t="s">
        <v>32</v>
      </c>
      <c r="I321">
        <f>VLOOKUP(Table4[[#This Row],[Visitor]],'NHL Model'!$A$6:$B$38,2,FALSE)</f>
        <v>-0.361361309178443</v>
      </c>
      <c r="J321">
        <f ca="1">($B$1+Table4[[#This Row],[Home Differential]])-Table4[[#This Row],[Away Differential]]</f>
        <v>0.82964330717896306</v>
      </c>
      <c r="K321" t="str">
        <f ca="1">IF(Table4[[#This Row],[HomeIce Differential]]&gt;0,Table4[[#This Row],[Home]],Table4[[#This Row],[Visitor]])</f>
        <v>Chicago Blackhawks</v>
      </c>
      <c r="L321" s="11">
        <f ca="1"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0.6549542683133458</v>
      </c>
      <c r="M321" t="str">
        <f ca="1">IF(OR((NHL2025_26Results[[#This Row],[Winning Team]]="")),"-",IF(Table4[[#This Row],[Predicted Winner]]=NHL2025_26Results[[#This Row],[Winning Team]],"YES","NO"))</f>
        <v>-</v>
      </c>
      <c r="N321" t="str">
        <f ca="1">IF(Table4[[#This Row],[Adjusted Correct]]="-", "",IF(Table4[[#This Row],[Adjusted Correct]]="YES",(Table4[[#This Row],[Strength of Win]]-1)^2,(Table4[[#This Row],[Strength of Win]]-0)^2))</f>
        <v/>
      </c>
      <c r="P321" s="11"/>
    </row>
    <row r="322" spans="4:16" x14ac:dyDescent="0.2">
      <c r="D322" s="1">
        <v>45981</v>
      </c>
      <c r="E322" s="2">
        <v>0.875</v>
      </c>
      <c r="F322" t="s">
        <v>12</v>
      </c>
      <c r="G322">
        <f>VLOOKUP(Table4[[#This Row],[Home]],'NHL Model'!$A$6:$B$38,2,FALSE)</f>
        <v>1.5475013591489768</v>
      </c>
      <c r="H322" t="s">
        <v>15</v>
      </c>
      <c r="I322">
        <f>VLOOKUP(Table4[[#This Row],[Visitor]],'NHL Model'!$A$6:$B$38,2,FALSE)</f>
        <v>-0.30719665303039001</v>
      </c>
      <c r="J322">
        <f ca="1">($B$1+Table4[[#This Row],[Home Differential]])-Table4[[#This Row],[Away Differential]]</f>
        <v>2.0172703218416852</v>
      </c>
      <c r="K322" t="str">
        <f ca="1">IF(Table4[[#This Row],[HomeIce Differential]]&gt;0,Table4[[#This Row],[Home]],Table4[[#This Row],[Visitor]])</f>
        <v>Colorado Avalanche</v>
      </c>
      <c r="L322" s="11">
        <f ca="1"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0.76685205305327453</v>
      </c>
      <c r="M322" t="str">
        <f ca="1">IF(OR((NHL2025_26Results[[#This Row],[Winning Team]]="")),"-",IF(Table4[[#This Row],[Predicted Winner]]=NHL2025_26Results[[#This Row],[Winning Team]],"YES","NO"))</f>
        <v>-</v>
      </c>
      <c r="N322" t="str">
        <f ca="1">IF(Table4[[#This Row],[Adjusted Correct]]="-", "",IF(Table4[[#This Row],[Adjusted Correct]]="YES",(Table4[[#This Row],[Strength of Win]]-1)^2,(Table4[[#This Row],[Strength of Win]]-0)^2))</f>
        <v/>
      </c>
      <c r="P322" s="11"/>
    </row>
    <row r="323" spans="4:16" x14ac:dyDescent="0.2">
      <c r="D323" s="1">
        <v>45981</v>
      </c>
      <c r="E323" s="2">
        <v>0.79166666666666663</v>
      </c>
      <c r="F323" t="s">
        <v>26</v>
      </c>
      <c r="G323">
        <f>VLOOKUP(Table4[[#This Row],[Home]],'NHL Model'!$A$6:$B$38,2,FALSE)</f>
        <v>-0.513643833119658</v>
      </c>
      <c r="H323" t="s">
        <v>30</v>
      </c>
      <c r="I323">
        <f>VLOOKUP(Table4[[#This Row],[Visitor]],'NHL Model'!$A$6:$B$38,2,FALSE)</f>
        <v>-6.4729560818359025E-2</v>
      </c>
      <c r="J323">
        <f ca="1">($B$1+Table4[[#This Row],[Home Differential]])-Table4[[#This Row],[Away Differential]]</f>
        <v>-0.2863419626389806</v>
      </c>
      <c r="K323" t="str">
        <f ca="1">IF(Table4[[#This Row],[HomeIce Differential]]&gt;0,Table4[[#This Row],[Home]],Table4[[#This Row],[Visitor]])</f>
        <v>New York Islanders</v>
      </c>
      <c r="L323" s="11">
        <f ca="1"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0.51586563600644142</v>
      </c>
      <c r="M323" t="str">
        <f ca="1">IF(OR((NHL2025_26Results[[#This Row],[Winning Team]]="")),"-",IF(Table4[[#This Row],[Predicted Winner]]=NHL2025_26Results[[#This Row],[Winning Team]],"YES","NO"))</f>
        <v>-</v>
      </c>
      <c r="N323" t="str">
        <f ca="1">IF(Table4[[#This Row],[Adjusted Correct]]="-", "",IF(Table4[[#This Row],[Adjusted Correct]]="YES",(Table4[[#This Row],[Strength of Win]]-1)^2,(Table4[[#This Row],[Strength of Win]]-0)^2))</f>
        <v/>
      </c>
      <c r="P323" s="11"/>
    </row>
    <row r="324" spans="4:16" x14ac:dyDescent="0.2">
      <c r="D324" s="1">
        <v>45981</v>
      </c>
      <c r="E324" s="2">
        <v>0.79166666666666663</v>
      </c>
      <c r="F324" t="s">
        <v>11</v>
      </c>
      <c r="G324">
        <f>VLOOKUP(Table4[[#This Row],[Home]],'NHL Model'!$A$6:$B$38,2,FALSE)</f>
        <v>-0.28105923893144158</v>
      </c>
      <c r="H324" t="s">
        <v>24</v>
      </c>
      <c r="I324">
        <f>VLOOKUP(Table4[[#This Row],[Visitor]],'NHL Model'!$A$6:$B$38,2,FALSE)</f>
        <v>0.559441163373953</v>
      </c>
      <c r="J324">
        <f ca="1">($B$1+Table4[[#This Row],[Home Differential]])-Table4[[#This Row],[Away Differential]]</f>
        <v>-0.67792809264307619</v>
      </c>
      <c r="K324" t="str">
        <f ca="1">IF(Table4[[#This Row],[HomeIce Differential]]&gt;0,Table4[[#This Row],[Home]],Table4[[#This Row],[Visitor]])</f>
        <v>New Jersey Devils</v>
      </c>
      <c r="L324" s="11">
        <f ca="1"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0.56761702139154757</v>
      </c>
      <c r="M324" t="str">
        <f ca="1">IF(OR((NHL2025_26Results[[#This Row],[Winning Team]]="")),"-",IF(Table4[[#This Row],[Predicted Winner]]=NHL2025_26Results[[#This Row],[Winning Team]],"YES","NO"))</f>
        <v>-</v>
      </c>
      <c r="N324" t="str">
        <f ca="1">IF(Table4[[#This Row],[Adjusted Correct]]="-", "",IF(Table4[[#This Row],[Adjusted Correct]]="YES",(Table4[[#This Row],[Strength of Win]]-1)^2,(Table4[[#This Row],[Strength of Win]]-0)^2))</f>
        <v/>
      </c>
      <c r="P324" s="11"/>
    </row>
    <row r="325" spans="4:16" x14ac:dyDescent="0.2">
      <c r="D325" s="1">
        <v>45981</v>
      </c>
      <c r="E325" s="2">
        <v>0.79166666666666663</v>
      </c>
      <c r="F325" t="s">
        <v>18</v>
      </c>
      <c r="G325">
        <f>VLOOKUP(Table4[[#This Row],[Home]],'NHL Model'!$A$6:$B$38,2,FALSE)</f>
        <v>-0.52437726201848234</v>
      </c>
      <c r="H325" t="s">
        <v>22</v>
      </c>
      <c r="I325">
        <f>VLOOKUP(Table4[[#This Row],[Visitor]],'NHL Model'!$A$6:$B$38,2,FALSE)</f>
        <v>-6.1308839486784707E-2</v>
      </c>
      <c r="J325">
        <f ca="1">($B$1+Table4[[#This Row],[Home Differential]])-Table4[[#This Row],[Away Differential]]</f>
        <v>-0.30049611286937922</v>
      </c>
      <c r="K325" t="str">
        <f ca="1">IF(Table4[[#This Row],[HomeIce Differential]]&gt;0,Table4[[#This Row],[Home]],Table4[[#This Row],[Visitor]])</f>
        <v>Washington Capitals</v>
      </c>
      <c r="L325" s="11">
        <f ca="1"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0.50163633996320867</v>
      </c>
      <c r="M325" t="str">
        <f ca="1">IF(OR((NHL2025_26Results[[#This Row],[Winning Team]]="")),"-",IF(Table4[[#This Row],[Predicted Winner]]=NHL2025_26Results[[#This Row],[Winning Team]],"YES","NO"))</f>
        <v>-</v>
      </c>
      <c r="N325" t="str">
        <f ca="1">IF(Table4[[#This Row],[Adjusted Correct]]="-", "",IF(Table4[[#This Row],[Adjusted Correct]]="YES",(Table4[[#This Row],[Strength of Win]]-1)^2,(Table4[[#This Row],[Strength of Win]]-0)^2))</f>
        <v/>
      </c>
      <c r="P325" s="11"/>
    </row>
    <row r="326" spans="4:16" x14ac:dyDescent="0.2">
      <c r="D326" s="1">
        <v>45981</v>
      </c>
      <c r="E326" s="2">
        <v>0.79166666666666663</v>
      </c>
      <c r="F326" t="s">
        <v>27</v>
      </c>
      <c r="G326">
        <f>VLOOKUP(Table4[[#This Row],[Home]],'NHL Model'!$A$6:$B$38,2,FALSE)</f>
        <v>-0.51358590497437617</v>
      </c>
      <c r="H326" t="s">
        <v>35</v>
      </c>
      <c r="I326">
        <f>VLOOKUP(Table4[[#This Row],[Visitor]],'NHL Model'!$A$6:$B$38,2,FALSE)</f>
        <v>-1.6211574240381006</v>
      </c>
      <c r="J326">
        <f ca="1">($B$1+Table4[[#This Row],[Home Differential]])-Table4[[#This Row],[Away Differential]]</f>
        <v>1.2701438287260429</v>
      </c>
      <c r="K326" t="str">
        <f ca="1">IF(Table4[[#This Row],[HomeIce Differential]]&gt;0,Table4[[#This Row],[Home]],Table4[[#This Row],[Visitor]])</f>
        <v>Philadelphia Flyers</v>
      </c>
      <c r="L326" s="11">
        <f ca="1"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0.71848491131388892</v>
      </c>
      <c r="M326" t="str">
        <f ca="1">IF(OR((NHL2025_26Results[[#This Row],[Winning Team]]="")),"-",IF(Table4[[#This Row],[Predicted Winner]]=NHL2025_26Results[[#This Row],[Winning Team]],"YES","NO"))</f>
        <v>-</v>
      </c>
      <c r="N326" t="str">
        <f ca="1">IF(Table4[[#This Row],[Adjusted Correct]]="-", "",IF(Table4[[#This Row],[Adjusted Correct]]="YES",(Table4[[#This Row],[Strength of Win]]-1)^2,(Table4[[#This Row],[Strength of Win]]-0)^2))</f>
        <v/>
      </c>
      <c r="P326" s="11"/>
    </row>
    <row r="327" spans="4:16" x14ac:dyDescent="0.2">
      <c r="D327" s="1">
        <v>45981</v>
      </c>
      <c r="E327" s="2">
        <v>0.91666666666666663</v>
      </c>
      <c r="F327" t="s">
        <v>33</v>
      </c>
      <c r="G327">
        <f>VLOOKUP(Table4[[#This Row],[Home]],'NHL Model'!$A$6:$B$38,2,FALSE)</f>
        <v>-0.39418177254008485</v>
      </c>
      <c r="H327" t="s">
        <v>13</v>
      </c>
      <c r="I327">
        <f>VLOOKUP(Table4[[#This Row],[Visitor]],'NHL Model'!$A$6:$B$38,2,FALSE)</f>
        <v>-7.5459708298993802E-2</v>
      </c>
      <c r="J327">
        <f ca="1">($B$1+Table4[[#This Row],[Home Differential]])-Table4[[#This Row],[Away Differential]]</f>
        <v>-0.15614975457877267</v>
      </c>
      <c r="K327" t="str">
        <f ca="1">IF(Table4[[#This Row],[HomeIce Differential]]&gt;0,Table4[[#This Row],[Home]],Table4[[#This Row],[Visitor]])</f>
        <v>Los Angeles Kings</v>
      </c>
      <c r="L327" s="11">
        <f ca="1"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0.60303125022951609</v>
      </c>
      <c r="M327" t="str">
        <f ca="1">IF(OR((NHL2025_26Results[[#This Row],[Winning Team]]="")),"-",IF(Table4[[#This Row],[Predicted Winner]]=NHL2025_26Results[[#This Row],[Winning Team]],"YES","NO"))</f>
        <v>-</v>
      </c>
      <c r="N327" t="str">
        <f ca="1">IF(Table4[[#This Row],[Adjusted Correct]]="-", "",IF(Table4[[#This Row],[Adjusted Correct]]="YES",(Table4[[#This Row],[Strength of Win]]-1)^2,(Table4[[#This Row],[Strength of Win]]-0)^2))</f>
        <v/>
      </c>
      <c r="P327" s="11"/>
    </row>
    <row r="328" spans="4:16" x14ac:dyDescent="0.2">
      <c r="D328" s="1">
        <v>45981</v>
      </c>
      <c r="E328" s="2">
        <v>0.8125</v>
      </c>
      <c r="F328" t="s">
        <v>37</v>
      </c>
      <c r="G328">
        <f>VLOOKUP(Table4[[#This Row],[Home]],'NHL Model'!$A$6:$B$38,2,FALSE)</f>
        <v>-0.11309445867623392</v>
      </c>
      <c r="H328" t="s">
        <v>17</v>
      </c>
      <c r="I328">
        <f>VLOOKUP(Table4[[#This Row],[Visitor]],'NHL Model'!$A$6:$B$38,2,FALSE)</f>
        <v>-0.61980804137564283</v>
      </c>
      <c r="J328">
        <f ca="1">($B$1+Table4[[#This Row],[Home Differential]])-Table4[[#This Row],[Away Differential]]</f>
        <v>0.66928589236172731</v>
      </c>
      <c r="K328" t="str">
        <f ca="1">IF(Table4[[#This Row],[HomeIce Differential]]&gt;0,Table4[[#This Row],[Home]],Table4[[#This Row],[Visitor]])</f>
        <v>Tampa Bay Lightning</v>
      </c>
      <c r="L328" s="11">
        <f ca="1"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0.63273535913945589</v>
      </c>
      <c r="M328" t="str">
        <f ca="1">IF(OR((NHL2025_26Results[[#This Row],[Winning Team]]="")),"-",IF(Table4[[#This Row],[Predicted Winner]]=NHL2025_26Results[[#This Row],[Winning Team]],"YES","NO"))</f>
        <v>-</v>
      </c>
      <c r="N328" t="str">
        <f ca="1">IF(Table4[[#This Row],[Adjusted Correct]]="-", "",IF(Table4[[#This Row],[Adjusted Correct]]="YES",(Table4[[#This Row],[Strength of Win]]-1)^2,(Table4[[#This Row],[Strength of Win]]-0)^2))</f>
        <v/>
      </c>
      <c r="P328" s="11"/>
    </row>
    <row r="329" spans="4:16" x14ac:dyDescent="0.2">
      <c r="D329" s="1">
        <v>45981</v>
      </c>
      <c r="E329" s="2">
        <v>0.79166666666666663</v>
      </c>
      <c r="F329" t="s">
        <v>19</v>
      </c>
      <c r="G329">
        <f>VLOOKUP(Table4[[#This Row],[Home]],'NHL Model'!$A$6:$B$38,2,FALSE)</f>
        <v>-0.635565543477981</v>
      </c>
      <c r="H329" t="s">
        <v>28</v>
      </c>
      <c r="I329">
        <f>VLOOKUP(Table4[[#This Row],[Visitor]],'NHL Model'!$A$6:$B$38,2,FALSE)</f>
        <v>-0.40822279081308277</v>
      </c>
      <c r="J329">
        <f ca="1">($B$1+Table4[[#This Row],[Home Differential]])-Table4[[#This Row],[Away Differential]]</f>
        <v>-6.4770443002579836E-2</v>
      </c>
      <c r="K329" t="str">
        <f ca="1">IF(Table4[[#This Row],[HomeIce Differential]]&gt;0,Table4[[#This Row],[Home]],Table4[[#This Row],[Visitor]])</f>
        <v>Columbus Blue Jackets</v>
      </c>
      <c r="L329" s="11">
        <f ca="1"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0.48974373682414035</v>
      </c>
      <c r="M329" t="str">
        <f ca="1">IF(OR((NHL2025_26Results[[#This Row],[Winning Team]]="")),"-",IF(Table4[[#This Row],[Predicted Winner]]=NHL2025_26Results[[#This Row],[Winning Team]],"YES","NO"))</f>
        <v>-</v>
      </c>
      <c r="N329" t="str">
        <f ca="1">IF(Table4[[#This Row],[Adjusted Correct]]="-", "",IF(Table4[[#This Row],[Adjusted Correct]]="YES",(Table4[[#This Row],[Strength of Win]]-1)^2,(Table4[[#This Row],[Strength of Win]]-0)^2))</f>
        <v/>
      </c>
      <c r="P329" s="11"/>
    </row>
    <row r="330" spans="4:16" x14ac:dyDescent="0.2">
      <c r="D330" s="1">
        <v>45981</v>
      </c>
      <c r="E330" s="2">
        <v>0.875</v>
      </c>
      <c r="F330" t="s">
        <v>55</v>
      </c>
      <c r="G330">
        <f>VLOOKUP(Table4[[#This Row],[Home]],'NHL Model'!$A$6:$B$38,2,FALSE)</f>
        <v>-0.12212311954851815</v>
      </c>
      <c r="H330" t="s">
        <v>20</v>
      </c>
      <c r="I330">
        <f>VLOOKUP(Table4[[#This Row],[Visitor]],'NHL Model'!$A$6:$B$38,2,FALSE)</f>
        <v>-6.3745791019188943E-4</v>
      </c>
      <c r="J330">
        <f ca="1">($B$1+Table4[[#This Row],[Home Differential]])-Table4[[#This Row],[Away Differential]]</f>
        <v>4.1086648023992131E-2</v>
      </c>
      <c r="K330" t="str">
        <f ca="1">IF(Table4[[#This Row],[HomeIce Differential]]&gt;0,Table4[[#This Row],[Home]],Table4[[#This Row],[Visitor]])</f>
        <v>Utah Mammoth</v>
      </c>
      <c r="L330" s="11">
        <f ca="1"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0.59392820517975864</v>
      </c>
      <c r="M330" t="str">
        <f ca="1">IF(OR((NHL2025_26Results[[#This Row],[Winning Team]]="")),"-",IF(Table4[[#This Row],[Predicted Winner]]=NHL2025_26Results[[#This Row],[Winning Team]],"YES","NO"))</f>
        <v>-</v>
      </c>
      <c r="N330" t="str">
        <f ca="1">IF(Table4[[#This Row],[Adjusted Correct]]="-", "",IF(Table4[[#This Row],[Adjusted Correct]]="YES",(Table4[[#This Row],[Strength of Win]]-1)^2,(Table4[[#This Row],[Strength of Win]]-0)^2))</f>
        <v/>
      </c>
      <c r="P330" s="11"/>
    </row>
    <row r="331" spans="4:16" x14ac:dyDescent="0.2">
      <c r="D331" s="1">
        <v>45981</v>
      </c>
      <c r="E331" s="2">
        <v>0.91666666666666663</v>
      </c>
      <c r="F331" t="s">
        <v>38</v>
      </c>
      <c r="G331">
        <f>VLOOKUP(Table4[[#This Row],[Home]],'NHL Model'!$A$6:$B$38,2,FALSE)</f>
        <v>-0.6902088310934803</v>
      </c>
      <c r="H331" t="s">
        <v>39</v>
      </c>
      <c r="I331">
        <f>VLOOKUP(Table4[[#This Row],[Visitor]],'NHL Model'!$A$6:$B$38,2,FALSE)</f>
        <v>0.19809534061227302</v>
      </c>
      <c r="J331">
        <f ca="1">($B$1+Table4[[#This Row],[Home Differential]])-Table4[[#This Row],[Away Differential]]</f>
        <v>-0.72573186204343498</v>
      </c>
      <c r="K331" t="str">
        <f ca="1">IF(Table4[[#This Row],[HomeIce Differential]]&gt;0,Table4[[#This Row],[Home]],Table4[[#This Row],[Visitor]])</f>
        <v>Dallas Stars</v>
      </c>
      <c r="L331" s="11">
        <f ca="1"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0.65304262513708233</v>
      </c>
      <c r="M331" t="str">
        <f ca="1">IF(OR((NHL2025_26Results[[#This Row],[Winning Team]]="")),"-",IF(Table4[[#This Row],[Predicted Winner]]=NHL2025_26Results[[#This Row],[Winning Team]],"YES","NO"))</f>
        <v>-</v>
      </c>
      <c r="N331" t="str">
        <f ca="1">IF(Table4[[#This Row],[Adjusted Correct]]="-", "",IF(Table4[[#This Row],[Adjusted Correct]]="YES",(Table4[[#This Row],[Strength of Win]]-1)^2,(Table4[[#This Row],[Strength of Win]]-0)^2))</f>
        <v/>
      </c>
      <c r="P331" s="11"/>
    </row>
    <row r="332" spans="4:16" x14ac:dyDescent="0.2">
      <c r="D332" s="1">
        <v>45982</v>
      </c>
      <c r="E332" s="2">
        <v>0.79166666666666663</v>
      </c>
      <c r="F332" t="s">
        <v>23</v>
      </c>
      <c r="G332">
        <f>VLOOKUP(Table4[[#This Row],[Home]],'NHL Model'!$A$6:$B$38,2,FALSE)</f>
        <v>-0.8683412362501769</v>
      </c>
      <c r="H332" t="s">
        <v>10</v>
      </c>
      <c r="I332">
        <f>VLOOKUP(Table4[[#This Row],[Visitor]],'NHL Model'!$A$6:$B$38,2,FALSE)</f>
        <v>0.30570968833820172</v>
      </c>
      <c r="J332">
        <f ca="1">($B$1+Table4[[#This Row],[Home Differential]])-Table4[[#This Row],[Away Differential]]</f>
        <v>-1.0114786149260602</v>
      </c>
      <c r="K332" t="str">
        <f ca="1">IF(Table4[[#This Row],[HomeIce Differential]]&gt;0,Table4[[#This Row],[Home]],Table4[[#This Row],[Visitor]])</f>
        <v>Chicago Blackhawks</v>
      </c>
      <c r="L332" s="11">
        <f ca="1"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0.62091835640828097</v>
      </c>
      <c r="M332" t="str">
        <f ca="1">IF(OR((NHL2025_26Results[[#This Row],[Winning Team]]="")),"-",IF(Table4[[#This Row],[Predicted Winner]]=NHL2025_26Results[[#This Row],[Winning Team]],"YES","NO"))</f>
        <v>-</v>
      </c>
      <c r="N332" t="str">
        <f ca="1">IF(Table4[[#This Row],[Adjusted Correct]]="-", "",IF(Table4[[#This Row],[Adjusted Correct]]="YES",(Table4[[#This Row],[Strength of Win]]-1)^2,(Table4[[#This Row],[Strength of Win]]-0)^2))</f>
        <v/>
      </c>
      <c r="P332" s="11"/>
    </row>
    <row r="333" spans="4:16" x14ac:dyDescent="0.2">
      <c r="D333" s="1">
        <v>45982</v>
      </c>
      <c r="E333" s="2">
        <v>0.9375</v>
      </c>
      <c r="F333" t="s">
        <v>13</v>
      </c>
      <c r="G333">
        <f>VLOOKUP(Table4[[#This Row],[Home]],'NHL Model'!$A$6:$B$38,2,FALSE)</f>
        <v>-7.5459708298993802E-2</v>
      </c>
      <c r="H333" t="s">
        <v>21</v>
      </c>
      <c r="I333">
        <f>VLOOKUP(Table4[[#This Row],[Visitor]],'NHL Model'!$A$6:$B$38,2,FALSE)</f>
        <v>4.029141914856392E-2</v>
      </c>
      <c r="J333">
        <f ca="1">($B$1+Table4[[#This Row],[Home Differential]])-Table4[[#This Row],[Away Differential]]</f>
        <v>4.682118221476067E-2</v>
      </c>
      <c r="K333" t="str">
        <f ca="1">IF(Table4[[#This Row],[HomeIce Differential]]&gt;0,Table4[[#This Row],[Home]],Table4[[#This Row],[Visitor]])</f>
        <v>Los Angeles Kings</v>
      </c>
      <c r="L333" s="11">
        <f ca="1"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0.54648748045875895</v>
      </c>
      <c r="M333" t="str">
        <f ca="1">IF(OR((NHL2025_26Results[[#This Row],[Winning Team]]="")),"-",IF(Table4[[#This Row],[Predicted Winner]]=NHL2025_26Results[[#This Row],[Winning Team]],"YES","NO"))</f>
        <v>-</v>
      </c>
      <c r="N333" t="str">
        <f ca="1">IF(Table4[[#This Row],[Adjusted Correct]]="-", "",IF(Table4[[#This Row],[Adjusted Correct]]="YES",(Table4[[#This Row],[Strength of Win]]-1)^2,(Table4[[#This Row],[Strength of Win]]-0)^2))</f>
        <v/>
      </c>
      <c r="P333" s="11"/>
    </row>
    <row r="334" spans="4:16" x14ac:dyDescent="0.2">
      <c r="D334" s="1">
        <v>45982</v>
      </c>
      <c r="E334" s="2">
        <v>0.79166666666666663</v>
      </c>
      <c r="F334" t="s">
        <v>14</v>
      </c>
      <c r="G334">
        <f>VLOOKUP(Table4[[#This Row],[Home]],'NHL Model'!$A$6:$B$38,2,FALSE)</f>
        <v>0.26289091192875702</v>
      </c>
      <c r="H334" t="s">
        <v>34</v>
      </c>
      <c r="I334">
        <f>VLOOKUP(Table4[[#This Row],[Visitor]],'NHL Model'!$A$6:$B$38,2,FALSE)</f>
        <v>-0.53650300840565446</v>
      </c>
      <c r="J334">
        <f ca="1">($B$1+Table4[[#This Row],[Home Differential]])-Table4[[#This Row],[Away Differential]]</f>
        <v>0.96196622999672987</v>
      </c>
      <c r="K334" t="str">
        <f ca="1">IF(Table4[[#This Row],[HomeIce Differential]]&gt;0,Table4[[#This Row],[Home]],Table4[[#This Row],[Visitor]])</f>
        <v>Pittsburgh Penguins</v>
      </c>
      <c r="L334" s="11">
        <f ca="1"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0.70932562208681404</v>
      </c>
      <c r="M334" t="str">
        <f ca="1">IF(OR((NHL2025_26Results[[#This Row],[Winning Team]]="")),"-",IF(Table4[[#This Row],[Predicted Winner]]=NHL2025_26Results[[#This Row],[Winning Team]],"YES","NO"))</f>
        <v>-</v>
      </c>
      <c r="N334" t="str">
        <f ca="1">IF(Table4[[#This Row],[Adjusted Correct]]="-", "",IF(Table4[[#This Row],[Adjusted Correct]]="YES",(Table4[[#This Row],[Strength of Win]]-1)^2,(Table4[[#This Row],[Strength of Win]]-0)^2))</f>
        <v/>
      </c>
      <c r="P334" s="11"/>
    </row>
    <row r="335" spans="4:16" x14ac:dyDescent="0.2">
      <c r="D335" s="1">
        <v>45982</v>
      </c>
      <c r="E335" s="2">
        <v>0.83333333333333337</v>
      </c>
      <c r="F335" t="s">
        <v>40</v>
      </c>
      <c r="G335">
        <f>VLOOKUP(Table4[[#This Row],[Home]],'NHL Model'!$A$6:$B$38,2,FALSE)</f>
        <v>0.105105258369765</v>
      </c>
      <c r="H335" t="s">
        <v>25</v>
      </c>
      <c r="I335">
        <f>VLOOKUP(Table4[[#This Row],[Visitor]],'NHL Model'!$A$6:$B$38,2,FALSE)</f>
        <v>0.67193921242367816</v>
      </c>
      <c r="J335">
        <f ca="1">($B$1+Table4[[#This Row],[Home Differential]])-Table4[[#This Row],[Away Differential]]</f>
        <v>-0.40426164439159473</v>
      </c>
      <c r="K335" t="str">
        <f ca="1">IF(Table4[[#This Row],[HomeIce Differential]]&gt;0,Table4[[#This Row],[Home]],Table4[[#This Row],[Visitor]])</f>
        <v>Carolina Hurricanes</v>
      </c>
      <c r="L335" s="11">
        <f ca="1"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0.57214298564750743</v>
      </c>
      <c r="M335" t="str">
        <f ca="1">IF(OR((NHL2025_26Results[[#This Row],[Winning Team]]="")),"-",IF(Table4[[#This Row],[Predicted Winner]]=NHL2025_26Results[[#This Row],[Winning Team]],"YES","NO"))</f>
        <v>-</v>
      </c>
      <c r="N335" t="str">
        <f ca="1">IF(Table4[[#This Row],[Adjusted Correct]]="-", "",IF(Table4[[#This Row],[Adjusted Correct]]="YES",(Table4[[#This Row],[Strength of Win]]-1)^2,(Table4[[#This Row],[Strength of Win]]-0)^2))</f>
        <v/>
      </c>
      <c r="P335" s="11"/>
    </row>
    <row r="336" spans="4:16" x14ac:dyDescent="0.2">
      <c r="D336" s="1">
        <v>45983</v>
      </c>
      <c r="E336" s="2">
        <v>0.91666666666666663</v>
      </c>
      <c r="F336" t="s">
        <v>31</v>
      </c>
      <c r="G336">
        <f>VLOOKUP(Table4[[#This Row],[Home]],'NHL Model'!$A$6:$B$38,2,FALSE)</f>
        <v>0.51775546328552802</v>
      </c>
      <c r="H336" t="s">
        <v>20</v>
      </c>
      <c r="I336">
        <f>VLOOKUP(Table4[[#This Row],[Visitor]],'NHL Model'!$A$6:$B$38,2,FALSE)</f>
        <v>-6.3745791019188943E-4</v>
      </c>
      <c r="J336">
        <f ca="1">($B$1+Table4[[#This Row],[Home Differential]])-Table4[[#This Row],[Away Differential]]</f>
        <v>0.68096523085803828</v>
      </c>
      <c r="K336" t="str">
        <f ca="1">IF(Table4[[#This Row],[HomeIce Differential]]&gt;0,Table4[[#This Row],[Home]],Table4[[#This Row],[Visitor]])</f>
        <v>Anaheim Ducks</v>
      </c>
      <c r="L336" s="11">
        <f ca="1"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0.71935363267895147</v>
      </c>
      <c r="M336" t="str">
        <f ca="1">IF(OR((NHL2025_26Results[[#This Row],[Winning Team]]="")),"-",IF(Table4[[#This Row],[Predicted Winner]]=NHL2025_26Results[[#This Row],[Winning Team]],"YES","NO"))</f>
        <v>-</v>
      </c>
      <c r="N336" t="str">
        <f ca="1">IF(Table4[[#This Row],[Adjusted Correct]]="-", "",IF(Table4[[#This Row],[Adjusted Correct]]="YES",(Table4[[#This Row],[Strength of Win]]-1)^2,(Table4[[#This Row],[Strength of Win]]-0)^2))</f>
        <v/>
      </c>
      <c r="P336" s="11"/>
    </row>
    <row r="337" spans="4:16" x14ac:dyDescent="0.2">
      <c r="D337" s="1">
        <v>45983</v>
      </c>
      <c r="E337" s="2">
        <v>0.91666666666666663</v>
      </c>
      <c r="F337" t="s">
        <v>16</v>
      </c>
      <c r="G337">
        <f>VLOOKUP(Table4[[#This Row],[Home]],'NHL Model'!$A$6:$B$38,2,FALSE)</f>
        <v>-1.3903684122795328</v>
      </c>
      <c r="H337" t="s">
        <v>39</v>
      </c>
      <c r="I337">
        <f>VLOOKUP(Table4[[#This Row],[Visitor]],'NHL Model'!$A$6:$B$38,2,FALSE)</f>
        <v>0.19809534061227302</v>
      </c>
      <c r="J337">
        <f ca="1">($B$1+Table4[[#This Row],[Home Differential]])-Table4[[#This Row],[Away Differential]]</f>
        <v>-1.4258914432294874</v>
      </c>
      <c r="K337" t="str">
        <f ca="1">IF(Table4[[#This Row],[HomeIce Differential]]&gt;0,Table4[[#This Row],[Home]],Table4[[#This Row],[Visitor]])</f>
        <v>Dallas Stars</v>
      </c>
      <c r="L337" s="11">
        <f ca="1"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0.75005580135554539</v>
      </c>
      <c r="M337" t="str">
        <f ca="1">IF(OR((NHL2025_26Results[[#This Row],[Winning Team]]="")),"-",IF(Table4[[#This Row],[Predicted Winner]]=NHL2025_26Results[[#This Row],[Winning Team]],"YES","NO"))</f>
        <v>-</v>
      </c>
      <c r="N337" t="str">
        <f ca="1">IF(Table4[[#This Row],[Adjusted Correct]]="-", "",IF(Table4[[#This Row],[Adjusted Correct]]="YES",(Table4[[#This Row],[Strength of Win]]-1)^2,(Table4[[#This Row],[Strength of Win]]-0)^2))</f>
        <v/>
      </c>
      <c r="P337" s="11"/>
    </row>
    <row r="338" spans="4:16" x14ac:dyDescent="0.2">
      <c r="D338" s="1">
        <v>45983</v>
      </c>
      <c r="E338" s="2">
        <v>0.54166666666666663</v>
      </c>
      <c r="F338" t="s">
        <v>26</v>
      </c>
      <c r="G338">
        <f>VLOOKUP(Table4[[#This Row],[Home]],'NHL Model'!$A$6:$B$38,2,FALSE)</f>
        <v>-0.513643833119658</v>
      </c>
      <c r="H338" t="s">
        <v>28</v>
      </c>
      <c r="I338">
        <f>VLOOKUP(Table4[[#This Row],[Visitor]],'NHL Model'!$A$6:$B$38,2,FALSE)</f>
        <v>-0.40822279081308277</v>
      </c>
      <c r="J338">
        <f ca="1">($B$1+Table4[[#This Row],[Home Differential]])-Table4[[#This Row],[Away Differential]]</f>
        <v>5.7151267355743163E-2</v>
      </c>
      <c r="K338" t="str">
        <f ca="1">IF(Table4[[#This Row],[HomeIce Differential]]&gt;0,Table4[[#This Row],[Home]],Table4[[#This Row],[Visitor]])</f>
        <v>Detroit Red Wings</v>
      </c>
      <c r="L338" s="11">
        <f ca="1"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0.55337334871036759</v>
      </c>
      <c r="M338" t="str">
        <f ca="1">IF(OR((NHL2025_26Results[[#This Row],[Winning Team]]="")),"-",IF(Table4[[#This Row],[Predicted Winner]]=NHL2025_26Results[[#This Row],[Winning Team]],"YES","NO"))</f>
        <v>-</v>
      </c>
      <c r="N338" t="str">
        <f ca="1">IF(Table4[[#This Row],[Adjusted Correct]]="-", "",IF(Table4[[#This Row],[Adjusted Correct]]="YES",(Table4[[#This Row],[Strength of Win]]-1)^2,(Table4[[#This Row],[Strength of Win]]-0)^2))</f>
        <v/>
      </c>
      <c r="P338" s="11"/>
    </row>
    <row r="339" spans="4:16" x14ac:dyDescent="0.2">
      <c r="D339" s="1">
        <v>45983</v>
      </c>
      <c r="E339" s="2">
        <v>0.79166666666666663</v>
      </c>
      <c r="F339" t="s">
        <v>11</v>
      </c>
      <c r="G339">
        <f>VLOOKUP(Table4[[#This Row],[Home]],'NHL Model'!$A$6:$B$38,2,FALSE)</f>
        <v>-0.28105923893144158</v>
      </c>
      <c r="H339" t="s">
        <v>17</v>
      </c>
      <c r="I339">
        <f>VLOOKUP(Table4[[#This Row],[Visitor]],'NHL Model'!$A$6:$B$38,2,FALSE)</f>
        <v>-0.61980804137564283</v>
      </c>
      <c r="J339">
        <f ca="1">($B$1+Table4[[#This Row],[Home Differential]])-Table4[[#This Row],[Away Differential]]</f>
        <v>0.50132111210651964</v>
      </c>
      <c r="K339" t="str">
        <f ca="1">IF(Table4[[#This Row],[HomeIce Differential]]&gt;0,Table4[[#This Row],[Home]],Table4[[#This Row],[Visitor]])</f>
        <v>Florida Panthers</v>
      </c>
      <c r="L339" s="11">
        <f ca="1"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0.66117835990460239</v>
      </c>
      <c r="M339" t="str">
        <f ca="1">IF(OR((NHL2025_26Results[[#This Row],[Winning Team]]="")),"-",IF(Table4[[#This Row],[Predicted Winner]]=NHL2025_26Results[[#This Row],[Winning Team]],"YES","NO"))</f>
        <v>-</v>
      </c>
      <c r="N339" t="str">
        <f ca="1">IF(Table4[[#This Row],[Adjusted Correct]]="-", "",IF(Table4[[#This Row],[Adjusted Correct]]="YES",(Table4[[#This Row],[Strength of Win]]-1)^2,(Table4[[#This Row],[Strength of Win]]-0)^2))</f>
        <v/>
      </c>
      <c r="P339" s="11"/>
    </row>
    <row r="340" spans="4:16" x14ac:dyDescent="0.2">
      <c r="D340" s="1">
        <v>45983</v>
      </c>
      <c r="E340" s="2">
        <v>0.79166666666666663</v>
      </c>
      <c r="F340" t="s">
        <v>18</v>
      </c>
      <c r="G340">
        <f>VLOOKUP(Table4[[#This Row],[Home]],'NHL Model'!$A$6:$B$38,2,FALSE)</f>
        <v>-0.52437726201848234</v>
      </c>
      <c r="H340" t="s">
        <v>19</v>
      </c>
      <c r="I340">
        <f>VLOOKUP(Table4[[#This Row],[Visitor]],'NHL Model'!$A$6:$B$38,2,FALSE)</f>
        <v>-0.635565543477981</v>
      </c>
      <c r="J340">
        <f ca="1">($B$1+Table4[[#This Row],[Home Differential]])-Table4[[#This Row],[Away Differential]]</f>
        <v>0.27376059112181705</v>
      </c>
      <c r="K340" t="str">
        <f ca="1">IF(Table4[[#This Row],[HomeIce Differential]]&gt;0,Table4[[#This Row],[Home]],Table4[[#This Row],[Visitor]])</f>
        <v>Montreal Canadiens</v>
      </c>
      <c r="L340" s="11">
        <f ca="1"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0.57793190178613607</v>
      </c>
      <c r="M340" t="str">
        <f ca="1">IF(OR((NHL2025_26Results[[#This Row],[Winning Team]]="")),"-",IF(Table4[[#This Row],[Predicted Winner]]=NHL2025_26Results[[#This Row],[Winning Team]],"YES","NO"))</f>
        <v>-</v>
      </c>
      <c r="N340" t="str">
        <f ca="1">IF(Table4[[#This Row],[Adjusted Correct]]="-", "",IF(Table4[[#This Row],[Adjusted Correct]]="YES",(Table4[[#This Row],[Strength of Win]]-1)^2,(Table4[[#This Row],[Strength of Win]]-0)^2))</f>
        <v/>
      </c>
      <c r="P340" s="11"/>
    </row>
    <row r="341" spans="4:16" x14ac:dyDescent="0.2">
      <c r="D341" s="1">
        <v>45983</v>
      </c>
      <c r="E341" s="2">
        <v>0.83333333333333337</v>
      </c>
      <c r="F341" t="s">
        <v>29</v>
      </c>
      <c r="G341">
        <f>VLOOKUP(Table4[[#This Row],[Home]],'NHL Model'!$A$6:$B$38,2,FALSE)</f>
        <v>-1.3516250707060606</v>
      </c>
      <c r="H341" t="s">
        <v>12</v>
      </c>
      <c r="I341">
        <f>VLOOKUP(Table4[[#This Row],[Visitor]],'NHL Model'!$A$6:$B$38,2,FALSE)</f>
        <v>1.5475013591489768</v>
      </c>
      <c r="J341">
        <f ca="1">($B$1+Table4[[#This Row],[Home Differential]])-Table4[[#This Row],[Away Differential]]</f>
        <v>-2.7365541201927188</v>
      </c>
      <c r="K341" t="str">
        <f ca="1">IF(Table4[[#This Row],[HomeIce Differential]]&gt;0,Table4[[#This Row],[Home]],Table4[[#This Row],[Visitor]])</f>
        <v>Colorado Avalanche</v>
      </c>
      <c r="L341" s="11">
        <f ca="1"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0.90548907257565658</v>
      </c>
      <c r="M341" t="str">
        <f ca="1">IF(OR((NHL2025_26Results[[#This Row],[Winning Team]]="")),"-",IF(Table4[[#This Row],[Predicted Winner]]=NHL2025_26Results[[#This Row],[Winning Team]],"YES","NO"))</f>
        <v>-</v>
      </c>
      <c r="N341" t="str">
        <f ca="1">IF(Table4[[#This Row],[Adjusted Correct]]="-", "",IF(Table4[[#This Row],[Adjusted Correct]]="YES",(Table4[[#This Row],[Strength of Win]]-1)^2,(Table4[[#This Row],[Strength of Win]]-0)^2))</f>
        <v/>
      </c>
      <c r="P341" s="11"/>
    </row>
    <row r="342" spans="4:16" x14ac:dyDescent="0.2">
      <c r="D342" s="1">
        <v>45983</v>
      </c>
      <c r="E342" s="2">
        <v>0.64583333333333337</v>
      </c>
      <c r="F342" t="s">
        <v>30</v>
      </c>
      <c r="G342">
        <f>VLOOKUP(Table4[[#This Row],[Home]],'NHL Model'!$A$6:$B$38,2,FALSE)</f>
        <v>-6.4729560818359025E-2</v>
      </c>
      <c r="H342" t="s">
        <v>35</v>
      </c>
      <c r="I342">
        <f>VLOOKUP(Table4[[#This Row],[Visitor]],'NHL Model'!$A$6:$B$38,2,FALSE)</f>
        <v>-1.6211574240381006</v>
      </c>
      <c r="J342">
        <f ca="1">($B$1+Table4[[#This Row],[Home Differential]])-Table4[[#This Row],[Away Differential]]</f>
        <v>1.7190001728820599</v>
      </c>
      <c r="K342" t="str">
        <f ca="1">IF(Table4[[#This Row],[HomeIce Differential]]&gt;0,Table4[[#This Row],[Home]],Table4[[#This Row],[Visitor]])</f>
        <v>New York Islanders</v>
      </c>
      <c r="L342" s="11">
        <f ca="1"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0.77818236752381376</v>
      </c>
      <c r="M342" t="str">
        <f ca="1">IF(OR((NHL2025_26Results[[#This Row],[Winning Team]]="")),"-",IF(Table4[[#This Row],[Predicted Winner]]=NHL2025_26Results[[#This Row],[Winning Team]],"YES","NO"))</f>
        <v>-</v>
      </c>
      <c r="N342" t="str">
        <f ca="1">IF(Table4[[#This Row],[Adjusted Correct]]="-", "",IF(Table4[[#This Row],[Adjusted Correct]]="YES",(Table4[[#This Row],[Strength of Win]]-1)^2,(Table4[[#This Row],[Strength of Win]]-0)^2))</f>
        <v/>
      </c>
      <c r="P342" s="11"/>
    </row>
    <row r="343" spans="4:16" x14ac:dyDescent="0.2">
      <c r="D343" s="1">
        <v>45983</v>
      </c>
      <c r="E343" s="2">
        <v>0.79166666666666663</v>
      </c>
      <c r="F343" t="s">
        <v>27</v>
      </c>
      <c r="G343">
        <f>VLOOKUP(Table4[[#This Row],[Home]],'NHL Model'!$A$6:$B$38,2,FALSE)</f>
        <v>-0.51358590497437617</v>
      </c>
      <c r="H343" t="s">
        <v>24</v>
      </c>
      <c r="I343">
        <f>VLOOKUP(Table4[[#This Row],[Visitor]],'NHL Model'!$A$6:$B$38,2,FALSE)</f>
        <v>0.559441163373953</v>
      </c>
      <c r="J343">
        <f ca="1">($B$1+Table4[[#This Row],[Home Differential]])-Table4[[#This Row],[Away Differential]]</f>
        <v>-0.91045475868601078</v>
      </c>
      <c r="K343" t="str">
        <f ca="1">IF(Table4[[#This Row],[HomeIce Differential]]&gt;0,Table4[[#This Row],[Home]],Table4[[#This Row],[Visitor]])</f>
        <v>New Jersey Devils</v>
      </c>
      <c r="L343" s="11">
        <f ca="1"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0.64996091888680319</v>
      </c>
      <c r="M343" t="str">
        <f ca="1">IF(OR((NHL2025_26Results[[#This Row],[Winning Team]]="")),"-",IF(Table4[[#This Row],[Predicted Winner]]=NHL2025_26Results[[#This Row],[Winning Team]],"YES","NO"))</f>
        <v>-</v>
      </c>
      <c r="N343" t="str">
        <f ca="1">IF(Table4[[#This Row],[Adjusted Correct]]="-", "",IF(Table4[[#This Row],[Adjusted Correct]]="YES",(Table4[[#This Row],[Strength of Win]]-1)^2,(Table4[[#This Row],[Strength of Win]]-0)^2))</f>
        <v/>
      </c>
      <c r="P343" s="11"/>
    </row>
    <row r="344" spans="4:16" x14ac:dyDescent="0.2">
      <c r="D344" s="1">
        <v>45983</v>
      </c>
      <c r="E344" s="2">
        <v>0.79166666666666663</v>
      </c>
      <c r="F344" t="s">
        <v>14</v>
      </c>
      <c r="G344">
        <f>VLOOKUP(Table4[[#This Row],[Home]],'NHL Model'!$A$6:$B$38,2,FALSE)</f>
        <v>0.26289091192875702</v>
      </c>
      <c r="H344" t="s">
        <v>32</v>
      </c>
      <c r="I344">
        <f>VLOOKUP(Table4[[#This Row],[Visitor]],'NHL Model'!$A$6:$B$38,2,FALSE)</f>
        <v>-0.361361309178443</v>
      </c>
      <c r="J344">
        <f ca="1">($B$1+Table4[[#This Row],[Home Differential]])-Table4[[#This Row],[Away Differential]]</f>
        <v>0.78682453076951842</v>
      </c>
      <c r="K344" t="str">
        <f ca="1">IF(Table4[[#This Row],[HomeIce Differential]]&gt;0,Table4[[#This Row],[Home]],Table4[[#This Row],[Visitor]])</f>
        <v>Pittsburgh Penguins</v>
      </c>
      <c r="L344" s="11">
        <f ca="1"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0.68505822221556167</v>
      </c>
      <c r="M344" t="str">
        <f ca="1">IF(OR((NHL2025_26Results[[#This Row],[Winning Team]]="")),"-",IF(Table4[[#This Row],[Predicted Winner]]=NHL2025_26Results[[#This Row],[Winning Team]],"YES","NO"))</f>
        <v>-</v>
      </c>
      <c r="N344" t="str">
        <f ca="1">IF(Table4[[#This Row],[Adjusted Correct]]="-", "",IF(Table4[[#This Row],[Adjusted Correct]]="YES",(Table4[[#This Row],[Strength of Win]]-1)^2,(Table4[[#This Row],[Strength of Win]]-0)^2))</f>
        <v/>
      </c>
      <c r="P344" s="11"/>
    </row>
    <row r="345" spans="4:16" x14ac:dyDescent="0.2">
      <c r="D345" s="1">
        <v>45983</v>
      </c>
      <c r="E345" s="2">
        <v>0.79166666666666663</v>
      </c>
      <c r="F345" t="s">
        <v>33</v>
      </c>
      <c r="G345">
        <f>VLOOKUP(Table4[[#This Row],[Home]],'NHL Model'!$A$6:$B$38,2,FALSE)</f>
        <v>-0.39418177254008485</v>
      </c>
      <c r="H345" t="s">
        <v>36</v>
      </c>
      <c r="I345">
        <f>VLOOKUP(Table4[[#This Row],[Visitor]],'NHL Model'!$A$6:$B$38,2,FALSE)</f>
        <v>-0.40651947573390851</v>
      </c>
      <c r="J345">
        <f ca="1">($B$1+Table4[[#This Row],[Home Differential]])-Table4[[#This Row],[Away Differential]]</f>
        <v>0.17491001285614205</v>
      </c>
      <c r="K345" t="str">
        <f ca="1">IF(Table4[[#This Row],[HomeIce Differential]]&gt;0,Table4[[#This Row],[Home]],Table4[[#This Row],[Visitor]])</f>
        <v>San Jose Sharks</v>
      </c>
      <c r="L345" s="11">
        <f ca="1"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0.56423529771718939</v>
      </c>
      <c r="M345" t="str">
        <f ca="1">IF(OR((NHL2025_26Results[[#This Row],[Winning Team]]="")),"-",IF(Table4[[#This Row],[Predicted Winner]]=NHL2025_26Results[[#This Row],[Winning Team]],"YES","NO"))</f>
        <v>-</v>
      </c>
      <c r="N345" t="str">
        <f ca="1">IF(Table4[[#This Row],[Adjusted Correct]]="-", "",IF(Table4[[#This Row],[Adjusted Correct]]="YES",(Table4[[#This Row],[Strength of Win]]-1)^2,(Table4[[#This Row],[Strength of Win]]-0)^2))</f>
        <v/>
      </c>
      <c r="P345" s="11"/>
    </row>
    <row r="346" spans="4:16" x14ac:dyDescent="0.2">
      <c r="D346" s="1">
        <v>45983</v>
      </c>
      <c r="E346" s="2">
        <v>0.875</v>
      </c>
      <c r="F346" t="s">
        <v>55</v>
      </c>
      <c r="G346">
        <f>VLOOKUP(Table4[[#This Row],[Home]],'NHL Model'!$A$6:$B$38,2,FALSE)</f>
        <v>-0.12212311954851815</v>
      </c>
      <c r="H346" t="s">
        <v>15</v>
      </c>
      <c r="I346">
        <f>VLOOKUP(Table4[[#This Row],[Visitor]],'NHL Model'!$A$6:$B$38,2,FALSE)</f>
        <v>-0.30719665303039001</v>
      </c>
      <c r="J346">
        <f ca="1">($B$1+Table4[[#This Row],[Home Differential]])-Table4[[#This Row],[Away Differential]]</f>
        <v>0.34764584314419023</v>
      </c>
      <c r="K346" t="str">
        <f ca="1">IF(Table4[[#This Row],[HomeIce Differential]]&gt;0,Table4[[#This Row],[Home]],Table4[[#This Row],[Visitor]])</f>
        <v>Utah Mammoth</v>
      </c>
      <c r="L346" s="11">
        <f ca="1"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0.51427103851751155</v>
      </c>
      <c r="M346" t="str">
        <f ca="1">IF(OR((NHL2025_26Results[[#This Row],[Winning Team]]="")),"-",IF(Table4[[#This Row],[Predicted Winner]]=NHL2025_26Results[[#This Row],[Winning Team]],"YES","NO"))</f>
        <v>-</v>
      </c>
      <c r="N346" t="str">
        <f ca="1">IF(Table4[[#This Row],[Adjusted Correct]]="-", "",IF(Table4[[#This Row],[Adjusted Correct]]="YES",(Table4[[#This Row],[Strength of Win]]-1)^2,(Table4[[#This Row],[Strength of Win]]-0)^2))</f>
        <v/>
      </c>
      <c r="P346" s="11"/>
    </row>
    <row r="347" spans="4:16" x14ac:dyDescent="0.2">
      <c r="D347" s="1">
        <v>45983</v>
      </c>
      <c r="E347" s="2">
        <v>0.79166666666666663</v>
      </c>
      <c r="F347" t="s">
        <v>22</v>
      </c>
      <c r="G347">
        <f>VLOOKUP(Table4[[#This Row],[Home]],'NHL Model'!$A$6:$B$38,2,FALSE)</f>
        <v>-6.1308839486784707E-2</v>
      </c>
      <c r="H347" t="s">
        <v>37</v>
      </c>
      <c r="I347">
        <f>VLOOKUP(Table4[[#This Row],[Visitor]],'NHL Model'!$A$6:$B$38,2,FALSE)</f>
        <v>-0.11309445867623392</v>
      </c>
      <c r="J347">
        <f ca="1">($B$1+Table4[[#This Row],[Home Differential]])-Table4[[#This Row],[Away Differential]]</f>
        <v>0.21435792885176763</v>
      </c>
      <c r="K347" t="str">
        <f ca="1">IF(Table4[[#This Row],[HomeIce Differential]]&gt;0,Table4[[#This Row],[Home]],Table4[[#This Row],[Visitor]])</f>
        <v>Washington Capitals</v>
      </c>
      <c r="L347" s="11">
        <f ca="1"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0.52260175677791987</v>
      </c>
      <c r="M347" t="str">
        <f ca="1">IF(OR((NHL2025_26Results[[#This Row],[Winning Team]]="")),"-",IF(Table4[[#This Row],[Predicted Winner]]=NHL2025_26Results[[#This Row],[Winning Team]],"YES","NO"))</f>
        <v>-</v>
      </c>
      <c r="N347" t="str">
        <f ca="1">IF(Table4[[#This Row],[Adjusted Correct]]="-", "",IF(Table4[[#This Row],[Adjusted Correct]]="YES",(Table4[[#This Row],[Strength of Win]]-1)^2,(Table4[[#This Row],[Strength of Win]]-0)^2))</f>
        <v/>
      </c>
      <c r="P347" s="11"/>
    </row>
    <row r="348" spans="4:16" x14ac:dyDescent="0.2">
      <c r="D348" s="1">
        <v>45984</v>
      </c>
      <c r="E348" s="2">
        <v>0.54166666666666663</v>
      </c>
      <c r="F348" t="s">
        <v>23</v>
      </c>
      <c r="G348">
        <f>VLOOKUP(Table4[[#This Row],[Home]],'NHL Model'!$A$6:$B$38,2,FALSE)</f>
        <v>-0.8683412362501769</v>
      </c>
      <c r="H348" t="s">
        <v>25</v>
      </c>
      <c r="I348">
        <f>VLOOKUP(Table4[[#This Row],[Visitor]],'NHL Model'!$A$6:$B$38,2,FALSE)</f>
        <v>0.67193921242367816</v>
      </c>
      <c r="J348">
        <f ca="1">($B$1+Table4[[#This Row],[Home Differential]])-Table4[[#This Row],[Away Differential]]</f>
        <v>-1.3777081390115367</v>
      </c>
      <c r="K348" t="str">
        <f ca="1">IF(Table4[[#This Row],[HomeIce Differential]]&gt;0,Table4[[#This Row],[Home]],Table4[[#This Row],[Visitor]])</f>
        <v>Carolina Hurricanes</v>
      </c>
      <c r="L348" s="11">
        <f ca="1"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0.74337958709169782</v>
      </c>
      <c r="M348" t="str">
        <f ca="1">IF(OR((NHL2025_26Results[[#This Row],[Winning Team]]="")),"-",IF(Table4[[#This Row],[Predicted Winner]]=NHL2025_26Results[[#This Row],[Winning Team]],"YES","NO"))</f>
        <v>-</v>
      </c>
      <c r="N348" t="str">
        <f ca="1">IF(Table4[[#This Row],[Adjusted Correct]]="-", "",IF(Table4[[#This Row],[Adjusted Correct]]="YES",(Table4[[#This Row],[Strength of Win]]-1)^2,(Table4[[#This Row],[Strength of Win]]-0)^2))</f>
        <v/>
      </c>
      <c r="P348" s="11"/>
    </row>
    <row r="349" spans="4:16" x14ac:dyDescent="0.2">
      <c r="D349" s="1">
        <v>45984</v>
      </c>
      <c r="E349" s="2">
        <v>0.79166666666666663</v>
      </c>
      <c r="F349" t="s">
        <v>10</v>
      </c>
      <c r="G349">
        <f>VLOOKUP(Table4[[#This Row],[Home]],'NHL Model'!$A$6:$B$38,2,FALSE)</f>
        <v>0.30570968833820172</v>
      </c>
      <c r="H349" t="s">
        <v>12</v>
      </c>
      <c r="I349">
        <f>VLOOKUP(Table4[[#This Row],[Visitor]],'NHL Model'!$A$6:$B$38,2,FALSE)</f>
        <v>1.5475013591489768</v>
      </c>
      <c r="J349">
        <f ca="1">($B$1+Table4[[#This Row],[Home Differential]])-Table4[[#This Row],[Away Differential]]</f>
        <v>-1.0792193611484566</v>
      </c>
      <c r="K349" t="str">
        <f ca="1">IF(Table4[[#This Row],[HomeIce Differential]]&gt;0,Table4[[#This Row],[Home]],Table4[[#This Row],[Visitor]])</f>
        <v>Colorado Avalanche</v>
      </c>
      <c r="L349" s="11">
        <f ca="1"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0.67585098241372199</v>
      </c>
      <c r="M349" t="str">
        <f ca="1">IF(OR((NHL2025_26Results[[#This Row],[Winning Team]]="")),"-",IF(Table4[[#This Row],[Predicted Winner]]=NHL2025_26Results[[#This Row],[Winning Team]],"YES","NO"))</f>
        <v>-</v>
      </c>
      <c r="N349" t="str">
        <f ca="1">IF(Table4[[#This Row],[Adjusted Correct]]="-", "",IF(Table4[[#This Row],[Adjusted Correct]]="YES",(Table4[[#This Row],[Strength of Win]]-1)^2,(Table4[[#This Row],[Strength of Win]]-0)^2))</f>
        <v/>
      </c>
      <c r="P349" s="11"/>
    </row>
    <row r="350" spans="4:16" x14ac:dyDescent="0.2">
      <c r="D350" s="1">
        <v>45984</v>
      </c>
      <c r="E350" s="2">
        <v>0.70833333333333337</v>
      </c>
      <c r="F350" t="s">
        <v>30</v>
      </c>
      <c r="G350">
        <f>VLOOKUP(Table4[[#This Row],[Home]],'NHL Model'!$A$6:$B$38,2,FALSE)</f>
        <v>-6.4729560818359025E-2</v>
      </c>
      <c r="H350" t="s">
        <v>32</v>
      </c>
      <c r="I350">
        <f>VLOOKUP(Table4[[#This Row],[Visitor]],'NHL Model'!$A$6:$B$38,2,FALSE)</f>
        <v>-0.361361309178443</v>
      </c>
      <c r="J350">
        <f ca="1">($B$1+Table4[[#This Row],[Home Differential]])-Table4[[#This Row],[Away Differential]]</f>
        <v>0.45920405802240238</v>
      </c>
      <c r="K350" t="str">
        <f ca="1">IF(Table4[[#This Row],[HomeIce Differential]]&gt;0,Table4[[#This Row],[Home]],Table4[[#This Row],[Visitor]])</f>
        <v>New York Islanders</v>
      </c>
      <c r="L350" s="11">
        <f ca="1"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0.60362670082396941</v>
      </c>
      <c r="M350" t="str">
        <f ca="1">IF(OR((NHL2025_26Results[[#This Row],[Winning Team]]="")),"-",IF(Table4[[#This Row],[Predicted Winner]]=NHL2025_26Results[[#This Row],[Winning Team]],"YES","NO"))</f>
        <v>-</v>
      </c>
      <c r="N350" t="str">
        <f ca="1">IF(Table4[[#This Row],[Adjusted Correct]]="-", "",IF(Table4[[#This Row],[Adjusted Correct]]="YES",(Table4[[#This Row],[Strength of Win]]-1)^2,(Table4[[#This Row],[Strength of Win]]-0)^2))</f>
        <v/>
      </c>
      <c r="P350" s="11"/>
    </row>
    <row r="351" spans="4:16" x14ac:dyDescent="0.2">
      <c r="D351" s="1">
        <v>45984</v>
      </c>
      <c r="E351" s="2">
        <v>0.83333333333333337</v>
      </c>
      <c r="F351" t="s">
        <v>33</v>
      </c>
      <c r="G351">
        <f>VLOOKUP(Table4[[#This Row],[Home]],'NHL Model'!$A$6:$B$38,2,FALSE)</f>
        <v>-0.39418177254008485</v>
      </c>
      <c r="H351" t="s">
        <v>21</v>
      </c>
      <c r="I351">
        <f>VLOOKUP(Table4[[#This Row],[Visitor]],'NHL Model'!$A$6:$B$38,2,FALSE)</f>
        <v>4.029141914856392E-2</v>
      </c>
      <c r="J351">
        <f ca="1">($B$1+Table4[[#This Row],[Home Differential]])-Table4[[#This Row],[Away Differential]]</f>
        <v>-0.27190088202633039</v>
      </c>
      <c r="K351" t="str">
        <f ca="1">IF(Table4[[#This Row],[HomeIce Differential]]&gt;0,Table4[[#This Row],[Home]],Table4[[#This Row],[Visitor]])</f>
        <v>Boston Bruins</v>
      </c>
      <c r="L351" s="11">
        <f ca="1"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0.49767422297827069</v>
      </c>
      <c r="M351" t="str">
        <f ca="1">IF(OR((NHL2025_26Results[[#This Row],[Winning Team]]="")),"-",IF(Table4[[#This Row],[Predicted Winner]]=NHL2025_26Results[[#This Row],[Winning Team]],"YES","NO"))</f>
        <v>-</v>
      </c>
      <c r="N351" t="str">
        <f ca="1">IF(Table4[[#This Row],[Adjusted Correct]]="-", "",IF(Table4[[#This Row],[Adjusted Correct]]="YES",(Table4[[#This Row],[Strength of Win]]-1)^2,(Table4[[#This Row],[Strength of Win]]-0)^2))</f>
        <v/>
      </c>
      <c r="P351" s="11"/>
    </row>
    <row r="352" spans="4:16" x14ac:dyDescent="0.2">
      <c r="D352" s="1">
        <v>45984</v>
      </c>
      <c r="E352" s="2">
        <v>0.875</v>
      </c>
      <c r="F352" t="s">
        <v>38</v>
      </c>
      <c r="G352">
        <f>VLOOKUP(Table4[[#This Row],[Home]],'NHL Model'!$A$6:$B$38,2,FALSE)</f>
        <v>-0.6902088310934803</v>
      </c>
      <c r="H352" t="s">
        <v>16</v>
      </c>
      <c r="I352">
        <f>VLOOKUP(Table4[[#This Row],[Visitor]],'NHL Model'!$A$6:$B$38,2,FALSE)</f>
        <v>-1.3903684122795328</v>
      </c>
      <c r="J352">
        <f ca="1">($B$1+Table4[[#This Row],[Home Differential]])-Table4[[#This Row],[Away Differential]]</f>
        <v>0.86273189084837087</v>
      </c>
      <c r="K352" t="str">
        <f ca="1">IF(Table4[[#This Row],[HomeIce Differential]]&gt;0,Table4[[#This Row],[Home]],Table4[[#This Row],[Visitor]])</f>
        <v>Vancouver Canucks</v>
      </c>
      <c r="L352" s="11">
        <f ca="1"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0.65953897826318597</v>
      </c>
      <c r="M352" t="str">
        <f ca="1">IF(OR((NHL2025_26Results[[#This Row],[Winning Team]]="")),"-",IF(Table4[[#This Row],[Predicted Winner]]=NHL2025_26Results[[#This Row],[Winning Team]],"YES","NO"))</f>
        <v>-</v>
      </c>
      <c r="N352" t="str">
        <f ca="1">IF(Table4[[#This Row],[Adjusted Correct]]="-", "",IF(Table4[[#This Row],[Adjusted Correct]]="YES",(Table4[[#This Row],[Strength of Win]]-1)^2,(Table4[[#This Row],[Strength of Win]]-0)^2))</f>
        <v/>
      </c>
      <c r="P352" s="11"/>
    </row>
    <row r="353" spans="4:16" x14ac:dyDescent="0.2">
      <c r="D353" s="1">
        <v>45984</v>
      </c>
      <c r="E353" s="2">
        <v>0.66666666666666663</v>
      </c>
      <c r="F353" t="s">
        <v>40</v>
      </c>
      <c r="G353">
        <f>VLOOKUP(Table4[[#This Row],[Home]],'NHL Model'!$A$6:$B$38,2,FALSE)</f>
        <v>0.105105258369765</v>
      </c>
      <c r="H353" t="s">
        <v>34</v>
      </c>
      <c r="I353">
        <f>VLOOKUP(Table4[[#This Row],[Visitor]],'NHL Model'!$A$6:$B$38,2,FALSE)</f>
        <v>-0.53650300840565446</v>
      </c>
      <c r="J353">
        <f ca="1">($B$1+Table4[[#This Row],[Home Differential]])-Table4[[#This Row],[Away Differential]]</f>
        <v>0.80418057643773788</v>
      </c>
      <c r="K353" t="str">
        <f ca="1">IF(Table4[[#This Row],[HomeIce Differential]]&gt;0,Table4[[#This Row],[Home]],Table4[[#This Row],[Visitor]])</f>
        <v>Winnipeg Jets</v>
      </c>
      <c r="L353" s="11">
        <f ca="1"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0.68746305271722308</v>
      </c>
      <c r="M353" t="str">
        <f ca="1">IF(OR((NHL2025_26Results[[#This Row],[Winning Team]]="")),"-",IF(Table4[[#This Row],[Predicted Winner]]=NHL2025_26Results[[#This Row],[Winning Team]],"YES","NO"))</f>
        <v>-</v>
      </c>
      <c r="N353" t="str">
        <f ca="1">IF(Table4[[#This Row],[Adjusted Correct]]="-", "",IF(Table4[[#This Row],[Adjusted Correct]]="YES",(Table4[[#This Row],[Strength of Win]]-1)^2,(Table4[[#This Row],[Strength of Win]]-0)^2))</f>
        <v/>
      </c>
      <c r="P353" s="11"/>
    </row>
    <row r="354" spans="4:16" x14ac:dyDescent="0.2">
      <c r="D354" s="1">
        <v>45985</v>
      </c>
      <c r="E354" s="2">
        <v>0.875</v>
      </c>
      <c r="F354" t="s">
        <v>13</v>
      </c>
      <c r="G354">
        <f>VLOOKUP(Table4[[#This Row],[Home]],'NHL Model'!$A$6:$B$38,2,FALSE)</f>
        <v>-7.5459708298993802E-2</v>
      </c>
      <c r="H354" t="s">
        <v>36</v>
      </c>
      <c r="I354">
        <f>VLOOKUP(Table4[[#This Row],[Visitor]],'NHL Model'!$A$6:$B$38,2,FALSE)</f>
        <v>-0.40651947573390851</v>
      </c>
      <c r="J354">
        <f ca="1">($B$1+Table4[[#This Row],[Home Differential]])-Table4[[#This Row],[Away Differential]]</f>
        <v>0.49363207709723311</v>
      </c>
      <c r="K354" t="str">
        <f ca="1">IF(Table4[[#This Row],[HomeIce Differential]]&gt;0,Table4[[#This Row],[Home]],Table4[[#This Row],[Visitor]])</f>
        <v>Los Angeles Kings</v>
      </c>
      <c r="L354" s="11">
        <f ca="1"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0.60839700115421891</v>
      </c>
      <c r="M354" t="str">
        <f ca="1">IF(OR((NHL2025_26Results[[#This Row],[Winning Team]]="")),"-",IF(Table4[[#This Row],[Predicted Winner]]=NHL2025_26Results[[#This Row],[Winning Team]],"YES","NO"))</f>
        <v>-</v>
      </c>
      <c r="N354" t="str">
        <f ca="1">IF(Table4[[#This Row],[Adjusted Correct]]="-", "",IF(Table4[[#This Row],[Adjusted Correct]]="YES",(Table4[[#This Row],[Strength of Win]]-1)^2,(Table4[[#This Row],[Strength of Win]]-0)^2))</f>
        <v/>
      </c>
      <c r="P354" s="11"/>
    </row>
    <row r="355" spans="4:16" x14ac:dyDescent="0.2">
      <c r="D355" s="1">
        <v>45985</v>
      </c>
      <c r="E355" s="2">
        <v>0.79166666666666663</v>
      </c>
      <c r="F355" t="s">
        <v>24</v>
      </c>
      <c r="G355">
        <f>VLOOKUP(Table4[[#This Row],[Home]],'NHL Model'!$A$6:$B$38,2,FALSE)</f>
        <v>0.559441163373953</v>
      </c>
      <c r="H355" t="s">
        <v>26</v>
      </c>
      <c r="I355">
        <f>VLOOKUP(Table4[[#This Row],[Visitor]],'NHL Model'!$A$6:$B$38,2,FALSE)</f>
        <v>-0.513643833119658</v>
      </c>
      <c r="J355">
        <f ca="1">($B$1+Table4[[#This Row],[Home Differential]])-Table4[[#This Row],[Away Differential]]</f>
        <v>1.2356573061559293</v>
      </c>
      <c r="K355" t="str">
        <f ca="1">IF(Table4[[#This Row],[HomeIce Differential]]&gt;0,Table4[[#This Row],[Home]],Table4[[#This Row],[Visitor]])</f>
        <v>New Jersey Devils</v>
      </c>
      <c r="L355" s="11">
        <f ca="1"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0.78286151105004165</v>
      </c>
      <c r="M355" t="str">
        <f ca="1">IF(OR((NHL2025_26Results[[#This Row],[Winning Team]]="")),"-",IF(Table4[[#This Row],[Predicted Winner]]=NHL2025_26Results[[#This Row],[Winning Team]],"YES","NO"))</f>
        <v>-</v>
      </c>
      <c r="N355" t="str">
        <f ca="1">IF(Table4[[#This Row],[Adjusted Correct]]="-", "",IF(Table4[[#This Row],[Adjusted Correct]]="YES",(Table4[[#This Row],[Strength of Win]]-1)^2,(Table4[[#This Row],[Strength of Win]]-0)^2))</f>
        <v/>
      </c>
      <c r="P355" s="11"/>
    </row>
    <row r="356" spans="4:16" x14ac:dyDescent="0.2">
      <c r="D356" s="1">
        <v>45985</v>
      </c>
      <c r="E356" s="2">
        <v>0.83333333333333337</v>
      </c>
      <c r="F356" t="s">
        <v>29</v>
      </c>
      <c r="G356">
        <f>VLOOKUP(Table4[[#This Row],[Home]],'NHL Model'!$A$6:$B$38,2,FALSE)</f>
        <v>-1.3516250707060606</v>
      </c>
      <c r="H356" t="s">
        <v>11</v>
      </c>
      <c r="I356">
        <f>VLOOKUP(Table4[[#This Row],[Visitor]],'NHL Model'!$A$6:$B$38,2,FALSE)</f>
        <v>-0.28105923893144158</v>
      </c>
      <c r="J356">
        <f ca="1">($B$1+Table4[[#This Row],[Home Differential]])-Table4[[#This Row],[Away Differential]]</f>
        <v>-0.90799352211230067</v>
      </c>
      <c r="K356" t="str">
        <f ca="1">IF(Table4[[#This Row],[HomeIce Differential]]&gt;0,Table4[[#This Row],[Home]],Table4[[#This Row],[Visitor]])</f>
        <v>Florida Panthers</v>
      </c>
      <c r="L356" s="11">
        <f ca="1"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0.58581036942561848</v>
      </c>
      <c r="M356" t="str">
        <f ca="1">IF(OR((NHL2025_26Results[[#This Row],[Winning Team]]="")),"-",IF(Table4[[#This Row],[Predicted Winner]]=NHL2025_26Results[[#This Row],[Winning Team]],"YES","NO"))</f>
        <v>-</v>
      </c>
      <c r="N356" t="str">
        <f ca="1">IF(Table4[[#This Row],[Adjusted Correct]]="-", "",IF(Table4[[#This Row],[Adjusted Correct]]="YES",(Table4[[#This Row],[Strength of Win]]-1)^2,(Table4[[#This Row],[Strength of Win]]-0)^2))</f>
        <v/>
      </c>
      <c r="P356" s="11"/>
    </row>
    <row r="357" spans="4:16" x14ac:dyDescent="0.2">
      <c r="D357" s="1">
        <v>45985</v>
      </c>
      <c r="E357" s="2">
        <v>0.79166666666666663</v>
      </c>
      <c r="F357" t="s">
        <v>15</v>
      </c>
      <c r="G357">
        <f>VLOOKUP(Table4[[#This Row],[Home]],'NHL Model'!$A$6:$B$38,2,FALSE)</f>
        <v>-0.30719665303039001</v>
      </c>
      <c r="H357" t="s">
        <v>35</v>
      </c>
      <c r="I357">
        <f>VLOOKUP(Table4[[#This Row],[Visitor]],'NHL Model'!$A$6:$B$38,2,FALSE)</f>
        <v>-1.6211574240381006</v>
      </c>
      <c r="J357">
        <f ca="1">($B$1+Table4[[#This Row],[Home Differential]])-Table4[[#This Row],[Away Differential]]</f>
        <v>1.476533080670029</v>
      </c>
      <c r="K357" t="str">
        <f ca="1">IF(Table4[[#This Row],[HomeIce Differential]]&gt;0,Table4[[#This Row],[Home]],Table4[[#This Row],[Visitor]])</f>
        <v>New York Rangers</v>
      </c>
      <c r="L357" s="11">
        <f ca="1"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0.74458645114129762</v>
      </c>
      <c r="M357" t="str">
        <f ca="1">IF(OR((NHL2025_26Results[[#This Row],[Winning Team]]="")),"-",IF(Table4[[#This Row],[Predicted Winner]]=NHL2025_26Results[[#This Row],[Winning Team]],"YES","NO"))</f>
        <v>-</v>
      </c>
      <c r="N357" t="str">
        <f ca="1">IF(Table4[[#This Row],[Adjusted Correct]]="-", "",IF(Table4[[#This Row],[Adjusted Correct]]="YES",(Table4[[#This Row],[Strength of Win]]-1)^2,(Table4[[#This Row],[Strength of Win]]-0)^2))</f>
        <v/>
      </c>
      <c r="P357" s="11"/>
    </row>
    <row r="358" spans="4:16" x14ac:dyDescent="0.2">
      <c r="D358" s="1">
        <v>45985</v>
      </c>
      <c r="E358" s="2">
        <v>0.79166666666666663</v>
      </c>
      <c r="F358" t="s">
        <v>37</v>
      </c>
      <c r="G358">
        <f>VLOOKUP(Table4[[#This Row],[Home]],'NHL Model'!$A$6:$B$38,2,FALSE)</f>
        <v>-0.11309445867623392</v>
      </c>
      <c r="H358" t="s">
        <v>27</v>
      </c>
      <c r="I358">
        <f>VLOOKUP(Table4[[#This Row],[Visitor]],'NHL Model'!$A$6:$B$38,2,FALSE)</f>
        <v>-0.51358590497437617</v>
      </c>
      <c r="J358">
        <f ca="1">($B$1+Table4[[#This Row],[Home Differential]])-Table4[[#This Row],[Away Differential]]</f>
        <v>0.56306375596046065</v>
      </c>
      <c r="K358" t="str">
        <f ca="1">IF(Table4[[#This Row],[HomeIce Differential]]&gt;0,Table4[[#This Row],[Home]],Table4[[#This Row],[Visitor]])</f>
        <v>Tampa Bay Lightning</v>
      </c>
      <c r="L358" s="11">
        <f ca="1"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0.61801736182298495</v>
      </c>
      <c r="M358" t="str">
        <f ca="1">IF(OR((NHL2025_26Results[[#This Row],[Winning Team]]="")),"-",IF(Table4[[#This Row],[Predicted Winner]]=NHL2025_26Results[[#This Row],[Winning Team]],"YES","NO"))</f>
        <v>-</v>
      </c>
      <c r="N358" t="str">
        <f ca="1">IF(Table4[[#This Row],[Adjusted Correct]]="-", "",IF(Table4[[#This Row],[Adjusted Correct]]="YES",(Table4[[#This Row],[Strength of Win]]-1)^2,(Table4[[#This Row],[Strength of Win]]-0)^2))</f>
        <v/>
      </c>
      <c r="P358" s="11"/>
    </row>
    <row r="359" spans="4:16" x14ac:dyDescent="0.2">
      <c r="D359" s="1">
        <v>45985</v>
      </c>
      <c r="E359" s="2">
        <v>0.875</v>
      </c>
      <c r="F359" t="s">
        <v>55</v>
      </c>
      <c r="G359">
        <f>VLOOKUP(Table4[[#This Row],[Home]],'NHL Model'!$A$6:$B$38,2,FALSE)</f>
        <v>-0.12212311954851815</v>
      </c>
      <c r="H359" t="s">
        <v>20</v>
      </c>
      <c r="I359">
        <f>VLOOKUP(Table4[[#This Row],[Visitor]],'NHL Model'!$A$6:$B$38,2,FALSE)</f>
        <v>-6.3745791019188943E-4</v>
      </c>
      <c r="J359">
        <f ca="1">($B$1+Table4[[#This Row],[Home Differential]])-Table4[[#This Row],[Away Differential]]</f>
        <v>4.1086648023992131E-2</v>
      </c>
      <c r="K359" t="str">
        <f ca="1">IF(Table4[[#This Row],[HomeIce Differential]]&gt;0,Table4[[#This Row],[Home]],Table4[[#This Row],[Visitor]])</f>
        <v>Utah Mammoth</v>
      </c>
      <c r="L359" s="11">
        <f ca="1"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0.59392820517975864</v>
      </c>
      <c r="M359" t="str">
        <f ca="1">IF(OR((NHL2025_26Results[[#This Row],[Winning Team]]="")),"-",IF(Table4[[#This Row],[Predicted Winner]]=NHL2025_26Results[[#This Row],[Winning Team]],"YES","NO"))</f>
        <v>-</v>
      </c>
      <c r="N359" t="str">
        <f ca="1">IF(Table4[[#This Row],[Adjusted Correct]]="-", "",IF(Table4[[#This Row],[Adjusted Correct]]="YES",(Table4[[#This Row],[Strength of Win]]-1)^2,(Table4[[#This Row],[Strength of Win]]-0)^2))</f>
        <v/>
      </c>
      <c r="P359" s="11"/>
    </row>
    <row r="360" spans="4:16" x14ac:dyDescent="0.2">
      <c r="D360" s="1">
        <v>45985</v>
      </c>
      <c r="E360" s="2">
        <v>0.79166666666666663</v>
      </c>
      <c r="F360" t="s">
        <v>22</v>
      </c>
      <c r="G360">
        <f>VLOOKUP(Table4[[#This Row],[Home]],'NHL Model'!$A$6:$B$38,2,FALSE)</f>
        <v>-6.1308839486784707E-2</v>
      </c>
      <c r="H360" t="s">
        <v>28</v>
      </c>
      <c r="I360">
        <f>VLOOKUP(Table4[[#This Row],[Visitor]],'NHL Model'!$A$6:$B$38,2,FALSE)</f>
        <v>-0.40822279081308277</v>
      </c>
      <c r="J360">
        <f ca="1">($B$1+Table4[[#This Row],[Home Differential]])-Table4[[#This Row],[Away Differential]]</f>
        <v>0.50948626098861649</v>
      </c>
      <c r="K360" t="str">
        <f ca="1">IF(Table4[[#This Row],[HomeIce Differential]]&gt;0,Table4[[#This Row],[Home]],Table4[[#This Row],[Visitor]])</f>
        <v>Washington Capitals</v>
      </c>
      <c r="L360" s="11">
        <f ca="1"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0.58982450492520433</v>
      </c>
      <c r="M360" t="str">
        <f ca="1">IF(OR((NHL2025_26Results[[#This Row],[Winning Team]]="")),"-",IF(Table4[[#This Row],[Predicted Winner]]=NHL2025_26Results[[#This Row],[Winning Team]],"YES","NO"))</f>
        <v>-</v>
      </c>
      <c r="N360" t="str">
        <f ca="1">IF(Table4[[#This Row],[Adjusted Correct]]="-", "",IF(Table4[[#This Row],[Adjusted Correct]]="YES",(Table4[[#This Row],[Strength of Win]]-1)^2,(Table4[[#This Row],[Strength of Win]]-0)^2))</f>
        <v/>
      </c>
      <c r="P360" s="11"/>
    </row>
    <row r="361" spans="4:16" x14ac:dyDescent="0.2">
      <c r="D361" s="1">
        <v>45986</v>
      </c>
      <c r="E361" s="2">
        <v>0.875</v>
      </c>
      <c r="F361" t="s">
        <v>17</v>
      </c>
      <c r="G361">
        <f>VLOOKUP(Table4[[#This Row],[Home]],'NHL Model'!$A$6:$B$38,2,FALSE)</f>
        <v>-0.61980804137564283</v>
      </c>
      <c r="H361" t="s">
        <v>39</v>
      </c>
      <c r="I361">
        <f>VLOOKUP(Table4[[#This Row],[Visitor]],'NHL Model'!$A$6:$B$38,2,FALSE)</f>
        <v>0.19809534061227302</v>
      </c>
      <c r="J361">
        <f ca="1">($B$1+Table4[[#This Row],[Home Differential]])-Table4[[#This Row],[Away Differential]]</f>
        <v>-0.6553310723255974</v>
      </c>
      <c r="K361" t="str">
        <f ca="1">IF(Table4[[#This Row],[HomeIce Differential]]&gt;0,Table4[[#This Row],[Home]],Table4[[#This Row],[Visitor]])</f>
        <v>Dallas Stars</v>
      </c>
      <c r="L361" s="11">
        <f ca="1"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0.60693083017570759</v>
      </c>
      <c r="M361" t="str">
        <f ca="1">IF(OR((NHL2025_26Results[[#This Row],[Winning Team]]="")),"-",IF(Table4[[#This Row],[Predicted Winner]]=NHL2025_26Results[[#This Row],[Winning Team]],"YES","NO"))</f>
        <v>-</v>
      </c>
      <c r="N361" t="str">
        <f ca="1">IF(Table4[[#This Row],[Adjusted Correct]]="-", "",IF(Table4[[#This Row],[Adjusted Correct]]="YES",(Table4[[#This Row],[Strength of Win]]-1)^2,(Table4[[#This Row],[Strength of Win]]-0)^2))</f>
        <v/>
      </c>
      <c r="P361" s="11"/>
    </row>
    <row r="362" spans="4:16" x14ac:dyDescent="0.2">
      <c r="D362" s="1">
        <v>45987</v>
      </c>
      <c r="E362" s="2">
        <v>0.91666666666666663</v>
      </c>
      <c r="F362" t="s">
        <v>31</v>
      </c>
      <c r="G362">
        <f>VLOOKUP(Table4[[#This Row],[Home]],'NHL Model'!$A$6:$B$38,2,FALSE)</f>
        <v>0.51775546328552802</v>
      </c>
      <c r="H362" t="s">
        <v>38</v>
      </c>
      <c r="I362">
        <f>VLOOKUP(Table4[[#This Row],[Visitor]],'NHL Model'!$A$6:$B$38,2,FALSE)</f>
        <v>-0.6902088310934803</v>
      </c>
      <c r="J362">
        <f ca="1">($B$1+Table4[[#This Row],[Home Differential]])-Table4[[#This Row],[Away Differential]]</f>
        <v>1.3705366040413267</v>
      </c>
      <c r="K362" t="str">
        <f ca="1">IF(Table4[[#This Row],[HomeIce Differential]]&gt;0,Table4[[#This Row],[Home]],Table4[[#This Row],[Visitor]])</f>
        <v>Anaheim Ducks</v>
      </c>
      <c r="L362" s="11">
        <f ca="1"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0.79429532533705627</v>
      </c>
      <c r="M362" t="str">
        <f ca="1">IF(OR((NHL2025_26Results[[#This Row],[Winning Team]]="")),"-",IF(Table4[[#This Row],[Predicted Winner]]=NHL2025_26Results[[#This Row],[Winning Team]],"YES","NO"))</f>
        <v>-</v>
      </c>
      <c r="N362" t="str">
        <f ca="1">IF(Table4[[#This Row],[Adjusted Correct]]="-", "",IF(Table4[[#This Row],[Adjusted Correct]]="YES",(Table4[[#This Row],[Strength of Win]]-1)^2,(Table4[[#This Row],[Strength of Win]]-0)^2))</f>
        <v/>
      </c>
      <c r="P362" s="11"/>
    </row>
    <row r="363" spans="4:16" x14ac:dyDescent="0.2">
      <c r="D363" s="1">
        <v>45987</v>
      </c>
      <c r="E363" s="2">
        <v>0.79166666666666663</v>
      </c>
      <c r="F363" t="s">
        <v>25</v>
      </c>
      <c r="G363">
        <f>VLOOKUP(Table4[[#This Row],[Home]],'NHL Model'!$A$6:$B$38,2,FALSE)</f>
        <v>0.67193921242367816</v>
      </c>
      <c r="H363" t="s">
        <v>15</v>
      </c>
      <c r="I363">
        <f>VLOOKUP(Table4[[#This Row],[Visitor]],'NHL Model'!$A$6:$B$38,2,FALSE)</f>
        <v>-0.30719665303039001</v>
      </c>
      <c r="J363">
        <f ca="1">($B$1+Table4[[#This Row],[Home Differential]])-Table4[[#This Row],[Away Differential]]</f>
        <v>1.1417081751163867</v>
      </c>
      <c r="K363" t="str">
        <f ca="1">IF(Table4[[#This Row],[HomeIce Differential]]&gt;0,Table4[[#This Row],[Home]],Table4[[#This Row],[Visitor]])</f>
        <v>Carolina Hurricanes</v>
      </c>
      <c r="L363" s="11">
        <f ca="1"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0.60717315136069361</v>
      </c>
      <c r="M363" t="str">
        <f ca="1">IF(OR((NHL2025_26Results[[#This Row],[Winning Team]]="")),"-",IF(Table4[[#This Row],[Predicted Winner]]=NHL2025_26Results[[#This Row],[Winning Team]],"YES","NO"))</f>
        <v>-</v>
      </c>
      <c r="N363" t="str">
        <f ca="1">IF(Table4[[#This Row],[Adjusted Correct]]="-", "",IF(Table4[[#This Row],[Adjusted Correct]]="YES",(Table4[[#This Row],[Strength of Win]]-1)^2,(Table4[[#This Row],[Strength of Win]]-0)^2))</f>
        <v/>
      </c>
      <c r="P363" s="11"/>
    </row>
    <row r="364" spans="4:16" x14ac:dyDescent="0.2">
      <c r="D364" s="1">
        <v>45987</v>
      </c>
      <c r="E364" s="2">
        <v>0.79166666666666663</v>
      </c>
      <c r="F364" t="s">
        <v>28</v>
      </c>
      <c r="G364">
        <f>VLOOKUP(Table4[[#This Row],[Home]],'NHL Model'!$A$6:$B$38,2,FALSE)</f>
        <v>-0.40822279081308277</v>
      </c>
      <c r="H364" t="s">
        <v>19</v>
      </c>
      <c r="I364">
        <f>VLOOKUP(Table4[[#This Row],[Visitor]],'NHL Model'!$A$6:$B$38,2,FALSE)</f>
        <v>-0.635565543477981</v>
      </c>
      <c r="J364">
        <f ca="1">($B$1+Table4[[#This Row],[Home Differential]])-Table4[[#This Row],[Away Differential]]</f>
        <v>0.38991506232721662</v>
      </c>
      <c r="K364" t="str">
        <f ca="1">IF(Table4[[#This Row],[HomeIce Differential]]&gt;0,Table4[[#This Row],[Home]],Table4[[#This Row],[Visitor]])</f>
        <v>Columbus Blue Jackets</v>
      </c>
      <c r="L364" s="11">
        <f ca="1"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0.59402611014435525</v>
      </c>
      <c r="M364" t="str">
        <f ca="1">IF(OR((NHL2025_26Results[[#This Row],[Winning Team]]="")),"-",IF(Table4[[#This Row],[Predicted Winner]]=NHL2025_26Results[[#This Row],[Winning Team]],"YES","NO"))</f>
        <v>-</v>
      </c>
      <c r="N364" t="str">
        <f ca="1">IF(Table4[[#This Row],[Adjusted Correct]]="-", "",IF(Table4[[#This Row],[Adjusted Correct]]="YES",(Table4[[#This Row],[Strength of Win]]-1)^2,(Table4[[#This Row],[Strength of Win]]-0)^2))</f>
        <v/>
      </c>
      <c r="P364" s="11"/>
    </row>
    <row r="365" spans="4:16" x14ac:dyDescent="0.2">
      <c r="D365" s="1">
        <v>45987</v>
      </c>
      <c r="E365" s="2">
        <v>0.85416666666666663</v>
      </c>
      <c r="F365" t="s">
        <v>10</v>
      </c>
      <c r="G365">
        <f>VLOOKUP(Table4[[#This Row],[Home]],'NHL Model'!$A$6:$B$38,2,FALSE)</f>
        <v>0.30570968833820172</v>
      </c>
      <c r="H365" t="s">
        <v>34</v>
      </c>
      <c r="I365">
        <f>VLOOKUP(Table4[[#This Row],[Visitor]],'NHL Model'!$A$6:$B$38,2,FALSE)</f>
        <v>-0.53650300840565446</v>
      </c>
      <c r="J365">
        <f ca="1">($B$1+Table4[[#This Row],[Home Differential]])-Table4[[#This Row],[Away Differential]]</f>
        <v>1.0047850064061745</v>
      </c>
      <c r="K365" t="str">
        <f ca="1">IF(Table4[[#This Row],[HomeIce Differential]]&gt;0,Table4[[#This Row],[Home]],Table4[[#This Row],[Visitor]])</f>
        <v>Chicago Blackhawks</v>
      </c>
      <c r="L365" s="11">
        <f ca="1"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0.67922166818459817</v>
      </c>
      <c r="M365" t="str">
        <f ca="1">IF(OR((NHL2025_26Results[[#This Row],[Winning Team]]="")),"-",IF(Table4[[#This Row],[Predicted Winner]]=NHL2025_26Results[[#This Row],[Winning Team]],"YES","NO"))</f>
        <v>-</v>
      </c>
      <c r="N365" t="str">
        <f ca="1">IF(Table4[[#This Row],[Adjusted Correct]]="-", "",IF(Table4[[#This Row],[Adjusted Correct]]="YES",(Table4[[#This Row],[Strength of Win]]-1)^2,(Table4[[#This Row],[Strength of Win]]-0)^2))</f>
        <v/>
      </c>
      <c r="P365" s="11"/>
    </row>
    <row r="366" spans="4:16" x14ac:dyDescent="0.2">
      <c r="D366" s="1">
        <v>45987</v>
      </c>
      <c r="E366" s="2">
        <v>0.875</v>
      </c>
      <c r="F366" t="s">
        <v>12</v>
      </c>
      <c r="G366">
        <f>VLOOKUP(Table4[[#This Row],[Home]],'NHL Model'!$A$6:$B$38,2,FALSE)</f>
        <v>1.5475013591489768</v>
      </c>
      <c r="H366" t="s">
        <v>33</v>
      </c>
      <c r="I366">
        <f>VLOOKUP(Table4[[#This Row],[Visitor]],'NHL Model'!$A$6:$B$38,2,FALSE)</f>
        <v>-0.39418177254008485</v>
      </c>
      <c r="J366">
        <f ca="1">($B$1+Table4[[#This Row],[Home Differential]])-Table4[[#This Row],[Away Differential]]</f>
        <v>2.1042554413513801</v>
      </c>
      <c r="K366" t="str">
        <f ca="1">IF(Table4[[#This Row],[HomeIce Differential]]&gt;0,Table4[[#This Row],[Home]],Table4[[#This Row],[Visitor]])</f>
        <v>Colorado Avalanche</v>
      </c>
      <c r="L366" s="11">
        <f ca="1"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0.91992907061212215</v>
      </c>
      <c r="M366" t="str">
        <f ca="1">IF(OR((NHL2025_26Results[[#This Row],[Winning Team]]="")),"-",IF(Table4[[#This Row],[Predicted Winner]]=NHL2025_26Results[[#This Row],[Winning Team]],"YES","NO"))</f>
        <v>-</v>
      </c>
      <c r="N366" t="str">
        <f ca="1">IF(Table4[[#This Row],[Adjusted Correct]]="-", "",IF(Table4[[#This Row],[Adjusted Correct]]="YES",(Table4[[#This Row],[Strength of Win]]-1)^2,(Table4[[#This Row],[Strength of Win]]-0)^2))</f>
        <v/>
      </c>
      <c r="P366" s="11"/>
    </row>
    <row r="367" spans="4:16" x14ac:dyDescent="0.2">
      <c r="D367" s="1">
        <v>45987</v>
      </c>
      <c r="E367" s="2">
        <v>0.79166666666666663</v>
      </c>
      <c r="F367" t="s">
        <v>26</v>
      </c>
      <c r="G367">
        <f>VLOOKUP(Table4[[#This Row],[Home]],'NHL Model'!$A$6:$B$38,2,FALSE)</f>
        <v>-0.513643833119658</v>
      </c>
      <c r="H367" t="s">
        <v>29</v>
      </c>
      <c r="I367">
        <f>VLOOKUP(Table4[[#This Row],[Visitor]],'NHL Model'!$A$6:$B$38,2,FALSE)</f>
        <v>-1.3516250707060606</v>
      </c>
      <c r="J367">
        <f ca="1">($B$1+Table4[[#This Row],[Home Differential]])-Table4[[#This Row],[Away Differential]]</f>
        <v>1.000553547248721</v>
      </c>
      <c r="K367" t="str">
        <f ca="1">IF(Table4[[#This Row],[HomeIce Differential]]&gt;0,Table4[[#This Row],[Home]],Table4[[#This Row],[Visitor]])</f>
        <v>Detroit Red Wings</v>
      </c>
      <c r="L367" s="11">
        <f ca="1"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0.70467309870564954</v>
      </c>
      <c r="M367" t="str">
        <f ca="1">IF(OR((NHL2025_26Results[[#This Row],[Winning Team]]="")),"-",IF(Table4[[#This Row],[Predicted Winner]]=NHL2025_26Results[[#This Row],[Winning Team]],"YES","NO"))</f>
        <v>-</v>
      </c>
      <c r="N367" t="str">
        <f ca="1">IF(Table4[[#This Row],[Adjusted Correct]]="-", "",IF(Table4[[#This Row],[Adjusted Correct]]="YES",(Table4[[#This Row],[Strength of Win]]-1)^2,(Table4[[#This Row],[Strength of Win]]-0)^2))</f>
        <v/>
      </c>
      <c r="P367" s="11"/>
    </row>
    <row r="368" spans="4:16" x14ac:dyDescent="0.2">
      <c r="D368" s="1">
        <v>45987</v>
      </c>
      <c r="E368" s="2">
        <v>0.79166666666666663</v>
      </c>
      <c r="F368" t="s">
        <v>11</v>
      </c>
      <c r="G368">
        <f>VLOOKUP(Table4[[#This Row],[Home]],'NHL Model'!$A$6:$B$38,2,FALSE)</f>
        <v>-0.28105923893144158</v>
      </c>
      <c r="H368" t="s">
        <v>27</v>
      </c>
      <c r="I368">
        <f>VLOOKUP(Table4[[#This Row],[Visitor]],'NHL Model'!$A$6:$B$38,2,FALSE)</f>
        <v>-0.51358590497437617</v>
      </c>
      <c r="J368">
        <f ca="1">($B$1+Table4[[#This Row],[Home Differential]])-Table4[[#This Row],[Away Differential]]</f>
        <v>0.39509897570525299</v>
      </c>
      <c r="K368" t="str">
        <f ca="1">IF(Table4[[#This Row],[HomeIce Differential]]&gt;0,Table4[[#This Row],[Home]],Table4[[#This Row],[Visitor]])</f>
        <v>Florida Panthers</v>
      </c>
      <c r="L368" s="11">
        <f ca="1"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0.64646036258813144</v>
      </c>
      <c r="M368" t="str">
        <f ca="1">IF(OR((NHL2025_26Results[[#This Row],[Winning Team]]="")),"-",IF(Table4[[#This Row],[Predicted Winner]]=NHL2025_26Results[[#This Row],[Winning Team]],"YES","NO"))</f>
        <v>-</v>
      </c>
      <c r="N368" t="str">
        <f ca="1">IF(Table4[[#This Row],[Adjusted Correct]]="-", "",IF(Table4[[#This Row],[Adjusted Correct]]="YES",(Table4[[#This Row],[Strength of Win]]-1)^2,(Table4[[#This Row],[Strength of Win]]-0)^2))</f>
        <v/>
      </c>
      <c r="P368" s="11"/>
    </row>
    <row r="369" spans="4:16" x14ac:dyDescent="0.2">
      <c r="D369" s="1">
        <v>45987</v>
      </c>
      <c r="E369" s="2">
        <v>0.79166666666666663</v>
      </c>
      <c r="F369" t="s">
        <v>24</v>
      </c>
      <c r="G369">
        <f>VLOOKUP(Table4[[#This Row],[Home]],'NHL Model'!$A$6:$B$38,2,FALSE)</f>
        <v>0.559441163373953</v>
      </c>
      <c r="H369" t="s">
        <v>35</v>
      </c>
      <c r="I369">
        <f>VLOOKUP(Table4[[#This Row],[Visitor]],'NHL Model'!$A$6:$B$38,2,FALSE)</f>
        <v>-1.6211574240381006</v>
      </c>
      <c r="J369">
        <f ca="1">($B$1+Table4[[#This Row],[Home Differential]])-Table4[[#This Row],[Away Differential]]</f>
        <v>2.3431708970743719</v>
      </c>
      <c r="K369" t="str">
        <f ca="1">IF(Table4[[#This Row],[HomeIce Differential]]&gt;0,Table4[[#This Row],[Home]],Table4[[#This Row],[Visitor]])</f>
        <v>New Jersey Devils</v>
      </c>
      <c r="L369" s="11">
        <f ca="1"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0.98009734084203814</v>
      </c>
      <c r="M369" t="str">
        <f ca="1">IF(OR((NHL2025_26Results[[#This Row],[Winning Team]]="")),"-",IF(Table4[[#This Row],[Predicted Winner]]=NHL2025_26Results[[#This Row],[Winning Team]],"YES","NO"))</f>
        <v>-</v>
      </c>
      <c r="N369" t="str">
        <f ca="1">IF(Table4[[#This Row],[Adjusted Correct]]="-", "",IF(Table4[[#This Row],[Adjusted Correct]]="YES",(Table4[[#This Row],[Strength of Win]]-1)^2,(Table4[[#This Row],[Strength of Win]]-0)^2))</f>
        <v/>
      </c>
      <c r="P369" s="11"/>
    </row>
    <row r="370" spans="4:16" x14ac:dyDescent="0.2">
      <c r="D370" s="1">
        <v>45987</v>
      </c>
      <c r="E370" s="2">
        <v>0.79166666666666663</v>
      </c>
      <c r="F370" t="s">
        <v>30</v>
      </c>
      <c r="G370">
        <f>VLOOKUP(Table4[[#This Row],[Home]],'NHL Model'!$A$6:$B$38,2,FALSE)</f>
        <v>-6.4729560818359025E-2</v>
      </c>
      <c r="H370" t="s">
        <v>21</v>
      </c>
      <c r="I370">
        <f>VLOOKUP(Table4[[#This Row],[Visitor]],'NHL Model'!$A$6:$B$38,2,FALSE)</f>
        <v>4.029141914856392E-2</v>
      </c>
      <c r="J370">
        <f ca="1">($B$1+Table4[[#This Row],[Home Differential]])-Table4[[#This Row],[Away Differential]]</f>
        <v>5.7551329695395448E-2</v>
      </c>
      <c r="K370" t="str">
        <f ca="1">IF(Table4[[#This Row],[HomeIce Differential]]&gt;0,Table4[[#This Row],[Home]],Table4[[#This Row],[Visitor]])</f>
        <v>New York Islanders</v>
      </c>
      <c r="L370" s="11">
        <f ca="1"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0.5479742353591569</v>
      </c>
      <c r="M370" t="str">
        <f ca="1">IF(OR((NHL2025_26Results[[#This Row],[Winning Team]]="")),"-",IF(Table4[[#This Row],[Predicted Winner]]=NHL2025_26Results[[#This Row],[Winning Team]],"YES","NO"))</f>
        <v>-</v>
      </c>
      <c r="N370" t="str">
        <f ca="1">IF(Table4[[#This Row],[Adjusted Correct]]="-", "",IF(Table4[[#This Row],[Adjusted Correct]]="YES",(Table4[[#This Row],[Strength of Win]]-1)^2,(Table4[[#This Row],[Strength of Win]]-0)^2))</f>
        <v/>
      </c>
      <c r="P370" s="11"/>
    </row>
    <row r="371" spans="4:16" x14ac:dyDescent="0.2">
      <c r="D371" s="1">
        <v>45987</v>
      </c>
      <c r="E371" s="2">
        <v>0.79166666666666663</v>
      </c>
      <c r="F371" t="s">
        <v>14</v>
      </c>
      <c r="G371">
        <f>VLOOKUP(Table4[[#This Row],[Home]],'NHL Model'!$A$6:$B$38,2,FALSE)</f>
        <v>0.26289091192875702</v>
      </c>
      <c r="H371" t="s">
        <v>23</v>
      </c>
      <c r="I371">
        <f>VLOOKUP(Table4[[#This Row],[Visitor]],'NHL Model'!$A$6:$B$38,2,FALSE)</f>
        <v>-0.8683412362501769</v>
      </c>
      <c r="J371">
        <f ca="1">($B$1+Table4[[#This Row],[Home Differential]])-Table4[[#This Row],[Away Differential]]</f>
        <v>1.2938044578412522</v>
      </c>
      <c r="K371" t="str">
        <f ca="1">IF(Table4[[#This Row],[HomeIce Differential]]&gt;0,Table4[[#This Row],[Home]],Table4[[#This Row],[Visitor]])</f>
        <v>Pittsburgh Penguins</v>
      </c>
      <c r="L371" s="11">
        <f ca="1"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0.75530468363071179</v>
      </c>
      <c r="M371" t="str">
        <f ca="1">IF(OR((NHL2025_26Results[[#This Row],[Winning Team]]="")),"-",IF(Table4[[#This Row],[Predicted Winner]]=NHL2025_26Results[[#This Row],[Winning Team]],"YES","NO"))</f>
        <v>-</v>
      </c>
      <c r="N371" t="str">
        <f ca="1">IF(Table4[[#This Row],[Adjusted Correct]]="-", "",IF(Table4[[#This Row],[Adjusted Correct]]="YES",(Table4[[#This Row],[Strength of Win]]-1)^2,(Table4[[#This Row],[Strength of Win]]-0)^2))</f>
        <v/>
      </c>
      <c r="P371" s="11"/>
    </row>
    <row r="372" spans="4:16" x14ac:dyDescent="0.2">
      <c r="D372" s="1">
        <v>45987</v>
      </c>
      <c r="E372" s="2">
        <v>0.91666666666666663</v>
      </c>
      <c r="F372" t="s">
        <v>32</v>
      </c>
      <c r="G372">
        <f>VLOOKUP(Table4[[#This Row],[Home]],'NHL Model'!$A$6:$B$38,2,FALSE)</f>
        <v>-0.361361309178443</v>
      </c>
      <c r="H372" t="s">
        <v>39</v>
      </c>
      <c r="I372">
        <f>VLOOKUP(Table4[[#This Row],[Visitor]],'NHL Model'!$A$6:$B$38,2,FALSE)</f>
        <v>0.19809534061227302</v>
      </c>
      <c r="J372">
        <f ca="1">($B$1+Table4[[#This Row],[Home Differential]])-Table4[[#This Row],[Away Differential]]</f>
        <v>-0.39688434012839763</v>
      </c>
      <c r="K372" t="str">
        <f ca="1">IF(Table4[[#This Row],[HomeIce Differential]]&gt;0,Table4[[#This Row],[Home]],Table4[[#This Row],[Visitor]])</f>
        <v>Dallas Stars</v>
      </c>
      <c r="L372" s="11">
        <f ca="1"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0.5813075534398382</v>
      </c>
      <c r="M372" t="str">
        <f ca="1">IF(OR((NHL2025_26Results[[#This Row],[Winning Team]]="")),"-",IF(Table4[[#This Row],[Predicted Winner]]=NHL2025_26Results[[#This Row],[Winning Team]],"YES","NO"))</f>
        <v>-</v>
      </c>
      <c r="N372" t="str">
        <f ca="1">IF(Table4[[#This Row],[Adjusted Correct]]="-", "",IF(Table4[[#This Row],[Adjusted Correct]]="YES",(Table4[[#This Row],[Strength of Win]]-1)^2,(Table4[[#This Row],[Strength of Win]]-0)^2))</f>
        <v/>
      </c>
      <c r="P372" s="11"/>
    </row>
    <row r="373" spans="4:16" x14ac:dyDescent="0.2">
      <c r="D373" s="1">
        <v>45987</v>
      </c>
      <c r="E373" s="2">
        <v>0.79166666666666663</v>
      </c>
      <c r="F373" t="s">
        <v>37</v>
      </c>
      <c r="G373">
        <f>VLOOKUP(Table4[[#This Row],[Home]],'NHL Model'!$A$6:$B$38,2,FALSE)</f>
        <v>-0.11309445867623392</v>
      </c>
      <c r="H373" t="s">
        <v>16</v>
      </c>
      <c r="I373">
        <f>VLOOKUP(Table4[[#This Row],[Visitor]],'NHL Model'!$A$6:$B$38,2,FALSE)</f>
        <v>-1.3903684122795328</v>
      </c>
      <c r="J373">
        <f ca="1">($B$1+Table4[[#This Row],[Home Differential]])-Table4[[#This Row],[Away Differential]]</f>
        <v>1.4398462632656173</v>
      </c>
      <c r="K373" t="str">
        <f ca="1">IF(Table4[[#This Row],[HomeIce Differential]]&gt;0,Table4[[#This Row],[Home]],Table4[[#This Row],[Visitor]])</f>
        <v>Tampa Bay Lightning</v>
      </c>
      <c r="L373" s="11">
        <f ca="1"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0.73950317473205429</v>
      </c>
      <c r="M373" t="str">
        <f ca="1">IF(OR((NHL2025_26Results[[#This Row],[Winning Team]]="")),"-",IF(Table4[[#This Row],[Predicted Winner]]=NHL2025_26Results[[#This Row],[Winning Team]],"YES","NO"))</f>
        <v>-</v>
      </c>
      <c r="N373" t="str">
        <f ca="1">IF(Table4[[#This Row],[Adjusted Correct]]="-", "",IF(Table4[[#This Row],[Adjusted Correct]]="YES",(Table4[[#This Row],[Strength of Win]]-1)^2,(Table4[[#This Row],[Strength of Win]]-0)^2))</f>
        <v/>
      </c>
      <c r="P373" s="11"/>
    </row>
    <row r="374" spans="4:16" x14ac:dyDescent="0.2">
      <c r="D374" s="1">
        <v>45987</v>
      </c>
      <c r="E374" s="2">
        <v>0.89583333333333337</v>
      </c>
      <c r="F374" t="s">
        <v>55</v>
      </c>
      <c r="G374">
        <f>VLOOKUP(Table4[[#This Row],[Home]],'NHL Model'!$A$6:$B$38,2,FALSE)</f>
        <v>-0.12212311954851815</v>
      </c>
      <c r="H374" t="s">
        <v>18</v>
      </c>
      <c r="I374">
        <f>VLOOKUP(Table4[[#This Row],[Visitor]],'NHL Model'!$A$6:$B$38,2,FALSE)</f>
        <v>-0.52437726201848234</v>
      </c>
      <c r="J374">
        <f ca="1">($B$1+Table4[[#This Row],[Home Differential]])-Table4[[#This Row],[Away Differential]]</f>
        <v>0.56482645213228255</v>
      </c>
      <c r="K374" t="str">
        <f ca="1">IF(Table4[[#This Row],[HomeIce Differential]]&gt;0,Table4[[#This Row],[Home]],Table4[[#This Row],[Visitor]])</f>
        <v>Utah Mammoth</v>
      </c>
      <c r="L374" s="11">
        <f ca="1"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0.61159493198308124</v>
      </c>
      <c r="M374" t="str">
        <f ca="1">IF(OR((NHL2025_26Results[[#This Row],[Winning Team]]="")),"-",IF(Table4[[#This Row],[Predicted Winner]]=NHL2025_26Results[[#This Row],[Winning Team]],"YES","NO"))</f>
        <v>-</v>
      </c>
      <c r="N374" t="str">
        <f ca="1">IF(Table4[[#This Row],[Adjusted Correct]]="-", "",IF(Table4[[#This Row],[Adjusted Correct]]="YES",(Table4[[#This Row],[Strength of Win]]-1)^2,(Table4[[#This Row],[Strength of Win]]-0)^2))</f>
        <v/>
      </c>
      <c r="P374" s="11"/>
    </row>
    <row r="375" spans="4:16" x14ac:dyDescent="0.2">
      <c r="D375" s="1">
        <v>45987</v>
      </c>
      <c r="E375" s="2">
        <v>0.91666666666666663</v>
      </c>
      <c r="F375" t="s">
        <v>20</v>
      </c>
      <c r="G375">
        <f>VLOOKUP(Table4[[#This Row],[Home]],'NHL Model'!$A$6:$B$38,2,FALSE)</f>
        <v>-6.3745791019188943E-4</v>
      </c>
      <c r="H375" t="s">
        <v>36</v>
      </c>
      <c r="I375">
        <f>VLOOKUP(Table4[[#This Row],[Visitor]],'NHL Model'!$A$6:$B$38,2,FALSE)</f>
        <v>-0.40651947573390851</v>
      </c>
      <c r="J375">
        <f ca="1">($B$1+Table4[[#This Row],[Home Differential]])-Table4[[#This Row],[Away Differential]]</f>
        <v>0.56845432748603497</v>
      </c>
      <c r="K375" t="str">
        <f ca="1">IF(Table4[[#This Row],[HomeIce Differential]]&gt;0,Table4[[#This Row],[Home]],Table4[[#This Row],[Visitor]])</f>
        <v>Vegas Golden Knights</v>
      </c>
      <c r="L375" s="11">
        <f ca="1"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0.61876427221224639</v>
      </c>
      <c r="M375" t="str">
        <f ca="1">IF(OR((NHL2025_26Results[[#This Row],[Winning Team]]="")),"-",IF(Table4[[#This Row],[Predicted Winner]]=NHL2025_26Results[[#This Row],[Winning Team]],"YES","NO"))</f>
        <v>-</v>
      </c>
      <c r="N375" t="str">
        <f ca="1">IF(Table4[[#This Row],[Adjusted Correct]]="-", "",IF(Table4[[#This Row],[Adjusted Correct]]="YES",(Table4[[#This Row],[Strength of Win]]-1)^2,(Table4[[#This Row],[Strength of Win]]-0)^2))</f>
        <v/>
      </c>
      <c r="P375" s="11"/>
    </row>
    <row r="376" spans="4:16" x14ac:dyDescent="0.2">
      <c r="D376" s="1">
        <v>45987</v>
      </c>
      <c r="E376" s="2">
        <v>0.79166666666666663</v>
      </c>
      <c r="F376" t="s">
        <v>22</v>
      </c>
      <c r="G376">
        <f>VLOOKUP(Table4[[#This Row],[Home]],'NHL Model'!$A$6:$B$38,2,FALSE)</f>
        <v>-6.1308839486784707E-2</v>
      </c>
      <c r="H376" t="s">
        <v>40</v>
      </c>
      <c r="I376">
        <f>VLOOKUP(Table4[[#This Row],[Visitor]],'NHL Model'!$A$6:$B$38,2,FALSE)</f>
        <v>0.105105258369765</v>
      </c>
      <c r="J376">
        <f ca="1">($B$1+Table4[[#This Row],[Home Differential]])-Table4[[#This Row],[Away Differential]]</f>
        <v>-3.8417881942313103E-3</v>
      </c>
      <c r="K376" t="str">
        <f ca="1">IF(Table4[[#This Row],[HomeIce Differential]]&gt;0,Table4[[#This Row],[Home]],Table4[[#This Row],[Visitor]])</f>
        <v>Winnipeg Jets</v>
      </c>
      <c r="L376" s="11">
        <f ca="1"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0.52684810251359093</v>
      </c>
      <c r="M376" t="str">
        <f ca="1">IF(OR((NHL2025_26Results[[#This Row],[Winning Team]]="")),"-",IF(Table4[[#This Row],[Predicted Winner]]=NHL2025_26Results[[#This Row],[Winning Team]],"YES","NO"))</f>
        <v>-</v>
      </c>
      <c r="N376" t="str">
        <f ca="1">IF(Table4[[#This Row],[Adjusted Correct]]="-", "",IF(Table4[[#This Row],[Adjusted Correct]]="YES",(Table4[[#This Row],[Strength of Win]]-1)^2,(Table4[[#This Row],[Strength of Win]]-0)^2))</f>
        <v/>
      </c>
      <c r="P376" s="11"/>
    </row>
    <row r="377" spans="4:16" x14ac:dyDescent="0.2">
      <c r="D377" s="1">
        <v>45989</v>
      </c>
      <c r="E377" s="2">
        <v>0.66666666666666663</v>
      </c>
      <c r="F377" t="s">
        <v>31</v>
      </c>
      <c r="G377">
        <f>VLOOKUP(Table4[[#This Row],[Home]],'NHL Model'!$A$6:$B$38,2,FALSE)</f>
        <v>0.51775546328552802</v>
      </c>
      <c r="H377" t="s">
        <v>13</v>
      </c>
      <c r="I377">
        <f>VLOOKUP(Table4[[#This Row],[Visitor]],'NHL Model'!$A$6:$B$38,2,FALSE)</f>
        <v>-7.5459708298993802E-2</v>
      </c>
      <c r="J377">
        <f ca="1">($B$1+Table4[[#This Row],[Home Differential]])-Table4[[#This Row],[Away Differential]]</f>
        <v>0.75578748124684025</v>
      </c>
      <c r="K377" t="str">
        <f ca="1">IF(Table4[[#This Row],[HomeIce Differential]]&gt;0,Table4[[#This Row],[Home]],Table4[[#This Row],[Visitor]])</f>
        <v>Anaheim Ducks</v>
      </c>
      <c r="L377" s="11">
        <f ca="1"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0.63103669321066314</v>
      </c>
      <c r="M377" t="str">
        <f ca="1">IF(OR((NHL2025_26Results[[#This Row],[Winning Team]]="")),"-",IF(Table4[[#This Row],[Predicted Winner]]=NHL2025_26Results[[#This Row],[Winning Team]],"YES","NO"))</f>
        <v>-</v>
      </c>
      <c r="N377" t="str">
        <f ca="1">IF(Table4[[#This Row],[Adjusted Correct]]="-", "",IF(Table4[[#This Row],[Adjusted Correct]]="YES",(Table4[[#This Row],[Strength of Win]]-1)^2,(Table4[[#This Row],[Strength of Win]]-0)^2))</f>
        <v/>
      </c>
      <c r="P377" s="11"/>
    </row>
    <row r="378" spans="4:16" x14ac:dyDescent="0.2">
      <c r="D378" s="1">
        <v>45989</v>
      </c>
      <c r="E378" s="2">
        <v>0.54166666666666663</v>
      </c>
      <c r="F378" t="s">
        <v>21</v>
      </c>
      <c r="G378">
        <f>VLOOKUP(Table4[[#This Row],[Home]],'NHL Model'!$A$6:$B$38,2,FALSE)</f>
        <v>4.029141914856392E-2</v>
      </c>
      <c r="H378" t="s">
        <v>15</v>
      </c>
      <c r="I378">
        <f>VLOOKUP(Table4[[#This Row],[Visitor]],'NHL Model'!$A$6:$B$38,2,FALSE)</f>
        <v>-0.30719665303039001</v>
      </c>
      <c r="J378">
        <f ca="1">($B$1+Table4[[#This Row],[Home Differential]])-Table4[[#This Row],[Away Differential]]</f>
        <v>0.51006038184127234</v>
      </c>
      <c r="K378" t="str">
        <f ca="1">IF(Table4[[#This Row],[HomeIce Differential]]&gt;0,Table4[[#This Row],[Home]],Table4[[#This Row],[Visitor]])</f>
        <v>Boston Bruins</v>
      </c>
      <c r="L378" s="11">
        <f ca="1"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0.54126152040692255</v>
      </c>
      <c r="M378" t="str">
        <f ca="1">IF(OR((NHL2025_26Results[[#This Row],[Winning Team]]="")),"-",IF(Table4[[#This Row],[Predicted Winner]]=NHL2025_26Results[[#This Row],[Winning Team]],"YES","NO"))</f>
        <v>-</v>
      </c>
      <c r="N378" t="str">
        <f ca="1">IF(Table4[[#This Row],[Adjusted Correct]]="-", "",IF(Table4[[#This Row],[Adjusted Correct]]="YES",(Table4[[#This Row],[Strength of Win]]-1)^2,(Table4[[#This Row],[Strength of Win]]-0)^2))</f>
        <v/>
      </c>
      <c r="P378" s="11"/>
    </row>
    <row r="379" spans="4:16" x14ac:dyDescent="0.2">
      <c r="D379" s="1">
        <v>45989</v>
      </c>
      <c r="E379" s="2">
        <v>0.66666666666666663</v>
      </c>
      <c r="F379" t="s">
        <v>23</v>
      </c>
      <c r="G379">
        <f>VLOOKUP(Table4[[#This Row],[Home]],'NHL Model'!$A$6:$B$38,2,FALSE)</f>
        <v>-0.8683412362501769</v>
      </c>
      <c r="H379" t="s">
        <v>24</v>
      </c>
      <c r="I379">
        <f>VLOOKUP(Table4[[#This Row],[Visitor]],'NHL Model'!$A$6:$B$38,2,FALSE)</f>
        <v>0.559441163373953</v>
      </c>
      <c r="J379">
        <f ca="1">($B$1+Table4[[#This Row],[Home Differential]])-Table4[[#This Row],[Away Differential]]</f>
        <v>-1.2652100899618115</v>
      </c>
      <c r="K379" t="str">
        <f ca="1">IF(Table4[[#This Row],[HomeIce Differential]]&gt;0,Table4[[#This Row],[Home]],Table4[[#This Row],[Visitor]])</f>
        <v>New Jersey Devils</v>
      </c>
      <c r="L379" s="11">
        <f ca="1"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0.70162160933109563</v>
      </c>
      <c r="M379" t="str">
        <f ca="1">IF(OR((NHL2025_26Results[[#This Row],[Winning Team]]="")),"-",IF(Table4[[#This Row],[Predicted Winner]]=NHL2025_26Results[[#This Row],[Winning Team]],"YES","NO"))</f>
        <v>-</v>
      </c>
      <c r="N379" t="str">
        <f ca="1">IF(Table4[[#This Row],[Adjusted Correct]]="-", "",IF(Table4[[#This Row],[Adjusted Correct]]="YES",(Table4[[#This Row],[Strength of Win]]-1)^2,(Table4[[#This Row],[Strength of Win]]-0)^2))</f>
        <v/>
      </c>
      <c r="P379" s="11"/>
    </row>
    <row r="380" spans="4:16" x14ac:dyDescent="0.2">
      <c r="D380" s="1">
        <v>45989</v>
      </c>
      <c r="E380" s="2">
        <v>0.70833333333333337</v>
      </c>
      <c r="F380" t="s">
        <v>25</v>
      </c>
      <c r="G380">
        <f>VLOOKUP(Table4[[#This Row],[Home]],'NHL Model'!$A$6:$B$38,2,FALSE)</f>
        <v>0.67193921242367816</v>
      </c>
      <c r="H380" t="s">
        <v>40</v>
      </c>
      <c r="I380">
        <f>VLOOKUP(Table4[[#This Row],[Visitor]],'NHL Model'!$A$6:$B$38,2,FALSE)</f>
        <v>0.105105258369765</v>
      </c>
      <c r="J380">
        <f ca="1">($B$1+Table4[[#This Row],[Home Differential]])-Table4[[#This Row],[Away Differential]]</f>
        <v>0.72940626371623152</v>
      </c>
      <c r="K380" t="str">
        <f ca="1">IF(Table4[[#This Row],[HomeIce Differential]]&gt;0,Table4[[#This Row],[Home]],Table4[[#This Row],[Visitor]])</f>
        <v>Carolina Hurricanes</v>
      </c>
      <c r="L380" s="11">
        <f ca="1"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0.62738134695257275</v>
      </c>
      <c r="M380" t="str">
        <f ca="1">IF(OR((NHL2025_26Results[[#This Row],[Winning Team]]="")),"-",IF(Table4[[#This Row],[Predicted Winner]]=NHL2025_26Results[[#This Row],[Winning Team]],"YES","NO"))</f>
        <v>-</v>
      </c>
      <c r="N380" t="str">
        <f ca="1">IF(Table4[[#This Row],[Adjusted Correct]]="-", "",IF(Table4[[#This Row],[Adjusted Correct]]="YES",(Table4[[#This Row],[Strength of Win]]-1)^2,(Table4[[#This Row],[Strength of Win]]-0)^2))</f>
        <v/>
      </c>
      <c r="P380" s="11"/>
    </row>
    <row r="381" spans="4:16" x14ac:dyDescent="0.2">
      <c r="D381" s="1">
        <v>45989</v>
      </c>
      <c r="E381" s="2">
        <v>0.79166666666666663</v>
      </c>
      <c r="F381" t="s">
        <v>28</v>
      </c>
      <c r="G381">
        <f>VLOOKUP(Table4[[#This Row],[Home]],'NHL Model'!$A$6:$B$38,2,FALSE)</f>
        <v>-0.40822279081308277</v>
      </c>
      <c r="H381" t="s">
        <v>14</v>
      </c>
      <c r="I381">
        <f>VLOOKUP(Table4[[#This Row],[Visitor]],'NHL Model'!$A$6:$B$38,2,FALSE)</f>
        <v>0.26289091192875702</v>
      </c>
      <c r="J381">
        <f ca="1">($B$1+Table4[[#This Row],[Home Differential]])-Table4[[#This Row],[Away Differential]]</f>
        <v>-0.5085413930795214</v>
      </c>
      <c r="K381" t="str">
        <f ca="1">IF(Table4[[#This Row],[HomeIce Differential]]&gt;0,Table4[[#This Row],[Home]],Table4[[#This Row],[Visitor]])</f>
        <v>Pittsburgh Penguins</v>
      </c>
      <c r="L381" s="11">
        <f ca="1"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0.53046281605920997</v>
      </c>
      <c r="M381" t="str">
        <f ca="1">IF(OR((NHL2025_26Results[[#This Row],[Winning Team]]="")),"-",IF(Table4[[#This Row],[Predicted Winner]]=NHL2025_26Results[[#This Row],[Winning Team]],"YES","NO"))</f>
        <v>-</v>
      </c>
      <c r="N381" t="str">
        <f ca="1">IF(Table4[[#This Row],[Adjusted Correct]]="-", "",IF(Table4[[#This Row],[Adjusted Correct]]="YES",(Table4[[#This Row],[Strength of Win]]-1)^2,(Table4[[#This Row],[Strength of Win]]-0)^2))</f>
        <v/>
      </c>
      <c r="P381" s="11"/>
    </row>
    <row r="382" spans="4:16" x14ac:dyDescent="0.2">
      <c r="D382" s="1">
        <v>45989</v>
      </c>
      <c r="E382" s="2">
        <v>0.83333333333333337</v>
      </c>
      <c r="F382" t="s">
        <v>10</v>
      </c>
      <c r="G382">
        <f>VLOOKUP(Table4[[#This Row],[Home]],'NHL Model'!$A$6:$B$38,2,FALSE)</f>
        <v>0.30570968833820172</v>
      </c>
      <c r="H382" t="s">
        <v>29</v>
      </c>
      <c r="I382">
        <f>VLOOKUP(Table4[[#This Row],[Visitor]],'NHL Model'!$A$6:$B$38,2,FALSE)</f>
        <v>-1.3516250707060606</v>
      </c>
      <c r="J382">
        <f ca="1">($B$1+Table4[[#This Row],[Home Differential]])-Table4[[#This Row],[Away Differential]]</f>
        <v>1.8199070687065808</v>
      </c>
      <c r="K382" t="str">
        <f ca="1">IF(Table4[[#This Row],[HomeIce Differential]]&gt;0,Table4[[#This Row],[Home]],Table4[[#This Row],[Visitor]])</f>
        <v>Chicago Blackhawks</v>
      </c>
      <c r="L382" s="11">
        <f ca="1"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0.79216389220665751</v>
      </c>
      <c r="M382" t="str">
        <f ca="1">IF(OR((NHL2025_26Results[[#This Row],[Winning Team]]="")),"-",IF(Table4[[#This Row],[Predicted Winner]]=NHL2025_26Results[[#This Row],[Winning Team]],"YES","NO"))</f>
        <v>-</v>
      </c>
      <c r="N382" t="str">
        <f ca="1">IF(Table4[[#This Row],[Adjusted Correct]]="-", "",IF(Table4[[#This Row],[Adjusted Correct]]="YES",(Table4[[#This Row],[Strength of Win]]-1)^2,(Table4[[#This Row],[Strength of Win]]-0)^2))</f>
        <v/>
      </c>
      <c r="P382" s="11"/>
    </row>
    <row r="383" spans="4:16" x14ac:dyDescent="0.2">
      <c r="D383" s="1">
        <v>45989</v>
      </c>
      <c r="E383" s="2">
        <v>0.83333333333333337</v>
      </c>
      <c r="F383" t="s">
        <v>39</v>
      </c>
      <c r="G383">
        <f>VLOOKUP(Table4[[#This Row],[Home]],'NHL Model'!$A$6:$B$38,2,FALSE)</f>
        <v>0.19809534061227302</v>
      </c>
      <c r="H383" t="s">
        <v>55</v>
      </c>
      <c r="I383">
        <f>VLOOKUP(Table4[[#This Row],[Visitor]],'NHL Model'!$A$6:$B$38,2,FALSE)</f>
        <v>-0.12212311954851815</v>
      </c>
      <c r="J383">
        <f ca="1">($B$1+Table4[[#This Row],[Home Differential]])-Table4[[#This Row],[Away Differential]]</f>
        <v>0.48279076982310953</v>
      </c>
      <c r="K383" t="str">
        <f ca="1">IF(Table4[[#This Row],[HomeIce Differential]]&gt;0,Table4[[#This Row],[Home]],Table4[[#This Row],[Visitor]])</f>
        <v>Dallas Stars</v>
      </c>
      <c r="L383" s="11">
        <f ca="1"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0.63293257995039132</v>
      </c>
      <c r="M383" t="str">
        <f ca="1">IF(OR((NHL2025_26Results[[#This Row],[Winning Team]]="")),"-",IF(Table4[[#This Row],[Predicted Winner]]=NHL2025_26Results[[#This Row],[Winning Team]],"YES","NO"))</f>
        <v>-</v>
      </c>
      <c r="N383" t="str">
        <f ca="1">IF(Table4[[#This Row],[Adjusted Correct]]="-", "",IF(Table4[[#This Row],[Adjusted Correct]]="YES",(Table4[[#This Row],[Strength of Win]]-1)^2,(Table4[[#This Row],[Strength of Win]]-0)^2))</f>
        <v/>
      </c>
      <c r="P383" s="11"/>
    </row>
    <row r="384" spans="4:16" x14ac:dyDescent="0.2">
      <c r="D384" s="1">
        <v>45989</v>
      </c>
      <c r="E384" s="2">
        <v>0.5</v>
      </c>
      <c r="F384" t="s">
        <v>26</v>
      </c>
      <c r="G384">
        <f>VLOOKUP(Table4[[#This Row],[Home]],'NHL Model'!$A$6:$B$38,2,FALSE)</f>
        <v>-0.513643833119658</v>
      </c>
      <c r="H384" t="s">
        <v>37</v>
      </c>
      <c r="I384">
        <f>VLOOKUP(Table4[[#This Row],[Visitor]],'NHL Model'!$A$6:$B$38,2,FALSE)</f>
        <v>-0.11309445867623392</v>
      </c>
      <c r="J384">
        <f ca="1">($B$1+Table4[[#This Row],[Home Differential]])-Table4[[#This Row],[Away Differential]]</f>
        <v>-0.2379770647811057</v>
      </c>
      <c r="K384" t="str">
        <f ca="1">IF(Table4[[#This Row],[HomeIce Differential]]&gt;0,Table4[[#This Row],[Home]],Table4[[#This Row],[Visitor]])</f>
        <v>Tampa Bay Lightning</v>
      </c>
      <c r="L384" s="11">
        <f ca="1"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0.51374301494919361</v>
      </c>
      <c r="M384" t="str">
        <f ca="1">IF(OR((NHL2025_26Results[[#This Row],[Winning Team]]="")),"-",IF(Table4[[#This Row],[Predicted Winner]]=NHL2025_26Results[[#This Row],[Winning Team]],"YES","NO"))</f>
        <v>-</v>
      </c>
      <c r="N384" t="str">
        <f ca="1">IF(Table4[[#This Row],[Adjusted Correct]]="-", "",IF(Table4[[#This Row],[Adjusted Correct]]="YES",(Table4[[#This Row],[Strength of Win]]-1)^2,(Table4[[#This Row],[Strength of Win]]-0)^2))</f>
        <v/>
      </c>
      <c r="P384" s="11"/>
    </row>
    <row r="385" spans="4:16" x14ac:dyDescent="0.2">
      <c r="D385" s="1">
        <v>45989</v>
      </c>
      <c r="E385" s="2">
        <v>0.66666666666666663</v>
      </c>
      <c r="F385" t="s">
        <v>11</v>
      </c>
      <c r="G385">
        <f>VLOOKUP(Table4[[#This Row],[Home]],'NHL Model'!$A$6:$B$38,2,FALSE)</f>
        <v>-0.28105923893144158</v>
      </c>
      <c r="H385" t="s">
        <v>16</v>
      </c>
      <c r="I385">
        <f>VLOOKUP(Table4[[#This Row],[Visitor]],'NHL Model'!$A$6:$B$38,2,FALSE)</f>
        <v>-1.3903684122795328</v>
      </c>
      <c r="J385">
        <f ca="1">($B$1+Table4[[#This Row],[Home Differential]])-Table4[[#This Row],[Away Differential]]</f>
        <v>1.2718814830104095</v>
      </c>
      <c r="K385" t="str">
        <f ca="1">IF(Table4[[#This Row],[HomeIce Differential]]&gt;0,Table4[[#This Row],[Home]],Table4[[#This Row],[Visitor]])</f>
        <v>Florida Panthers</v>
      </c>
      <c r="L385" s="11">
        <f ca="1"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0.76794617549720068</v>
      </c>
      <c r="M385" t="str">
        <f ca="1">IF(OR((NHL2025_26Results[[#This Row],[Winning Team]]="")),"-",IF(Table4[[#This Row],[Predicted Winner]]=NHL2025_26Results[[#This Row],[Winning Team]],"YES","NO"))</f>
        <v>-</v>
      </c>
      <c r="N385" t="str">
        <f ca="1">IF(Table4[[#This Row],[Adjusted Correct]]="-", "",IF(Table4[[#This Row],[Adjusted Correct]]="YES",(Table4[[#This Row],[Strength of Win]]-1)^2,(Table4[[#This Row],[Strength of Win]]-0)^2))</f>
        <v/>
      </c>
      <c r="P385" s="11"/>
    </row>
    <row r="386" spans="4:16" x14ac:dyDescent="0.2">
      <c r="D386" s="1">
        <v>45989</v>
      </c>
      <c r="E386" s="2">
        <v>0.64583333333333337</v>
      </c>
      <c r="F386" t="s">
        <v>34</v>
      </c>
      <c r="G386">
        <f>VLOOKUP(Table4[[#This Row],[Home]],'NHL Model'!$A$6:$B$38,2,FALSE)</f>
        <v>-0.53650300840565446</v>
      </c>
      <c r="H386" t="s">
        <v>12</v>
      </c>
      <c r="I386">
        <f>VLOOKUP(Table4[[#This Row],[Visitor]],'NHL Model'!$A$6:$B$38,2,FALSE)</f>
        <v>1.5475013591489768</v>
      </c>
      <c r="J386">
        <f ca="1">($B$1+Table4[[#This Row],[Home Differential]])-Table4[[#This Row],[Away Differential]]</f>
        <v>-1.921432057892313</v>
      </c>
      <c r="K386" t="str">
        <f ca="1">IF(Table4[[#This Row],[HomeIce Differential]]&gt;0,Table4[[#This Row],[Home]],Table4[[#This Row],[Visitor]])</f>
        <v>Colorado Avalanche</v>
      </c>
      <c r="L386" s="11">
        <f ca="1"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0.79254684855359736</v>
      </c>
      <c r="M386" t="str">
        <f ca="1">IF(OR((NHL2025_26Results[[#This Row],[Winning Team]]="")),"-",IF(Table4[[#This Row],[Predicted Winner]]=NHL2025_26Results[[#This Row],[Winning Team]],"YES","NO"))</f>
        <v>-</v>
      </c>
      <c r="N386" t="str">
        <f ca="1">IF(Table4[[#This Row],[Adjusted Correct]]="-", "",IF(Table4[[#This Row],[Adjusted Correct]]="YES",(Table4[[#This Row],[Strength of Win]]-1)^2,(Table4[[#This Row],[Strength of Win]]-0)^2))</f>
        <v/>
      </c>
      <c r="P386" s="11"/>
    </row>
    <row r="387" spans="4:16" x14ac:dyDescent="0.2">
      <c r="D387" s="1">
        <v>45989</v>
      </c>
      <c r="E387" s="2">
        <v>0.66666666666666663</v>
      </c>
      <c r="F387" t="s">
        <v>30</v>
      </c>
      <c r="G387">
        <f>VLOOKUP(Table4[[#This Row],[Home]],'NHL Model'!$A$6:$B$38,2,FALSE)</f>
        <v>-6.4729560818359025E-2</v>
      </c>
      <c r="H387" t="s">
        <v>27</v>
      </c>
      <c r="I387">
        <f>VLOOKUP(Table4[[#This Row],[Visitor]],'NHL Model'!$A$6:$B$38,2,FALSE)</f>
        <v>-0.51358590497437617</v>
      </c>
      <c r="J387">
        <f ca="1">($B$1+Table4[[#This Row],[Home Differential]])-Table4[[#This Row],[Away Differential]]</f>
        <v>0.61142865381833555</v>
      </c>
      <c r="K387" t="str">
        <f ca="1">IF(Table4[[#This Row],[HomeIce Differential]]&gt;0,Table4[[#This Row],[Home]],Table4[[#This Row],[Visitor]])</f>
        <v>New York Islanders</v>
      </c>
      <c r="L387" s="11">
        <f ca="1"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0.62471873745898754</v>
      </c>
      <c r="M387" t="str">
        <f ca="1">IF(OR((NHL2025_26Results[[#This Row],[Winning Team]]="")),"-",IF(Table4[[#This Row],[Predicted Winner]]=NHL2025_26Results[[#This Row],[Winning Team]],"YES","NO"))</f>
        <v>-</v>
      </c>
      <c r="N387" t="str">
        <f ca="1">IF(Table4[[#This Row],[Adjusted Correct]]="-", "",IF(Table4[[#This Row],[Adjusted Correct]]="YES",(Table4[[#This Row],[Strength of Win]]-1)^2,(Table4[[#This Row],[Strength of Win]]-0)^2))</f>
        <v/>
      </c>
      <c r="P387" s="11"/>
    </row>
    <row r="388" spans="4:16" x14ac:dyDescent="0.2">
      <c r="D388" s="1">
        <v>45989</v>
      </c>
      <c r="E388" s="2">
        <v>0.66666666666666663</v>
      </c>
      <c r="F388" t="s">
        <v>33</v>
      </c>
      <c r="G388">
        <f>VLOOKUP(Table4[[#This Row],[Home]],'NHL Model'!$A$6:$B$38,2,FALSE)</f>
        <v>-0.39418177254008485</v>
      </c>
      <c r="H388" t="s">
        <v>38</v>
      </c>
      <c r="I388">
        <f>VLOOKUP(Table4[[#This Row],[Visitor]],'NHL Model'!$A$6:$B$38,2,FALSE)</f>
        <v>-0.6902088310934803</v>
      </c>
      <c r="J388">
        <f ca="1">($B$1+Table4[[#This Row],[Home Differential]])-Table4[[#This Row],[Away Differential]]</f>
        <v>0.45859936821571384</v>
      </c>
      <c r="K388" t="str">
        <f ca="1">IF(Table4[[#This Row],[HomeIce Differential]]&gt;0,Table4[[#This Row],[Home]],Table4[[#This Row],[Visitor]])</f>
        <v>San Jose Sharks</v>
      </c>
      <c r="L388" s="11">
        <f ca="1"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0.56103035299809589</v>
      </c>
      <c r="M388" t="str">
        <f ca="1">IF(OR((NHL2025_26Results[[#This Row],[Winning Team]]="")),"-",IF(Table4[[#This Row],[Predicted Winner]]=NHL2025_26Results[[#This Row],[Winning Team]],"YES","NO"))</f>
        <v>-</v>
      </c>
      <c r="N388" t="str">
        <f ca="1">IF(Table4[[#This Row],[Adjusted Correct]]="-", "",IF(Table4[[#This Row],[Adjusted Correct]]="YES",(Table4[[#This Row],[Strength of Win]]-1)^2,(Table4[[#This Row],[Strength of Win]]-0)^2))</f>
        <v/>
      </c>
      <c r="P388" s="11"/>
    </row>
    <row r="389" spans="4:16" x14ac:dyDescent="0.2">
      <c r="D389" s="1">
        <v>45989</v>
      </c>
      <c r="E389" s="2">
        <v>0.66666666666666663</v>
      </c>
      <c r="F389" t="s">
        <v>35</v>
      </c>
      <c r="G389">
        <f>VLOOKUP(Table4[[#This Row],[Home]],'NHL Model'!$A$6:$B$38,2,FALSE)</f>
        <v>-1.6211574240381006</v>
      </c>
      <c r="H389" t="s">
        <v>36</v>
      </c>
      <c r="I389">
        <f>VLOOKUP(Table4[[#This Row],[Visitor]],'NHL Model'!$A$6:$B$38,2,FALSE)</f>
        <v>-0.40651947573390851</v>
      </c>
      <c r="J389">
        <f ca="1">($B$1+Table4[[#This Row],[Home Differential]])-Table4[[#This Row],[Away Differential]]</f>
        <v>-1.0520656386418736</v>
      </c>
      <c r="K389" t="str">
        <f ca="1">IF(Table4[[#This Row],[HomeIce Differential]]&gt;0,Table4[[#This Row],[Home]],Table4[[#This Row],[Visitor]])</f>
        <v>Ottawa Senators</v>
      </c>
      <c r="L389" s="11">
        <f ca="1"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0.60577280942447409</v>
      </c>
      <c r="M389" t="str">
        <f ca="1">IF(OR((NHL2025_26Results[[#This Row],[Winning Team]]="")),"-",IF(Table4[[#This Row],[Predicted Winner]]=NHL2025_26Results[[#This Row],[Winning Team]],"YES","NO"))</f>
        <v>-</v>
      </c>
      <c r="N389" t="str">
        <f ca="1">IF(Table4[[#This Row],[Adjusted Correct]]="-", "",IF(Table4[[#This Row],[Adjusted Correct]]="YES",(Table4[[#This Row],[Strength of Win]]-1)^2,(Table4[[#This Row],[Strength of Win]]-0)^2))</f>
        <v/>
      </c>
      <c r="P389" s="11"/>
    </row>
    <row r="390" spans="4:16" x14ac:dyDescent="0.2">
      <c r="D390" s="1">
        <v>45989</v>
      </c>
      <c r="E390" s="2">
        <v>0.66666666666666663</v>
      </c>
      <c r="F390" t="s">
        <v>20</v>
      </c>
      <c r="G390">
        <f>VLOOKUP(Table4[[#This Row],[Home]],'NHL Model'!$A$6:$B$38,2,FALSE)</f>
        <v>-6.3745791019188943E-4</v>
      </c>
      <c r="H390" t="s">
        <v>18</v>
      </c>
      <c r="I390">
        <f>VLOOKUP(Table4[[#This Row],[Visitor]],'NHL Model'!$A$6:$B$38,2,FALSE)</f>
        <v>-0.52437726201848234</v>
      </c>
      <c r="J390">
        <f ca="1">($B$1+Table4[[#This Row],[Home Differential]])-Table4[[#This Row],[Away Differential]]</f>
        <v>0.68631211377060886</v>
      </c>
      <c r="K390" t="str">
        <f ca="1">IF(Table4[[#This Row],[HomeIce Differential]]&gt;0,Table4[[#This Row],[Home]],Table4[[#This Row],[Visitor]])</f>
        <v>Vegas Golden Knights</v>
      </c>
      <c r="L390" s="11">
        <f ca="1"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0.55861380293708018</v>
      </c>
      <c r="M390" t="str">
        <f ca="1">IF(OR((NHL2025_26Results[[#This Row],[Winning Team]]="")),"-",IF(Table4[[#This Row],[Predicted Winner]]=NHL2025_26Results[[#This Row],[Winning Team]],"YES","NO"))</f>
        <v>-</v>
      </c>
      <c r="N390" t="str">
        <f ca="1">IF(Table4[[#This Row],[Adjusted Correct]]="-", "",IF(Table4[[#This Row],[Adjusted Correct]]="YES",(Table4[[#This Row],[Strength of Win]]-1)^2,(Table4[[#This Row],[Strength of Win]]-0)^2))</f>
        <v/>
      </c>
      <c r="P390" s="11"/>
    </row>
    <row r="391" spans="4:16" x14ac:dyDescent="0.2">
      <c r="D391" s="1">
        <v>45989</v>
      </c>
      <c r="E391" s="2">
        <v>0.70833333333333337</v>
      </c>
      <c r="F391" t="s">
        <v>22</v>
      </c>
      <c r="G391">
        <f>VLOOKUP(Table4[[#This Row],[Home]],'NHL Model'!$A$6:$B$38,2,FALSE)</f>
        <v>-6.1308839486784707E-2</v>
      </c>
      <c r="H391" t="s">
        <v>19</v>
      </c>
      <c r="I391">
        <f>VLOOKUP(Table4[[#This Row],[Visitor]],'NHL Model'!$A$6:$B$38,2,FALSE)</f>
        <v>-0.635565543477981</v>
      </c>
      <c r="J391">
        <f ca="1">($B$1+Table4[[#This Row],[Home Differential]])-Table4[[#This Row],[Away Differential]]</f>
        <v>0.73682901365351472</v>
      </c>
      <c r="K391" t="str">
        <f ca="1">IF(Table4[[#This Row],[HomeIce Differential]]&gt;0,Table4[[#This Row],[Home]],Table4[[#This Row],[Visitor]])</f>
        <v>Washington Capitals</v>
      </c>
      <c r="L391" s="11">
        <f ca="1"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0.64209404379406754</v>
      </c>
      <c r="M391" t="str">
        <f ca="1">IF(OR((NHL2025_26Results[[#This Row],[Winning Team]]="")),"-",IF(Table4[[#This Row],[Predicted Winner]]=NHL2025_26Results[[#This Row],[Winning Team]],"YES","NO"))</f>
        <v>-</v>
      </c>
      <c r="N391" t="str">
        <f ca="1">IF(Table4[[#This Row],[Adjusted Correct]]="-", "",IF(Table4[[#This Row],[Adjusted Correct]]="YES",(Table4[[#This Row],[Strength of Win]]-1)^2,(Table4[[#This Row],[Strength of Win]]-0)^2))</f>
        <v/>
      </c>
      <c r="P391" s="11"/>
    </row>
    <row r="392" spans="4:16" x14ac:dyDescent="0.2">
      <c r="D392" s="1">
        <v>45990</v>
      </c>
      <c r="E392" s="2">
        <v>0.79166666666666663</v>
      </c>
      <c r="F392" t="s">
        <v>21</v>
      </c>
      <c r="G392">
        <f>VLOOKUP(Table4[[#This Row],[Home]],'NHL Model'!$A$6:$B$38,2,FALSE)</f>
        <v>4.029141914856392E-2</v>
      </c>
      <c r="H392" t="s">
        <v>26</v>
      </c>
      <c r="I392">
        <f>VLOOKUP(Table4[[#This Row],[Visitor]],'NHL Model'!$A$6:$B$38,2,FALSE)</f>
        <v>-0.513643833119658</v>
      </c>
      <c r="J392">
        <f ca="1">($B$1+Table4[[#This Row],[Home Differential]])-Table4[[#This Row],[Away Differential]]</f>
        <v>0.71650756193054033</v>
      </c>
      <c r="K392" t="str">
        <f ca="1">IF(Table4[[#This Row],[HomeIce Differential]]&gt;0,Table4[[#This Row],[Home]],Table4[[#This Row],[Visitor]])</f>
        <v>Boston Bruins</v>
      </c>
      <c r="L392" s="11">
        <f ca="1"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0.66620746444924461</v>
      </c>
      <c r="M392" t="str">
        <f ca="1">IF(OR((NHL2025_26Results[[#This Row],[Winning Team]]="")),"-",IF(Table4[[#This Row],[Predicted Winner]]=NHL2025_26Results[[#This Row],[Winning Team]],"YES","NO"))</f>
        <v>-</v>
      </c>
      <c r="N392" t="str">
        <f ca="1">IF(Table4[[#This Row],[Adjusted Correct]]="-", "",IF(Table4[[#This Row],[Adjusted Correct]]="YES",(Table4[[#This Row],[Strength of Win]]-1)^2,(Table4[[#This Row],[Strength of Win]]-0)^2))</f>
        <v/>
      </c>
      <c r="P392" s="11"/>
    </row>
    <row r="393" spans="4:16" x14ac:dyDescent="0.2">
      <c r="D393" s="1">
        <v>45990</v>
      </c>
      <c r="E393" s="2">
        <v>0.625</v>
      </c>
      <c r="F393" t="s">
        <v>12</v>
      </c>
      <c r="G393">
        <f>VLOOKUP(Table4[[#This Row],[Home]],'NHL Model'!$A$6:$B$38,2,FALSE)</f>
        <v>1.5475013591489768</v>
      </c>
      <c r="H393" t="s">
        <v>18</v>
      </c>
      <c r="I393">
        <f>VLOOKUP(Table4[[#This Row],[Visitor]],'NHL Model'!$A$6:$B$38,2,FALSE)</f>
        <v>-0.52437726201848234</v>
      </c>
      <c r="J393">
        <f ca="1">($B$1+Table4[[#This Row],[Home Differential]])-Table4[[#This Row],[Away Differential]]</f>
        <v>2.2344509308297775</v>
      </c>
      <c r="K393" t="str">
        <f ca="1">IF(Table4[[#This Row],[HomeIce Differential]]&gt;0,Table4[[#This Row],[Home]],Table4[[#This Row],[Visitor]])</f>
        <v>Colorado Avalanche</v>
      </c>
      <c r="L393" s="11">
        <f ca="1"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0.86405798149342106</v>
      </c>
      <c r="M393" t="str">
        <f ca="1">IF(OR((NHL2025_26Results[[#This Row],[Winning Team]]="")),"-",IF(Table4[[#This Row],[Predicted Winner]]=NHL2025_26Results[[#This Row],[Winning Team]],"YES","NO"))</f>
        <v>-</v>
      </c>
      <c r="N393" t="str">
        <f ca="1">IF(Table4[[#This Row],[Adjusted Correct]]="-", "",IF(Table4[[#This Row],[Adjusted Correct]]="YES",(Table4[[#This Row],[Strength of Win]]-1)^2,(Table4[[#This Row],[Strength of Win]]-0)^2))</f>
        <v/>
      </c>
      <c r="P393" s="11"/>
    </row>
    <row r="394" spans="4:16" x14ac:dyDescent="0.2">
      <c r="D394" s="1">
        <v>45990</v>
      </c>
      <c r="E394" s="2">
        <v>0.91666666666666663</v>
      </c>
      <c r="F394" t="s">
        <v>13</v>
      </c>
      <c r="G394">
        <f>VLOOKUP(Table4[[#This Row],[Home]],'NHL Model'!$A$6:$B$38,2,FALSE)</f>
        <v>-7.5459708298993802E-2</v>
      </c>
      <c r="H394" t="s">
        <v>38</v>
      </c>
      <c r="I394">
        <f>VLOOKUP(Table4[[#This Row],[Visitor]],'NHL Model'!$A$6:$B$38,2,FALSE)</f>
        <v>-0.6902088310934803</v>
      </c>
      <c r="J394">
        <f ca="1">($B$1+Table4[[#This Row],[Home Differential]])-Table4[[#This Row],[Away Differential]]</f>
        <v>0.77732143245680485</v>
      </c>
      <c r="K394" t="str">
        <f ca="1">IF(Table4[[#This Row],[HomeIce Differential]]&gt;0,Table4[[#This Row],[Home]],Table4[[#This Row],[Visitor]])</f>
        <v>Los Angeles Kings</v>
      </c>
      <c r="L394" s="11">
        <f ca="1"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0.60519205643512552</v>
      </c>
      <c r="M394" t="str">
        <f ca="1">IF(OR((NHL2025_26Results[[#This Row],[Winning Team]]="")),"-",IF(Table4[[#This Row],[Predicted Winner]]=NHL2025_26Results[[#This Row],[Winning Team]],"YES","NO"))</f>
        <v>-</v>
      </c>
      <c r="N394" t="str">
        <f ca="1">IF(Table4[[#This Row],[Adjusted Correct]]="-", "",IF(Table4[[#This Row],[Adjusted Correct]]="YES",(Table4[[#This Row],[Strength of Win]]-1)^2,(Table4[[#This Row],[Strength of Win]]-0)^2))</f>
        <v/>
      </c>
      <c r="P394" s="11"/>
    </row>
    <row r="395" spans="4:16" x14ac:dyDescent="0.2">
      <c r="D395" s="1">
        <v>45990</v>
      </c>
      <c r="E395" s="2">
        <v>0.83333333333333337</v>
      </c>
      <c r="F395" t="s">
        <v>34</v>
      </c>
      <c r="G395">
        <f>VLOOKUP(Table4[[#This Row],[Home]],'NHL Model'!$A$6:$B$38,2,FALSE)</f>
        <v>-0.53650300840565446</v>
      </c>
      <c r="H395" t="s">
        <v>23</v>
      </c>
      <c r="I395">
        <f>VLOOKUP(Table4[[#This Row],[Visitor]],'NHL Model'!$A$6:$B$38,2,FALSE)</f>
        <v>-0.8683412362501769</v>
      </c>
      <c r="J395">
        <f ca="1">($B$1+Table4[[#This Row],[Home Differential]])-Table4[[#This Row],[Away Differential]]</f>
        <v>0.49441053750684083</v>
      </c>
      <c r="K395" t="str">
        <f ca="1">IF(Table4[[#This Row],[HomeIce Differential]]&gt;0,Table4[[#This Row],[Home]],Table4[[#This Row],[Visitor]])</f>
        <v>Minnesota Wild</v>
      </c>
      <c r="L395" s="11">
        <f ca="1"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0.60850486358862055</v>
      </c>
      <c r="M395" t="str">
        <f ca="1">IF(OR((NHL2025_26Results[[#This Row],[Winning Team]]="")),"-",IF(Table4[[#This Row],[Predicted Winner]]=NHL2025_26Results[[#This Row],[Winning Team]],"YES","NO"))</f>
        <v>-</v>
      </c>
      <c r="N395" t="str">
        <f ca="1">IF(Table4[[#This Row],[Adjusted Correct]]="-", "",IF(Table4[[#This Row],[Adjusted Correct]]="YES",(Table4[[#This Row],[Strength of Win]]-1)^2,(Table4[[#This Row],[Strength of Win]]-0)^2))</f>
        <v/>
      </c>
      <c r="P395" s="11"/>
    </row>
    <row r="396" spans="4:16" x14ac:dyDescent="0.2">
      <c r="D396" s="1">
        <v>45990</v>
      </c>
      <c r="E396" s="2">
        <v>0.79166666666666663</v>
      </c>
      <c r="F396" t="s">
        <v>24</v>
      </c>
      <c r="G396">
        <f>VLOOKUP(Table4[[#This Row],[Home]],'NHL Model'!$A$6:$B$38,2,FALSE)</f>
        <v>0.559441163373953</v>
      </c>
      <c r="H396" t="s">
        <v>27</v>
      </c>
      <c r="I396">
        <f>VLOOKUP(Table4[[#This Row],[Visitor]],'NHL Model'!$A$6:$B$38,2,FALSE)</f>
        <v>-0.51358590497437617</v>
      </c>
      <c r="J396">
        <f ca="1">($B$1+Table4[[#This Row],[Home Differential]])-Table4[[#This Row],[Away Differential]]</f>
        <v>1.2355993780106476</v>
      </c>
      <c r="K396" t="str">
        <f ca="1">IF(Table4[[#This Row],[HomeIce Differential]]&gt;0,Table4[[#This Row],[Home]],Table4[[#This Row],[Visitor]])</f>
        <v>New Jersey Devils</v>
      </c>
      <c r="L396" s="11">
        <f ca="1"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0.82663371077721204</v>
      </c>
      <c r="M396" t="str">
        <f ca="1">IF(OR((NHL2025_26Results[[#This Row],[Winning Team]]="")),"-",IF(Table4[[#This Row],[Predicted Winner]]=NHL2025_26Results[[#This Row],[Winning Team]],"YES","NO"))</f>
        <v>-</v>
      </c>
      <c r="N396" t="str">
        <f ca="1">IF(Table4[[#This Row],[Adjusted Correct]]="-", "",IF(Table4[[#This Row],[Adjusted Correct]]="YES",(Table4[[#This Row],[Strength of Win]]-1)^2,(Table4[[#This Row],[Strength of Win]]-0)^2))</f>
        <v/>
      </c>
      <c r="P396" s="11"/>
    </row>
    <row r="397" spans="4:16" x14ac:dyDescent="0.2">
      <c r="D397" s="1">
        <v>45990</v>
      </c>
      <c r="E397" s="2">
        <v>0.79166666666666663</v>
      </c>
      <c r="F397" t="s">
        <v>29</v>
      </c>
      <c r="G397">
        <f>VLOOKUP(Table4[[#This Row],[Home]],'NHL Model'!$A$6:$B$38,2,FALSE)</f>
        <v>-1.3516250707060606</v>
      </c>
      <c r="H397" t="s">
        <v>40</v>
      </c>
      <c r="I397">
        <f>VLOOKUP(Table4[[#This Row],[Visitor]],'NHL Model'!$A$6:$B$38,2,FALSE)</f>
        <v>0.105105258369765</v>
      </c>
      <c r="J397">
        <f ca="1">($B$1+Table4[[#This Row],[Home Differential]])-Table4[[#This Row],[Away Differential]]</f>
        <v>-1.2941580194135072</v>
      </c>
      <c r="K397" t="str">
        <f ca="1">IF(Table4[[#This Row],[HomeIce Differential]]&gt;0,Table4[[#This Row],[Home]],Table4[[#This Row],[Visitor]])</f>
        <v>Winnipeg Jets</v>
      </c>
      <c r="L397" s="11">
        <f ca="1"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0.70563259576407389</v>
      </c>
      <c r="M397" t="str">
        <f ca="1">IF(OR((NHL2025_26Results[[#This Row],[Winning Team]]="")),"-",IF(Table4[[#This Row],[Predicted Winner]]=NHL2025_26Results[[#This Row],[Winning Team]],"YES","NO"))</f>
        <v>-</v>
      </c>
      <c r="N397" t="str">
        <f ca="1">IF(Table4[[#This Row],[Adjusted Correct]]="-", "",IF(Table4[[#This Row],[Adjusted Correct]]="YES",(Table4[[#This Row],[Strength of Win]]-1)^2,(Table4[[#This Row],[Strength of Win]]-0)^2))</f>
        <v/>
      </c>
      <c r="P397" s="11"/>
    </row>
    <row r="398" spans="4:16" x14ac:dyDescent="0.2">
      <c r="D398" s="1">
        <v>45990</v>
      </c>
      <c r="E398" s="2">
        <v>0.58333333333333337</v>
      </c>
      <c r="F398" t="s">
        <v>15</v>
      </c>
      <c r="G398">
        <f>VLOOKUP(Table4[[#This Row],[Home]],'NHL Model'!$A$6:$B$38,2,FALSE)</f>
        <v>-0.30719665303039001</v>
      </c>
      <c r="H398" t="s">
        <v>37</v>
      </c>
      <c r="I398">
        <f>VLOOKUP(Table4[[#This Row],[Visitor]],'NHL Model'!$A$6:$B$38,2,FALSE)</f>
        <v>-0.11309445867623392</v>
      </c>
      <c r="J398">
        <f ca="1">($B$1+Table4[[#This Row],[Home Differential]])-Table4[[#This Row],[Away Differential]]</f>
        <v>-3.1529884691837692E-2</v>
      </c>
      <c r="K398" t="str">
        <f ca="1">IF(Table4[[#This Row],[HomeIce Differential]]&gt;0,Table4[[#This Row],[Home]],Table4[[#This Row],[Visitor]])</f>
        <v>Tampa Bay Lightning</v>
      </c>
      <c r="L398" s="11">
        <f ca="1"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0.51146813018252091</v>
      </c>
      <c r="M398" t="str">
        <f ca="1">IF(OR((NHL2025_26Results[[#This Row],[Winning Team]]="")),"-",IF(Table4[[#This Row],[Predicted Winner]]=NHL2025_26Results[[#This Row],[Winning Team]],"YES","NO"))</f>
        <v>-</v>
      </c>
      <c r="N398" t="str">
        <f ca="1">IF(Table4[[#This Row],[Adjusted Correct]]="-", "",IF(Table4[[#This Row],[Adjusted Correct]]="YES",(Table4[[#This Row],[Strength of Win]]-1)^2,(Table4[[#This Row],[Strength of Win]]-0)^2))</f>
        <v/>
      </c>
      <c r="P398" s="11"/>
    </row>
    <row r="399" spans="4:16" x14ac:dyDescent="0.2">
      <c r="D399" s="1">
        <v>45990</v>
      </c>
      <c r="E399" s="2">
        <v>0.79166666666666663</v>
      </c>
      <c r="F399" t="s">
        <v>14</v>
      </c>
      <c r="G399">
        <f>VLOOKUP(Table4[[#This Row],[Home]],'NHL Model'!$A$6:$B$38,2,FALSE)</f>
        <v>0.26289091192875702</v>
      </c>
      <c r="H399" t="s">
        <v>19</v>
      </c>
      <c r="I399">
        <f>VLOOKUP(Table4[[#This Row],[Visitor]],'NHL Model'!$A$6:$B$38,2,FALSE)</f>
        <v>-0.635565543477981</v>
      </c>
      <c r="J399">
        <f ca="1">($B$1+Table4[[#This Row],[Home Differential]])-Table4[[#This Row],[Away Differential]]</f>
        <v>1.0610287650690564</v>
      </c>
      <c r="K399" t="str">
        <f ca="1">IF(Table4[[#This Row],[HomeIce Differential]]&gt;0,Table4[[#This Row],[Home]],Table4[[#This Row],[Visitor]])</f>
        <v>Pittsburgh Penguins</v>
      </c>
      <c r="L399" s="11">
        <f ca="1"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0.72305159460773516</v>
      </c>
      <c r="M399" t="str">
        <f ca="1">IF(OR((NHL2025_26Results[[#This Row],[Winning Team]]="")),"-",IF(Table4[[#This Row],[Predicted Winner]]=NHL2025_26Results[[#This Row],[Winning Team]],"YES","NO"))</f>
        <v>-</v>
      </c>
      <c r="N399" t="str">
        <f ca="1">IF(Table4[[#This Row],[Adjusted Correct]]="-", "",IF(Table4[[#This Row],[Adjusted Correct]]="YES",(Table4[[#This Row],[Strength of Win]]-1)^2,(Table4[[#This Row],[Strength of Win]]-0)^2))</f>
        <v/>
      </c>
      <c r="P399" s="11"/>
    </row>
    <row r="400" spans="4:16" x14ac:dyDescent="0.2">
      <c r="D400" s="1">
        <v>45990</v>
      </c>
      <c r="E400" s="2">
        <v>0.66666666666666663</v>
      </c>
      <c r="F400" t="s">
        <v>32</v>
      </c>
      <c r="G400">
        <f>VLOOKUP(Table4[[#This Row],[Home]],'NHL Model'!$A$6:$B$38,2,FALSE)</f>
        <v>-0.361361309178443</v>
      </c>
      <c r="H400" t="s">
        <v>17</v>
      </c>
      <c r="I400">
        <f>VLOOKUP(Table4[[#This Row],[Visitor]],'NHL Model'!$A$6:$B$38,2,FALSE)</f>
        <v>-0.61980804137564283</v>
      </c>
      <c r="J400">
        <f ca="1">($B$1+Table4[[#This Row],[Home Differential]])-Table4[[#This Row],[Away Differential]]</f>
        <v>0.42101904185951822</v>
      </c>
      <c r="K400" t="str">
        <f ca="1">IF(Table4[[#This Row],[HomeIce Differential]]&gt;0,Table4[[#This Row],[Home]],Table4[[#This Row],[Visitor]])</f>
        <v>Seattle Kraken</v>
      </c>
      <c r="L400" s="11">
        <f ca="1"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0.62437357184526843</v>
      </c>
      <c r="M400" t="str">
        <f ca="1">IF(OR((NHL2025_26Results[[#This Row],[Winning Team]]="")),"-",IF(Table4[[#This Row],[Predicted Winner]]=NHL2025_26Results[[#This Row],[Winning Team]],"YES","NO"))</f>
        <v>-</v>
      </c>
      <c r="N400" t="str">
        <f ca="1">IF(Table4[[#This Row],[Adjusted Correct]]="-", "",IF(Table4[[#This Row],[Adjusted Correct]]="YES",(Table4[[#This Row],[Strength of Win]]-1)^2,(Table4[[#This Row],[Strength of Win]]-0)^2))</f>
        <v/>
      </c>
      <c r="P400" s="11"/>
    </row>
    <row r="401" spans="4:16" x14ac:dyDescent="0.2">
      <c r="D401" s="1">
        <v>45990</v>
      </c>
      <c r="E401" s="2">
        <v>0.83333333333333337</v>
      </c>
      <c r="F401" t="s">
        <v>35</v>
      </c>
      <c r="G401">
        <f>VLOOKUP(Table4[[#This Row],[Home]],'NHL Model'!$A$6:$B$38,2,FALSE)</f>
        <v>-1.6211574240381006</v>
      </c>
      <c r="H401" t="s">
        <v>55</v>
      </c>
      <c r="I401">
        <f>VLOOKUP(Table4[[#This Row],[Visitor]],'NHL Model'!$A$6:$B$38,2,FALSE)</f>
        <v>-0.12212311954851815</v>
      </c>
      <c r="J401">
        <f ca="1">($B$1+Table4[[#This Row],[Home Differential]])-Table4[[#This Row],[Away Differential]]</f>
        <v>-1.336461994827264</v>
      </c>
      <c r="K401" t="str">
        <f ca="1">IF(Table4[[#This Row],[HomeIce Differential]]&gt;0,Table4[[#This Row],[Home]],Table4[[#This Row],[Visitor]])</f>
        <v>Utah Mammoth</v>
      </c>
      <c r="L401" s="11">
        <f ca="1"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0.64517838860938648</v>
      </c>
      <c r="M401" t="str">
        <f ca="1">IF(OR((NHL2025_26Results[[#This Row],[Winning Team]]="")),"-",IF(Table4[[#This Row],[Predicted Winner]]=NHL2025_26Results[[#This Row],[Winning Team]],"YES","NO"))</f>
        <v>-</v>
      </c>
      <c r="N401" t="str">
        <f ca="1">IF(Table4[[#This Row],[Adjusted Correct]]="-", "",IF(Table4[[#This Row],[Adjusted Correct]]="YES",(Table4[[#This Row],[Strength of Win]]-1)^2,(Table4[[#This Row],[Strength of Win]]-0)^2))</f>
        <v/>
      </c>
      <c r="P401" s="11"/>
    </row>
    <row r="402" spans="4:16" x14ac:dyDescent="0.2">
      <c r="D402" s="1">
        <v>45990</v>
      </c>
      <c r="E402" s="2">
        <v>0.91666666666666663</v>
      </c>
      <c r="F402" t="s">
        <v>20</v>
      </c>
      <c r="G402">
        <f>VLOOKUP(Table4[[#This Row],[Home]],'NHL Model'!$A$6:$B$38,2,FALSE)</f>
        <v>-6.3745791019188943E-4</v>
      </c>
      <c r="H402" t="s">
        <v>33</v>
      </c>
      <c r="I402">
        <f>VLOOKUP(Table4[[#This Row],[Visitor]],'NHL Model'!$A$6:$B$38,2,FALSE)</f>
        <v>-0.39418177254008485</v>
      </c>
      <c r="J402">
        <f ca="1">($B$1+Table4[[#This Row],[Home Differential]])-Table4[[#This Row],[Away Differential]]</f>
        <v>0.55611662429221131</v>
      </c>
      <c r="K402" t="str">
        <f ca="1">IF(Table4[[#This Row],[HomeIce Differential]]&gt;0,Table4[[#This Row],[Home]],Table4[[#This Row],[Visitor]])</f>
        <v>Vegas Golden Knights</v>
      </c>
      <c r="L402" s="11">
        <f ca="1"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0.61705477653977991</v>
      </c>
      <c r="M402" t="str">
        <f ca="1">IF(OR((NHL2025_26Results[[#This Row],[Winning Team]]="")),"-",IF(Table4[[#This Row],[Predicted Winner]]=NHL2025_26Results[[#This Row],[Winning Team]],"YES","NO"))</f>
        <v>-</v>
      </c>
      <c r="N402" t="str">
        <f ca="1">IF(Table4[[#This Row],[Adjusted Correct]]="-", "",IF(Table4[[#This Row],[Adjusted Correct]]="YES",(Table4[[#This Row],[Strength of Win]]-1)^2,(Table4[[#This Row],[Strength of Win]]-0)^2))</f>
        <v/>
      </c>
      <c r="P402" s="11"/>
    </row>
    <row r="403" spans="4:16" x14ac:dyDescent="0.2">
      <c r="D403" s="1">
        <v>45991</v>
      </c>
      <c r="E403" s="2">
        <v>0.70833333333333337</v>
      </c>
      <c r="F403" t="s">
        <v>25</v>
      </c>
      <c r="G403">
        <f>VLOOKUP(Table4[[#This Row],[Home]],'NHL Model'!$A$6:$B$38,2,FALSE)</f>
        <v>0.67193921242367816</v>
      </c>
      <c r="H403" t="s">
        <v>16</v>
      </c>
      <c r="I403">
        <f>VLOOKUP(Table4[[#This Row],[Visitor]],'NHL Model'!$A$6:$B$38,2,FALSE)</f>
        <v>-1.3903684122795328</v>
      </c>
      <c r="J403">
        <f ca="1">($B$1+Table4[[#This Row],[Home Differential]])-Table4[[#This Row],[Away Differential]]</f>
        <v>2.2248799343655294</v>
      </c>
      <c r="K403" t="str">
        <f ca="1">IF(Table4[[#This Row],[HomeIce Differential]]&gt;0,Table4[[#This Row],[Home]],Table4[[#This Row],[Visitor]])</f>
        <v>Carolina Hurricanes</v>
      </c>
      <c r="L403" s="11">
        <f ca="1"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0.89999236779613767</v>
      </c>
      <c r="M403" t="str">
        <f ca="1">IF(OR((NHL2025_26Results[[#This Row],[Winning Team]]="")),"-",IF(Table4[[#This Row],[Predicted Winner]]=NHL2025_26Results[[#This Row],[Winning Team]],"YES","NO"))</f>
        <v>-</v>
      </c>
      <c r="N403" t="str">
        <f ca="1">IF(Table4[[#This Row],[Adjusted Correct]]="-", "",IF(Table4[[#This Row],[Adjusted Correct]]="YES",(Table4[[#This Row],[Strength of Win]]-1)^2,(Table4[[#This Row],[Strength of Win]]-0)^2))</f>
        <v/>
      </c>
      <c r="P403" s="11"/>
    </row>
    <row r="404" spans="4:16" x14ac:dyDescent="0.2">
      <c r="D404" s="1">
        <v>45991</v>
      </c>
      <c r="E404" s="2">
        <v>0.64583333333333337</v>
      </c>
      <c r="F404" t="s">
        <v>10</v>
      </c>
      <c r="G404">
        <f>VLOOKUP(Table4[[#This Row],[Home]],'NHL Model'!$A$6:$B$38,2,FALSE)</f>
        <v>0.30570968833820172</v>
      </c>
      <c r="H404" t="s">
        <v>31</v>
      </c>
      <c r="I404">
        <f>VLOOKUP(Table4[[#This Row],[Visitor]],'NHL Model'!$A$6:$B$38,2,FALSE)</f>
        <v>0.51775546328552802</v>
      </c>
      <c r="J404">
        <f ca="1">($B$1+Table4[[#This Row],[Home Differential]])-Table4[[#This Row],[Away Differential]]</f>
        <v>-4.94734652850079E-2</v>
      </c>
      <c r="K404" t="str">
        <f ca="1">IF(Table4[[#This Row],[HomeIce Differential]]&gt;0,Table4[[#This Row],[Home]],Table4[[#This Row],[Visitor]])</f>
        <v>Anaheim Ducks</v>
      </c>
      <c r="L404" s="11">
        <f ca="1"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0.48762420802698975</v>
      </c>
      <c r="M404" t="str">
        <f ca="1">IF(OR((NHL2025_26Results[[#This Row],[Winning Team]]="")),"-",IF(Table4[[#This Row],[Predicted Winner]]=NHL2025_26Results[[#This Row],[Winning Team]],"YES","NO"))</f>
        <v>-</v>
      </c>
      <c r="N404" t="str">
        <f ca="1">IF(Table4[[#This Row],[Adjusted Correct]]="-", "",IF(Table4[[#This Row],[Adjusted Correct]]="YES",(Table4[[#This Row],[Strength of Win]]-1)^2,(Table4[[#This Row],[Strength of Win]]-0)^2))</f>
        <v/>
      </c>
      <c r="P404" s="11"/>
    </row>
    <row r="405" spans="4:16" x14ac:dyDescent="0.2">
      <c r="D405" s="1">
        <v>45991</v>
      </c>
      <c r="E405" s="2">
        <v>0.75</v>
      </c>
      <c r="F405" t="s">
        <v>39</v>
      </c>
      <c r="G405">
        <f>VLOOKUP(Table4[[#This Row],[Home]],'NHL Model'!$A$6:$B$38,2,FALSE)</f>
        <v>0.19809534061227302</v>
      </c>
      <c r="H405" t="s">
        <v>36</v>
      </c>
      <c r="I405">
        <f>VLOOKUP(Table4[[#This Row],[Visitor]],'NHL Model'!$A$6:$B$38,2,FALSE)</f>
        <v>-0.40651947573390851</v>
      </c>
      <c r="J405">
        <f ca="1">($B$1+Table4[[#This Row],[Home Differential]])-Table4[[#This Row],[Away Differential]]</f>
        <v>0.76718712600849992</v>
      </c>
      <c r="K405" t="str">
        <f ca="1">IF(Table4[[#This Row],[HomeIce Differential]]&gt;0,Table4[[#This Row],[Home]],Table4[[#This Row],[Visitor]])</f>
        <v>Dallas Stars</v>
      </c>
      <c r="L405" s="11">
        <f ca="1"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0.6723381591353037</v>
      </c>
      <c r="M405" t="str">
        <f ca="1">IF(OR((NHL2025_26Results[[#This Row],[Winning Team]]="")),"-",IF(Table4[[#This Row],[Predicted Winner]]=NHL2025_26Results[[#This Row],[Winning Team]],"YES","NO"))</f>
        <v>-</v>
      </c>
      <c r="N405" t="str">
        <f ca="1">IF(Table4[[#This Row],[Adjusted Correct]]="-", "",IF(Table4[[#This Row],[Adjusted Correct]]="YES",(Table4[[#This Row],[Strength of Win]]-1)^2,(Table4[[#This Row],[Strength of Win]]-0)^2))</f>
        <v/>
      </c>
      <c r="P405" s="11"/>
    </row>
    <row r="406" spans="4:16" x14ac:dyDescent="0.2">
      <c r="D406" s="1">
        <v>45991</v>
      </c>
      <c r="E406" s="2">
        <v>0.54166666666666663</v>
      </c>
      <c r="F406" t="s">
        <v>30</v>
      </c>
      <c r="G406">
        <f>VLOOKUP(Table4[[#This Row],[Home]],'NHL Model'!$A$6:$B$38,2,FALSE)</f>
        <v>-6.4729560818359025E-2</v>
      </c>
      <c r="H406" t="s">
        <v>22</v>
      </c>
      <c r="I406">
        <f>VLOOKUP(Table4[[#This Row],[Visitor]],'NHL Model'!$A$6:$B$38,2,FALSE)</f>
        <v>-6.1308839486784707E-2</v>
      </c>
      <c r="J406">
        <f ca="1">($B$1+Table4[[#This Row],[Home Differential]])-Table4[[#This Row],[Away Differential]]</f>
        <v>0.15915158833074408</v>
      </c>
      <c r="K406" t="str">
        <f ca="1">IF(Table4[[#This Row],[HomeIce Differential]]&gt;0,Table4[[#This Row],[Home]],Table4[[#This Row],[Visitor]])</f>
        <v>New York Islanders</v>
      </c>
      <c r="L406" s="11">
        <f ca="1"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0.56205183146679816</v>
      </c>
      <c r="M406" t="str">
        <f ca="1">IF(OR((NHL2025_26Results[[#This Row],[Winning Team]]="")),"-",IF(Table4[[#This Row],[Predicted Winner]]=NHL2025_26Results[[#This Row],[Winning Team]],"YES","NO"))</f>
        <v>-</v>
      </c>
      <c r="N406" t="str">
        <f ca="1">IF(Table4[[#This Row],[Adjusted Correct]]="-", "",IF(Table4[[#This Row],[Adjusted Correct]]="YES",(Table4[[#This Row],[Strength of Win]]-1)^2,(Table4[[#This Row],[Strength of Win]]-0)^2))</f>
        <v/>
      </c>
      <c r="P406" s="11"/>
    </row>
    <row r="407" spans="4:16" x14ac:dyDescent="0.2">
      <c r="D407" s="1">
        <v>45992</v>
      </c>
      <c r="E407" s="2">
        <v>0.8125</v>
      </c>
      <c r="F407" t="s">
        <v>23</v>
      </c>
      <c r="G407">
        <f>VLOOKUP(Table4[[#This Row],[Home]],'NHL Model'!$A$6:$B$38,2,FALSE)</f>
        <v>-0.8683412362501769</v>
      </c>
      <c r="H407" t="s">
        <v>40</v>
      </c>
      <c r="I407">
        <f>VLOOKUP(Table4[[#This Row],[Visitor]],'NHL Model'!$A$6:$B$38,2,FALSE)</f>
        <v>0.105105258369765</v>
      </c>
      <c r="J407">
        <f ca="1">($B$1+Table4[[#This Row],[Home Differential]])-Table4[[#This Row],[Away Differential]]</f>
        <v>-0.81087418495762353</v>
      </c>
      <c r="K407" t="str">
        <f ca="1">IF(Table4[[#This Row],[HomeIce Differential]]&gt;0,Table4[[#This Row],[Home]],Table4[[#This Row],[Visitor]])</f>
        <v>Winnipeg Jets</v>
      </c>
      <c r="L407" s="11">
        <f ca="1"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0.6386694332859123</v>
      </c>
      <c r="M407" t="str">
        <f ca="1">IF(OR((NHL2025_26Results[[#This Row],[Winning Team]]="")),"-",IF(Table4[[#This Row],[Predicted Winner]]=NHL2025_26Results[[#This Row],[Winning Team]],"YES","NO"))</f>
        <v>-</v>
      </c>
      <c r="N407" t="str">
        <f ca="1">IF(Table4[[#This Row],[Adjusted Correct]]="-", "",IF(Table4[[#This Row],[Adjusted Correct]]="YES",(Table4[[#This Row],[Strength of Win]]-1)^2,(Table4[[#This Row],[Strength of Win]]-0)^2))</f>
        <v/>
      </c>
      <c r="P407" s="11"/>
    </row>
    <row r="408" spans="4:16" x14ac:dyDescent="0.2">
      <c r="D408" s="1">
        <v>45992</v>
      </c>
      <c r="E408" s="2">
        <v>0.79166666666666663</v>
      </c>
      <c r="F408" t="s">
        <v>24</v>
      </c>
      <c r="G408">
        <f>VLOOKUP(Table4[[#This Row],[Home]],'NHL Model'!$A$6:$B$38,2,FALSE)</f>
        <v>0.559441163373953</v>
      </c>
      <c r="H408" t="s">
        <v>28</v>
      </c>
      <c r="I408">
        <f>VLOOKUP(Table4[[#This Row],[Visitor]],'NHL Model'!$A$6:$B$38,2,FALSE)</f>
        <v>-0.40822279081308277</v>
      </c>
      <c r="J408">
        <f ca="1">($B$1+Table4[[#This Row],[Home Differential]])-Table4[[#This Row],[Away Differential]]</f>
        <v>1.1302362638493542</v>
      </c>
      <c r="K408" t="str">
        <f ca="1">IF(Table4[[#This Row],[HomeIce Differential]]&gt;0,Table4[[#This Row],[Home]],Table4[[#This Row],[Visitor]])</f>
        <v>New Jersey Devils</v>
      </c>
      <c r="L408" s="11">
        <f ca="1"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0.79296766318788425</v>
      </c>
      <c r="M408" t="str">
        <f ca="1">IF(OR((NHL2025_26Results[[#This Row],[Winning Team]]="")),"-",IF(Table4[[#This Row],[Predicted Winner]]=NHL2025_26Results[[#This Row],[Winning Team]],"YES","NO"))</f>
        <v>-</v>
      </c>
      <c r="N408" t="str">
        <f ca="1">IF(Table4[[#This Row],[Adjusted Correct]]="-", "",IF(Table4[[#This Row],[Adjusted Correct]]="YES",(Table4[[#This Row],[Strength of Win]]-1)^2,(Table4[[#This Row],[Strength of Win]]-0)^2))</f>
        <v/>
      </c>
      <c r="P408" s="11"/>
    </row>
    <row r="409" spans="4:16" x14ac:dyDescent="0.2">
      <c r="D409" s="1">
        <v>45992</v>
      </c>
      <c r="E409" s="2">
        <v>0.79166666666666663</v>
      </c>
      <c r="F409" t="s">
        <v>27</v>
      </c>
      <c r="G409">
        <f>VLOOKUP(Table4[[#This Row],[Home]],'NHL Model'!$A$6:$B$38,2,FALSE)</f>
        <v>-0.51358590497437617</v>
      </c>
      <c r="H409" t="s">
        <v>14</v>
      </c>
      <c r="I409">
        <f>VLOOKUP(Table4[[#This Row],[Visitor]],'NHL Model'!$A$6:$B$38,2,FALSE)</f>
        <v>0.26289091192875702</v>
      </c>
      <c r="J409">
        <f ca="1">($B$1+Table4[[#This Row],[Home Differential]])-Table4[[#This Row],[Away Differential]]</f>
        <v>-0.6139045072408148</v>
      </c>
      <c r="K409" t="str">
        <f ca="1">IF(Table4[[#This Row],[HomeIce Differential]]&gt;0,Table4[[#This Row],[Home]],Table4[[#This Row],[Visitor]])</f>
        <v>Pittsburgh Penguins</v>
      </c>
      <c r="L409" s="11">
        <f ca="1"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0.54256630919734727</v>
      </c>
      <c r="M409" t="str">
        <f ca="1">IF(OR((NHL2025_26Results[[#This Row],[Winning Team]]="")),"-",IF(Table4[[#This Row],[Predicted Winner]]=NHL2025_26Results[[#This Row],[Winning Team]],"YES","NO"))</f>
        <v>-</v>
      </c>
      <c r="N409" t="str">
        <f ca="1">IF(Table4[[#This Row],[Adjusted Correct]]="-", "",IF(Table4[[#This Row],[Adjusted Correct]]="YES",(Table4[[#This Row],[Strength of Win]]-1)^2,(Table4[[#This Row],[Strength of Win]]-0)^2))</f>
        <v/>
      </c>
      <c r="P409" s="11"/>
    </row>
    <row r="410" spans="4:16" x14ac:dyDescent="0.2">
      <c r="D410" s="1">
        <v>45992</v>
      </c>
      <c r="E410" s="2">
        <v>0.91666666666666663</v>
      </c>
      <c r="F410" t="s">
        <v>33</v>
      </c>
      <c r="G410">
        <f>VLOOKUP(Table4[[#This Row],[Home]],'NHL Model'!$A$6:$B$38,2,FALSE)</f>
        <v>-0.39418177254008485</v>
      </c>
      <c r="H410" t="s">
        <v>55</v>
      </c>
      <c r="I410">
        <f>VLOOKUP(Table4[[#This Row],[Visitor]],'NHL Model'!$A$6:$B$38,2,FALSE)</f>
        <v>-0.12212311954851815</v>
      </c>
      <c r="J410">
        <f ca="1">($B$1+Table4[[#This Row],[Home Differential]])-Table4[[#This Row],[Away Differential]]</f>
        <v>-0.10948634332924831</v>
      </c>
      <c r="K410" t="str">
        <f ca="1">IF(Table4[[#This Row],[HomeIce Differential]]&gt;0,Table4[[#This Row],[Home]],Table4[[#This Row],[Visitor]])</f>
        <v>Utah Mammoth</v>
      </c>
      <c r="L410" s="11">
        <f ca="1"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0.47517028146772311</v>
      </c>
      <c r="M410" t="str">
        <f ca="1">IF(OR((NHL2025_26Results[[#This Row],[Winning Team]]="")),"-",IF(Table4[[#This Row],[Predicted Winner]]=NHL2025_26Results[[#This Row],[Winning Team]],"YES","NO"))</f>
        <v>-</v>
      </c>
      <c r="N410" t="str">
        <f ca="1">IF(Table4[[#This Row],[Adjusted Correct]]="-", "",IF(Table4[[#This Row],[Adjusted Correct]]="YES",(Table4[[#This Row],[Strength of Win]]-1)^2,(Table4[[#This Row],[Strength of Win]]-0)^2))</f>
        <v/>
      </c>
      <c r="P410" s="11"/>
    </row>
    <row r="411" spans="4:16" x14ac:dyDescent="0.2">
      <c r="D411" s="1">
        <v>45992</v>
      </c>
      <c r="E411" s="2">
        <v>0.83333333333333337</v>
      </c>
      <c r="F411" t="s">
        <v>35</v>
      </c>
      <c r="G411">
        <f>VLOOKUP(Table4[[#This Row],[Home]],'NHL Model'!$A$6:$B$38,2,FALSE)</f>
        <v>-1.6211574240381006</v>
      </c>
      <c r="H411" t="s">
        <v>31</v>
      </c>
      <c r="I411">
        <f>VLOOKUP(Table4[[#This Row],[Visitor]],'NHL Model'!$A$6:$B$38,2,FALSE)</f>
        <v>0.51775546328552802</v>
      </c>
      <c r="J411">
        <f ca="1">($B$1+Table4[[#This Row],[Home Differential]])-Table4[[#This Row],[Away Differential]]</f>
        <v>-1.9763405776613103</v>
      </c>
      <c r="K411" t="str">
        <f ca="1">IF(Table4[[#This Row],[HomeIce Differential]]&gt;0,Table4[[#This Row],[Home]],Table4[[#This Row],[Visitor]])</f>
        <v>Anaheim Ducks</v>
      </c>
      <c r="L411" s="11">
        <f ca="1"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0.75460834099545704</v>
      </c>
      <c r="M411" t="str">
        <f ca="1">IF(OR((NHL2025_26Results[[#This Row],[Winning Team]]="")),"-",IF(Table4[[#This Row],[Predicted Winner]]=NHL2025_26Results[[#This Row],[Winning Team]],"YES","NO"))</f>
        <v>-</v>
      </c>
      <c r="N411" t="str">
        <f ca="1">IF(Table4[[#This Row],[Adjusted Correct]]="-", "",IF(Table4[[#This Row],[Adjusted Correct]]="YES",(Table4[[#This Row],[Strength of Win]]-1)^2,(Table4[[#This Row],[Strength of Win]]-0)^2))</f>
        <v/>
      </c>
      <c r="P411" s="11"/>
    </row>
    <row r="412" spans="4:16" x14ac:dyDescent="0.2">
      <c r="D412" s="1">
        <v>45993</v>
      </c>
      <c r="E412" s="2">
        <v>0.875</v>
      </c>
      <c r="F412" t="s">
        <v>12</v>
      </c>
      <c r="G412">
        <f>VLOOKUP(Table4[[#This Row],[Home]],'NHL Model'!$A$6:$B$38,2,FALSE)</f>
        <v>1.5475013591489768</v>
      </c>
      <c r="H412" t="s">
        <v>38</v>
      </c>
      <c r="I412">
        <f>VLOOKUP(Table4[[#This Row],[Visitor]],'NHL Model'!$A$6:$B$38,2,FALSE)</f>
        <v>-0.6902088310934803</v>
      </c>
      <c r="J412">
        <f ca="1">($B$1+Table4[[#This Row],[Home Differential]])-Table4[[#This Row],[Away Differential]]</f>
        <v>2.4002824999047756</v>
      </c>
      <c r="K412" t="str">
        <f ca="1">IF(Table4[[#This Row],[HomeIce Differential]]&gt;0,Table4[[#This Row],[Home]],Table4[[#This Row],[Visitor]])</f>
        <v>Colorado Avalanche</v>
      </c>
      <c r="L412" s="11">
        <f ca="1"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0.92036619616571547</v>
      </c>
      <c r="M412" t="str">
        <f ca="1">IF(OR((NHL2025_26Results[[#This Row],[Winning Team]]="")),"-",IF(Table4[[#This Row],[Predicted Winner]]=NHL2025_26Results[[#This Row],[Winning Team]],"YES","NO"))</f>
        <v>-</v>
      </c>
      <c r="N412" t="str">
        <f ca="1">IF(Table4[[#This Row],[Adjusted Correct]]="-", "",IF(Table4[[#This Row],[Adjusted Correct]]="YES",(Table4[[#This Row],[Strength of Win]]-1)^2,(Table4[[#This Row],[Strength of Win]]-0)^2))</f>
        <v/>
      </c>
      <c r="P412" s="11"/>
    </row>
    <row r="413" spans="4:16" x14ac:dyDescent="0.2">
      <c r="D413" s="1">
        <v>45993</v>
      </c>
      <c r="E413" s="2">
        <v>0.79166666666666663</v>
      </c>
      <c r="F413" t="s">
        <v>26</v>
      </c>
      <c r="G413">
        <f>VLOOKUP(Table4[[#This Row],[Home]],'NHL Model'!$A$6:$B$38,2,FALSE)</f>
        <v>-0.513643833119658</v>
      </c>
      <c r="H413" t="s">
        <v>21</v>
      </c>
      <c r="I413">
        <f>VLOOKUP(Table4[[#This Row],[Visitor]],'NHL Model'!$A$6:$B$38,2,FALSE)</f>
        <v>4.029141914856392E-2</v>
      </c>
      <c r="J413">
        <f ca="1">($B$1+Table4[[#This Row],[Home Differential]])-Table4[[#This Row],[Away Differential]]</f>
        <v>-0.39136294260590354</v>
      </c>
      <c r="K413" t="str">
        <f ca="1">IF(Table4[[#This Row],[HomeIce Differential]]&gt;0,Table4[[#This Row],[Home]],Table4[[#This Row],[Visitor]])</f>
        <v>Boston Bruins</v>
      </c>
      <c r="L413" s="11">
        <f ca="1"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0.48818899065247473</v>
      </c>
      <c r="M413" t="str">
        <f ca="1">IF(OR((NHL2025_26Results[[#This Row],[Winning Team]]="")),"-",IF(Table4[[#This Row],[Predicted Winner]]=NHL2025_26Results[[#This Row],[Winning Team]],"YES","NO"))</f>
        <v>-</v>
      </c>
      <c r="N413" t="str">
        <f ca="1">IF(Table4[[#This Row],[Adjusted Correct]]="-", "",IF(Table4[[#This Row],[Adjusted Correct]]="YES",(Table4[[#This Row],[Strength of Win]]-1)^2,(Table4[[#This Row],[Strength of Win]]-0)^2))</f>
        <v/>
      </c>
      <c r="P413" s="11"/>
    </row>
    <row r="414" spans="4:16" x14ac:dyDescent="0.2">
      <c r="D414" s="1">
        <v>45993</v>
      </c>
      <c r="E414" s="2">
        <v>0.875</v>
      </c>
      <c r="F414" t="s">
        <v>17</v>
      </c>
      <c r="G414">
        <f>VLOOKUP(Table4[[#This Row],[Home]],'NHL Model'!$A$6:$B$38,2,FALSE)</f>
        <v>-0.61980804137564283</v>
      </c>
      <c r="H414" t="s">
        <v>34</v>
      </c>
      <c r="I414">
        <f>VLOOKUP(Table4[[#This Row],[Visitor]],'NHL Model'!$A$6:$B$38,2,FALSE)</f>
        <v>-0.53650300840565446</v>
      </c>
      <c r="J414">
        <f ca="1">($B$1+Table4[[#This Row],[Home Differential]])-Table4[[#This Row],[Away Differential]]</f>
        <v>7.9267276692330024E-2</v>
      </c>
      <c r="K414" t="str">
        <f ca="1">IF(Table4[[#This Row],[HomeIce Differential]]&gt;0,Table4[[#This Row],[Home]],Table4[[#This Row],[Visitor]])</f>
        <v>Edmonton Oilers</v>
      </c>
      <c r="L414" s="11">
        <f ca="1"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0.58702003432393324</v>
      </c>
      <c r="M414" t="str">
        <f ca="1">IF(OR((NHL2025_26Results[[#This Row],[Winning Team]]="")),"-",IF(Table4[[#This Row],[Predicted Winner]]=NHL2025_26Results[[#This Row],[Winning Team]],"YES","NO"))</f>
        <v>-</v>
      </c>
      <c r="N414" t="str">
        <f ca="1">IF(Table4[[#This Row],[Adjusted Correct]]="-", "",IF(Table4[[#This Row],[Adjusted Correct]]="YES",(Table4[[#This Row],[Strength of Win]]-1)^2,(Table4[[#This Row],[Strength of Win]]-0)^2))</f>
        <v/>
      </c>
      <c r="P414" s="11"/>
    </row>
    <row r="415" spans="4:16" x14ac:dyDescent="0.2">
      <c r="D415" s="1">
        <v>45993</v>
      </c>
      <c r="E415" s="2">
        <v>0.8125</v>
      </c>
      <c r="F415" t="s">
        <v>11</v>
      </c>
      <c r="G415">
        <f>VLOOKUP(Table4[[#This Row],[Home]],'NHL Model'!$A$6:$B$38,2,FALSE)</f>
        <v>-0.28105923893144158</v>
      </c>
      <c r="H415" t="s">
        <v>19</v>
      </c>
      <c r="I415">
        <f>VLOOKUP(Table4[[#This Row],[Visitor]],'NHL Model'!$A$6:$B$38,2,FALSE)</f>
        <v>-0.635565543477981</v>
      </c>
      <c r="J415">
        <f ca="1">($B$1+Table4[[#This Row],[Home Differential]])-Table4[[#This Row],[Away Differential]]</f>
        <v>0.51707861420885781</v>
      </c>
      <c r="K415" t="str">
        <f ca="1">IF(Table4[[#This Row],[HomeIce Differential]]&gt;0,Table4[[#This Row],[Home]],Table4[[#This Row],[Visitor]])</f>
        <v>Florida Panthers</v>
      </c>
      <c r="L415" s="11">
        <f ca="1"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0.66336169834528669</v>
      </c>
      <c r="M415" t="str">
        <f ca="1">IF(OR((NHL2025_26Results[[#This Row],[Winning Team]]="")),"-",IF(Table4[[#This Row],[Predicted Winner]]=NHL2025_26Results[[#This Row],[Winning Team]],"YES","NO"))</f>
        <v>-</v>
      </c>
      <c r="N415" t="str">
        <f ca="1">IF(Table4[[#This Row],[Adjusted Correct]]="-", "",IF(Table4[[#This Row],[Adjusted Correct]]="YES",(Table4[[#This Row],[Strength of Win]]-1)^2,(Table4[[#This Row],[Strength of Win]]-0)^2))</f>
        <v/>
      </c>
      <c r="P415" s="11"/>
    </row>
    <row r="416" spans="4:16" x14ac:dyDescent="0.2">
      <c r="D416" s="1">
        <v>45993</v>
      </c>
      <c r="E416" s="2">
        <v>0.9375</v>
      </c>
      <c r="F416" t="s">
        <v>13</v>
      </c>
      <c r="G416">
        <f>VLOOKUP(Table4[[#This Row],[Home]],'NHL Model'!$A$6:$B$38,2,FALSE)</f>
        <v>-7.5459708298993802E-2</v>
      </c>
      <c r="H416" t="s">
        <v>22</v>
      </c>
      <c r="I416">
        <f>VLOOKUP(Table4[[#This Row],[Visitor]],'NHL Model'!$A$6:$B$38,2,FALSE)</f>
        <v>-6.1308839486784707E-2</v>
      </c>
      <c r="J416">
        <f ca="1">($B$1+Table4[[#This Row],[Home Differential]])-Table4[[#This Row],[Away Differential]]</f>
        <v>0.1484214408501093</v>
      </c>
      <c r="K416" t="str">
        <f ca="1">IF(Table4[[#This Row],[HomeIce Differential]]&gt;0,Table4[[#This Row],[Home]],Table4[[#This Row],[Visitor]])</f>
        <v>Los Angeles Kings</v>
      </c>
      <c r="L416" s="11">
        <f ca="1"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0.5605650765664002</v>
      </c>
      <c r="M416" t="str">
        <f ca="1">IF(OR((NHL2025_26Results[[#This Row],[Winning Team]]="")),"-",IF(Table4[[#This Row],[Predicted Winner]]=NHL2025_26Results[[#This Row],[Winning Team]],"YES","NO"))</f>
        <v>-</v>
      </c>
      <c r="N416" t="str">
        <f ca="1">IF(Table4[[#This Row],[Adjusted Correct]]="-", "",IF(Table4[[#This Row],[Adjusted Correct]]="YES",(Table4[[#This Row],[Strength of Win]]-1)^2,(Table4[[#This Row],[Strength of Win]]-0)^2))</f>
        <v/>
      </c>
      <c r="P416" s="11"/>
    </row>
    <row r="417" spans="4:16" x14ac:dyDescent="0.2">
      <c r="D417" s="1">
        <v>45993</v>
      </c>
      <c r="E417" s="2">
        <v>0.79166666666666663</v>
      </c>
      <c r="F417" t="s">
        <v>18</v>
      </c>
      <c r="G417">
        <f>VLOOKUP(Table4[[#This Row],[Home]],'NHL Model'!$A$6:$B$38,2,FALSE)</f>
        <v>-0.52437726201848234</v>
      </c>
      <c r="H417" t="s">
        <v>36</v>
      </c>
      <c r="I417">
        <f>VLOOKUP(Table4[[#This Row],[Visitor]],'NHL Model'!$A$6:$B$38,2,FALSE)</f>
        <v>-0.40651947573390851</v>
      </c>
      <c r="J417">
        <f ca="1">($B$1+Table4[[#This Row],[Home Differential]])-Table4[[#This Row],[Away Differential]]</f>
        <v>4.4714523377744564E-2</v>
      </c>
      <c r="K417" t="str">
        <f ca="1">IF(Table4[[#This Row],[HomeIce Differential]]&gt;0,Table4[[#This Row],[Home]],Table4[[#This Row],[Visitor]])</f>
        <v>Montreal Canadiens</v>
      </c>
      <c r="L417" s="11">
        <f ca="1"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0.54619558462461004</v>
      </c>
      <c r="M417" t="str">
        <f ca="1">IF(OR((NHL2025_26Results[[#This Row],[Winning Team]]="")),"-",IF(Table4[[#This Row],[Predicted Winner]]=NHL2025_26Results[[#This Row],[Winning Team]],"YES","NO"))</f>
        <v>-</v>
      </c>
      <c r="N417" t="str">
        <f ca="1">IF(Table4[[#This Row],[Adjusted Correct]]="-", "",IF(Table4[[#This Row],[Adjusted Correct]]="YES",(Table4[[#This Row],[Strength of Win]]-1)^2,(Table4[[#This Row],[Strength of Win]]-0)^2))</f>
        <v/>
      </c>
      <c r="P417" s="11"/>
    </row>
    <row r="418" spans="4:16" x14ac:dyDescent="0.2">
      <c r="D418" s="1">
        <v>45993</v>
      </c>
      <c r="E418" s="2">
        <v>0.83333333333333337</v>
      </c>
      <c r="F418" t="s">
        <v>29</v>
      </c>
      <c r="G418">
        <f>VLOOKUP(Table4[[#This Row],[Home]],'NHL Model'!$A$6:$B$38,2,FALSE)</f>
        <v>-1.3516250707060606</v>
      </c>
      <c r="H418" t="s">
        <v>16</v>
      </c>
      <c r="I418">
        <f>VLOOKUP(Table4[[#This Row],[Visitor]],'NHL Model'!$A$6:$B$38,2,FALSE)</f>
        <v>-1.3903684122795328</v>
      </c>
      <c r="J418">
        <f ca="1">($B$1+Table4[[#This Row],[Home Differential]])-Table4[[#This Row],[Away Differential]]</f>
        <v>0.20131565123579054</v>
      </c>
      <c r="K418" t="str">
        <f ca="1">IF(Table4[[#This Row],[HomeIce Differential]]&gt;0,Table4[[#This Row],[Home]],Table4[[#This Row],[Visitor]])</f>
        <v>Nashville Predators</v>
      </c>
      <c r="L418" s="11">
        <f ca="1"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0.56789402769549857</v>
      </c>
      <c r="M418" t="str">
        <f ca="1">IF(OR((NHL2025_26Results[[#This Row],[Winning Team]]="")),"-",IF(Table4[[#This Row],[Predicted Winner]]=NHL2025_26Results[[#This Row],[Winning Team]],"YES","NO"))</f>
        <v>-</v>
      </c>
      <c r="N418" t="str">
        <f ca="1">IF(Table4[[#This Row],[Adjusted Correct]]="-", "",IF(Table4[[#This Row],[Adjusted Correct]]="YES",(Table4[[#This Row],[Strength of Win]]-1)^2,(Table4[[#This Row],[Strength of Win]]-0)^2))</f>
        <v/>
      </c>
      <c r="P418" s="11"/>
    </row>
    <row r="419" spans="4:16" x14ac:dyDescent="0.2">
      <c r="D419" s="1">
        <v>45993</v>
      </c>
      <c r="E419" s="2">
        <v>0.79166666666666663</v>
      </c>
      <c r="F419" t="s">
        <v>30</v>
      </c>
      <c r="G419">
        <f>VLOOKUP(Table4[[#This Row],[Home]],'NHL Model'!$A$6:$B$38,2,FALSE)</f>
        <v>-6.4729560818359025E-2</v>
      </c>
      <c r="H419" t="s">
        <v>37</v>
      </c>
      <c r="I419">
        <f>VLOOKUP(Table4[[#This Row],[Visitor]],'NHL Model'!$A$6:$B$38,2,FALSE)</f>
        <v>-0.11309445867623392</v>
      </c>
      <c r="J419">
        <f ca="1">($B$1+Table4[[#This Row],[Home Differential]])-Table4[[#This Row],[Away Differential]]</f>
        <v>0.21093720752019329</v>
      </c>
      <c r="K419" t="str">
        <f ca="1">IF(Table4[[#This Row],[HomeIce Differential]]&gt;0,Table4[[#This Row],[Home]],Table4[[#This Row],[Visitor]])</f>
        <v>New York Islanders</v>
      </c>
      <c r="L419" s="11">
        <f ca="1"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0.52212778619999511</v>
      </c>
      <c r="M419" t="str">
        <f ca="1">IF(OR((NHL2025_26Results[[#This Row],[Winning Team]]="")),"-",IF(Table4[[#This Row],[Predicted Winner]]=NHL2025_26Results[[#This Row],[Winning Team]],"YES","NO"))</f>
        <v>-</v>
      </c>
      <c r="N419" t="str">
        <f ca="1">IF(Table4[[#This Row],[Adjusted Correct]]="-", "",IF(Table4[[#This Row],[Adjusted Correct]]="YES",(Table4[[#This Row],[Strength of Win]]-1)^2,(Table4[[#This Row],[Strength of Win]]-0)^2))</f>
        <v/>
      </c>
      <c r="P419" s="11"/>
    </row>
    <row r="420" spans="4:16" x14ac:dyDescent="0.2">
      <c r="D420" s="1">
        <v>45993</v>
      </c>
      <c r="E420" s="2">
        <v>0.79166666666666663</v>
      </c>
      <c r="F420" t="s">
        <v>15</v>
      </c>
      <c r="G420">
        <f>VLOOKUP(Table4[[#This Row],[Home]],'NHL Model'!$A$6:$B$38,2,FALSE)</f>
        <v>-0.30719665303039001</v>
      </c>
      <c r="H420" t="s">
        <v>39</v>
      </c>
      <c r="I420">
        <f>VLOOKUP(Table4[[#This Row],[Visitor]],'NHL Model'!$A$6:$B$38,2,FALSE)</f>
        <v>0.19809534061227302</v>
      </c>
      <c r="J420">
        <f ca="1">($B$1+Table4[[#This Row],[Home Differential]])-Table4[[#This Row],[Away Differential]]</f>
        <v>-0.34271968398034464</v>
      </c>
      <c r="K420" t="str">
        <f ca="1">IF(Table4[[#This Row],[HomeIce Differential]]&gt;0,Table4[[#This Row],[Home]],Table4[[#This Row],[Visitor]])</f>
        <v>Dallas Stars</v>
      </c>
      <c r="L420" s="11">
        <f ca="1"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0.59997296941472744</v>
      </c>
      <c r="M420" t="str">
        <f ca="1">IF(OR((NHL2025_26Results[[#This Row],[Winning Team]]="")),"-",IF(Table4[[#This Row],[Predicted Winner]]=NHL2025_26Results[[#This Row],[Winning Team]],"YES","NO"))</f>
        <v>-</v>
      </c>
      <c r="N420" t="str">
        <f ca="1">IF(Table4[[#This Row],[Adjusted Correct]]="-", "",IF(Table4[[#This Row],[Adjusted Correct]]="YES",(Table4[[#This Row],[Strength of Win]]-1)^2,(Table4[[#This Row],[Strength of Win]]-0)^2))</f>
        <v/>
      </c>
      <c r="P420" s="11"/>
    </row>
    <row r="421" spans="4:16" x14ac:dyDescent="0.2">
      <c r="D421" s="1">
        <v>45993</v>
      </c>
      <c r="E421" s="2">
        <v>0.91666666666666663</v>
      </c>
      <c r="F421" t="s">
        <v>20</v>
      </c>
      <c r="G421">
        <f>VLOOKUP(Table4[[#This Row],[Home]],'NHL Model'!$A$6:$B$38,2,FALSE)</f>
        <v>-6.3745791019188943E-4</v>
      </c>
      <c r="H421" t="s">
        <v>10</v>
      </c>
      <c r="I421">
        <f>VLOOKUP(Table4[[#This Row],[Visitor]],'NHL Model'!$A$6:$B$38,2,FALSE)</f>
        <v>0.30570968833820172</v>
      </c>
      <c r="J421">
        <f ca="1">($B$1+Table4[[#This Row],[Home Differential]])-Table4[[#This Row],[Away Differential]]</f>
        <v>-0.14377483658607523</v>
      </c>
      <c r="K421" t="str">
        <f ca="1">IF(Table4[[#This Row],[HomeIce Differential]]&gt;0,Table4[[#This Row],[Home]],Table4[[#This Row],[Visitor]])</f>
        <v>Chicago Blackhawks</v>
      </c>
      <c r="L421" s="11">
        <f ca="1"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0.50069048005625472</v>
      </c>
      <c r="M421" t="str">
        <f ca="1">IF(OR((NHL2025_26Results[[#This Row],[Winning Team]]="")),"-",IF(Table4[[#This Row],[Predicted Winner]]=NHL2025_26Results[[#This Row],[Winning Team]],"YES","NO"))</f>
        <v>-</v>
      </c>
      <c r="N421" t="str">
        <f ca="1">IF(Table4[[#This Row],[Adjusted Correct]]="-", "",IF(Table4[[#This Row],[Adjusted Correct]]="YES",(Table4[[#This Row],[Strength of Win]]-1)^2,(Table4[[#This Row],[Strength of Win]]-0)^2))</f>
        <v/>
      </c>
      <c r="P421" s="11"/>
    </row>
    <row r="422" spans="4:16" x14ac:dyDescent="0.2">
      <c r="D422" s="1">
        <v>45994</v>
      </c>
      <c r="E422" s="2">
        <v>0.91666666666666663</v>
      </c>
      <c r="F422" t="s">
        <v>31</v>
      </c>
      <c r="G422">
        <f>VLOOKUP(Table4[[#This Row],[Home]],'NHL Model'!$A$6:$B$38,2,FALSE)</f>
        <v>0.51775546328552802</v>
      </c>
      <c r="H422" t="s">
        <v>55</v>
      </c>
      <c r="I422">
        <f>VLOOKUP(Table4[[#This Row],[Visitor]],'NHL Model'!$A$6:$B$38,2,FALSE)</f>
        <v>-0.12212311954851815</v>
      </c>
      <c r="J422">
        <f ca="1">($B$1+Table4[[#This Row],[Home Differential]])-Table4[[#This Row],[Away Differential]]</f>
        <v>0.80245089249636459</v>
      </c>
      <c r="K422" t="str">
        <f ca="1">IF(Table4[[#This Row],[HomeIce Differential]]&gt;0,Table4[[#This Row],[Home]],Table4[[#This Row],[Visitor]])</f>
        <v>Anaheim Ducks</v>
      </c>
      <c r="L422" s="11">
        <f ca="1"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0.7555164205687791</v>
      </c>
      <c r="M422" t="str">
        <f ca="1">IF(OR((NHL2025_26Results[[#This Row],[Winning Team]]="")),"-",IF(Table4[[#This Row],[Predicted Winner]]=NHL2025_26Results[[#This Row],[Winning Team]],"YES","NO"))</f>
        <v>-</v>
      </c>
      <c r="N422" t="str">
        <f ca="1">IF(Table4[[#This Row],[Adjusted Correct]]="-", "",IF(Table4[[#This Row],[Adjusted Correct]]="YES",(Table4[[#This Row],[Strength of Win]]-1)^2,(Table4[[#This Row],[Strength of Win]]-0)^2))</f>
        <v/>
      </c>
      <c r="P422" s="11"/>
    </row>
    <row r="423" spans="4:16" x14ac:dyDescent="0.2">
      <c r="D423" s="1">
        <v>45994</v>
      </c>
      <c r="E423" s="2">
        <v>0.8125</v>
      </c>
      <c r="F423" t="s">
        <v>18</v>
      </c>
      <c r="G423">
        <f>VLOOKUP(Table4[[#This Row],[Home]],'NHL Model'!$A$6:$B$38,2,FALSE)</f>
        <v>-0.52437726201848234</v>
      </c>
      <c r="H423" t="s">
        <v>40</v>
      </c>
      <c r="I423">
        <f>VLOOKUP(Table4[[#This Row],[Visitor]],'NHL Model'!$A$6:$B$38,2,FALSE)</f>
        <v>0.105105258369765</v>
      </c>
      <c r="J423">
        <f ca="1">($B$1+Table4[[#This Row],[Home Differential]])-Table4[[#This Row],[Away Differential]]</f>
        <v>-0.46691021072592898</v>
      </c>
      <c r="K423" t="str">
        <f ca="1">IF(Table4[[#This Row],[HomeIce Differential]]&gt;0,Table4[[#This Row],[Home]],Table4[[#This Row],[Visitor]])</f>
        <v>Winnipeg Jets</v>
      </c>
      <c r="L423" s="11">
        <f ca="1"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0.5910102445215224</v>
      </c>
      <c r="M423" t="str">
        <f ca="1">IF(OR((NHL2025_26Results[[#This Row],[Winning Team]]="")),"-",IF(Table4[[#This Row],[Predicted Winner]]=NHL2025_26Results[[#This Row],[Winning Team]],"YES","NO"))</f>
        <v>-</v>
      </c>
      <c r="N423" t="str">
        <f ca="1">IF(Table4[[#This Row],[Adjusted Correct]]="-", "",IF(Table4[[#This Row],[Adjusted Correct]]="YES",(Table4[[#This Row],[Strength of Win]]-1)^2,(Table4[[#This Row],[Strength of Win]]-0)^2))</f>
        <v/>
      </c>
      <c r="P423" s="11"/>
    </row>
    <row r="424" spans="4:16" x14ac:dyDescent="0.2">
      <c r="D424" s="1">
        <v>45994</v>
      </c>
      <c r="E424" s="2">
        <v>0.79166666666666663</v>
      </c>
      <c r="F424" t="s">
        <v>24</v>
      </c>
      <c r="G424">
        <f>VLOOKUP(Table4[[#This Row],[Home]],'NHL Model'!$A$6:$B$38,2,FALSE)</f>
        <v>0.559441163373953</v>
      </c>
      <c r="H424" t="s">
        <v>39</v>
      </c>
      <c r="I424">
        <f>VLOOKUP(Table4[[#This Row],[Visitor]],'NHL Model'!$A$6:$B$38,2,FALSE)</f>
        <v>0.19809534061227302</v>
      </c>
      <c r="J424">
        <f ca="1">($B$1+Table4[[#This Row],[Home Differential]])-Table4[[#This Row],[Away Differential]]</f>
        <v>0.52391813242399832</v>
      </c>
      <c r="K424" t="str">
        <f ca="1">IF(Table4[[#This Row],[HomeIce Differential]]&gt;0,Table4[[#This Row],[Home]],Table4[[#This Row],[Visitor]])</f>
        <v>New Jersey Devils</v>
      </c>
      <c r="L424" s="11">
        <f ca="1"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0.64016096408839773</v>
      </c>
      <c r="M424" t="str">
        <f ca="1">IF(OR((NHL2025_26Results[[#This Row],[Winning Team]]="")),"-",IF(Table4[[#This Row],[Predicted Winner]]=NHL2025_26Results[[#This Row],[Winning Team]],"YES","NO"))</f>
        <v>-</v>
      </c>
      <c r="N424" t="str">
        <f ca="1">IF(Table4[[#This Row],[Adjusted Correct]]="-", "",IF(Table4[[#This Row],[Adjusted Correct]]="YES",(Table4[[#This Row],[Strength of Win]]-1)^2,(Table4[[#This Row],[Strength of Win]]-0)^2))</f>
        <v/>
      </c>
      <c r="P424" s="11"/>
    </row>
    <row r="425" spans="4:16" x14ac:dyDescent="0.2">
      <c r="D425" s="1">
        <v>45994</v>
      </c>
      <c r="E425" s="2">
        <v>0.8125</v>
      </c>
      <c r="F425" t="s">
        <v>27</v>
      </c>
      <c r="G425">
        <f>VLOOKUP(Table4[[#This Row],[Home]],'NHL Model'!$A$6:$B$38,2,FALSE)</f>
        <v>-0.51358590497437617</v>
      </c>
      <c r="H425" t="s">
        <v>23</v>
      </c>
      <c r="I425">
        <f>VLOOKUP(Table4[[#This Row],[Visitor]],'NHL Model'!$A$6:$B$38,2,FALSE)</f>
        <v>-0.8683412362501769</v>
      </c>
      <c r="J425">
        <f ca="1">($B$1+Table4[[#This Row],[Home Differential]])-Table4[[#This Row],[Away Differential]]</f>
        <v>0.51732764093811912</v>
      </c>
      <c r="K425" t="str">
        <f ca="1">IF(Table4[[#This Row],[HomeIce Differential]]&gt;0,Table4[[#This Row],[Home]],Table4[[#This Row],[Visitor]])</f>
        <v>Philadelphia Flyers</v>
      </c>
      <c r="L425" s="11">
        <f ca="1"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0.61417570602919469</v>
      </c>
      <c r="M425" t="str">
        <f ca="1">IF(OR((NHL2025_26Results[[#This Row],[Winning Team]]="")),"-",IF(Table4[[#This Row],[Predicted Winner]]=NHL2025_26Results[[#This Row],[Winning Team]],"YES","NO"))</f>
        <v>-</v>
      </c>
      <c r="N425" t="str">
        <f ca="1">IF(Table4[[#This Row],[Adjusted Correct]]="-", "",IF(Table4[[#This Row],[Adjusted Correct]]="YES",(Table4[[#This Row],[Strength of Win]]-1)^2,(Table4[[#This Row],[Strength of Win]]-0)^2))</f>
        <v/>
      </c>
      <c r="P425" s="11"/>
    </row>
    <row r="426" spans="4:16" x14ac:dyDescent="0.2">
      <c r="D426" s="1">
        <v>45994</v>
      </c>
      <c r="E426" s="2">
        <v>0.91666666666666663</v>
      </c>
      <c r="F426" t="s">
        <v>33</v>
      </c>
      <c r="G426">
        <f>VLOOKUP(Table4[[#This Row],[Home]],'NHL Model'!$A$6:$B$38,2,FALSE)</f>
        <v>-0.39418177254008485</v>
      </c>
      <c r="H426" t="s">
        <v>22</v>
      </c>
      <c r="I426">
        <f>VLOOKUP(Table4[[#This Row],[Visitor]],'NHL Model'!$A$6:$B$38,2,FALSE)</f>
        <v>-6.1308839486784707E-2</v>
      </c>
      <c r="J426">
        <f ca="1">($B$1+Table4[[#This Row],[Home Differential]])-Table4[[#This Row],[Away Differential]]</f>
        <v>-0.17030062339098176</v>
      </c>
      <c r="K426" t="str">
        <f ca="1">IF(Table4[[#This Row],[HomeIce Differential]]&gt;0,Table4[[#This Row],[Home]],Table4[[#This Row],[Visitor]])</f>
        <v>Washington Capitals</v>
      </c>
      <c r="L426" s="11">
        <f ca="1"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0.48359662687062943</v>
      </c>
      <c r="M426" t="str">
        <f ca="1">IF(OR((NHL2025_26Results[[#This Row],[Winning Team]]="")),"-",IF(Table4[[#This Row],[Predicted Winner]]=NHL2025_26Results[[#This Row],[Winning Team]],"YES","NO"))</f>
        <v>-</v>
      </c>
      <c r="N426" t="str">
        <f ca="1">IF(Table4[[#This Row],[Adjusted Correct]]="-", "",IF(Table4[[#This Row],[Adjusted Correct]]="YES",(Table4[[#This Row],[Strength of Win]]-1)^2,(Table4[[#This Row],[Strength of Win]]-0)^2))</f>
        <v/>
      </c>
      <c r="P426" s="11"/>
    </row>
    <row r="427" spans="4:16" x14ac:dyDescent="0.2">
      <c r="D427" s="1">
        <v>45995</v>
      </c>
      <c r="E427" s="2">
        <v>0.79166666666666663</v>
      </c>
      <c r="F427" t="s">
        <v>21</v>
      </c>
      <c r="G427">
        <f>VLOOKUP(Table4[[#This Row],[Home]],'NHL Model'!$A$6:$B$38,2,FALSE)</f>
        <v>4.029141914856392E-2</v>
      </c>
      <c r="H427" t="s">
        <v>35</v>
      </c>
      <c r="I427">
        <f>VLOOKUP(Table4[[#This Row],[Visitor]],'NHL Model'!$A$6:$B$38,2,FALSE)</f>
        <v>-1.6211574240381006</v>
      </c>
      <c r="J427">
        <f ca="1">($B$1+Table4[[#This Row],[Home Differential]])-Table4[[#This Row],[Away Differential]]</f>
        <v>1.8240211528489829</v>
      </c>
      <c r="K427" t="str">
        <f ca="1">IF(Table4[[#This Row],[HomeIce Differential]]&gt;0,Table4[[#This Row],[Home]],Table4[[#This Row],[Visitor]])</f>
        <v>Boston Bruins</v>
      </c>
      <c r="L427" s="11">
        <f ca="1"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0.86529136146818519</v>
      </c>
      <c r="M427" t="str">
        <f ca="1">IF(OR((NHL2025_26Results[[#This Row],[Winning Team]]="")),"-",IF(Table4[[#This Row],[Predicted Winner]]=NHL2025_26Results[[#This Row],[Winning Team]],"YES","NO"))</f>
        <v>-</v>
      </c>
      <c r="N427" t="str">
        <f ca="1">IF(Table4[[#This Row],[Adjusted Correct]]="-", "",IF(Table4[[#This Row],[Adjusted Correct]]="YES",(Table4[[#This Row],[Strength of Win]]-1)^2,(Table4[[#This Row],[Strength of Win]]-0)^2))</f>
        <v/>
      </c>
      <c r="P427" s="11"/>
    </row>
    <row r="428" spans="4:16" x14ac:dyDescent="0.2">
      <c r="D428" s="1">
        <v>45995</v>
      </c>
      <c r="E428" s="2">
        <v>0.8125</v>
      </c>
      <c r="F428" t="s">
        <v>25</v>
      </c>
      <c r="G428">
        <f>VLOOKUP(Table4[[#This Row],[Home]],'NHL Model'!$A$6:$B$38,2,FALSE)</f>
        <v>0.67193921242367816</v>
      </c>
      <c r="H428" t="s">
        <v>19</v>
      </c>
      <c r="I428">
        <f>VLOOKUP(Table4[[#This Row],[Visitor]],'NHL Model'!$A$6:$B$38,2,FALSE)</f>
        <v>-0.635565543477981</v>
      </c>
      <c r="J428">
        <f ca="1">($B$1+Table4[[#This Row],[Home Differential]])-Table4[[#This Row],[Away Differential]]</f>
        <v>1.4700770655639777</v>
      </c>
      <c r="K428" t="str">
        <f ca="1">IF(Table4[[#This Row],[HomeIce Differential]]&gt;0,Table4[[#This Row],[Home]],Table4[[#This Row],[Visitor]])</f>
        <v>Carolina Hurricanes</v>
      </c>
      <c r="L428" s="11">
        <f ca="1"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0.79540789064422368</v>
      </c>
      <c r="M428" t="str">
        <f ca="1">IF(OR((NHL2025_26Results[[#This Row],[Winning Team]]="")),"-",IF(Table4[[#This Row],[Predicted Winner]]=NHL2025_26Results[[#This Row],[Winning Team]],"YES","NO"))</f>
        <v>-</v>
      </c>
      <c r="N428" t="str">
        <f ca="1">IF(Table4[[#This Row],[Adjusted Correct]]="-", "",IF(Table4[[#This Row],[Adjusted Correct]]="YES",(Table4[[#This Row],[Strength of Win]]-1)^2,(Table4[[#This Row],[Strength of Win]]-0)^2))</f>
        <v/>
      </c>
      <c r="P428" s="11"/>
    </row>
    <row r="429" spans="4:16" x14ac:dyDescent="0.2">
      <c r="D429" s="1">
        <v>45995</v>
      </c>
      <c r="E429" s="2">
        <v>0.79166666666666663</v>
      </c>
      <c r="F429" t="s">
        <v>28</v>
      </c>
      <c r="G429">
        <f>VLOOKUP(Table4[[#This Row],[Home]],'NHL Model'!$A$6:$B$38,2,FALSE)</f>
        <v>-0.40822279081308277</v>
      </c>
      <c r="H429" t="s">
        <v>26</v>
      </c>
      <c r="I429">
        <f>VLOOKUP(Table4[[#This Row],[Visitor]],'NHL Model'!$A$6:$B$38,2,FALSE)</f>
        <v>-0.513643833119658</v>
      </c>
      <c r="J429">
        <f ca="1">($B$1+Table4[[#This Row],[Home Differential]])-Table4[[#This Row],[Away Differential]]</f>
        <v>0.26799335196889362</v>
      </c>
      <c r="K429" t="str">
        <f ca="1">IF(Table4[[#This Row],[HomeIce Differential]]&gt;0,Table4[[#This Row],[Home]],Table4[[#This Row],[Visitor]])</f>
        <v>Columbus Blue Jackets</v>
      </c>
      <c r="L429" s="11">
        <f ca="1"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0.53003340935289323</v>
      </c>
      <c r="M429" t="str">
        <f ca="1">IF(OR((NHL2025_26Results[[#This Row],[Winning Team]]="")),"-",IF(Table4[[#This Row],[Predicted Winner]]=NHL2025_26Results[[#This Row],[Winning Team]],"YES","NO"))</f>
        <v>-</v>
      </c>
      <c r="N429" t="str">
        <f ca="1">IF(Table4[[#This Row],[Adjusted Correct]]="-", "",IF(Table4[[#This Row],[Adjusted Correct]]="YES",(Table4[[#This Row],[Strength of Win]]-1)^2,(Table4[[#This Row],[Strength of Win]]-0)^2))</f>
        <v/>
      </c>
      <c r="P429" s="11"/>
    </row>
    <row r="430" spans="4:16" x14ac:dyDescent="0.2">
      <c r="D430" s="1">
        <v>45995</v>
      </c>
      <c r="E430" s="2">
        <v>0.875</v>
      </c>
      <c r="F430" t="s">
        <v>16</v>
      </c>
      <c r="G430">
        <f>VLOOKUP(Table4[[#This Row],[Home]],'NHL Model'!$A$6:$B$38,2,FALSE)</f>
        <v>-1.3903684122795328</v>
      </c>
      <c r="H430" t="s">
        <v>34</v>
      </c>
      <c r="I430">
        <f>VLOOKUP(Table4[[#This Row],[Visitor]],'NHL Model'!$A$6:$B$38,2,FALSE)</f>
        <v>-0.53650300840565446</v>
      </c>
      <c r="J430">
        <f ca="1">($B$1+Table4[[#This Row],[Home Differential]])-Table4[[#This Row],[Away Differential]]</f>
        <v>-0.69129309421155993</v>
      </c>
      <c r="K430" t="str">
        <f ca="1">IF(Table4[[#This Row],[HomeIce Differential]]&gt;0,Table4[[#This Row],[Home]],Table4[[#This Row],[Visitor]])</f>
        <v>Minnesota Wild</v>
      </c>
      <c r="L430" s="11">
        <f ca="1"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0.5557846476281123</v>
      </c>
      <c r="M430" t="str">
        <f ca="1">IF(OR((NHL2025_26Results[[#This Row],[Winning Team]]="")),"-",IF(Table4[[#This Row],[Predicted Winner]]=NHL2025_26Results[[#This Row],[Winning Team]],"YES","NO"))</f>
        <v>-</v>
      </c>
      <c r="N430" t="str">
        <f ca="1">IF(Table4[[#This Row],[Adjusted Correct]]="-", "",IF(Table4[[#This Row],[Adjusted Correct]]="YES",(Table4[[#This Row],[Strength of Win]]-1)^2,(Table4[[#This Row],[Strength of Win]]-0)^2))</f>
        <v/>
      </c>
      <c r="P430" s="11"/>
    </row>
    <row r="431" spans="4:16" x14ac:dyDescent="0.2">
      <c r="D431" s="1">
        <v>45995</v>
      </c>
      <c r="E431" s="2">
        <v>0.875</v>
      </c>
      <c r="F431" t="s">
        <v>17</v>
      </c>
      <c r="G431">
        <f>VLOOKUP(Table4[[#This Row],[Home]],'NHL Model'!$A$6:$B$38,2,FALSE)</f>
        <v>-0.61980804137564283</v>
      </c>
      <c r="H431" t="s">
        <v>32</v>
      </c>
      <c r="I431">
        <f>VLOOKUP(Table4[[#This Row],[Visitor]],'NHL Model'!$A$6:$B$38,2,FALSE)</f>
        <v>-0.361361309178443</v>
      </c>
      <c r="J431">
        <f ca="1">($B$1+Table4[[#This Row],[Home Differential]])-Table4[[#This Row],[Away Differential]]</f>
        <v>-9.5874422534881432E-2</v>
      </c>
      <c r="K431" t="str">
        <f ca="1">IF(Table4[[#This Row],[HomeIce Differential]]&gt;0,Table4[[#This Row],[Home]],Table4[[#This Row],[Visitor]])</f>
        <v>Seattle Kraken</v>
      </c>
      <c r="L431" s="11">
        <f ca="1"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0.4372473655473193</v>
      </c>
      <c r="M431" t="str">
        <f ca="1">IF(OR((NHL2025_26Results[[#This Row],[Winning Team]]="")),"-",IF(Table4[[#This Row],[Predicted Winner]]=NHL2025_26Results[[#This Row],[Winning Team]],"YES","NO"))</f>
        <v>-</v>
      </c>
      <c r="N431" t="str">
        <f ca="1">IF(Table4[[#This Row],[Adjusted Correct]]="-", "",IF(Table4[[#This Row],[Adjusted Correct]]="YES",(Table4[[#This Row],[Strength of Win]]-1)^2,(Table4[[#This Row],[Strength of Win]]-0)^2))</f>
        <v/>
      </c>
      <c r="P431" s="11"/>
    </row>
    <row r="432" spans="4:16" x14ac:dyDescent="0.2">
      <c r="D432" s="1">
        <v>45995</v>
      </c>
      <c r="E432" s="2">
        <v>0.79166666666666663</v>
      </c>
      <c r="F432" t="s">
        <v>11</v>
      </c>
      <c r="G432">
        <f>VLOOKUP(Table4[[#This Row],[Home]],'NHL Model'!$A$6:$B$38,2,FALSE)</f>
        <v>-0.28105923893144158</v>
      </c>
      <c r="H432" t="s">
        <v>29</v>
      </c>
      <c r="I432">
        <f>VLOOKUP(Table4[[#This Row],[Visitor]],'NHL Model'!$A$6:$B$38,2,FALSE)</f>
        <v>-1.3516250707060606</v>
      </c>
      <c r="J432">
        <f ca="1">($B$1+Table4[[#This Row],[Home Differential]])-Table4[[#This Row],[Away Differential]]</f>
        <v>1.2331381414369376</v>
      </c>
      <c r="K432" t="str">
        <f ca="1">IF(Table4[[#This Row],[HomeIce Differential]]&gt;0,Table4[[#This Row],[Home]],Table4[[#This Row],[Visitor]])</f>
        <v>Florida Panthers</v>
      </c>
      <c r="L432" s="11">
        <f ca="1"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0.76257794984642502</v>
      </c>
      <c r="M432" t="str">
        <f ca="1">IF(OR((NHL2025_26Results[[#This Row],[Winning Team]]="")),"-",IF(Table4[[#This Row],[Predicted Winner]]=NHL2025_26Results[[#This Row],[Winning Team]],"YES","NO"))</f>
        <v>-</v>
      </c>
      <c r="N432" t="str">
        <f ca="1">IF(Table4[[#This Row],[Adjusted Correct]]="-", "",IF(Table4[[#This Row],[Adjusted Correct]]="YES",(Table4[[#This Row],[Strength of Win]]-1)^2,(Table4[[#This Row],[Strength of Win]]-0)^2))</f>
        <v/>
      </c>
      <c r="P432" s="11"/>
    </row>
    <row r="433" spans="4:16" x14ac:dyDescent="0.2">
      <c r="D433" s="1">
        <v>45995</v>
      </c>
      <c r="E433" s="2">
        <v>0.91666666666666663</v>
      </c>
      <c r="F433" t="s">
        <v>13</v>
      </c>
      <c r="G433">
        <f>VLOOKUP(Table4[[#This Row],[Home]],'NHL Model'!$A$6:$B$38,2,FALSE)</f>
        <v>-7.5459708298993802E-2</v>
      </c>
      <c r="H433" t="s">
        <v>10</v>
      </c>
      <c r="I433">
        <f>VLOOKUP(Table4[[#This Row],[Visitor]],'NHL Model'!$A$6:$B$38,2,FALSE)</f>
        <v>0.30570968833820172</v>
      </c>
      <c r="J433">
        <f ca="1">($B$1+Table4[[#This Row],[Home Differential]])-Table4[[#This Row],[Away Differential]]</f>
        <v>-0.21859708697487712</v>
      </c>
      <c r="K433" t="str">
        <f ca="1">IF(Table4[[#This Row],[HomeIce Differential]]&gt;0,Table4[[#This Row],[Home]],Table4[[#This Row],[Visitor]])</f>
        <v>Chicago Blackhawks</v>
      </c>
      <c r="L433" s="11">
        <f ca="1"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0.5110577511142822</v>
      </c>
      <c r="M433" t="str">
        <f ca="1">IF(OR((NHL2025_26Results[[#This Row],[Winning Team]]="")),"-",IF(Table4[[#This Row],[Predicted Winner]]=NHL2025_26Results[[#This Row],[Winning Team]],"YES","NO"))</f>
        <v>-</v>
      </c>
      <c r="N433" t="str">
        <f ca="1">IF(Table4[[#This Row],[Adjusted Correct]]="-", "",IF(Table4[[#This Row],[Adjusted Correct]]="YES",(Table4[[#This Row],[Strength of Win]]-1)^2,(Table4[[#This Row],[Strength of Win]]-0)^2))</f>
        <v/>
      </c>
      <c r="P433" s="11"/>
    </row>
    <row r="434" spans="4:16" x14ac:dyDescent="0.2">
      <c r="D434" s="1">
        <v>45995</v>
      </c>
      <c r="E434" s="2">
        <v>0.79166666666666663</v>
      </c>
      <c r="F434" t="s">
        <v>30</v>
      </c>
      <c r="G434">
        <f>VLOOKUP(Table4[[#This Row],[Home]],'NHL Model'!$A$6:$B$38,2,FALSE)</f>
        <v>-6.4729560818359025E-2</v>
      </c>
      <c r="H434" t="s">
        <v>12</v>
      </c>
      <c r="I434">
        <f>VLOOKUP(Table4[[#This Row],[Visitor]],'NHL Model'!$A$6:$B$38,2,FALSE)</f>
        <v>1.5475013591489768</v>
      </c>
      <c r="J434">
        <f ca="1">($B$1+Table4[[#This Row],[Home Differential]])-Table4[[#This Row],[Away Differential]]</f>
        <v>-1.4496586103050175</v>
      </c>
      <c r="K434" t="str">
        <f ca="1">IF(Table4[[#This Row],[HomeIce Differential]]&gt;0,Table4[[#This Row],[Home]],Table4[[#This Row],[Visitor]])</f>
        <v>Colorado Avalanche</v>
      </c>
      <c r="L434" s="11">
        <f ca="1"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0.72717854990309827</v>
      </c>
      <c r="M434" t="str">
        <f ca="1">IF(OR((NHL2025_26Results[[#This Row],[Winning Team]]="")),"-",IF(Table4[[#This Row],[Predicted Winner]]=NHL2025_26Results[[#This Row],[Winning Team]],"YES","NO"))</f>
        <v>-</v>
      </c>
      <c r="N434" t="str">
        <f ca="1">IF(Table4[[#This Row],[Adjusted Correct]]="-", "",IF(Table4[[#This Row],[Adjusted Correct]]="YES",(Table4[[#This Row],[Strength of Win]]-1)^2,(Table4[[#This Row],[Strength of Win]]-0)^2))</f>
        <v/>
      </c>
      <c r="P434" s="11"/>
    </row>
    <row r="435" spans="4:16" x14ac:dyDescent="0.2">
      <c r="D435" s="1">
        <v>45995</v>
      </c>
      <c r="E435" s="2">
        <v>0.79166666666666663</v>
      </c>
      <c r="F435" t="s">
        <v>36</v>
      </c>
      <c r="G435">
        <f>VLOOKUP(Table4[[#This Row],[Home]],'NHL Model'!$A$6:$B$38,2,FALSE)</f>
        <v>-0.40651947573390851</v>
      </c>
      <c r="H435" t="s">
        <v>15</v>
      </c>
      <c r="I435">
        <f>VLOOKUP(Table4[[#This Row],[Visitor]],'NHL Model'!$A$6:$B$38,2,FALSE)</f>
        <v>-0.30719665303039001</v>
      </c>
      <c r="J435">
        <f ca="1">($B$1+Table4[[#This Row],[Home Differential]])-Table4[[#This Row],[Away Differential]]</f>
        <v>6.3249486958799894E-2</v>
      </c>
      <c r="K435" t="str">
        <f ca="1">IF(Table4[[#This Row],[HomeIce Differential]]&gt;0,Table4[[#This Row],[Home]],Table4[[#This Row],[Visitor]])</f>
        <v>Ottawa Senators</v>
      </c>
      <c r="L435" s="11">
        <f ca="1"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0.4087637644173448</v>
      </c>
      <c r="M435" t="str">
        <f ca="1">IF(OR((NHL2025_26Results[[#This Row],[Winning Team]]="")),"-",IF(Table4[[#This Row],[Predicted Winner]]=NHL2025_26Results[[#This Row],[Winning Team]],"YES","NO"))</f>
        <v>-</v>
      </c>
      <c r="N435" t="str">
        <f ca="1">IF(Table4[[#This Row],[Adjusted Correct]]="-", "",IF(Table4[[#This Row],[Adjusted Correct]]="YES",(Table4[[#This Row],[Strength of Win]]-1)^2,(Table4[[#This Row],[Strength of Win]]-0)^2))</f>
        <v/>
      </c>
      <c r="P435" s="11"/>
    </row>
    <row r="436" spans="4:16" x14ac:dyDescent="0.2">
      <c r="D436" s="1">
        <v>45995</v>
      </c>
      <c r="E436" s="2">
        <v>0.79166666666666663</v>
      </c>
      <c r="F436" t="s">
        <v>37</v>
      </c>
      <c r="G436">
        <f>VLOOKUP(Table4[[#This Row],[Home]],'NHL Model'!$A$6:$B$38,2,FALSE)</f>
        <v>-0.11309445867623392</v>
      </c>
      <c r="H436" t="s">
        <v>14</v>
      </c>
      <c r="I436">
        <f>VLOOKUP(Table4[[#This Row],[Visitor]],'NHL Model'!$A$6:$B$38,2,FALSE)</f>
        <v>0.26289091192875702</v>
      </c>
      <c r="J436">
        <f ca="1">($B$1+Table4[[#This Row],[Home Differential]])-Table4[[#This Row],[Away Differential]]</f>
        <v>-0.21341306094267254</v>
      </c>
      <c r="K436" t="str">
        <f ca="1">IF(Table4[[#This Row],[HomeIce Differential]]&gt;0,Table4[[#This Row],[Home]],Table4[[#This Row],[Visitor]])</f>
        <v>Pittsburgh Penguins</v>
      </c>
      <c r="L436" s="11">
        <f ca="1"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0.48957022862342509</v>
      </c>
      <c r="M436" t="str">
        <f ca="1">IF(OR((NHL2025_26Results[[#This Row],[Winning Team]]="")),"-",IF(Table4[[#This Row],[Predicted Winner]]=NHL2025_26Results[[#This Row],[Winning Team]],"YES","NO"))</f>
        <v>-</v>
      </c>
      <c r="N436" t="str">
        <f ca="1">IF(Table4[[#This Row],[Adjusted Correct]]="-", "",IF(Table4[[#This Row],[Adjusted Correct]]="YES",(Table4[[#This Row],[Strength of Win]]-1)^2,(Table4[[#This Row],[Strength of Win]]-0)^2))</f>
        <v/>
      </c>
      <c r="P436" s="11"/>
    </row>
    <row r="437" spans="4:16" x14ac:dyDescent="0.2">
      <c r="D437" s="1">
        <v>45996</v>
      </c>
      <c r="E437" s="2">
        <v>0.91666666666666663</v>
      </c>
      <c r="F437" t="s">
        <v>31</v>
      </c>
      <c r="G437">
        <f>VLOOKUP(Table4[[#This Row],[Home]],'NHL Model'!$A$6:$B$38,2,FALSE)</f>
        <v>0.51775546328552802</v>
      </c>
      <c r="H437" t="s">
        <v>22</v>
      </c>
      <c r="I437">
        <f>VLOOKUP(Table4[[#This Row],[Visitor]],'NHL Model'!$A$6:$B$38,2,FALSE)</f>
        <v>-6.1308839486784707E-2</v>
      </c>
      <c r="J437">
        <f ca="1">($B$1+Table4[[#This Row],[Home Differential]])-Table4[[#This Row],[Away Differential]]</f>
        <v>0.74163661243463108</v>
      </c>
      <c r="K437" t="str">
        <f ca="1">IF(Table4[[#This Row],[HomeIce Differential]]&gt;0,Table4[[#This Row],[Home]],Table4[[#This Row],[Visitor]])</f>
        <v>Anaheim Ducks</v>
      </c>
      <c r="L437" s="11">
        <f ca="1"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0.74709007516587267</v>
      </c>
      <c r="M437" t="str">
        <f ca="1">IF(OR((NHL2025_26Results[[#This Row],[Winning Team]]="")),"-",IF(Table4[[#This Row],[Predicted Winner]]=NHL2025_26Results[[#This Row],[Winning Team]],"YES","NO"))</f>
        <v>-</v>
      </c>
      <c r="N437" t="str">
        <f ca="1">IF(Table4[[#This Row],[Adjusted Correct]]="-", "",IF(Table4[[#This Row],[Adjusted Correct]]="YES",(Table4[[#This Row],[Strength of Win]]-1)^2,(Table4[[#This Row],[Strength of Win]]-0)^2))</f>
        <v/>
      </c>
      <c r="P437" s="11"/>
    </row>
    <row r="438" spans="4:16" x14ac:dyDescent="0.2">
      <c r="D438" s="1">
        <v>45996</v>
      </c>
      <c r="E438" s="2">
        <v>0.83333333333333337</v>
      </c>
      <c r="F438" t="s">
        <v>39</v>
      </c>
      <c r="G438">
        <f>VLOOKUP(Table4[[#This Row],[Home]],'NHL Model'!$A$6:$B$38,2,FALSE)</f>
        <v>0.19809534061227302</v>
      </c>
      <c r="H438" t="s">
        <v>33</v>
      </c>
      <c r="I438">
        <f>VLOOKUP(Table4[[#This Row],[Visitor]],'NHL Model'!$A$6:$B$38,2,FALSE)</f>
        <v>-0.39418177254008485</v>
      </c>
      <c r="J438">
        <f ca="1">($B$1+Table4[[#This Row],[Home Differential]])-Table4[[#This Row],[Away Differential]]</f>
        <v>0.75484942281467626</v>
      </c>
      <c r="K438" t="str">
        <f ca="1">IF(Table4[[#This Row],[HomeIce Differential]]&gt;0,Table4[[#This Row],[Home]],Table4[[#This Row],[Visitor]])</f>
        <v>Dallas Stars</v>
      </c>
      <c r="L438" s="11">
        <f ca="1"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0.67062866346283723</v>
      </c>
      <c r="M438" t="str">
        <f ca="1">IF(OR((NHL2025_26Results[[#This Row],[Winning Team]]="")),"-",IF(Table4[[#This Row],[Predicted Winner]]=NHL2025_26Results[[#This Row],[Winning Team]],"YES","NO"))</f>
        <v>-</v>
      </c>
      <c r="N438" t="str">
        <f ca="1">IF(Table4[[#This Row],[Adjusted Correct]]="-", "",IF(Table4[[#This Row],[Adjusted Correct]]="YES",(Table4[[#This Row],[Strength of Win]]-1)^2,(Table4[[#This Row],[Strength of Win]]-0)^2))</f>
        <v/>
      </c>
      <c r="P438" s="11"/>
    </row>
    <row r="439" spans="4:16" x14ac:dyDescent="0.2">
      <c r="D439" s="1">
        <v>45996</v>
      </c>
      <c r="E439" s="2">
        <v>0.79166666666666663</v>
      </c>
      <c r="F439" t="s">
        <v>24</v>
      </c>
      <c r="G439">
        <f>VLOOKUP(Table4[[#This Row],[Home]],'NHL Model'!$A$6:$B$38,2,FALSE)</f>
        <v>0.559441163373953</v>
      </c>
      <c r="H439" t="s">
        <v>20</v>
      </c>
      <c r="I439">
        <f>VLOOKUP(Table4[[#This Row],[Visitor]],'NHL Model'!$A$6:$B$38,2,FALSE)</f>
        <v>-6.3745791019188943E-4</v>
      </c>
      <c r="J439">
        <f ca="1">($B$1+Table4[[#This Row],[Home Differential]])-Table4[[#This Row],[Away Differential]]</f>
        <v>0.72265093094646327</v>
      </c>
      <c r="K439" t="str">
        <f ca="1">IF(Table4[[#This Row],[HomeIce Differential]]&gt;0,Table4[[#This Row],[Home]],Table4[[#This Row],[Visitor]])</f>
        <v>New Jersey Devils</v>
      </c>
      <c r="L439" s="11">
        <f ca="1"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0.73649318395846719</v>
      </c>
      <c r="M439" t="str">
        <f ca="1">IF(OR((NHL2025_26Results[[#This Row],[Winning Team]]="")),"-",IF(Table4[[#This Row],[Predicted Winner]]=NHL2025_26Results[[#This Row],[Winning Team]],"YES","NO"))</f>
        <v>-</v>
      </c>
      <c r="N439" t="str">
        <f ca="1">IF(Table4[[#This Row],[Adjusted Correct]]="-", "",IF(Table4[[#This Row],[Adjusted Correct]]="YES",(Table4[[#This Row],[Strength of Win]]-1)^2,(Table4[[#This Row],[Strength of Win]]-0)^2))</f>
        <v/>
      </c>
      <c r="P439" s="11"/>
    </row>
    <row r="440" spans="4:16" x14ac:dyDescent="0.2">
      <c r="D440" s="1">
        <v>45996</v>
      </c>
      <c r="E440" s="2">
        <v>0.875</v>
      </c>
      <c r="F440" t="s">
        <v>38</v>
      </c>
      <c r="G440">
        <f>VLOOKUP(Table4[[#This Row],[Home]],'NHL Model'!$A$6:$B$38,2,FALSE)</f>
        <v>-0.6902088310934803</v>
      </c>
      <c r="H440" t="s">
        <v>55</v>
      </c>
      <c r="I440">
        <f>VLOOKUP(Table4[[#This Row],[Visitor]],'NHL Model'!$A$6:$B$38,2,FALSE)</f>
        <v>-0.12212311954851815</v>
      </c>
      <c r="J440">
        <f ca="1">($B$1+Table4[[#This Row],[Home Differential]])-Table4[[#This Row],[Away Differential]]</f>
        <v>-0.40551340188264373</v>
      </c>
      <c r="K440" t="str">
        <f ca="1">IF(Table4[[#This Row],[HomeIce Differential]]&gt;0,Table4[[#This Row],[Home]],Table4[[#This Row],[Visitor]])</f>
        <v>Utah Mammoth</v>
      </c>
      <c r="L440" s="11">
        <f ca="1"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0.51618739523516655</v>
      </c>
      <c r="M440" t="str">
        <f ca="1">IF(OR((NHL2025_26Results[[#This Row],[Winning Team]]="")),"-",IF(Table4[[#This Row],[Predicted Winner]]=NHL2025_26Results[[#This Row],[Winning Team]],"YES","NO"))</f>
        <v>-</v>
      </c>
      <c r="N440" t="str">
        <f ca="1">IF(Table4[[#This Row],[Adjusted Correct]]="-", "",IF(Table4[[#This Row],[Adjusted Correct]]="YES",(Table4[[#This Row],[Strength of Win]]-1)^2,(Table4[[#This Row],[Strength of Win]]-0)^2))</f>
        <v/>
      </c>
      <c r="P440" s="11"/>
    </row>
    <row r="441" spans="4:16" x14ac:dyDescent="0.2">
      <c r="D441" s="1">
        <v>45996</v>
      </c>
      <c r="E441" s="2">
        <v>0.79166666666666663</v>
      </c>
      <c r="F441" t="s">
        <v>40</v>
      </c>
      <c r="G441">
        <f>VLOOKUP(Table4[[#This Row],[Home]],'NHL Model'!$A$6:$B$38,2,FALSE)</f>
        <v>0.105105258369765</v>
      </c>
      <c r="H441" t="s">
        <v>23</v>
      </c>
      <c r="I441">
        <f>VLOOKUP(Table4[[#This Row],[Visitor]],'NHL Model'!$A$6:$B$38,2,FALSE)</f>
        <v>-0.8683412362501769</v>
      </c>
      <c r="J441">
        <f ca="1">($B$1+Table4[[#This Row],[Home Differential]])-Table4[[#This Row],[Away Differential]]</f>
        <v>1.1360188042822603</v>
      </c>
      <c r="K441" t="str">
        <f ca="1">IF(Table4[[#This Row],[HomeIce Differential]]&gt;0,Table4[[#This Row],[Home]],Table4[[#This Row],[Visitor]])</f>
        <v>Winnipeg Jets</v>
      </c>
      <c r="L441" s="11">
        <f ca="1"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0.73344211426112083</v>
      </c>
      <c r="M441" t="str">
        <f ca="1">IF(OR((NHL2025_26Results[[#This Row],[Winning Team]]="")),"-",IF(Table4[[#This Row],[Predicted Winner]]=NHL2025_26Results[[#This Row],[Winning Team]],"YES","NO"))</f>
        <v>-</v>
      </c>
      <c r="N441" t="str">
        <f ca="1">IF(Table4[[#This Row],[Adjusted Correct]]="-", "",IF(Table4[[#This Row],[Adjusted Correct]]="YES",(Table4[[#This Row],[Strength of Win]]-1)^2,(Table4[[#This Row],[Strength of Win]]-0)^2))</f>
        <v/>
      </c>
      <c r="P441" s="11"/>
    </row>
    <row r="442" spans="4:16" x14ac:dyDescent="0.2">
      <c r="D442" s="1">
        <v>45997</v>
      </c>
      <c r="E442" s="2">
        <v>0.79166666666666663</v>
      </c>
      <c r="F442" t="s">
        <v>21</v>
      </c>
      <c r="G442">
        <f>VLOOKUP(Table4[[#This Row],[Home]],'NHL Model'!$A$6:$B$38,2,FALSE)</f>
        <v>4.029141914856392E-2</v>
      </c>
      <c r="H442" t="s">
        <v>24</v>
      </c>
      <c r="I442">
        <f>VLOOKUP(Table4[[#This Row],[Visitor]],'NHL Model'!$A$6:$B$38,2,FALSE)</f>
        <v>0.559441163373953</v>
      </c>
      <c r="J442">
        <f ca="1">($B$1+Table4[[#This Row],[Home Differential]])-Table4[[#This Row],[Away Differential]]</f>
        <v>-0.35657743456307067</v>
      </c>
      <c r="K442" t="str">
        <f ca="1">IF(Table4[[#This Row],[HomeIce Differential]]&gt;0,Table4[[#This Row],[Home]],Table4[[#This Row],[Visitor]])</f>
        <v>New Jersey Devils</v>
      </c>
      <c r="L442" s="11">
        <f ca="1"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0.5014616874979968</v>
      </c>
      <c r="M442" t="str">
        <f ca="1">IF(OR((NHL2025_26Results[[#This Row],[Winning Team]]="")),"-",IF(Table4[[#This Row],[Predicted Winner]]=NHL2025_26Results[[#This Row],[Winning Team]],"YES","NO"))</f>
        <v>-</v>
      </c>
      <c r="N442" t="str">
        <f ca="1">IF(Table4[[#This Row],[Adjusted Correct]]="-", "",IF(Table4[[#This Row],[Adjusted Correct]]="YES",(Table4[[#This Row],[Strength of Win]]-1)^2,(Table4[[#This Row],[Strength of Win]]-0)^2))</f>
        <v/>
      </c>
      <c r="P442" s="11"/>
    </row>
    <row r="443" spans="4:16" x14ac:dyDescent="0.2">
      <c r="D443" s="1">
        <v>45997</v>
      </c>
      <c r="E443" s="2">
        <v>0.79166666666666663</v>
      </c>
      <c r="F443" t="s">
        <v>25</v>
      </c>
      <c r="G443">
        <f>VLOOKUP(Table4[[#This Row],[Home]],'NHL Model'!$A$6:$B$38,2,FALSE)</f>
        <v>0.67193921242367816</v>
      </c>
      <c r="H443" t="s">
        <v>29</v>
      </c>
      <c r="I443">
        <f>VLOOKUP(Table4[[#This Row],[Visitor]],'NHL Model'!$A$6:$B$38,2,FALSE)</f>
        <v>-1.3516250707060606</v>
      </c>
      <c r="J443">
        <f ca="1">($B$1+Table4[[#This Row],[Home Differential]])-Table4[[#This Row],[Away Differential]]</f>
        <v>2.1861365927920571</v>
      </c>
      <c r="K443" t="str">
        <f ca="1">IF(Table4[[#This Row],[HomeIce Differential]]&gt;0,Table4[[#This Row],[Home]],Table4[[#This Row],[Visitor]])</f>
        <v>Carolina Hurricanes</v>
      </c>
      <c r="L443" s="11">
        <f ca="1"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0.89462414214536201</v>
      </c>
      <c r="M443" t="str">
        <f ca="1">IF(OR((NHL2025_26Results[[#This Row],[Winning Team]]="")),"-",IF(Table4[[#This Row],[Predicted Winner]]=NHL2025_26Results[[#This Row],[Winning Team]],"YES","NO"))</f>
        <v>-</v>
      </c>
      <c r="N443" t="str">
        <f ca="1">IF(Table4[[#This Row],[Adjusted Correct]]="-", "",IF(Table4[[#This Row],[Adjusted Correct]]="YES",(Table4[[#This Row],[Strength of Win]]-1)^2,(Table4[[#This Row],[Strength of Win]]-0)^2))</f>
        <v/>
      </c>
      <c r="P443" s="11"/>
    </row>
    <row r="444" spans="4:16" x14ac:dyDescent="0.2">
      <c r="D444" s="1">
        <v>45997</v>
      </c>
      <c r="E444" s="2">
        <v>0.79166666666666663</v>
      </c>
      <c r="F444" t="s">
        <v>16</v>
      </c>
      <c r="G444">
        <f>VLOOKUP(Table4[[#This Row],[Home]],'NHL Model'!$A$6:$B$38,2,FALSE)</f>
        <v>-1.3903684122795328</v>
      </c>
      <c r="H444" t="s">
        <v>55</v>
      </c>
      <c r="I444">
        <f>VLOOKUP(Table4[[#This Row],[Visitor]],'NHL Model'!$A$6:$B$38,2,FALSE)</f>
        <v>-0.12212311954851815</v>
      </c>
      <c r="J444">
        <f ca="1">($B$1+Table4[[#This Row],[Home Differential]])-Table4[[#This Row],[Away Differential]]</f>
        <v>-1.1056729830686962</v>
      </c>
      <c r="K444" t="str">
        <f ca="1">IF(Table4[[#This Row],[HomeIce Differential]]&gt;0,Table4[[#This Row],[Home]],Table4[[#This Row],[Visitor]])</f>
        <v>Utah Mammoth</v>
      </c>
      <c r="L444" s="11">
        <f ca="1"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0.61320057145362961</v>
      </c>
      <c r="M444" t="str">
        <f ca="1">IF(OR((NHL2025_26Results[[#This Row],[Winning Team]]="")),"-",IF(Table4[[#This Row],[Predicted Winner]]=NHL2025_26Results[[#This Row],[Winning Team]],"YES","NO"))</f>
        <v>-</v>
      </c>
      <c r="N444" t="str">
        <f ca="1">IF(Table4[[#This Row],[Adjusted Correct]]="-", "",IF(Table4[[#This Row],[Adjusted Correct]]="YES",(Table4[[#This Row],[Strength of Win]]-1)^2,(Table4[[#This Row],[Strength of Win]]-0)^2))</f>
        <v/>
      </c>
      <c r="P444" s="11"/>
    </row>
    <row r="445" spans="4:16" x14ac:dyDescent="0.2">
      <c r="D445" s="1">
        <v>45997</v>
      </c>
      <c r="E445" s="2">
        <v>0.91666666666666663</v>
      </c>
      <c r="F445" t="s">
        <v>17</v>
      </c>
      <c r="G445">
        <f>VLOOKUP(Table4[[#This Row],[Home]],'NHL Model'!$A$6:$B$38,2,FALSE)</f>
        <v>-0.61980804137564283</v>
      </c>
      <c r="H445" t="s">
        <v>40</v>
      </c>
      <c r="I445">
        <f>VLOOKUP(Table4[[#This Row],[Visitor]],'NHL Model'!$A$6:$B$38,2,FALSE)</f>
        <v>0.105105258369765</v>
      </c>
      <c r="J445">
        <f ca="1">($B$1+Table4[[#This Row],[Home Differential]])-Table4[[#This Row],[Away Differential]]</f>
        <v>-0.56234099008308946</v>
      </c>
      <c r="K445" t="str">
        <f ca="1">IF(Table4[[#This Row],[HomeIce Differential]]&gt;0,Table4[[#This Row],[Home]],Table4[[#This Row],[Visitor]])</f>
        <v>Winnipeg Jets</v>
      </c>
      <c r="L445" s="11">
        <f ca="1"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0.567713134715914</v>
      </c>
      <c r="M445" t="str">
        <f ca="1">IF(OR((NHL2025_26Results[[#This Row],[Winning Team]]="")),"-",IF(Table4[[#This Row],[Predicted Winner]]=NHL2025_26Results[[#This Row],[Winning Team]],"YES","NO"))</f>
        <v>-</v>
      </c>
      <c r="N445" t="str">
        <f ca="1">IF(Table4[[#This Row],[Adjusted Correct]]="-", "",IF(Table4[[#This Row],[Adjusted Correct]]="YES",(Table4[[#This Row],[Strength of Win]]-1)^2,(Table4[[#This Row],[Strength of Win]]-0)^2))</f>
        <v/>
      </c>
      <c r="P445" s="11"/>
    </row>
    <row r="446" spans="4:16" x14ac:dyDescent="0.2">
      <c r="D446" s="1">
        <v>45997</v>
      </c>
      <c r="E446" s="2">
        <v>0.64583333333333337</v>
      </c>
      <c r="F446" t="s">
        <v>11</v>
      </c>
      <c r="G446">
        <f>VLOOKUP(Table4[[#This Row],[Home]],'NHL Model'!$A$6:$B$38,2,FALSE)</f>
        <v>-0.28105923893144158</v>
      </c>
      <c r="H446" t="s">
        <v>28</v>
      </c>
      <c r="I446">
        <f>VLOOKUP(Table4[[#This Row],[Visitor]],'NHL Model'!$A$6:$B$38,2,FALSE)</f>
        <v>-0.40822279081308277</v>
      </c>
      <c r="J446">
        <f ca="1">($B$1+Table4[[#This Row],[Home Differential]])-Table4[[#This Row],[Away Differential]]</f>
        <v>0.28973586154395958</v>
      </c>
      <c r="K446" t="str">
        <f ca="1">IF(Table4[[#This Row],[HomeIce Differential]]&gt;0,Table4[[#This Row],[Home]],Table4[[#This Row],[Visitor]])</f>
        <v>Florida Panthers</v>
      </c>
      <c r="L446" s="11">
        <f ca="1"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0.61157398534286489</v>
      </c>
      <c r="M446" t="str">
        <f ca="1">IF(OR((NHL2025_26Results[[#This Row],[Winning Team]]="")),"-",IF(Table4[[#This Row],[Predicted Winner]]=NHL2025_26Results[[#This Row],[Winning Team]],"YES","NO"))</f>
        <v>-</v>
      </c>
      <c r="N446" t="str">
        <f ca="1">IF(Table4[[#This Row],[Adjusted Correct]]="-", "",IF(Table4[[#This Row],[Adjusted Correct]]="YES",(Table4[[#This Row],[Strength of Win]]-1)^2,(Table4[[#This Row],[Strength of Win]]-0)^2))</f>
        <v/>
      </c>
      <c r="P446" s="11"/>
    </row>
    <row r="447" spans="4:16" x14ac:dyDescent="0.2">
      <c r="D447" s="1">
        <v>45997</v>
      </c>
      <c r="E447" s="2">
        <v>0.875</v>
      </c>
      <c r="F447" t="s">
        <v>13</v>
      </c>
      <c r="G447">
        <f>VLOOKUP(Table4[[#This Row],[Home]],'NHL Model'!$A$6:$B$38,2,FALSE)</f>
        <v>-7.5459708298993802E-2</v>
      </c>
      <c r="H447" t="s">
        <v>10</v>
      </c>
      <c r="I447">
        <f>VLOOKUP(Table4[[#This Row],[Visitor]],'NHL Model'!$A$6:$B$38,2,FALSE)</f>
        <v>0.30570968833820172</v>
      </c>
      <c r="J447">
        <f ca="1">($B$1+Table4[[#This Row],[Home Differential]])-Table4[[#This Row],[Away Differential]]</f>
        <v>-0.21859708697487712</v>
      </c>
      <c r="K447" t="str">
        <f ca="1">IF(Table4[[#This Row],[HomeIce Differential]]&gt;0,Table4[[#This Row],[Home]],Table4[[#This Row],[Visitor]])</f>
        <v>Chicago Blackhawks</v>
      </c>
      <c r="L447" s="11">
        <f ca="1"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0.5110577511142822</v>
      </c>
      <c r="M447" t="str">
        <f ca="1">IF(OR((NHL2025_26Results[[#This Row],[Winning Team]]="")),"-",IF(Table4[[#This Row],[Predicted Winner]]=NHL2025_26Results[[#This Row],[Winning Team]],"YES","NO"))</f>
        <v>-</v>
      </c>
      <c r="N447" t="str">
        <f ca="1">IF(Table4[[#This Row],[Adjusted Correct]]="-", "",IF(Table4[[#This Row],[Adjusted Correct]]="YES",(Table4[[#This Row],[Strength of Win]]-1)^2,(Table4[[#This Row],[Strength of Win]]-0)^2))</f>
        <v/>
      </c>
      <c r="P447" s="11"/>
    </row>
    <row r="448" spans="4:16" x14ac:dyDescent="0.2">
      <c r="D448" s="1">
        <v>45997</v>
      </c>
      <c r="E448" s="2">
        <v>0.52083333333333337</v>
      </c>
      <c r="F448" t="s">
        <v>15</v>
      </c>
      <c r="G448">
        <f>VLOOKUP(Table4[[#This Row],[Home]],'NHL Model'!$A$6:$B$38,2,FALSE)</f>
        <v>-0.30719665303039001</v>
      </c>
      <c r="H448" t="s">
        <v>12</v>
      </c>
      <c r="I448">
        <f>VLOOKUP(Table4[[#This Row],[Visitor]],'NHL Model'!$A$6:$B$38,2,FALSE)</f>
        <v>1.5475013591489768</v>
      </c>
      <c r="J448">
        <f ca="1">($B$1+Table4[[#This Row],[Home Differential]])-Table4[[#This Row],[Away Differential]]</f>
        <v>-1.6921257025170484</v>
      </c>
      <c r="K448" t="str">
        <f ca="1">IF(Table4[[#This Row],[HomeIce Differential]]&gt;0,Table4[[#This Row],[Home]],Table4[[#This Row],[Visitor]])</f>
        <v>Colorado Avalanche</v>
      </c>
      <c r="L448" s="11">
        <f ca="1"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0.7607744662856144</v>
      </c>
      <c r="M448" t="str">
        <f ca="1">IF(OR((NHL2025_26Results[[#This Row],[Winning Team]]="")),"-",IF(Table4[[#This Row],[Predicted Winner]]=NHL2025_26Results[[#This Row],[Winning Team]],"YES","NO"))</f>
        <v>-</v>
      </c>
      <c r="N448" t="str">
        <f ca="1">IF(Table4[[#This Row],[Adjusted Correct]]="-", "",IF(Table4[[#This Row],[Adjusted Correct]]="YES",(Table4[[#This Row],[Strength of Win]]-1)^2,(Table4[[#This Row],[Strength of Win]]-0)^2))</f>
        <v/>
      </c>
      <c r="P448" s="11"/>
    </row>
    <row r="449" spans="4:16" x14ac:dyDescent="0.2">
      <c r="D449" s="1">
        <v>45997</v>
      </c>
      <c r="E449" s="2">
        <v>0.79166666666666663</v>
      </c>
      <c r="F449" t="s">
        <v>36</v>
      </c>
      <c r="G449">
        <f>VLOOKUP(Table4[[#This Row],[Home]],'NHL Model'!$A$6:$B$38,2,FALSE)</f>
        <v>-0.40651947573390851</v>
      </c>
      <c r="H449" t="s">
        <v>35</v>
      </c>
      <c r="I449">
        <f>VLOOKUP(Table4[[#This Row],[Visitor]],'NHL Model'!$A$6:$B$38,2,FALSE)</f>
        <v>-1.6211574240381006</v>
      </c>
      <c r="J449">
        <f ca="1">($B$1+Table4[[#This Row],[Home Differential]])-Table4[[#This Row],[Away Differential]]</f>
        <v>1.3772102579665104</v>
      </c>
      <c r="K449" t="str">
        <f ca="1">IF(Table4[[#This Row],[HomeIce Differential]]&gt;0,Table4[[#This Row],[Home]],Table4[[#This Row],[Visitor]])</f>
        <v>Ottawa Senators</v>
      </c>
      <c r="L449" s="11">
        <f ca="1"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0.73331989271825959</v>
      </c>
      <c r="M449" t="str">
        <f ca="1">IF(OR((NHL2025_26Results[[#This Row],[Winning Team]]="")),"-",IF(Table4[[#This Row],[Predicted Winner]]=NHL2025_26Results[[#This Row],[Winning Team]],"YES","NO"))</f>
        <v>-</v>
      </c>
      <c r="N449" t="str">
        <f ca="1">IF(Table4[[#This Row],[Adjusted Correct]]="-", "",IF(Table4[[#This Row],[Adjusted Correct]]="YES",(Table4[[#This Row],[Strength of Win]]-1)^2,(Table4[[#This Row],[Strength of Win]]-0)^2))</f>
        <v/>
      </c>
      <c r="P449" s="11"/>
    </row>
    <row r="450" spans="4:16" x14ac:dyDescent="0.2">
      <c r="D450" s="1">
        <v>45997</v>
      </c>
      <c r="E450" s="2">
        <v>0.91666666666666663</v>
      </c>
      <c r="F450" t="s">
        <v>32</v>
      </c>
      <c r="G450">
        <f>VLOOKUP(Table4[[#This Row],[Home]],'NHL Model'!$A$6:$B$38,2,FALSE)</f>
        <v>-0.361361309178443</v>
      </c>
      <c r="H450" t="s">
        <v>26</v>
      </c>
      <c r="I450">
        <f>VLOOKUP(Table4[[#This Row],[Visitor]],'NHL Model'!$A$6:$B$38,2,FALSE)</f>
        <v>-0.513643833119658</v>
      </c>
      <c r="J450">
        <f ca="1">($B$1+Table4[[#This Row],[Home Differential]])-Table4[[#This Row],[Away Differential]]</f>
        <v>0.31485483360353339</v>
      </c>
      <c r="K450" t="str">
        <f ca="1">IF(Table4[[#This Row],[HomeIce Differential]]&gt;0,Table4[[#This Row],[Home]],Table4[[#This Row],[Visitor]])</f>
        <v>Seattle Kraken</v>
      </c>
      <c r="L450" s="11">
        <f ca="1"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0.56285663435693367</v>
      </c>
      <c r="M450" t="str">
        <f ca="1">IF(OR((NHL2025_26Results[[#This Row],[Winning Team]]="")),"-",IF(Table4[[#This Row],[Predicted Winner]]=NHL2025_26Results[[#This Row],[Winning Team]],"YES","NO"))</f>
        <v>-</v>
      </c>
      <c r="N450" t="str">
        <f ca="1">IF(Table4[[#This Row],[Adjusted Correct]]="-", "",IF(Table4[[#This Row],[Adjusted Correct]]="YES",(Table4[[#This Row],[Strength of Win]]-1)^2,(Table4[[#This Row],[Strength of Win]]-0)^2))</f>
        <v/>
      </c>
      <c r="P450" s="11"/>
    </row>
    <row r="451" spans="4:16" x14ac:dyDescent="0.2">
      <c r="D451" s="1">
        <v>45997</v>
      </c>
      <c r="E451" s="2">
        <v>0.79166666666666663</v>
      </c>
      <c r="F451" t="s">
        <v>37</v>
      </c>
      <c r="G451">
        <f>VLOOKUP(Table4[[#This Row],[Home]],'NHL Model'!$A$6:$B$38,2,FALSE)</f>
        <v>-0.11309445867623392</v>
      </c>
      <c r="H451" t="s">
        <v>30</v>
      </c>
      <c r="I451">
        <f>VLOOKUP(Table4[[#This Row],[Visitor]],'NHL Model'!$A$6:$B$38,2,FALSE)</f>
        <v>-6.4729560818359025E-2</v>
      </c>
      <c r="J451">
        <f ca="1">($B$1+Table4[[#This Row],[Home Differential]])-Table4[[#This Row],[Away Differential]]</f>
        <v>0.11420741180444349</v>
      </c>
      <c r="K451" t="str">
        <f ca="1">IF(Table4[[#This Row],[HomeIce Differential]]&gt;0,Table4[[#This Row],[Home]],Table4[[#This Row],[Visitor]])</f>
        <v>Tampa Bay Lightning</v>
      </c>
      <c r="L451" s="11">
        <f ca="1"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0.51331186359464986</v>
      </c>
      <c r="M451" t="str">
        <f ca="1">IF(OR((NHL2025_26Results[[#This Row],[Winning Team]]="")),"-",IF(Table4[[#This Row],[Predicted Winner]]=NHL2025_26Results[[#This Row],[Winning Team]],"YES","NO"))</f>
        <v>-</v>
      </c>
      <c r="N451" t="str">
        <f ca="1">IF(Table4[[#This Row],[Adjusted Correct]]="-", "",IF(Table4[[#This Row],[Adjusted Correct]]="YES",(Table4[[#This Row],[Strength of Win]]-1)^2,(Table4[[#This Row],[Strength of Win]]-0)^2))</f>
        <v/>
      </c>
      <c r="P451" s="11"/>
    </row>
    <row r="452" spans="4:16" x14ac:dyDescent="0.2">
      <c r="D452" s="1">
        <v>45997</v>
      </c>
      <c r="E452" s="2">
        <v>0.79166666666666663</v>
      </c>
      <c r="F452" t="s">
        <v>19</v>
      </c>
      <c r="G452">
        <f>VLOOKUP(Table4[[#This Row],[Home]],'NHL Model'!$A$6:$B$38,2,FALSE)</f>
        <v>-0.635565543477981</v>
      </c>
      <c r="H452" t="s">
        <v>18</v>
      </c>
      <c r="I452">
        <f>VLOOKUP(Table4[[#This Row],[Visitor]],'NHL Model'!$A$6:$B$38,2,FALSE)</f>
        <v>-0.52437726201848234</v>
      </c>
      <c r="J452">
        <f ca="1">($B$1+Table4[[#This Row],[Home Differential]])-Table4[[#This Row],[Away Differential]]</f>
        <v>5.1384028202819731E-2</v>
      </c>
      <c r="K452" t="str">
        <f ca="1">IF(Table4[[#This Row],[HomeIce Differential]]&gt;0,Table4[[#This Row],[Home]],Table4[[#This Row],[Visitor]])</f>
        <v>Toronto Maple Leafs</v>
      </c>
      <c r="L452" s="11">
        <f ca="1"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0.47063901560803068</v>
      </c>
      <c r="M452" t="str">
        <f ca="1">IF(OR((NHL2025_26Results[[#This Row],[Winning Team]]="")),"-",IF(Table4[[#This Row],[Predicted Winner]]=NHL2025_26Results[[#This Row],[Winning Team]],"YES","NO"))</f>
        <v>-</v>
      </c>
      <c r="N452" t="str">
        <f ca="1">IF(Table4[[#This Row],[Adjusted Correct]]="-", "",IF(Table4[[#This Row],[Adjusted Correct]]="YES",(Table4[[#This Row],[Strength of Win]]-1)^2,(Table4[[#This Row],[Strength of Win]]-0)^2))</f>
        <v/>
      </c>
      <c r="P452" s="11"/>
    </row>
    <row r="453" spans="4:16" x14ac:dyDescent="0.2">
      <c r="D453" s="1">
        <v>45997</v>
      </c>
      <c r="E453" s="2">
        <v>0.91666666666666663</v>
      </c>
      <c r="F453" t="s">
        <v>38</v>
      </c>
      <c r="G453">
        <f>VLOOKUP(Table4[[#This Row],[Home]],'NHL Model'!$A$6:$B$38,2,FALSE)</f>
        <v>-0.6902088310934803</v>
      </c>
      <c r="H453" t="s">
        <v>34</v>
      </c>
      <c r="I453">
        <f>VLOOKUP(Table4[[#This Row],[Visitor]],'NHL Model'!$A$6:$B$38,2,FALSE)</f>
        <v>-0.53650300840565446</v>
      </c>
      <c r="J453">
        <f ca="1">($B$1+Table4[[#This Row],[Home Differential]])-Table4[[#This Row],[Away Differential]]</f>
        <v>8.866486974492549E-3</v>
      </c>
      <c r="K453" t="str">
        <f ca="1">IF(Table4[[#This Row],[HomeIce Differential]]&gt;0,Table4[[#This Row],[Home]],Table4[[#This Row],[Visitor]])</f>
        <v>Vancouver Canucks</v>
      </c>
      <c r="L453" s="11">
        <f ca="1"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0.54122852859035087</v>
      </c>
      <c r="M453" t="str">
        <f ca="1">IF(OR((NHL2025_26Results[[#This Row],[Winning Team]]="")),"-",IF(Table4[[#This Row],[Predicted Winner]]=NHL2025_26Results[[#This Row],[Winning Team]],"YES","NO"))</f>
        <v>-</v>
      </c>
      <c r="N453" t="str">
        <f ca="1">IF(Table4[[#This Row],[Adjusted Correct]]="-", "",IF(Table4[[#This Row],[Adjusted Correct]]="YES",(Table4[[#This Row],[Strength of Win]]-1)^2,(Table4[[#This Row],[Strength of Win]]-0)^2))</f>
        <v/>
      </c>
      <c r="P453" s="11"/>
    </row>
    <row r="454" spans="4:16" x14ac:dyDescent="0.2">
      <c r="D454" s="1">
        <v>45998</v>
      </c>
      <c r="E454" s="2">
        <v>0.83333333333333337</v>
      </c>
      <c r="F454" t="s">
        <v>31</v>
      </c>
      <c r="G454">
        <f>VLOOKUP(Table4[[#This Row],[Home]],'NHL Model'!$A$6:$B$38,2,FALSE)</f>
        <v>0.51775546328552802</v>
      </c>
      <c r="H454" t="s">
        <v>10</v>
      </c>
      <c r="I454">
        <f>VLOOKUP(Table4[[#This Row],[Visitor]],'NHL Model'!$A$6:$B$38,2,FALSE)</f>
        <v>0.30570968833820172</v>
      </c>
      <c r="J454">
        <f ca="1">($B$1+Table4[[#This Row],[Home Differential]])-Table4[[#This Row],[Away Differential]]</f>
        <v>0.37461808460964469</v>
      </c>
      <c r="K454" t="str">
        <f ca="1">IF(Table4[[#This Row],[HomeIce Differential]]&gt;0,Table4[[#This Row],[Home]],Table4[[#This Row],[Visitor]])</f>
        <v>Anaheim Ducks</v>
      </c>
      <c r="L454" s="11">
        <f ca="1"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0.67690658134720472</v>
      </c>
      <c r="M454" t="str">
        <f ca="1">IF(OR((NHL2025_26Results[[#This Row],[Winning Team]]="")),"-",IF(Table4[[#This Row],[Predicted Winner]]=NHL2025_26Results[[#This Row],[Winning Team]],"YES","NO"))</f>
        <v>-</v>
      </c>
      <c r="N454" t="str">
        <f ca="1">IF(Table4[[#This Row],[Adjusted Correct]]="-", "",IF(Table4[[#This Row],[Adjusted Correct]]="YES",(Table4[[#This Row],[Strength of Win]]-1)^2,(Table4[[#This Row],[Strength of Win]]-0)^2))</f>
        <v/>
      </c>
      <c r="P454" s="11"/>
    </row>
    <row r="455" spans="4:16" x14ac:dyDescent="0.2">
      <c r="D455" s="1">
        <v>45998</v>
      </c>
      <c r="E455" s="2">
        <v>0.70833333333333337</v>
      </c>
      <c r="F455" t="s">
        <v>25</v>
      </c>
      <c r="G455">
        <f>VLOOKUP(Table4[[#This Row],[Home]],'NHL Model'!$A$6:$B$38,2,FALSE)</f>
        <v>0.67193921242367816</v>
      </c>
      <c r="H455" t="s">
        <v>33</v>
      </c>
      <c r="I455">
        <f>VLOOKUP(Table4[[#This Row],[Visitor]],'NHL Model'!$A$6:$B$38,2,FALSE)</f>
        <v>-0.39418177254008485</v>
      </c>
      <c r="J455">
        <f ca="1">($B$1+Table4[[#This Row],[Home Differential]])-Table4[[#This Row],[Away Differential]]</f>
        <v>1.2286932946260813</v>
      </c>
      <c r="K455" t="str">
        <f ca="1">IF(Table4[[#This Row],[HomeIce Differential]]&gt;0,Table4[[#This Row],[Home]],Table4[[#This Row],[Visitor]])</f>
        <v>Carolina Hurricanes</v>
      </c>
      <c r="L455" s="11">
        <f ca="1"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0.76196207781023118</v>
      </c>
      <c r="M455" t="str">
        <f ca="1">IF(OR((NHL2025_26Results[[#This Row],[Winning Team]]="")),"-",IF(Table4[[#This Row],[Predicted Winner]]=NHL2025_26Results[[#This Row],[Winning Team]],"YES","NO"))</f>
        <v>-</v>
      </c>
      <c r="N455" t="str">
        <f ca="1">IF(Table4[[#This Row],[Adjusted Correct]]="-", "",IF(Table4[[#This Row],[Adjusted Correct]]="YES",(Table4[[#This Row],[Strength of Win]]-1)^2,(Table4[[#This Row],[Strength of Win]]-0)^2))</f>
        <v/>
      </c>
      <c r="P455" s="11"/>
    </row>
    <row r="456" spans="4:16" x14ac:dyDescent="0.2">
      <c r="D456" s="1">
        <v>45998</v>
      </c>
      <c r="E456" s="2">
        <v>0.75</v>
      </c>
      <c r="F456" t="s">
        <v>39</v>
      </c>
      <c r="G456">
        <f>VLOOKUP(Table4[[#This Row],[Home]],'NHL Model'!$A$6:$B$38,2,FALSE)</f>
        <v>0.19809534061227302</v>
      </c>
      <c r="H456" t="s">
        <v>14</v>
      </c>
      <c r="I456">
        <f>VLOOKUP(Table4[[#This Row],[Visitor]],'NHL Model'!$A$6:$B$38,2,FALSE)</f>
        <v>0.26289091192875702</v>
      </c>
      <c r="J456">
        <f ca="1">($B$1+Table4[[#This Row],[Home Differential]])-Table4[[#This Row],[Away Differential]]</f>
        <v>9.7776738345834391E-2</v>
      </c>
      <c r="K456" t="str">
        <f ca="1">IF(Table4[[#This Row],[HomeIce Differential]]&gt;0,Table4[[#This Row],[Home]],Table4[[#This Row],[Visitor]])</f>
        <v>Dallas Stars</v>
      </c>
      <c r="L456" s="11">
        <f ca="1"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0.5795855500932644</v>
      </c>
      <c r="M456" t="str">
        <f ca="1">IF(OR((NHL2025_26Results[[#This Row],[Winning Team]]="")),"-",IF(Table4[[#This Row],[Predicted Winner]]=NHL2025_26Results[[#This Row],[Winning Team]],"YES","NO"))</f>
        <v>-</v>
      </c>
      <c r="N456" t="str">
        <f ca="1">IF(Table4[[#This Row],[Adjusted Correct]]="-", "",IF(Table4[[#This Row],[Adjusted Correct]]="YES",(Table4[[#This Row],[Strength of Win]]-1)^2,(Table4[[#This Row],[Strength of Win]]-0)^2))</f>
        <v/>
      </c>
      <c r="P456" s="11"/>
    </row>
    <row r="457" spans="4:16" x14ac:dyDescent="0.2">
      <c r="D457" s="1">
        <v>45998</v>
      </c>
      <c r="E457" s="2">
        <v>0.70833333333333337</v>
      </c>
      <c r="F457" t="s">
        <v>11</v>
      </c>
      <c r="G457">
        <f>VLOOKUP(Table4[[#This Row],[Home]],'NHL Model'!$A$6:$B$38,2,FALSE)</f>
        <v>-0.28105923893144158</v>
      </c>
      <c r="H457" t="s">
        <v>30</v>
      </c>
      <c r="I457">
        <f>VLOOKUP(Table4[[#This Row],[Visitor]],'NHL Model'!$A$6:$B$38,2,FALSE)</f>
        <v>-6.4729560818359025E-2</v>
      </c>
      <c r="J457">
        <f ca="1">($B$1+Table4[[#This Row],[Home Differential]])-Table4[[#This Row],[Away Differential]]</f>
        <v>-5.3757368450764162E-2</v>
      </c>
      <c r="K457" t="str">
        <f ca="1">IF(Table4[[#This Row],[HomeIce Differential]]&gt;0,Table4[[#This Row],[Home]],Table4[[#This Row],[Visitor]])</f>
        <v>New York Islanders</v>
      </c>
      <c r="L457" s="11">
        <f ca="1"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0.45744854915749417</v>
      </c>
      <c r="M457" t="str">
        <f ca="1">IF(OR((NHL2025_26Results[[#This Row],[Winning Team]]="")),"-",IF(Table4[[#This Row],[Predicted Winner]]=NHL2025_26Results[[#This Row],[Winning Team]],"YES","NO"))</f>
        <v>-</v>
      </c>
      <c r="N457" t="str">
        <f ca="1">IF(Table4[[#This Row],[Adjusted Correct]]="-", "",IF(Table4[[#This Row],[Adjusted Correct]]="YES",(Table4[[#This Row],[Strength of Win]]-1)^2,(Table4[[#This Row],[Strength of Win]]-0)^2))</f>
        <v/>
      </c>
      <c r="P457" s="11"/>
    </row>
    <row r="458" spans="4:16" x14ac:dyDescent="0.2">
      <c r="D458" s="1">
        <v>45998</v>
      </c>
      <c r="E458" s="2">
        <v>0.79166666666666663</v>
      </c>
      <c r="F458" t="s">
        <v>18</v>
      </c>
      <c r="G458">
        <f>VLOOKUP(Table4[[#This Row],[Home]],'NHL Model'!$A$6:$B$38,2,FALSE)</f>
        <v>-0.52437726201848234</v>
      </c>
      <c r="H458" t="s">
        <v>35</v>
      </c>
      <c r="I458">
        <f>VLOOKUP(Table4[[#This Row],[Visitor]],'NHL Model'!$A$6:$B$38,2,FALSE)</f>
        <v>-1.6211574240381006</v>
      </c>
      <c r="J458">
        <f ca="1">($B$1+Table4[[#This Row],[Home Differential]])-Table4[[#This Row],[Away Differential]]</f>
        <v>1.2593524716819366</v>
      </c>
      <c r="K458" t="str">
        <f ca="1">IF(Table4[[#This Row],[HomeIce Differential]]&gt;0,Table4[[#This Row],[Home]],Table4[[#This Row],[Visitor]])</f>
        <v>Montreal Canadiens</v>
      </c>
      <c r="L458" s="11">
        <f ca="1"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0.71449419609380693</v>
      </c>
      <c r="M458" t="str">
        <f ca="1">IF(OR((NHL2025_26Results[[#This Row],[Winning Team]]="")),"-",IF(Table4[[#This Row],[Predicted Winner]]=NHL2025_26Results[[#This Row],[Winning Team]],"YES","NO"))</f>
        <v>-</v>
      </c>
      <c r="N458" t="str">
        <f ca="1">IF(Table4[[#This Row],[Adjusted Correct]]="-", "",IF(Table4[[#This Row],[Adjusted Correct]]="YES",(Table4[[#This Row],[Strength of Win]]-1)^2,(Table4[[#This Row],[Strength of Win]]-0)^2))</f>
        <v/>
      </c>
      <c r="P458" s="11"/>
    </row>
    <row r="459" spans="4:16" x14ac:dyDescent="0.2">
      <c r="D459" s="1">
        <v>45998</v>
      </c>
      <c r="E459" s="2">
        <v>0.79166666666666663</v>
      </c>
      <c r="F459" t="s">
        <v>15</v>
      </c>
      <c r="G459">
        <f>VLOOKUP(Table4[[#This Row],[Home]],'NHL Model'!$A$6:$B$38,2,FALSE)</f>
        <v>-0.30719665303039001</v>
      </c>
      <c r="H459" t="s">
        <v>20</v>
      </c>
      <c r="I459">
        <f>VLOOKUP(Table4[[#This Row],[Visitor]],'NHL Model'!$A$6:$B$38,2,FALSE)</f>
        <v>-6.3745791019188943E-4</v>
      </c>
      <c r="J459">
        <f ca="1">($B$1+Table4[[#This Row],[Home Differential]])-Table4[[#This Row],[Away Differential]]</f>
        <v>-0.14398688545787972</v>
      </c>
      <c r="K459" t="str">
        <f ca="1">IF(Table4[[#This Row],[HomeIce Differential]]&gt;0,Table4[[#This Row],[Home]],Table4[[#This Row],[Visitor]])</f>
        <v>Vegas Golden Knights</v>
      </c>
      <c r="L459" s="11">
        <f ca="1"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0.50071986126465362</v>
      </c>
      <c r="M459" t="str">
        <f ca="1">IF(OR((NHL2025_26Results[[#This Row],[Winning Team]]="")),"-",IF(Table4[[#This Row],[Predicted Winner]]=NHL2025_26Results[[#This Row],[Winning Team]],"YES","NO"))</f>
        <v>-</v>
      </c>
      <c r="N459" t="str">
        <f ca="1">IF(Table4[[#This Row],[Adjusted Correct]]="-", "",IF(Table4[[#This Row],[Adjusted Correct]]="YES",(Table4[[#This Row],[Strength of Win]]-1)^2,(Table4[[#This Row],[Strength of Win]]-0)^2))</f>
        <v/>
      </c>
      <c r="P459" s="11"/>
    </row>
    <row r="460" spans="4:16" x14ac:dyDescent="0.2">
      <c r="D460" s="1">
        <v>45998</v>
      </c>
      <c r="E460" s="2">
        <v>0.54166666666666663</v>
      </c>
      <c r="F460" t="s">
        <v>27</v>
      </c>
      <c r="G460">
        <f>VLOOKUP(Table4[[#This Row],[Home]],'NHL Model'!$A$6:$B$38,2,FALSE)</f>
        <v>-0.51358590497437617</v>
      </c>
      <c r="H460" t="s">
        <v>12</v>
      </c>
      <c r="I460">
        <f>VLOOKUP(Table4[[#This Row],[Visitor]],'NHL Model'!$A$6:$B$38,2,FALSE)</f>
        <v>1.5475013591489768</v>
      </c>
      <c r="J460">
        <f ca="1">($B$1+Table4[[#This Row],[Home Differential]])-Table4[[#This Row],[Away Differential]]</f>
        <v>-1.8985149544610347</v>
      </c>
      <c r="K460" t="str">
        <f ca="1">IF(Table4[[#This Row],[HomeIce Differential]]&gt;0,Table4[[#This Row],[Home]],Table4[[#This Row],[Visitor]])</f>
        <v>Colorado Avalanche</v>
      </c>
      <c r="L460" s="11">
        <f ca="1"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0.78686521965320266</v>
      </c>
      <c r="M460" t="str">
        <f ca="1">IF(OR((NHL2025_26Results[[#This Row],[Winning Team]]="")),"-",IF(Table4[[#This Row],[Predicted Winner]]=NHL2025_26Results[[#This Row],[Winning Team]],"YES","NO"))</f>
        <v>-</v>
      </c>
      <c r="N460" t="str">
        <f ca="1">IF(Table4[[#This Row],[Adjusted Correct]]="-", "",IF(Table4[[#This Row],[Adjusted Correct]]="YES",(Table4[[#This Row],[Strength of Win]]-1)^2,(Table4[[#This Row],[Strength of Win]]-0)^2))</f>
        <v/>
      </c>
      <c r="P460" s="11"/>
    </row>
    <row r="461" spans="4:16" x14ac:dyDescent="0.2">
      <c r="D461" s="1">
        <v>45998</v>
      </c>
      <c r="E461" s="2">
        <v>0.79166666666666663</v>
      </c>
      <c r="F461" t="s">
        <v>22</v>
      </c>
      <c r="G461">
        <f>VLOOKUP(Table4[[#This Row],[Home]],'NHL Model'!$A$6:$B$38,2,FALSE)</f>
        <v>-6.1308839486784707E-2</v>
      </c>
      <c r="H461" t="s">
        <v>28</v>
      </c>
      <c r="I461">
        <f>VLOOKUP(Table4[[#This Row],[Visitor]],'NHL Model'!$A$6:$B$38,2,FALSE)</f>
        <v>-0.40822279081308277</v>
      </c>
      <c r="J461">
        <f ca="1">($B$1+Table4[[#This Row],[Home Differential]])-Table4[[#This Row],[Away Differential]]</f>
        <v>0.50948626098861649</v>
      </c>
      <c r="K461" t="str">
        <f ca="1">IF(Table4[[#This Row],[HomeIce Differential]]&gt;0,Table4[[#This Row],[Home]],Table4[[#This Row],[Visitor]])</f>
        <v>Washington Capitals</v>
      </c>
      <c r="L461" s="11">
        <f ca="1"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0.58982450492520433</v>
      </c>
      <c r="M461" t="str">
        <f ca="1">IF(OR((NHL2025_26Results[[#This Row],[Winning Team]]="")),"-",IF(Table4[[#This Row],[Predicted Winner]]=NHL2025_26Results[[#This Row],[Winning Team]],"YES","NO"))</f>
        <v>-</v>
      </c>
      <c r="N461" t="str">
        <f ca="1">IF(Table4[[#This Row],[Adjusted Correct]]="-", "",IF(Table4[[#This Row],[Adjusted Correct]]="YES",(Table4[[#This Row],[Strength of Win]]-1)^2,(Table4[[#This Row],[Strength of Win]]-0)^2))</f>
        <v/>
      </c>
      <c r="P461" s="11"/>
    </row>
    <row r="462" spans="4:16" x14ac:dyDescent="0.2">
      <c r="D462" s="1">
        <v>45999</v>
      </c>
      <c r="E462" s="2">
        <v>0.875</v>
      </c>
      <c r="F462" t="s">
        <v>16</v>
      </c>
      <c r="G462">
        <f>VLOOKUP(Table4[[#This Row],[Home]],'NHL Model'!$A$6:$B$38,2,FALSE)</f>
        <v>-1.3903684122795328</v>
      </c>
      <c r="H462" t="s">
        <v>23</v>
      </c>
      <c r="I462">
        <f>VLOOKUP(Table4[[#This Row],[Visitor]],'NHL Model'!$A$6:$B$38,2,FALSE)</f>
        <v>-0.8683412362501769</v>
      </c>
      <c r="J462">
        <f ca="1">($B$1+Table4[[#This Row],[Home Differential]])-Table4[[#This Row],[Away Differential]]</f>
        <v>-0.3594548663670375</v>
      </c>
      <c r="K462" t="str">
        <f ca="1">IF(Table4[[#This Row],[HomeIce Differential]]&gt;0,Table4[[#This Row],[Home]],Table4[[#This Row],[Visitor]])</f>
        <v>Buffalo Sabres</v>
      </c>
      <c r="L462" s="11">
        <f ca="1"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0.50980558608421456</v>
      </c>
      <c r="M462" t="str">
        <f ca="1">IF(OR((NHL2025_26Results[[#This Row],[Winning Team]]="")),"-",IF(Table4[[#This Row],[Predicted Winner]]=NHL2025_26Results[[#This Row],[Winning Team]],"YES","NO"))</f>
        <v>-</v>
      </c>
      <c r="N462" t="str">
        <f ca="1">IF(Table4[[#This Row],[Adjusted Correct]]="-", "",IF(Table4[[#This Row],[Adjusted Correct]]="YES",(Table4[[#This Row],[Strength of Win]]-1)^2,(Table4[[#This Row],[Strength of Win]]-0)^2))</f>
        <v/>
      </c>
      <c r="P462" s="11"/>
    </row>
    <row r="463" spans="4:16" x14ac:dyDescent="0.2">
      <c r="D463" s="1">
        <v>45999</v>
      </c>
      <c r="E463" s="2">
        <v>0.91666666666666663</v>
      </c>
      <c r="F463" t="s">
        <v>32</v>
      </c>
      <c r="G463">
        <f>VLOOKUP(Table4[[#This Row],[Home]],'NHL Model'!$A$6:$B$38,2,FALSE)</f>
        <v>-0.361361309178443</v>
      </c>
      <c r="H463" t="s">
        <v>34</v>
      </c>
      <c r="I463">
        <f>VLOOKUP(Table4[[#This Row],[Visitor]],'NHL Model'!$A$6:$B$38,2,FALSE)</f>
        <v>-0.53650300840565446</v>
      </c>
      <c r="J463">
        <f ca="1">($B$1+Table4[[#This Row],[Home Differential]])-Table4[[#This Row],[Away Differential]]</f>
        <v>0.33771400888952985</v>
      </c>
      <c r="K463" t="str">
        <f ca="1">IF(Table4[[#This Row],[HomeIce Differential]]&gt;0,Table4[[#This Row],[Home]],Table4[[#This Row],[Visitor]])</f>
        <v>Seattle Kraken</v>
      </c>
      <c r="L463" s="11">
        <f ca="1"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0.61283093776503172</v>
      </c>
      <c r="M463" t="str">
        <f ca="1">IF(OR((NHL2025_26Results[[#This Row],[Winning Team]]="")),"-",IF(Table4[[#This Row],[Predicted Winner]]=NHL2025_26Results[[#This Row],[Winning Team]],"YES","NO"))</f>
        <v>-</v>
      </c>
      <c r="N463" t="str">
        <f ca="1">IF(Table4[[#This Row],[Adjusted Correct]]="-", "",IF(Table4[[#This Row],[Adjusted Correct]]="YES",(Table4[[#This Row],[Strength of Win]]-1)^2,(Table4[[#This Row],[Strength of Win]]-0)^2))</f>
        <v/>
      </c>
      <c r="P463" s="11"/>
    </row>
    <row r="464" spans="4:16" x14ac:dyDescent="0.2">
      <c r="D464" s="1">
        <v>45999</v>
      </c>
      <c r="E464" s="2">
        <v>0.8125</v>
      </c>
      <c r="F464" t="s">
        <v>19</v>
      </c>
      <c r="G464">
        <f>VLOOKUP(Table4[[#This Row],[Home]],'NHL Model'!$A$6:$B$38,2,FALSE)</f>
        <v>-0.635565543477981</v>
      </c>
      <c r="H464" t="s">
        <v>37</v>
      </c>
      <c r="I464">
        <f>VLOOKUP(Table4[[#This Row],[Visitor]],'NHL Model'!$A$6:$B$38,2,FALSE)</f>
        <v>-0.11309445867623392</v>
      </c>
      <c r="J464">
        <f ca="1">($B$1+Table4[[#This Row],[Home Differential]])-Table4[[#This Row],[Away Differential]]</f>
        <v>-0.35989877513942869</v>
      </c>
      <c r="K464" t="str">
        <f ca="1">IF(Table4[[#This Row],[HomeIce Differential]]&gt;0,Table4[[#This Row],[Home]],Table4[[#This Row],[Visitor]])</f>
        <v>Tampa Bay Lightning</v>
      </c>
      <c r="L464" s="11">
        <f ca="1"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0.55696648497142476</v>
      </c>
      <c r="M464" t="str">
        <f ca="1">IF(OR((NHL2025_26Results[[#This Row],[Winning Team]]="")),"-",IF(Table4[[#This Row],[Predicted Winner]]=NHL2025_26Results[[#This Row],[Winning Team]],"YES","NO"))</f>
        <v>-</v>
      </c>
      <c r="N464" t="str">
        <f ca="1">IF(Table4[[#This Row],[Adjusted Correct]]="-", "",IF(Table4[[#This Row],[Adjusted Correct]]="YES",(Table4[[#This Row],[Strength of Win]]-1)^2,(Table4[[#This Row],[Strength of Win]]-0)^2))</f>
        <v/>
      </c>
      <c r="P464" s="11"/>
    </row>
    <row r="465" spans="4:16" x14ac:dyDescent="0.2">
      <c r="D465" s="1">
        <v>45999</v>
      </c>
      <c r="E465" s="2">
        <v>0.875</v>
      </c>
      <c r="F465" t="s">
        <v>55</v>
      </c>
      <c r="G465">
        <f>VLOOKUP(Table4[[#This Row],[Home]],'NHL Model'!$A$6:$B$38,2,FALSE)</f>
        <v>-0.12212311954851815</v>
      </c>
      <c r="H465" t="s">
        <v>13</v>
      </c>
      <c r="I465">
        <f>VLOOKUP(Table4[[#This Row],[Visitor]],'NHL Model'!$A$6:$B$38,2,FALSE)</f>
        <v>-7.5459708298993802E-2</v>
      </c>
      <c r="J465">
        <f ca="1">($B$1+Table4[[#This Row],[Home Differential]])-Table4[[#This Row],[Away Differential]]</f>
        <v>0.11590889841279405</v>
      </c>
      <c r="K465" t="str">
        <f ca="1">IF(Table4[[#This Row],[HomeIce Differential]]&gt;0,Table4[[#This Row],[Home]],Table4[[#This Row],[Visitor]])</f>
        <v>Utah Mammoth</v>
      </c>
      <c r="L465" s="11">
        <f ca="1"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0.50386506016891963</v>
      </c>
      <c r="M465" t="str">
        <f ca="1">IF(OR((NHL2025_26Results[[#This Row],[Winning Team]]="")),"-",IF(Table4[[#This Row],[Predicted Winner]]=NHL2025_26Results[[#This Row],[Winning Team]],"YES","NO"))</f>
        <v>-</v>
      </c>
      <c r="N465" t="str">
        <f ca="1">IF(Table4[[#This Row],[Adjusted Correct]]="-", "",IF(Table4[[#This Row],[Adjusted Correct]]="YES",(Table4[[#This Row],[Strength of Win]]-1)^2,(Table4[[#This Row],[Strength of Win]]-0)^2))</f>
        <v/>
      </c>
      <c r="P465" s="11"/>
    </row>
    <row r="466" spans="4:16" x14ac:dyDescent="0.2">
      <c r="D466" s="1">
        <v>45999</v>
      </c>
      <c r="E466" s="2">
        <v>0.91666666666666663</v>
      </c>
      <c r="F466" t="s">
        <v>38</v>
      </c>
      <c r="G466">
        <f>VLOOKUP(Table4[[#This Row],[Home]],'NHL Model'!$A$6:$B$38,2,FALSE)</f>
        <v>-0.6902088310934803</v>
      </c>
      <c r="H466" t="s">
        <v>26</v>
      </c>
      <c r="I466">
        <f>VLOOKUP(Table4[[#This Row],[Visitor]],'NHL Model'!$A$6:$B$38,2,FALSE)</f>
        <v>-0.513643833119658</v>
      </c>
      <c r="J466">
        <f ca="1">($B$1+Table4[[#This Row],[Home Differential]])-Table4[[#This Row],[Away Differential]]</f>
        <v>-1.3992688311503909E-2</v>
      </c>
      <c r="K466" t="str">
        <f ca="1">IF(Table4[[#This Row],[HomeIce Differential]]&gt;0,Table4[[#This Row],[Home]],Table4[[#This Row],[Visitor]])</f>
        <v>Detroit Red Wings</v>
      </c>
      <c r="L466" s="11">
        <f ca="1"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0.50903819968019015</v>
      </c>
      <c r="M466" t="str">
        <f ca="1">IF(OR((NHL2025_26Results[[#This Row],[Winning Team]]="")),"-",IF(Table4[[#This Row],[Predicted Winner]]=NHL2025_26Results[[#This Row],[Winning Team]],"YES","NO"))</f>
        <v>-</v>
      </c>
      <c r="N466" t="str">
        <f ca="1">IF(Table4[[#This Row],[Adjusted Correct]]="-", "",IF(Table4[[#This Row],[Adjusted Correct]]="YES",(Table4[[#This Row],[Strength of Win]]-1)^2,(Table4[[#This Row],[Strength of Win]]-0)^2))</f>
        <v/>
      </c>
      <c r="P466" s="11"/>
    </row>
    <row r="467" spans="4:16" x14ac:dyDescent="0.2">
      <c r="D467" s="1">
        <v>46000</v>
      </c>
      <c r="E467" s="2">
        <v>0.8125</v>
      </c>
      <c r="F467" t="s">
        <v>25</v>
      </c>
      <c r="G467">
        <f>VLOOKUP(Table4[[#This Row],[Home]],'NHL Model'!$A$6:$B$38,2,FALSE)</f>
        <v>0.67193921242367816</v>
      </c>
      <c r="H467" t="s">
        <v>28</v>
      </c>
      <c r="I467">
        <f>VLOOKUP(Table4[[#This Row],[Visitor]],'NHL Model'!$A$6:$B$38,2,FALSE)</f>
        <v>-0.40822279081308277</v>
      </c>
      <c r="J467">
        <f ca="1">($B$1+Table4[[#This Row],[Home Differential]])-Table4[[#This Row],[Away Differential]]</f>
        <v>1.2427343128990793</v>
      </c>
      <c r="K467" t="str">
        <f ca="1">IF(Table4[[#This Row],[HomeIce Differential]]&gt;0,Table4[[#This Row],[Home]],Table4[[#This Row],[Visitor]])</f>
        <v>Carolina Hurricanes</v>
      </c>
      <c r="L467" s="11">
        <f ca="1"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0.74362017764180188</v>
      </c>
      <c r="M467" t="str">
        <f ca="1">IF(OR((NHL2025_26Results[[#This Row],[Winning Team]]="")),"-",IF(Table4[[#This Row],[Predicted Winner]]=NHL2025_26Results[[#This Row],[Winning Team]],"YES","NO"))</f>
        <v>-</v>
      </c>
      <c r="N467" t="str">
        <f ca="1">IF(Table4[[#This Row],[Adjusted Correct]]="-", "",IF(Table4[[#This Row],[Adjusted Correct]]="YES",(Table4[[#This Row],[Strength of Win]]-1)^2,(Table4[[#This Row],[Strength of Win]]-0)^2))</f>
        <v/>
      </c>
      <c r="P467" s="11"/>
    </row>
    <row r="468" spans="4:16" x14ac:dyDescent="0.2">
      <c r="D468" s="1">
        <v>46000</v>
      </c>
      <c r="E468" s="2">
        <v>0.875</v>
      </c>
      <c r="F468" t="s">
        <v>17</v>
      </c>
      <c r="G468">
        <f>VLOOKUP(Table4[[#This Row],[Home]],'NHL Model'!$A$6:$B$38,2,FALSE)</f>
        <v>-0.61980804137564283</v>
      </c>
      <c r="H468" t="s">
        <v>23</v>
      </c>
      <c r="I468">
        <f>VLOOKUP(Table4[[#This Row],[Visitor]],'NHL Model'!$A$6:$B$38,2,FALSE)</f>
        <v>-0.8683412362501769</v>
      </c>
      <c r="J468">
        <f ca="1">($B$1+Table4[[#This Row],[Home Differential]])-Table4[[#This Row],[Away Differential]]</f>
        <v>0.41110550453685246</v>
      </c>
      <c r="K468" t="str">
        <f ca="1">IF(Table4[[#This Row],[HomeIce Differential]]&gt;0,Table4[[#This Row],[Home]],Table4[[#This Row],[Visitor]])</f>
        <v>Edmonton Oilers</v>
      </c>
      <c r="L468" s="11">
        <f ca="1"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0.63299909586783099</v>
      </c>
      <c r="M468" t="str">
        <f ca="1">IF(OR((NHL2025_26Results[[#This Row],[Winning Team]]="")),"-",IF(Table4[[#This Row],[Predicted Winner]]=NHL2025_26Results[[#This Row],[Winning Team]],"YES","NO"))</f>
        <v>-</v>
      </c>
      <c r="N468" t="str">
        <f ca="1">IF(Table4[[#This Row],[Adjusted Correct]]="-", "",IF(Table4[[#This Row],[Adjusted Correct]]="YES",(Table4[[#This Row],[Strength of Win]]-1)^2,(Table4[[#This Row],[Strength of Win]]-0)^2))</f>
        <v/>
      </c>
      <c r="P468" s="11"/>
    </row>
    <row r="469" spans="4:16" x14ac:dyDescent="0.2">
      <c r="D469" s="1">
        <v>46000</v>
      </c>
      <c r="E469" s="2">
        <v>0.79166666666666663</v>
      </c>
      <c r="F469" t="s">
        <v>18</v>
      </c>
      <c r="G469">
        <f>VLOOKUP(Table4[[#This Row],[Home]],'NHL Model'!$A$6:$B$38,2,FALSE)</f>
        <v>-0.52437726201848234</v>
      </c>
      <c r="H469" t="s">
        <v>37</v>
      </c>
      <c r="I469">
        <f>VLOOKUP(Table4[[#This Row],[Visitor]],'NHL Model'!$A$6:$B$38,2,FALSE)</f>
        <v>-0.11309445867623392</v>
      </c>
      <c r="J469">
        <f ca="1">($B$1+Table4[[#This Row],[Home Differential]])-Table4[[#This Row],[Away Differential]]</f>
        <v>-0.24871049367993003</v>
      </c>
      <c r="K469" t="str">
        <f ca="1">IF(Table4[[#This Row],[HomeIce Differential]]&gt;0,Table4[[#This Row],[Home]],Table4[[#This Row],[Visitor]])</f>
        <v>Tampa Bay Lightning</v>
      </c>
      <c r="L469" s="11">
        <f ca="1"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0.5415603852300116</v>
      </c>
      <c r="M469" t="str">
        <f ca="1">IF(OR((NHL2025_26Results[[#This Row],[Winning Team]]="")),"-",IF(Table4[[#This Row],[Predicted Winner]]=NHL2025_26Results[[#This Row],[Winning Team]],"YES","NO"))</f>
        <v>-</v>
      </c>
      <c r="N469" t="str">
        <f ca="1">IF(Table4[[#This Row],[Adjusted Correct]]="-", "",IF(Table4[[#This Row],[Adjusted Correct]]="YES",(Table4[[#This Row],[Strength of Win]]-1)^2,(Table4[[#This Row],[Strength of Win]]-0)^2))</f>
        <v/>
      </c>
      <c r="P469" s="11"/>
    </row>
    <row r="470" spans="4:16" x14ac:dyDescent="0.2">
      <c r="D470" s="1">
        <v>46000</v>
      </c>
      <c r="E470" s="2">
        <v>0.89583333333333337</v>
      </c>
      <c r="F470" t="s">
        <v>29</v>
      </c>
      <c r="G470">
        <f>VLOOKUP(Table4[[#This Row],[Home]],'NHL Model'!$A$6:$B$38,2,FALSE)</f>
        <v>-1.3516250707060606</v>
      </c>
      <c r="H470" t="s">
        <v>12</v>
      </c>
      <c r="I470">
        <f>VLOOKUP(Table4[[#This Row],[Visitor]],'NHL Model'!$A$6:$B$38,2,FALSE)</f>
        <v>1.5475013591489768</v>
      </c>
      <c r="J470">
        <f ca="1">($B$1+Table4[[#This Row],[Home Differential]])-Table4[[#This Row],[Away Differential]]</f>
        <v>-2.7365541201927188</v>
      </c>
      <c r="K470" t="str">
        <f ca="1">IF(Table4[[#This Row],[HomeIce Differential]]&gt;0,Table4[[#This Row],[Home]],Table4[[#This Row],[Visitor]])</f>
        <v>Colorado Avalanche</v>
      </c>
      <c r="L470" s="11">
        <f ca="1"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0.90548907257565658</v>
      </c>
      <c r="M470" t="str">
        <f ca="1">IF(OR((NHL2025_26Results[[#This Row],[Winning Team]]="")),"-",IF(Table4[[#This Row],[Predicted Winner]]=NHL2025_26Results[[#This Row],[Winning Team]],"YES","NO"))</f>
        <v>-</v>
      </c>
      <c r="N470" t="str">
        <f ca="1">IF(Table4[[#This Row],[Adjusted Correct]]="-", "",IF(Table4[[#This Row],[Adjusted Correct]]="YES",(Table4[[#This Row],[Strength of Win]]-1)^2,(Table4[[#This Row],[Strength of Win]]-0)^2))</f>
        <v/>
      </c>
      <c r="P470" s="11"/>
    </row>
    <row r="471" spans="4:16" x14ac:dyDescent="0.2">
      <c r="D471" s="1">
        <v>46000</v>
      </c>
      <c r="E471" s="2">
        <v>0.79166666666666663</v>
      </c>
      <c r="F471" t="s">
        <v>30</v>
      </c>
      <c r="G471">
        <f>VLOOKUP(Table4[[#This Row],[Home]],'NHL Model'!$A$6:$B$38,2,FALSE)</f>
        <v>-6.4729560818359025E-2</v>
      </c>
      <c r="H471" t="s">
        <v>20</v>
      </c>
      <c r="I471">
        <f>VLOOKUP(Table4[[#This Row],[Visitor]],'NHL Model'!$A$6:$B$38,2,FALSE)</f>
        <v>-6.3745791019188943E-4</v>
      </c>
      <c r="J471">
        <f ca="1">($B$1+Table4[[#This Row],[Home Differential]])-Table4[[#This Row],[Away Differential]]</f>
        <v>9.8480206754151256E-2</v>
      </c>
      <c r="K471" t="str">
        <f ca="1">IF(Table4[[#This Row],[HomeIce Differential]]&gt;0,Table4[[#This Row],[Home]],Table4[[#This Row],[Visitor]])</f>
        <v>New York Islanders</v>
      </c>
      <c r="L471" s="11">
        <f ca="1"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0.53287605511786251</v>
      </c>
      <c r="M471" t="str">
        <f ca="1">IF(OR((NHL2025_26Results[[#This Row],[Winning Team]]="")),"-",IF(Table4[[#This Row],[Predicted Winner]]=NHL2025_26Results[[#This Row],[Winning Team]],"YES","NO"))</f>
        <v>-</v>
      </c>
      <c r="N471" t="str">
        <f ca="1">IF(Table4[[#This Row],[Adjusted Correct]]="-", "",IF(Table4[[#This Row],[Adjusted Correct]]="YES",(Table4[[#This Row],[Strength of Win]]-1)^2,(Table4[[#This Row],[Strength of Win]]-0)^2))</f>
        <v/>
      </c>
      <c r="P471" s="11"/>
    </row>
    <row r="472" spans="4:16" x14ac:dyDescent="0.2">
      <c r="D472" s="1">
        <v>46000</v>
      </c>
      <c r="E472" s="2">
        <v>0.79166666666666663</v>
      </c>
      <c r="F472" t="s">
        <v>36</v>
      </c>
      <c r="G472">
        <f>VLOOKUP(Table4[[#This Row],[Home]],'NHL Model'!$A$6:$B$38,2,FALSE)</f>
        <v>-0.40651947573390851</v>
      </c>
      <c r="H472" t="s">
        <v>24</v>
      </c>
      <c r="I472">
        <f>VLOOKUP(Table4[[#This Row],[Visitor]],'NHL Model'!$A$6:$B$38,2,FALSE)</f>
        <v>0.559441163373953</v>
      </c>
      <c r="J472">
        <f ca="1">($B$1+Table4[[#This Row],[Home Differential]])-Table4[[#This Row],[Away Differential]]</f>
        <v>-0.80338832944554306</v>
      </c>
      <c r="K472" t="str">
        <f ca="1">IF(Table4[[#This Row],[HomeIce Differential]]&gt;0,Table4[[#This Row],[Home]],Table4[[#This Row],[Visitor]])</f>
        <v>New Jersey Devils</v>
      </c>
      <c r="L472" s="11">
        <f ca="1"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0.63512593748243251</v>
      </c>
      <c r="M472" t="str">
        <f ca="1">IF(OR((NHL2025_26Results[[#This Row],[Winning Team]]="")),"-",IF(Table4[[#This Row],[Predicted Winner]]=NHL2025_26Results[[#This Row],[Winning Team]],"YES","NO"))</f>
        <v>-</v>
      </c>
      <c r="N472" t="str">
        <f ca="1">IF(Table4[[#This Row],[Adjusted Correct]]="-", "",IF(Table4[[#This Row],[Adjusted Correct]]="YES",(Table4[[#This Row],[Strength of Win]]-1)^2,(Table4[[#This Row],[Strength of Win]]-0)^2))</f>
        <v/>
      </c>
      <c r="P472" s="11"/>
    </row>
    <row r="473" spans="4:16" x14ac:dyDescent="0.2">
      <c r="D473" s="1">
        <v>46000</v>
      </c>
      <c r="E473" s="2">
        <v>0.79166666666666663</v>
      </c>
      <c r="F473" t="s">
        <v>27</v>
      </c>
      <c r="G473">
        <f>VLOOKUP(Table4[[#This Row],[Home]],'NHL Model'!$A$6:$B$38,2,FALSE)</f>
        <v>-0.51358590497437617</v>
      </c>
      <c r="H473" t="s">
        <v>33</v>
      </c>
      <c r="I473">
        <f>VLOOKUP(Table4[[#This Row],[Visitor]],'NHL Model'!$A$6:$B$38,2,FALSE)</f>
        <v>-0.39418177254008485</v>
      </c>
      <c r="J473">
        <f ca="1">($B$1+Table4[[#This Row],[Home Differential]])-Table4[[#This Row],[Away Differential]]</f>
        <v>4.3168177228027071E-2</v>
      </c>
      <c r="K473" t="str">
        <f ca="1">IF(Table4[[#This Row],[HomeIce Differential]]&gt;0,Table4[[#This Row],[Home]],Table4[[#This Row],[Visitor]])</f>
        <v>Philadelphia Flyers</v>
      </c>
      <c r="L473" s="11">
        <f ca="1"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0.54847680417222555</v>
      </c>
      <c r="M473" t="str">
        <f ca="1">IF(OR((NHL2025_26Results[[#This Row],[Winning Team]]="")),"-",IF(Table4[[#This Row],[Predicted Winner]]=NHL2025_26Results[[#This Row],[Winning Team]],"YES","NO"))</f>
        <v>-</v>
      </c>
      <c r="N473" t="str">
        <f ca="1">IF(Table4[[#This Row],[Adjusted Correct]]="-", "",IF(Table4[[#This Row],[Adjusted Correct]]="YES",(Table4[[#This Row],[Strength of Win]]-1)^2,(Table4[[#This Row],[Strength of Win]]-0)^2))</f>
        <v/>
      </c>
      <c r="P473" s="11"/>
    </row>
    <row r="474" spans="4:16" x14ac:dyDescent="0.2">
      <c r="D474" s="1">
        <v>46000</v>
      </c>
      <c r="E474" s="2">
        <v>0.79166666666666663</v>
      </c>
      <c r="F474" t="s">
        <v>14</v>
      </c>
      <c r="G474">
        <f>VLOOKUP(Table4[[#This Row],[Home]],'NHL Model'!$A$6:$B$38,2,FALSE)</f>
        <v>0.26289091192875702</v>
      </c>
      <c r="H474" t="s">
        <v>31</v>
      </c>
      <c r="I474">
        <f>VLOOKUP(Table4[[#This Row],[Visitor]],'NHL Model'!$A$6:$B$38,2,FALSE)</f>
        <v>0.51775546328552802</v>
      </c>
      <c r="J474">
        <f ca="1">($B$1+Table4[[#This Row],[Home Differential]])-Table4[[#This Row],[Away Differential]]</f>
        <v>-9.2292241694452604E-2</v>
      </c>
      <c r="K474" t="str">
        <f ca="1">IF(Table4[[#This Row],[HomeIce Differential]]&gt;0,Table4[[#This Row],[Home]],Table4[[#This Row],[Visitor]])</f>
        <v>Anaheim Ducks</v>
      </c>
      <c r="L474" s="11">
        <f ca="1"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0.45723233415943454</v>
      </c>
      <c r="M474" t="str">
        <f ca="1">IF(OR((NHL2025_26Results[[#This Row],[Winning Team]]="")),"-",IF(Table4[[#This Row],[Predicted Winner]]=NHL2025_26Results[[#This Row],[Winning Team]],"YES","NO"))</f>
        <v>-</v>
      </c>
      <c r="N474" t="str">
        <f ca="1">IF(Table4[[#This Row],[Adjusted Correct]]="-", "",IF(Table4[[#This Row],[Adjusted Correct]]="YES",(Table4[[#This Row],[Strength of Win]]-1)^2,(Table4[[#This Row],[Strength of Win]]-0)^2))</f>
        <v/>
      </c>
      <c r="P474" s="11"/>
    </row>
    <row r="475" spans="4:16" x14ac:dyDescent="0.2">
      <c r="D475" s="1">
        <v>46000</v>
      </c>
      <c r="E475" s="2">
        <v>0.83333333333333337</v>
      </c>
      <c r="F475" t="s">
        <v>35</v>
      </c>
      <c r="G475">
        <f>VLOOKUP(Table4[[#This Row],[Home]],'NHL Model'!$A$6:$B$38,2,FALSE)</f>
        <v>-1.6211574240381006</v>
      </c>
      <c r="H475" t="s">
        <v>21</v>
      </c>
      <c r="I475">
        <f>VLOOKUP(Table4[[#This Row],[Visitor]],'NHL Model'!$A$6:$B$38,2,FALSE)</f>
        <v>4.029141914856392E-2</v>
      </c>
      <c r="J475">
        <f ca="1">($B$1+Table4[[#This Row],[Home Differential]])-Table4[[#This Row],[Away Differential]]</f>
        <v>-1.4988765335243461</v>
      </c>
      <c r="K475" t="str">
        <f ca="1">IF(Table4[[#This Row],[HomeIce Differential]]&gt;0,Table4[[#This Row],[Home]],Table4[[#This Row],[Visitor]])</f>
        <v>Boston Bruins</v>
      </c>
      <c r="L475" s="11">
        <f ca="1"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0.66768233011993405</v>
      </c>
      <c r="M475" t="str">
        <f ca="1">IF(OR((NHL2025_26Results[[#This Row],[Winning Team]]="")),"-",IF(Table4[[#This Row],[Predicted Winner]]=NHL2025_26Results[[#This Row],[Winning Team]],"YES","NO"))</f>
        <v>-</v>
      </c>
      <c r="N475" t="str">
        <f ca="1">IF(Table4[[#This Row],[Adjusted Correct]]="-", "",IF(Table4[[#This Row],[Adjusted Correct]]="YES",(Table4[[#This Row],[Strength of Win]]-1)^2,(Table4[[#This Row],[Strength of Win]]-0)^2))</f>
        <v/>
      </c>
      <c r="P475" s="11"/>
    </row>
    <row r="476" spans="4:16" x14ac:dyDescent="0.2">
      <c r="D476" s="1">
        <v>46000</v>
      </c>
      <c r="E476" s="2">
        <v>0.83333333333333337</v>
      </c>
      <c r="F476" t="s">
        <v>40</v>
      </c>
      <c r="G476">
        <f>VLOOKUP(Table4[[#This Row],[Home]],'NHL Model'!$A$6:$B$38,2,FALSE)</f>
        <v>0.105105258369765</v>
      </c>
      <c r="H476" t="s">
        <v>39</v>
      </c>
      <c r="I476">
        <f>VLOOKUP(Table4[[#This Row],[Visitor]],'NHL Model'!$A$6:$B$38,2,FALSE)</f>
        <v>0.19809534061227302</v>
      </c>
      <c r="J476">
        <f ca="1">($B$1+Table4[[#This Row],[Home Differential]])-Table4[[#This Row],[Away Differential]]</f>
        <v>6.9582227419810405E-2</v>
      </c>
      <c r="K476" t="str">
        <f ca="1">IF(Table4[[#This Row],[HomeIce Differential]]&gt;0,Table4[[#This Row],[Home]],Table4[[#This Row],[Visitor]])</f>
        <v>Winnipeg Jets</v>
      </c>
      <c r="L476" s="11">
        <f ca="1"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0.49351218821758236</v>
      </c>
      <c r="M476" t="str">
        <f ca="1">IF(OR((NHL2025_26Results[[#This Row],[Winning Team]]="")),"-",IF(Table4[[#This Row],[Predicted Winner]]=NHL2025_26Results[[#This Row],[Winning Team]],"YES","NO"))</f>
        <v>-</v>
      </c>
      <c r="N476" t="str">
        <f ca="1">IF(Table4[[#This Row],[Adjusted Correct]]="-", "",IF(Table4[[#This Row],[Adjusted Correct]]="YES",(Table4[[#This Row],[Strength of Win]]-1)^2,(Table4[[#This Row],[Strength of Win]]-0)^2))</f>
        <v/>
      </c>
      <c r="P476" s="11"/>
    </row>
    <row r="477" spans="4:16" x14ac:dyDescent="0.2">
      <c r="D477" s="1">
        <v>46001</v>
      </c>
      <c r="E477" s="2">
        <v>0.85416666666666663</v>
      </c>
      <c r="F477" t="s">
        <v>16</v>
      </c>
      <c r="G477">
        <f>VLOOKUP(Table4[[#This Row],[Home]],'NHL Model'!$A$6:$B$38,2,FALSE)</f>
        <v>-1.3903684122795328</v>
      </c>
      <c r="H477" t="s">
        <v>26</v>
      </c>
      <c r="I477">
        <f>VLOOKUP(Table4[[#This Row],[Visitor]],'NHL Model'!$A$6:$B$38,2,FALSE)</f>
        <v>-0.513643833119658</v>
      </c>
      <c r="J477">
        <f ca="1">($B$1+Table4[[#This Row],[Home Differential]])-Table4[[#This Row],[Away Differential]]</f>
        <v>-0.71415226949755639</v>
      </c>
      <c r="K477" t="str">
        <f ca="1">IF(Table4[[#This Row],[HomeIce Differential]]&gt;0,Table4[[#This Row],[Home]],Table4[[#This Row],[Visitor]])</f>
        <v>Detroit Red Wings</v>
      </c>
      <c r="L477" s="11">
        <f ca="1"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0.60605137589865332</v>
      </c>
      <c r="M477" t="str">
        <f ca="1">IF(OR((NHL2025_26Results[[#This Row],[Winning Team]]="")),"-",IF(Table4[[#This Row],[Predicted Winner]]=NHL2025_26Results[[#This Row],[Winning Team]],"YES","NO"))</f>
        <v>-</v>
      </c>
      <c r="N477" t="str">
        <f ca="1">IF(Table4[[#This Row],[Adjusted Correct]]="-", "",IF(Table4[[#This Row],[Adjusted Correct]]="YES",(Table4[[#This Row],[Strength of Win]]-1)^2,(Table4[[#This Row],[Strength of Win]]-0)^2))</f>
        <v/>
      </c>
      <c r="P477" s="11"/>
    </row>
    <row r="478" spans="4:16" x14ac:dyDescent="0.2">
      <c r="D478" s="1">
        <v>46001</v>
      </c>
      <c r="E478" s="2">
        <v>0.8125</v>
      </c>
      <c r="F478" t="s">
        <v>10</v>
      </c>
      <c r="G478">
        <f>VLOOKUP(Table4[[#This Row],[Home]],'NHL Model'!$A$6:$B$38,2,FALSE)</f>
        <v>0.30570968833820172</v>
      </c>
      <c r="H478" t="s">
        <v>15</v>
      </c>
      <c r="I478">
        <f>VLOOKUP(Table4[[#This Row],[Visitor]],'NHL Model'!$A$6:$B$38,2,FALSE)</f>
        <v>-0.30719665303039001</v>
      </c>
      <c r="J478">
        <f ca="1">($B$1+Table4[[#This Row],[Home Differential]])-Table4[[#This Row],[Away Differential]]</f>
        <v>0.77547865103091018</v>
      </c>
      <c r="K478" t="str">
        <f ca="1">IF(Table4[[#This Row],[HomeIce Differential]]&gt;0,Table4[[#This Row],[Home]],Table4[[#This Row],[Visitor]])</f>
        <v>Chicago Blackhawks</v>
      </c>
      <c r="L478" s="11">
        <f ca="1"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0.50503964736239837</v>
      </c>
      <c r="M478" t="str">
        <f ca="1">IF(OR((NHL2025_26Results[[#This Row],[Winning Team]]="")),"-",IF(Table4[[#This Row],[Predicted Winner]]=NHL2025_26Results[[#This Row],[Winning Team]],"YES","NO"))</f>
        <v>-</v>
      </c>
      <c r="N478" t="str">
        <f ca="1">IF(Table4[[#This Row],[Adjusted Correct]]="-", "",IF(Table4[[#This Row],[Adjusted Correct]]="YES",(Table4[[#This Row],[Strength of Win]]-1)^2,(Table4[[#This Row],[Strength of Win]]-0)^2))</f>
        <v/>
      </c>
      <c r="P478" s="11"/>
    </row>
    <row r="479" spans="4:16" x14ac:dyDescent="0.2">
      <c r="D479" s="1">
        <v>46001</v>
      </c>
      <c r="E479" s="2">
        <v>0.91666666666666663</v>
      </c>
      <c r="F479" t="s">
        <v>32</v>
      </c>
      <c r="G479">
        <f>VLOOKUP(Table4[[#This Row],[Home]],'NHL Model'!$A$6:$B$38,2,FALSE)</f>
        <v>-0.361361309178443</v>
      </c>
      <c r="H479" t="s">
        <v>13</v>
      </c>
      <c r="I479">
        <f>VLOOKUP(Table4[[#This Row],[Visitor]],'NHL Model'!$A$6:$B$38,2,FALSE)</f>
        <v>-7.5459708298993802E-2</v>
      </c>
      <c r="J479">
        <f ca="1">($B$1+Table4[[#This Row],[Home Differential]])-Table4[[#This Row],[Away Differential]]</f>
        <v>-0.12332929121713081</v>
      </c>
      <c r="K479" t="str">
        <f ca="1">IF(Table4[[#This Row],[HomeIce Differential]]&gt;0,Table4[[#This Row],[Home]],Table4[[#This Row],[Visitor]])</f>
        <v>Los Angeles Kings</v>
      </c>
      <c r="L479" s="11">
        <f ca="1"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0.57264389738968136</v>
      </c>
      <c r="M479" t="str">
        <f ca="1">IF(OR((NHL2025_26Results[[#This Row],[Winning Team]]="")),"-",IF(Table4[[#This Row],[Predicted Winner]]=NHL2025_26Results[[#This Row],[Winning Team]],"YES","NO"))</f>
        <v>-</v>
      </c>
      <c r="N479" t="str">
        <f ca="1">IF(Table4[[#This Row],[Adjusted Correct]]="-", "",IF(Table4[[#This Row],[Adjusted Correct]]="YES",(Table4[[#This Row],[Strength of Win]]-1)^2,(Table4[[#This Row],[Strength of Win]]-0)^2))</f>
        <v/>
      </c>
      <c r="P479" s="11"/>
    </row>
    <row r="480" spans="4:16" x14ac:dyDescent="0.2">
      <c r="D480" s="1">
        <v>46001</v>
      </c>
      <c r="E480" s="2">
        <v>0.875</v>
      </c>
      <c r="F480" t="s">
        <v>55</v>
      </c>
      <c r="G480">
        <f>VLOOKUP(Table4[[#This Row],[Home]],'NHL Model'!$A$6:$B$38,2,FALSE)</f>
        <v>-0.12212311954851815</v>
      </c>
      <c r="H480" t="s">
        <v>11</v>
      </c>
      <c r="I480">
        <f>VLOOKUP(Table4[[#This Row],[Visitor]],'NHL Model'!$A$6:$B$38,2,FALSE)</f>
        <v>-0.28105923893144158</v>
      </c>
      <c r="J480">
        <f ca="1">($B$1+Table4[[#This Row],[Home Differential]])-Table4[[#This Row],[Away Differential]]</f>
        <v>0.32150842904524179</v>
      </c>
      <c r="K480" t="str">
        <f ca="1">IF(Table4[[#This Row],[HomeIce Differential]]&gt;0,Table4[[#This Row],[Home]],Table4[[#This Row],[Visitor]])</f>
        <v>Utah Mammoth</v>
      </c>
      <c r="L480" s="11">
        <f ca="1"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0.6528202845046831</v>
      </c>
      <c r="M480" t="str">
        <f ca="1">IF(OR((NHL2025_26Results[[#This Row],[Winning Team]]="")),"-",IF(Table4[[#This Row],[Predicted Winner]]=NHL2025_26Results[[#This Row],[Winning Team]],"YES","NO"))</f>
        <v>-</v>
      </c>
      <c r="N480" t="str">
        <f ca="1">IF(Table4[[#This Row],[Adjusted Correct]]="-", "",IF(Table4[[#This Row],[Adjusted Correct]]="YES",(Table4[[#This Row],[Strength of Win]]-1)^2,(Table4[[#This Row],[Strength of Win]]-0)^2))</f>
        <v/>
      </c>
      <c r="P480" s="11"/>
    </row>
    <row r="481" spans="4:16" x14ac:dyDescent="0.2">
      <c r="D481" s="1">
        <v>46002</v>
      </c>
      <c r="E481" s="2">
        <v>0.79166666666666663</v>
      </c>
      <c r="F481" t="s">
        <v>28</v>
      </c>
      <c r="G481">
        <f>VLOOKUP(Table4[[#This Row],[Home]],'NHL Model'!$A$6:$B$38,2,FALSE)</f>
        <v>-0.40822279081308277</v>
      </c>
      <c r="H481" t="s">
        <v>36</v>
      </c>
      <c r="I481">
        <f>VLOOKUP(Table4[[#This Row],[Visitor]],'NHL Model'!$A$6:$B$38,2,FALSE)</f>
        <v>-0.40651947573390851</v>
      </c>
      <c r="J481">
        <f ca="1">($B$1+Table4[[#This Row],[Home Differential]])-Table4[[#This Row],[Away Differential]]</f>
        <v>0.16086899458314413</v>
      </c>
      <c r="K481" t="str">
        <f ca="1">IF(Table4[[#This Row],[HomeIce Differential]]&gt;0,Table4[[#This Row],[Home]],Table4[[#This Row],[Visitor]])</f>
        <v>Columbus Blue Jackets</v>
      </c>
      <c r="L481" s="11">
        <f ca="1"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0.56228979298282933</v>
      </c>
      <c r="M481" t="str">
        <f ca="1">IF(OR((NHL2025_26Results[[#This Row],[Winning Team]]="")),"-",IF(Table4[[#This Row],[Predicted Winner]]=NHL2025_26Results[[#This Row],[Winning Team]],"YES","NO"))</f>
        <v>-</v>
      </c>
      <c r="N481" t="str">
        <f ca="1">IF(Table4[[#This Row],[Adjusted Correct]]="-", "",IF(Table4[[#This Row],[Adjusted Correct]]="YES",(Table4[[#This Row],[Strength of Win]]-1)^2,(Table4[[#This Row],[Strength of Win]]-0)^2))</f>
        <v/>
      </c>
      <c r="P481" s="11"/>
    </row>
    <row r="482" spans="4:16" x14ac:dyDescent="0.2">
      <c r="D482" s="1">
        <v>46002</v>
      </c>
      <c r="E482" s="2">
        <v>0.875</v>
      </c>
      <c r="F482" t="s">
        <v>12</v>
      </c>
      <c r="G482">
        <f>VLOOKUP(Table4[[#This Row],[Home]],'NHL Model'!$A$6:$B$38,2,FALSE)</f>
        <v>1.5475013591489768</v>
      </c>
      <c r="H482" t="s">
        <v>11</v>
      </c>
      <c r="I482">
        <f>VLOOKUP(Table4[[#This Row],[Visitor]],'NHL Model'!$A$6:$B$38,2,FALSE)</f>
        <v>-0.28105923893144158</v>
      </c>
      <c r="J482">
        <f ca="1">($B$1+Table4[[#This Row],[Home Differential]])-Table4[[#This Row],[Away Differential]]</f>
        <v>1.9911329077427369</v>
      </c>
      <c r="K482" t="str">
        <f ca="1">IF(Table4[[#This Row],[HomeIce Differential]]&gt;0,Table4[[#This Row],[Home]],Table4[[#This Row],[Visitor]])</f>
        <v>Colorado Avalanche</v>
      </c>
      <c r="L482" s="11">
        <f ca="1"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0.90425496347691159</v>
      </c>
      <c r="M482" t="str">
        <f ca="1">IF(OR((NHL2025_26Results[[#This Row],[Winning Team]]="")),"-",IF(Table4[[#This Row],[Predicted Winner]]=NHL2025_26Results[[#This Row],[Winning Team]],"YES","NO"))</f>
        <v>-</v>
      </c>
      <c r="N482" t="str">
        <f ca="1">IF(Table4[[#This Row],[Adjusted Correct]]="-", "",IF(Table4[[#This Row],[Adjusted Correct]]="YES",(Table4[[#This Row],[Strength of Win]]-1)^2,(Table4[[#This Row],[Strength of Win]]-0)^2))</f>
        <v/>
      </c>
      <c r="P482" s="11"/>
    </row>
    <row r="483" spans="4:16" x14ac:dyDescent="0.2">
      <c r="D483" s="1">
        <v>46002</v>
      </c>
      <c r="E483" s="2">
        <v>0.875</v>
      </c>
      <c r="F483" t="s">
        <v>17</v>
      </c>
      <c r="G483">
        <f>VLOOKUP(Table4[[#This Row],[Home]],'NHL Model'!$A$6:$B$38,2,FALSE)</f>
        <v>-0.61980804137564283</v>
      </c>
      <c r="H483" t="s">
        <v>26</v>
      </c>
      <c r="I483">
        <f>VLOOKUP(Table4[[#This Row],[Visitor]],'NHL Model'!$A$6:$B$38,2,FALSE)</f>
        <v>-0.513643833119658</v>
      </c>
      <c r="J483">
        <f ca="1">($B$1+Table4[[#This Row],[Home Differential]])-Table4[[#This Row],[Away Differential]]</f>
        <v>5.6408101406333566E-2</v>
      </c>
      <c r="K483" t="str">
        <f ca="1">IF(Table4[[#This Row],[HomeIce Differential]]&gt;0,Table4[[#This Row],[Home]],Table4[[#This Row],[Visitor]])</f>
        <v>Edmonton Oilers</v>
      </c>
      <c r="L483" s="11">
        <f ca="1"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0.53722759588055768</v>
      </c>
      <c r="M483" t="str">
        <f ca="1">IF(OR((NHL2025_26Results[[#This Row],[Winning Team]]="")),"-",IF(Table4[[#This Row],[Predicted Winner]]=NHL2025_26Results[[#This Row],[Winning Team]],"YES","NO"))</f>
        <v>-</v>
      </c>
      <c r="N483" t="str">
        <f ca="1">IF(Table4[[#This Row],[Adjusted Correct]]="-", "",IF(Table4[[#This Row],[Adjusted Correct]]="YES",(Table4[[#This Row],[Strength of Win]]-1)^2,(Table4[[#This Row],[Strength of Win]]-0)^2))</f>
        <v/>
      </c>
      <c r="P483" s="11"/>
    </row>
    <row r="484" spans="4:16" x14ac:dyDescent="0.2">
      <c r="D484" s="1">
        <v>46002</v>
      </c>
      <c r="E484" s="2">
        <v>0.83333333333333337</v>
      </c>
      <c r="F484" t="s">
        <v>34</v>
      </c>
      <c r="G484">
        <f>VLOOKUP(Table4[[#This Row],[Home]],'NHL Model'!$A$6:$B$38,2,FALSE)</f>
        <v>-0.53650300840565446</v>
      </c>
      <c r="H484" t="s">
        <v>39</v>
      </c>
      <c r="I484">
        <f>VLOOKUP(Table4[[#This Row],[Visitor]],'NHL Model'!$A$6:$B$38,2,FALSE)</f>
        <v>0.19809534061227302</v>
      </c>
      <c r="J484">
        <f ca="1">($B$1+Table4[[#This Row],[Home Differential]])-Table4[[#This Row],[Away Differential]]</f>
        <v>-0.57202603935560914</v>
      </c>
      <c r="K484" t="str">
        <f ca="1">IF(Table4[[#This Row],[HomeIce Differential]]&gt;0,Table4[[#This Row],[Home]],Table4[[#This Row],[Visitor]])</f>
        <v>Dallas Stars</v>
      </c>
      <c r="L484" s="11">
        <f ca="1"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0.6317453516827104</v>
      </c>
      <c r="M484" t="str">
        <f ca="1">IF(OR((NHL2025_26Results[[#This Row],[Winning Team]]="")),"-",IF(Table4[[#This Row],[Predicted Winner]]=NHL2025_26Results[[#This Row],[Winning Team]],"YES","NO"))</f>
        <v>-</v>
      </c>
      <c r="N484" t="str">
        <f ca="1">IF(Table4[[#This Row],[Adjusted Correct]]="-", "",IF(Table4[[#This Row],[Adjusted Correct]]="YES",(Table4[[#This Row],[Strength of Win]]-1)^2,(Table4[[#This Row],[Strength of Win]]-0)^2))</f>
        <v/>
      </c>
      <c r="P484" s="11"/>
    </row>
    <row r="485" spans="4:16" x14ac:dyDescent="0.2">
      <c r="D485" s="1">
        <v>46002</v>
      </c>
      <c r="E485" s="2">
        <v>0.79166666666666663</v>
      </c>
      <c r="F485" t="s">
        <v>24</v>
      </c>
      <c r="G485">
        <f>VLOOKUP(Table4[[#This Row],[Home]],'NHL Model'!$A$6:$B$38,2,FALSE)</f>
        <v>0.559441163373953</v>
      </c>
      <c r="H485" t="s">
        <v>37</v>
      </c>
      <c r="I485">
        <f>VLOOKUP(Table4[[#This Row],[Visitor]],'NHL Model'!$A$6:$B$38,2,FALSE)</f>
        <v>-0.11309445867623392</v>
      </c>
      <c r="J485">
        <f ca="1">($B$1+Table4[[#This Row],[Home Differential]])-Table4[[#This Row],[Away Differential]]</f>
        <v>0.8351079317125053</v>
      </c>
      <c r="K485" t="str">
        <f ca="1">IF(Table4[[#This Row],[HomeIce Differential]]&gt;0,Table4[[#This Row],[Home]],Table4[[#This Row],[Visitor]])</f>
        <v>New Jersey Devils</v>
      </c>
      <c r="L485" s="11">
        <f ca="1"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0.72736192482535611</v>
      </c>
      <c r="M485" t="str">
        <f ca="1">IF(OR((NHL2025_26Results[[#This Row],[Winning Team]]="")),"-",IF(Table4[[#This Row],[Predicted Winner]]=NHL2025_26Results[[#This Row],[Winning Team]],"YES","NO"))</f>
        <v>-</v>
      </c>
      <c r="N485" t="str">
        <f ca="1">IF(Table4[[#This Row],[Adjusted Correct]]="-", "",IF(Table4[[#This Row],[Adjusted Correct]]="YES",(Table4[[#This Row],[Strength of Win]]-1)^2,(Table4[[#This Row],[Strength of Win]]-0)^2))</f>
        <v/>
      </c>
      <c r="P485" s="11"/>
    </row>
    <row r="486" spans="4:16" x14ac:dyDescent="0.2">
      <c r="D486" s="1">
        <v>46002</v>
      </c>
      <c r="E486" s="2">
        <v>0.83333333333333337</v>
      </c>
      <c r="F486" t="s">
        <v>29</v>
      </c>
      <c r="G486">
        <f>VLOOKUP(Table4[[#This Row],[Home]],'NHL Model'!$A$6:$B$38,2,FALSE)</f>
        <v>-1.3516250707060606</v>
      </c>
      <c r="H486" t="s">
        <v>35</v>
      </c>
      <c r="I486">
        <f>VLOOKUP(Table4[[#This Row],[Visitor]],'NHL Model'!$A$6:$B$38,2,FALSE)</f>
        <v>-1.6211574240381006</v>
      </c>
      <c r="J486">
        <f ca="1">($B$1+Table4[[#This Row],[Home Differential]])-Table4[[#This Row],[Away Differential]]</f>
        <v>0.43210466299435835</v>
      </c>
      <c r="K486" t="str">
        <f ca="1">IF(Table4[[#This Row],[HomeIce Differential]]&gt;0,Table4[[#This Row],[Home]],Table4[[#This Row],[Visitor]])</f>
        <v>Nashville Predators</v>
      </c>
      <c r="L486" s="11">
        <f ca="1"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0.59987184485125544</v>
      </c>
      <c r="M486" t="str">
        <f ca="1">IF(OR((NHL2025_26Results[[#This Row],[Winning Team]]="")),"-",IF(Table4[[#This Row],[Predicted Winner]]=NHL2025_26Results[[#This Row],[Winning Team]],"YES","NO"))</f>
        <v>-</v>
      </c>
      <c r="N486" t="str">
        <f ca="1">IF(Table4[[#This Row],[Adjusted Correct]]="-", "",IF(Table4[[#This Row],[Adjusted Correct]]="YES",(Table4[[#This Row],[Strength of Win]]-1)^2,(Table4[[#This Row],[Strength of Win]]-0)^2))</f>
        <v/>
      </c>
      <c r="P486" s="11"/>
    </row>
    <row r="487" spans="4:16" x14ac:dyDescent="0.2">
      <c r="D487" s="1">
        <v>46002</v>
      </c>
      <c r="E487" s="2">
        <v>0.79166666666666663</v>
      </c>
      <c r="F487" t="s">
        <v>30</v>
      </c>
      <c r="G487">
        <f>VLOOKUP(Table4[[#This Row],[Home]],'NHL Model'!$A$6:$B$38,2,FALSE)</f>
        <v>-6.4729560818359025E-2</v>
      </c>
      <c r="H487" t="s">
        <v>31</v>
      </c>
      <c r="I487">
        <f>VLOOKUP(Table4[[#This Row],[Visitor]],'NHL Model'!$A$6:$B$38,2,FALSE)</f>
        <v>0.51775546328552802</v>
      </c>
      <c r="J487">
        <f ca="1">($B$1+Table4[[#This Row],[Home Differential]])-Table4[[#This Row],[Away Differential]]</f>
        <v>-0.41991271444156864</v>
      </c>
      <c r="K487" t="str">
        <f ca="1">IF(Table4[[#This Row],[HomeIce Differential]]&gt;0,Table4[[#This Row],[Home]],Table4[[#This Row],[Visitor]])</f>
        <v>Anaheim Ducks</v>
      </c>
      <c r="L487" s="11">
        <f ca="1"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0.53895177551636608</v>
      </c>
      <c r="M487" t="str">
        <f ca="1">IF(OR((NHL2025_26Results[[#This Row],[Winning Team]]="")),"-",IF(Table4[[#This Row],[Predicted Winner]]=NHL2025_26Results[[#This Row],[Winning Team]],"YES","NO"))</f>
        <v>-</v>
      </c>
      <c r="N487" t="str">
        <f ca="1">IF(Table4[[#This Row],[Adjusted Correct]]="-", "",IF(Table4[[#This Row],[Adjusted Correct]]="YES",(Table4[[#This Row],[Strength of Win]]-1)^2,(Table4[[#This Row],[Strength of Win]]-0)^2))</f>
        <v/>
      </c>
      <c r="P487" s="11"/>
    </row>
    <row r="488" spans="4:16" x14ac:dyDescent="0.2">
      <c r="D488" s="1">
        <v>46002</v>
      </c>
      <c r="E488" s="2">
        <v>0.79166666666666663</v>
      </c>
      <c r="F488" t="s">
        <v>27</v>
      </c>
      <c r="G488">
        <f>VLOOKUP(Table4[[#This Row],[Home]],'NHL Model'!$A$6:$B$38,2,FALSE)</f>
        <v>-0.51358590497437617</v>
      </c>
      <c r="H488" t="s">
        <v>20</v>
      </c>
      <c r="I488">
        <f>VLOOKUP(Table4[[#This Row],[Visitor]],'NHL Model'!$A$6:$B$38,2,FALSE)</f>
        <v>-6.3745791019188943E-4</v>
      </c>
      <c r="J488">
        <f ca="1">($B$1+Table4[[#This Row],[Home Differential]])-Table4[[#This Row],[Away Differential]]</f>
        <v>-0.35037613740186591</v>
      </c>
      <c r="K488" t="str">
        <f ca="1">IF(Table4[[#This Row],[HomeIce Differential]]&gt;0,Table4[[#This Row],[Home]],Table4[[#This Row],[Visitor]])</f>
        <v>Vegas Golden Knights</v>
      </c>
      <c r="L488" s="11">
        <f ca="1"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0.5268085190923889</v>
      </c>
      <c r="M488" t="str">
        <f ca="1">IF(OR((NHL2025_26Results[[#This Row],[Winning Team]]="")),"-",IF(Table4[[#This Row],[Predicted Winner]]=NHL2025_26Results[[#This Row],[Winning Team]],"YES","NO"))</f>
        <v>-</v>
      </c>
      <c r="N488" t="str">
        <f ca="1">IF(Table4[[#This Row],[Adjusted Correct]]="-", "",IF(Table4[[#This Row],[Adjusted Correct]]="YES",(Table4[[#This Row],[Strength of Win]]-1)^2,(Table4[[#This Row],[Strength of Win]]-0)^2))</f>
        <v/>
      </c>
      <c r="P488" s="11"/>
    </row>
    <row r="489" spans="4:16" x14ac:dyDescent="0.2">
      <c r="D489" s="1">
        <v>46002</v>
      </c>
      <c r="E489" s="2">
        <v>0.79166666666666663</v>
      </c>
      <c r="F489" t="s">
        <v>14</v>
      </c>
      <c r="G489">
        <f>VLOOKUP(Table4[[#This Row],[Home]],'NHL Model'!$A$6:$B$38,2,FALSE)</f>
        <v>0.26289091192875702</v>
      </c>
      <c r="H489" t="s">
        <v>18</v>
      </c>
      <c r="I489">
        <f>VLOOKUP(Table4[[#This Row],[Visitor]],'NHL Model'!$A$6:$B$38,2,FALSE)</f>
        <v>-0.52437726201848234</v>
      </c>
      <c r="J489">
        <f ca="1">($B$1+Table4[[#This Row],[Home Differential]])-Table4[[#This Row],[Away Differential]]</f>
        <v>0.94984048360955775</v>
      </c>
      <c r="K489" t="str">
        <f ca="1">IF(Table4[[#This Row],[HomeIce Differential]]&gt;0,Table4[[#This Row],[Home]],Table4[[#This Row],[Visitor]])</f>
        <v>Pittsburgh Penguins</v>
      </c>
      <c r="L489" s="11">
        <f ca="1"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0.63160862850687483</v>
      </c>
      <c r="M489" t="str">
        <f ca="1">IF(OR((NHL2025_26Results[[#This Row],[Winning Team]]="")),"-",IF(Table4[[#This Row],[Predicted Winner]]=NHL2025_26Results[[#This Row],[Winning Team]],"YES","NO"))</f>
        <v>-</v>
      </c>
      <c r="N489" t="str">
        <f ca="1">IF(Table4[[#This Row],[Adjusted Correct]]="-", "",IF(Table4[[#This Row],[Adjusted Correct]]="YES",(Table4[[#This Row],[Strength of Win]]-1)^2,(Table4[[#This Row],[Strength of Win]]-0)^2))</f>
        <v/>
      </c>
      <c r="P489" s="11"/>
    </row>
    <row r="490" spans="4:16" x14ac:dyDescent="0.2">
      <c r="D490" s="1">
        <v>46002</v>
      </c>
      <c r="E490" s="2">
        <v>0.79166666666666663</v>
      </c>
      <c r="F490" t="s">
        <v>19</v>
      </c>
      <c r="G490">
        <f>VLOOKUP(Table4[[#This Row],[Home]],'NHL Model'!$A$6:$B$38,2,FALSE)</f>
        <v>-0.635565543477981</v>
      </c>
      <c r="H490" t="s">
        <v>33</v>
      </c>
      <c r="I490">
        <f>VLOOKUP(Table4[[#This Row],[Visitor]],'NHL Model'!$A$6:$B$38,2,FALSE)</f>
        <v>-0.39418177254008485</v>
      </c>
      <c r="J490">
        <f ca="1">($B$1+Table4[[#This Row],[Home Differential]])-Table4[[#This Row],[Away Differential]]</f>
        <v>-7.8811461275577754E-2</v>
      </c>
      <c r="K490" t="str">
        <f ca="1">IF(Table4[[#This Row],[HomeIce Differential]]&gt;0,Table4[[#This Row],[Home]],Table4[[#This Row],[Visitor]])</f>
        <v>San Jose Sharks</v>
      </c>
      <c r="L490" s="11">
        <f ca="1"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0.47092001078926965</v>
      </c>
      <c r="M490" t="str">
        <f ca="1">IF(OR((NHL2025_26Results[[#This Row],[Winning Team]]="")),"-",IF(Table4[[#This Row],[Predicted Winner]]=NHL2025_26Results[[#This Row],[Winning Team]],"YES","NO"))</f>
        <v>-</v>
      </c>
      <c r="N490" t="str">
        <f ca="1">IF(Table4[[#This Row],[Adjusted Correct]]="-", "",IF(Table4[[#This Row],[Adjusted Correct]]="YES",(Table4[[#This Row],[Strength of Win]]-1)^2,(Table4[[#This Row],[Strength of Win]]-0)^2))</f>
        <v/>
      </c>
      <c r="P490" s="11"/>
    </row>
    <row r="491" spans="4:16" x14ac:dyDescent="0.2">
      <c r="D491" s="1">
        <v>46002</v>
      </c>
      <c r="E491" s="2">
        <v>0.91666666666666663</v>
      </c>
      <c r="F491" t="s">
        <v>38</v>
      </c>
      <c r="G491">
        <f>VLOOKUP(Table4[[#This Row],[Home]],'NHL Model'!$A$6:$B$38,2,FALSE)</f>
        <v>-0.6902088310934803</v>
      </c>
      <c r="H491" t="s">
        <v>23</v>
      </c>
      <c r="I491">
        <f>VLOOKUP(Table4[[#This Row],[Visitor]],'NHL Model'!$A$6:$B$38,2,FALSE)</f>
        <v>-0.8683412362501769</v>
      </c>
      <c r="J491">
        <f ca="1">($B$1+Table4[[#This Row],[Home Differential]])-Table4[[#This Row],[Away Differential]]</f>
        <v>0.34070471481901499</v>
      </c>
      <c r="K491" t="str">
        <f ca="1">IF(Table4[[#This Row],[HomeIce Differential]]&gt;0,Table4[[#This Row],[Home]],Table4[[#This Row],[Visitor]])</f>
        <v>Vancouver Canucks</v>
      </c>
      <c r="L491" s="11">
        <f ca="1"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0.58720759013424861</v>
      </c>
      <c r="M491" t="str">
        <f ca="1">IF(OR((NHL2025_26Results[[#This Row],[Winning Team]]="")),"-",IF(Table4[[#This Row],[Predicted Winner]]=NHL2025_26Results[[#This Row],[Winning Team]],"YES","NO"))</f>
        <v>-</v>
      </c>
      <c r="N491" t="str">
        <f ca="1">IF(Table4[[#This Row],[Adjusted Correct]]="-", "",IF(Table4[[#This Row],[Adjusted Correct]]="YES",(Table4[[#This Row],[Strength of Win]]-1)^2,(Table4[[#This Row],[Strength of Win]]-0)^2))</f>
        <v/>
      </c>
      <c r="P491" s="11"/>
    </row>
    <row r="492" spans="4:16" x14ac:dyDescent="0.2">
      <c r="D492" s="1">
        <v>46002</v>
      </c>
      <c r="E492" s="2">
        <v>0.83333333333333337</v>
      </c>
      <c r="F492" t="s">
        <v>40</v>
      </c>
      <c r="G492">
        <f>VLOOKUP(Table4[[#This Row],[Home]],'NHL Model'!$A$6:$B$38,2,FALSE)</f>
        <v>0.105105258369765</v>
      </c>
      <c r="H492" t="s">
        <v>21</v>
      </c>
      <c r="I492">
        <f>VLOOKUP(Table4[[#This Row],[Visitor]],'NHL Model'!$A$6:$B$38,2,FALSE)</f>
        <v>4.029141914856392E-2</v>
      </c>
      <c r="J492">
        <f ca="1">($B$1+Table4[[#This Row],[Home Differential]])-Table4[[#This Row],[Away Differential]]</f>
        <v>0.22738614888351949</v>
      </c>
      <c r="K492" t="str">
        <f ca="1">IF(Table4[[#This Row],[HomeIce Differential]]&gt;0,Table4[[#This Row],[Home]],Table4[[#This Row],[Visitor]])</f>
        <v>Winnipeg Jets</v>
      </c>
      <c r="L492" s="11">
        <f ca="1"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0.6075431873811582</v>
      </c>
      <c r="M492" t="str">
        <f ca="1">IF(OR((NHL2025_26Results[[#This Row],[Winning Team]]="")),"-",IF(Table4[[#This Row],[Predicted Winner]]=NHL2025_26Results[[#This Row],[Winning Team]],"YES","NO"))</f>
        <v>-</v>
      </c>
      <c r="N492" t="str">
        <f ca="1">IF(Table4[[#This Row],[Adjusted Correct]]="-", "",IF(Table4[[#This Row],[Adjusted Correct]]="YES",(Table4[[#This Row],[Strength of Win]]-1)^2,(Table4[[#This Row],[Strength of Win]]-0)^2))</f>
        <v/>
      </c>
      <c r="P492" s="11"/>
    </row>
    <row r="493" spans="4:16" x14ac:dyDescent="0.2">
      <c r="D493" s="1">
        <v>46002</v>
      </c>
      <c r="E493" s="2">
        <v>0.79166666666666663</v>
      </c>
      <c r="F493" t="s">
        <v>22</v>
      </c>
      <c r="G493">
        <f>VLOOKUP(Table4[[#This Row],[Home]],'NHL Model'!$A$6:$B$38,2,FALSE)</f>
        <v>-6.1308839486784707E-2</v>
      </c>
      <c r="H493" t="s">
        <v>25</v>
      </c>
      <c r="I493">
        <f>VLOOKUP(Table4[[#This Row],[Visitor]],'NHL Model'!$A$6:$B$38,2,FALSE)</f>
        <v>0.67193921242367816</v>
      </c>
      <c r="J493">
        <f ca="1">($B$1+Table4[[#This Row],[Home Differential]])-Table4[[#This Row],[Away Differential]]</f>
        <v>-0.57067574224814444</v>
      </c>
      <c r="K493" t="str">
        <f ca="1">IF(Table4[[#This Row],[HomeIce Differential]]&gt;0,Table4[[#This Row],[Home]],Table4[[#This Row],[Visitor]])</f>
        <v>Carolina Hurricanes</v>
      </c>
      <c r="L493" s="11">
        <f ca="1"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0.63155825631937645</v>
      </c>
      <c r="M493" t="str">
        <f ca="1">IF(OR((NHL2025_26Results[[#This Row],[Winning Team]]="")),"-",IF(Table4[[#This Row],[Predicted Winner]]=NHL2025_26Results[[#This Row],[Winning Team]],"YES","NO"))</f>
        <v>-</v>
      </c>
      <c r="N493" t="str">
        <f ca="1">IF(Table4[[#This Row],[Adjusted Correct]]="-", "",IF(Table4[[#This Row],[Adjusted Correct]]="YES",(Table4[[#This Row],[Strength of Win]]-1)^2,(Table4[[#This Row],[Strength of Win]]-0)^2))</f>
        <v/>
      </c>
      <c r="P493" s="11"/>
    </row>
    <row r="494" spans="4:16" x14ac:dyDescent="0.2">
      <c r="D494" s="1">
        <v>46003</v>
      </c>
      <c r="E494" s="2">
        <v>0.83333333333333337</v>
      </c>
      <c r="F494" t="s">
        <v>35</v>
      </c>
      <c r="G494">
        <f>VLOOKUP(Table4[[#This Row],[Home]],'NHL Model'!$A$6:$B$38,2,FALSE)</f>
        <v>-1.6211574240381006</v>
      </c>
      <c r="H494" t="s">
        <v>10</v>
      </c>
      <c r="I494">
        <f>VLOOKUP(Table4[[#This Row],[Visitor]],'NHL Model'!$A$6:$B$38,2,FALSE)</f>
        <v>0.30570968833820172</v>
      </c>
      <c r="J494">
        <f ca="1">($B$1+Table4[[#This Row],[Home Differential]])-Table4[[#This Row],[Away Differential]]</f>
        <v>-1.764294802713984</v>
      </c>
      <c r="K494" t="str">
        <f ca="1">IF(Table4[[#This Row],[HomeIce Differential]]&gt;0,Table4[[#This Row],[Home]],Table4[[#This Row],[Visitor]])</f>
        <v>Chicago Blackhawks</v>
      </c>
      <c r="L494" s="11">
        <f ca="1"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0.7252275616929752</v>
      </c>
      <c r="M494" t="str">
        <f ca="1">IF(OR((NHL2025_26Results[[#This Row],[Winning Team]]="")),"-",IF(Table4[[#This Row],[Predicted Winner]]=NHL2025_26Results[[#This Row],[Winning Team]],"YES","NO"))</f>
        <v>-</v>
      </c>
      <c r="N494" t="str">
        <f ca="1">IF(Table4[[#This Row],[Adjusted Correct]]="-", "",IF(Table4[[#This Row],[Adjusted Correct]]="YES",(Table4[[#This Row],[Strength of Win]]-1)^2,(Table4[[#This Row],[Strength of Win]]-0)^2))</f>
        <v/>
      </c>
      <c r="P494" s="11"/>
    </row>
    <row r="495" spans="4:16" x14ac:dyDescent="0.2">
      <c r="D495" s="1">
        <v>46003</v>
      </c>
      <c r="E495" s="2">
        <v>0.875</v>
      </c>
      <c r="F495" t="s">
        <v>55</v>
      </c>
      <c r="G495">
        <f>VLOOKUP(Table4[[#This Row],[Home]],'NHL Model'!$A$6:$B$38,2,FALSE)</f>
        <v>-0.12212311954851815</v>
      </c>
      <c r="H495" t="s">
        <v>32</v>
      </c>
      <c r="I495">
        <f>VLOOKUP(Table4[[#This Row],[Visitor]],'NHL Model'!$A$6:$B$38,2,FALSE)</f>
        <v>-0.361361309178443</v>
      </c>
      <c r="J495">
        <f ca="1">($B$1+Table4[[#This Row],[Home Differential]])-Table4[[#This Row],[Away Differential]]</f>
        <v>0.40181049929224322</v>
      </c>
      <c r="K495" t="str">
        <f ca="1">IF(Table4[[#This Row],[HomeIce Differential]]&gt;0,Table4[[#This Row],[Home]],Table4[[#This Row],[Visitor]])</f>
        <v>Utah Mammoth</v>
      </c>
      <c r="L495" s="11">
        <f ca="1"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0.66394683208171279</v>
      </c>
      <c r="M495" t="str">
        <f ca="1">IF(OR((NHL2025_26Results[[#This Row],[Winning Team]]="")),"-",IF(Table4[[#This Row],[Predicted Winner]]=NHL2025_26Results[[#This Row],[Winning Team]],"YES","NO"))</f>
        <v>-</v>
      </c>
      <c r="N495" t="str">
        <f ca="1">IF(Table4[[#This Row],[Adjusted Correct]]="-", "",IF(Table4[[#This Row],[Adjusted Correct]]="YES",(Table4[[#This Row],[Strength of Win]]-1)^2,(Table4[[#This Row],[Strength of Win]]-0)^2))</f>
        <v/>
      </c>
      <c r="P495" s="11"/>
    </row>
    <row r="496" spans="4:16" x14ac:dyDescent="0.2">
      <c r="D496" s="1">
        <v>46004</v>
      </c>
      <c r="E496" s="2">
        <v>0.79166666666666663</v>
      </c>
      <c r="F496" t="s">
        <v>28</v>
      </c>
      <c r="G496">
        <f>VLOOKUP(Table4[[#This Row],[Home]],'NHL Model'!$A$6:$B$38,2,FALSE)</f>
        <v>-0.40822279081308277</v>
      </c>
      <c r="H496" t="s">
        <v>20</v>
      </c>
      <c r="I496">
        <f>VLOOKUP(Table4[[#This Row],[Visitor]],'NHL Model'!$A$6:$B$38,2,FALSE)</f>
        <v>-6.3745791019188943E-4</v>
      </c>
      <c r="J496">
        <f ca="1">($B$1+Table4[[#This Row],[Home Differential]])-Table4[[#This Row],[Away Differential]]</f>
        <v>-0.24501302324057248</v>
      </c>
      <c r="K496" t="str">
        <f ca="1">IF(Table4[[#This Row],[HomeIce Differential]]&gt;0,Table4[[#This Row],[Home]],Table4[[#This Row],[Visitor]])</f>
        <v>Vegas Golden Knights</v>
      </c>
      <c r="L496" s="11">
        <f ca="1"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0.51471790795392502</v>
      </c>
      <c r="M496" t="str">
        <f ca="1">IF(OR((NHL2025_26Results[[#This Row],[Winning Team]]="")),"-",IF(Table4[[#This Row],[Predicted Winner]]=NHL2025_26Results[[#This Row],[Winning Team]],"YES","NO"))</f>
        <v>-</v>
      </c>
      <c r="N496" t="str">
        <f ca="1">IF(Table4[[#This Row],[Adjusted Correct]]="-", "",IF(Table4[[#This Row],[Adjusted Correct]]="YES",(Table4[[#This Row],[Strength of Win]]-1)^2,(Table4[[#This Row],[Strength of Win]]-0)^2))</f>
        <v/>
      </c>
      <c r="P496" s="11"/>
    </row>
    <row r="497" spans="4:16" x14ac:dyDescent="0.2">
      <c r="D497" s="1">
        <v>46004</v>
      </c>
      <c r="E497" s="2">
        <v>0.83333333333333337</v>
      </c>
      <c r="F497" t="s">
        <v>10</v>
      </c>
      <c r="G497">
        <f>VLOOKUP(Table4[[#This Row],[Home]],'NHL Model'!$A$6:$B$38,2,FALSE)</f>
        <v>0.30570968833820172</v>
      </c>
      <c r="H497" t="s">
        <v>26</v>
      </c>
      <c r="I497">
        <f>VLOOKUP(Table4[[#This Row],[Visitor]],'NHL Model'!$A$6:$B$38,2,FALSE)</f>
        <v>-0.513643833119658</v>
      </c>
      <c r="J497">
        <f ca="1">($B$1+Table4[[#This Row],[Home Differential]])-Table4[[#This Row],[Away Differential]]</f>
        <v>0.98192583112017817</v>
      </c>
      <c r="K497" t="str">
        <f ca="1">IF(Table4[[#This Row],[HomeIce Differential]]&gt;0,Table4[[#This Row],[Home]],Table4[[#This Row],[Visitor]])</f>
        <v>Chicago Blackhawks</v>
      </c>
      <c r="L497" s="11">
        <f ca="1"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0.62895493991405704</v>
      </c>
      <c r="M497" t="str">
        <f ca="1">IF(OR((NHL2025_26Results[[#This Row],[Winning Team]]="")),"-",IF(Table4[[#This Row],[Predicted Winner]]=NHL2025_26Results[[#This Row],[Winning Team]],"YES","NO"))</f>
        <v>-</v>
      </c>
      <c r="N497" t="str">
        <f ca="1">IF(Table4[[#This Row],[Adjusted Correct]]="-", "",IF(Table4[[#This Row],[Adjusted Correct]]="YES",(Table4[[#This Row],[Strength of Win]]-1)^2,(Table4[[#This Row],[Strength of Win]]-0)^2))</f>
        <v/>
      </c>
      <c r="P497" s="11"/>
    </row>
    <row r="498" spans="4:16" x14ac:dyDescent="0.2">
      <c r="D498" s="1">
        <v>46004</v>
      </c>
      <c r="E498" s="2">
        <v>0.875</v>
      </c>
      <c r="F498" t="s">
        <v>12</v>
      </c>
      <c r="G498">
        <f>VLOOKUP(Table4[[#This Row],[Home]],'NHL Model'!$A$6:$B$38,2,FALSE)</f>
        <v>1.5475013591489768</v>
      </c>
      <c r="H498" t="s">
        <v>29</v>
      </c>
      <c r="I498">
        <f>VLOOKUP(Table4[[#This Row],[Visitor]],'NHL Model'!$A$6:$B$38,2,FALSE)</f>
        <v>-1.3516250707060606</v>
      </c>
      <c r="J498">
        <f ca="1">($B$1+Table4[[#This Row],[Home Differential]])-Table4[[#This Row],[Away Differential]]</f>
        <v>3.0616987395173556</v>
      </c>
      <c r="K498" t="str">
        <f ca="1">IF(Table4[[#This Row],[HomeIce Differential]]&gt;0,Table4[[#This Row],[Home]],Table4[[#This Row],[Visitor]])</f>
        <v>Colorado Avalanche</v>
      </c>
      <c r="L498" s="11">
        <f ca="1"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1</v>
      </c>
      <c r="M498" t="str">
        <f ca="1">IF(OR((NHL2025_26Results[[#This Row],[Winning Team]]="")),"-",IF(Table4[[#This Row],[Predicted Winner]]=NHL2025_26Results[[#This Row],[Winning Team]],"YES","NO"))</f>
        <v>-</v>
      </c>
      <c r="N498" t="str">
        <f ca="1">IF(Table4[[#This Row],[Adjusted Correct]]="-", "",IF(Table4[[#This Row],[Adjusted Correct]]="YES",(Table4[[#This Row],[Strength of Win]]-1)^2,(Table4[[#This Row],[Strength of Win]]-0)^2))</f>
        <v/>
      </c>
      <c r="P498" s="11"/>
    </row>
    <row r="499" spans="4:16" x14ac:dyDescent="0.2">
      <c r="D499" s="1">
        <v>46004</v>
      </c>
      <c r="E499" s="2">
        <v>0.83333333333333337</v>
      </c>
      <c r="F499" t="s">
        <v>39</v>
      </c>
      <c r="G499">
        <f>VLOOKUP(Table4[[#This Row],[Home]],'NHL Model'!$A$6:$B$38,2,FALSE)</f>
        <v>0.19809534061227302</v>
      </c>
      <c r="H499" t="s">
        <v>11</v>
      </c>
      <c r="I499">
        <f>VLOOKUP(Table4[[#This Row],[Visitor]],'NHL Model'!$A$6:$B$38,2,FALSE)</f>
        <v>-0.28105923893144158</v>
      </c>
      <c r="J499">
        <f ca="1">($B$1+Table4[[#This Row],[Home Differential]])-Table4[[#This Row],[Away Differential]]</f>
        <v>0.64172688920603305</v>
      </c>
      <c r="K499" t="str">
        <f ca="1">IF(Table4[[#This Row],[HomeIce Differential]]&gt;0,Table4[[#This Row],[Home]],Table4[[#This Row],[Visitor]])</f>
        <v>Dallas Stars</v>
      </c>
      <c r="L499" s="11">
        <f ca="1"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0.65495455632762667</v>
      </c>
      <c r="M499" t="str">
        <f ca="1">IF(OR((NHL2025_26Results[[#This Row],[Winning Team]]="")),"-",IF(Table4[[#This Row],[Predicted Winner]]=NHL2025_26Results[[#This Row],[Winning Team]],"YES","NO"))</f>
        <v>-</v>
      </c>
      <c r="N499" t="str">
        <f ca="1">IF(Table4[[#This Row],[Adjusted Correct]]="-", "",IF(Table4[[#This Row],[Adjusted Correct]]="YES",(Table4[[#This Row],[Strength of Win]]-1)^2,(Table4[[#This Row],[Strength of Win]]-0)^2))</f>
        <v/>
      </c>
      <c r="P499" s="11"/>
    </row>
    <row r="500" spans="4:16" x14ac:dyDescent="0.2">
      <c r="D500" s="1">
        <v>46004</v>
      </c>
      <c r="E500" s="2">
        <v>0.91666666666666663</v>
      </c>
      <c r="F500" t="s">
        <v>13</v>
      </c>
      <c r="G500">
        <f>VLOOKUP(Table4[[#This Row],[Home]],'NHL Model'!$A$6:$B$38,2,FALSE)</f>
        <v>-7.5459708298993802E-2</v>
      </c>
      <c r="H500" t="s">
        <v>16</v>
      </c>
      <c r="I500">
        <f>VLOOKUP(Table4[[#This Row],[Visitor]],'NHL Model'!$A$6:$B$38,2,FALSE)</f>
        <v>-1.3903684122795328</v>
      </c>
      <c r="J500">
        <f ca="1">($B$1+Table4[[#This Row],[Home Differential]])-Table4[[#This Row],[Away Differential]]</f>
        <v>1.4774810136428573</v>
      </c>
      <c r="K500" t="str">
        <f ca="1">IF(Table4[[#This Row],[HomeIce Differential]]&gt;0,Table4[[#This Row],[Home]],Table4[[#This Row],[Visitor]])</f>
        <v>Los Angeles Kings</v>
      </c>
      <c r="L500" s="11">
        <f ca="1"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0.74471779546765893</v>
      </c>
      <c r="M500" t="str">
        <f ca="1">IF(OR((NHL2025_26Results[[#This Row],[Winning Team]]="")),"-",IF(Table4[[#This Row],[Predicted Winner]]=NHL2025_26Results[[#This Row],[Winning Team]],"YES","NO"))</f>
        <v>-</v>
      </c>
      <c r="N500" t="str">
        <f ca="1">IF(Table4[[#This Row],[Adjusted Correct]]="-", "",IF(Table4[[#This Row],[Adjusted Correct]]="YES",(Table4[[#This Row],[Strength of Win]]-1)^2,(Table4[[#This Row],[Strength of Win]]-0)^2))</f>
        <v/>
      </c>
      <c r="P500" s="11"/>
    </row>
    <row r="501" spans="4:16" x14ac:dyDescent="0.2">
      <c r="D501" s="1">
        <v>46004</v>
      </c>
      <c r="E501" s="2">
        <v>0.58333333333333337</v>
      </c>
      <c r="F501" t="s">
        <v>34</v>
      </c>
      <c r="G501">
        <f>VLOOKUP(Table4[[#This Row],[Home]],'NHL Model'!$A$6:$B$38,2,FALSE)</f>
        <v>-0.53650300840565446</v>
      </c>
      <c r="H501" t="s">
        <v>36</v>
      </c>
      <c r="I501">
        <f>VLOOKUP(Table4[[#This Row],[Visitor]],'NHL Model'!$A$6:$B$38,2,FALSE)</f>
        <v>-0.40651947573390851</v>
      </c>
      <c r="J501">
        <f ca="1">($B$1+Table4[[#This Row],[Home Differential]])-Table4[[#This Row],[Away Differential]]</f>
        <v>3.2588776990572443E-2</v>
      </c>
      <c r="K501" t="str">
        <f ca="1">IF(Table4[[#This Row],[HomeIce Differential]]&gt;0,Table4[[#This Row],[Home]],Table4[[#This Row],[Visitor]])</f>
        <v>Minnesota Wild</v>
      </c>
      <c r="L501" s="11">
        <f ca="1"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0.54451545740411789</v>
      </c>
      <c r="M501" t="str">
        <f ca="1">IF(OR((NHL2025_26Results[[#This Row],[Winning Team]]="")),"-",IF(Table4[[#This Row],[Predicted Winner]]=NHL2025_26Results[[#This Row],[Winning Team]],"YES","NO"))</f>
        <v>-</v>
      </c>
      <c r="N501" t="str">
        <f ca="1">IF(Table4[[#This Row],[Adjusted Correct]]="-", "",IF(Table4[[#This Row],[Adjusted Correct]]="YES",(Table4[[#This Row],[Strength of Win]]-1)^2,(Table4[[#This Row],[Strength of Win]]-0)^2))</f>
        <v/>
      </c>
      <c r="P501" s="11"/>
    </row>
    <row r="502" spans="4:16" x14ac:dyDescent="0.2">
      <c r="D502" s="1">
        <v>46004</v>
      </c>
      <c r="E502" s="2">
        <v>0.52083333333333337</v>
      </c>
      <c r="F502" t="s">
        <v>24</v>
      </c>
      <c r="G502">
        <f>VLOOKUP(Table4[[#This Row],[Home]],'NHL Model'!$A$6:$B$38,2,FALSE)</f>
        <v>0.559441163373953</v>
      </c>
      <c r="H502" t="s">
        <v>31</v>
      </c>
      <c r="I502">
        <f>VLOOKUP(Table4[[#This Row],[Visitor]],'NHL Model'!$A$6:$B$38,2,FALSE)</f>
        <v>0.51775546328552802</v>
      </c>
      <c r="J502">
        <f ca="1">($B$1+Table4[[#This Row],[Home Differential]])-Table4[[#This Row],[Away Differential]]</f>
        <v>0.20425800975074337</v>
      </c>
      <c r="K502" t="str">
        <f ca="1">IF(Table4[[#This Row],[HomeIce Differential]]&gt;0,Table4[[#This Row],[Home]],Table4[[#This Row],[Visitor]])</f>
        <v>New Jersey Devils</v>
      </c>
      <c r="L502" s="11">
        <f ca="1"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0.66466535332423848</v>
      </c>
      <c r="M502" t="str">
        <f ca="1">IF(OR((NHL2025_26Results[[#This Row],[Winning Team]]="")),"-",IF(Table4[[#This Row],[Predicted Winner]]=NHL2025_26Results[[#This Row],[Winning Team]],"YES","NO"))</f>
        <v>-</v>
      </c>
      <c r="N502" t="str">
        <f ca="1">IF(Table4[[#This Row],[Adjusted Correct]]="-", "",IF(Table4[[#This Row],[Adjusted Correct]]="YES",(Table4[[#This Row],[Strength of Win]]-1)^2,(Table4[[#This Row],[Strength of Win]]-0)^2))</f>
        <v/>
      </c>
      <c r="P502" s="11"/>
    </row>
    <row r="503" spans="4:16" x14ac:dyDescent="0.2">
      <c r="D503" s="1">
        <v>46004</v>
      </c>
      <c r="E503" s="2">
        <v>0.64583333333333337</v>
      </c>
      <c r="F503" t="s">
        <v>30</v>
      </c>
      <c r="G503">
        <f>VLOOKUP(Table4[[#This Row],[Home]],'NHL Model'!$A$6:$B$38,2,FALSE)</f>
        <v>-6.4729560818359025E-2</v>
      </c>
      <c r="H503" t="s">
        <v>37</v>
      </c>
      <c r="I503">
        <f>VLOOKUP(Table4[[#This Row],[Visitor]],'NHL Model'!$A$6:$B$38,2,FALSE)</f>
        <v>-0.11309445867623392</v>
      </c>
      <c r="J503">
        <f ca="1">($B$1+Table4[[#This Row],[Home Differential]])-Table4[[#This Row],[Away Differential]]</f>
        <v>0.21093720752019329</v>
      </c>
      <c r="K503" t="str">
        <f ca="1">IF(Table4[[#This Row],[HomeIce Differential]]&gt;0,Table4[[#This Row],[Home]],Table4[[#This Row],[Visitor]])</f>
        <v>New York Islanders</v>
      </c>
      <c r="L503" s="11">
        <f ca="1"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0.52212778619999511</v>
      </c>
      <c r="M503" t="str">
        <f ca="1">IF(OR((NHL2025_26Results[[#This Row],[Winning Team]]="")),"-",IF(Table4[[#This Row],[Predicted Winner]]=NHL2025_26Results[[#This Row],[Winning Team]],"YES","NO"))</f>
        <v>-</v>
      </c>
      <c r="N503" t="str">
        <f ca="1">IF(Table4[[#This Row],[Adjusted Correct]]="-", "",IF(Table4[[#This Row],[Adjusted Correct]]="YES",(Table4[[#This Row],[Strength of Win]]-1)^2,(Table4[[#This Row],[Strength of Win]]-0)^2))</f>
        <v/>
      </c>
      <c r="P503" s="11"/>
    </row>
    <row r="504" spans="4:16" x14ac:dyDescent="0.2">
      <c r="D504" s="1">
        <v>46004</v>
      </c>
      <c r="E504" s="2">
        <v>0.79166666666666663</v>
      </c>
      <c r="F504" t="s">
        <v>15</v>
      </c>
      <c r="G504">
        <f>VLOOKUP(Table4[[#This Row],[Home]],'NHL Model'!$A$6:$B$38,2,FALSE)</f>
        <v>-0.30719665303039001</v>
      </c>
      <c r="H504" t="s">
        <v>18</v>
      </c>
      <c r="I504">
        <f>VLOOKUP(Table4[[#This Row],[Visitor]],'NHL Model'!$A$6:$B$38,2,FALSE)</f>
        <v>-0.52437726201848234</v>
      </c>
      <c r="J504">
        <f ca="1">($B$1+Table4[[#This Row],[Home Differential]])-Table4[[#This Row],[Away Differential]]</f>
        <v>0.37975291865041072</v>
      </c>
      <c r="K504" t="str">
        <f ca="1">IF(Table4[[#This Row],[HomeIce Differential]]&gt;0,Table4[[#This Row],[Home]],Table4[[#This Row],[Visitor]])</f>
        <v>New York Rangers</v>
      </c>
      <c r="L504" s="11">
        <f ca="1"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0.51613737039693453</v>
      </c>
      <c r="M504" t="str">
        <f ca="1">IF(OR((NHL2025_26Results[[#This Row],[Winning Team]]="")),"-",IF(Table4[[#This Row],[Predicted Winner]]=NHL2025_26Results[[#This Row],[Winning Team]],"YES","NO"))</f>
        <v>-</v>
      </c>
      <c r="N504" t="str">
        <f ca="1">IF(Table4[[#This Row],[Adjusted Correct]]="-", "",IF(Table4[[#This Row],[Adjusted Correct]]="YES",(Table4[[#This Row],[Strength of Win]]-1)^2,(Table4[[#This Row],[Strength of Win]]-0)^2))</f>
        <v/>
      </c>
      <c r="P504" s="11"/>
    </row>
    <row r="505" spans="4:16" x14ac:dyDescent="0.2">
      <c r="D505" s="1">
        <v>46004</v>
      </c>
      <c r="E505" s="2">
        <v>0.79166666666666663</v>
      </c>
      <c r="F505" t="s">
        <v>27</v>
      </c>
      <c r="G505">
        <f>VLOOKUP(Table4[[#This Row],[Home]],'NHL Model'!$A$6:$B$38,2,FALSE)</f>
        <v>-0.51358590497437617</v>
      </c>
      <c r="H505" t="s">
        <v>25</v>
      </c>
      <c r="I505">
        <f>VLOOKUP(Table4[[#This Row],[Visitor]],'NHL Model'!$A$6:$B$38,2,FALSE)</f>
        <v>0.67193921242367816</v>
      </c>
      <c r="J505">
        <f ca="1">($B$1+Table4[[#This Row],[Home Differential]])-Table4[[#This Row],[Away Differential]]</f>
        <v>-1.0229528077357359</v>
      </c>
      <c r="K505" t="str">
        <f ca="1">IF(Table4[[#This Row],[HomeIce Differential]]&gt;0,Table4[[#This Row],[Home]],Table4[[#This Row],[Visitor]])</f>
        <v>Carolina Hurricanes</v>
      </c>
      <c r="L505" s="11">
        <f ca="1"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0.69173897446626198</v>
      </c>
      <c r="M505" t="str">
        <f ca="1">IF(OR((NHL2025_26Results[[#This Row],[Winning Team]]="")),"-",IF(Table4[[#This Row],[Predicted Winner]]=NHL2025_26Results[[#This Row],[Winning Team]],"YES","NO"))</f>
        <v>-</v>
      </c>
      <c r="N505" t="str">
        <f ca="1">IF(Table4[[#This Row],[Adjusted Correct]]="-", "",IF(Table4[[#This Row],[Adjusted Correct]]="YES",(Table4[[#This Row],[Strength of Win]]-1)^2,(Table4[[#This Row],[Strength of Win]]-0)^2))</f>
        <v/>
      </c>
      <c r="P505" s="11"/>
    </row>
    <row r="506" spans="4:16" x14ac:dyDescent="0.2">
      <c r="D506" s="1">
        <v>46004</v>
      </c>
      <c r="E506" s="2">
        <v>0.625</v>
      </c>
      <c r="F506" t="s">
        <v>14</v>
      </c>
      <c r="G506">
        <f>VLOOKUP(Table4[[#This Row],[Home]],'NHL Model'!$A$6:$B$38,2,FALSE)</f>
        <v>0.26289091192875702</v>
      </c>
      <c r="H506" t="s">
        <v>33</v>
      </c>
      <c r="I506">
        <f>VLOOKUP(Table4[[#This Row],[Visitor]],'NHL Model'!$A$6:$B$38,2,FALSE)</f>
        <v>-0.39418177254008485</v>
      </c>
      <c r="J506">
        <f ca="1">($B$1+Table4[[#This Row],[Home Differential]])-Table4[[#This Row],[Away Differential]]</f>
        <v>0.81964499413116032</v>
      </c>
      <c r="K506" t="str">
        <f ca="1">IF(Table4[[#This Row],[HomeIce Differential]]&gt;0,Table4[[#This Row],[Home]],Table4[[#This Row],[Visitor]])</f>
        <v>Pittsburgh Penguins</v>
      </c>
      <c r="L506" s="11">
        <f ca="1"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0.68960578177374265</v>
      </c>
      <c r="M506" t="str">
        <f ca="1">IF(OR((NHL2025_26Results[[#This Row],[Winning Team]]="")),"-",IF(Table4[[#This Row],[Predicted Winner]]=NHL2025_26Results[[#This Row],[Winning Team]],"YES","NO"))</f>
        <v>-</v>
      </c>
      <c r="N506" t="str">
        <f ca="1">IF(Table4[[#This Row],[Adjusted Correct]]="-", "",IF(Table4[[#This Row],[Adjusted Correct]]="YES",(Table4[[#This Row],[Strength of Win]]-1)^2,(Table4[[#This Row],[Strength of Win]]-0)^2))</f>
        <v/>
      </c>
      <c r="P506" s="11"/>
    </row>
    <row r="507" spans="4:16" x14ac:dyDescent="0.2">
      <c r="D507" s="1">
        <v>46004</v>
      </c>
      <c r="E507" s="2">
        <v>0.79166666666666663</v>
      </c>
      <c r="F507" t="s">
        <v>19</v>
      </c>
      <c r="G507">
        <f>VLOOKUP(Table4[[#This Row],[Home]],'NHL Model'!$A$6:$B$38,2,FALSE)</f>
        <v>-0.635565543477981</v>
      </c>
      <c r="H507" t="s">
        <v>17</v>
      </c>
      <c r="I507">
        <f>VLOOKUP(Table4[[#This Row],[Visitor]],'NHL Model'!$A$6:$B$38,2,FALSE)</f>
        <v>-0.61980804137564283</v>
      </c>
      <c r="J507">
        <f ca="1">($B$1+Table4[[#This Row],[Home Differential]])-Table4[[#This Row],[Away Differential]]</f>
        <v>0.14681480755998022</v>
      </c>
      <c r="K507" t="str">
        <f ca="1">IF(Table4[[#This Row],[HomeIce Differential]]&gt;0,Table4[[#This Row],[Home]],Table4[[#This Row],[Visitor]])</f>
        <v>Toronto Maple Leafs</v>
      </c>
      <c r="L507" s="11">
        <f ca="1"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0.5603424636040385</v>
      </c>
      <c r="M507" t="str">
        <f ca="1">IF(OR((NHL2025_26Results[[#This Row],[Winning Team]]="")),"-",IF(Table4[[#This Row],[Predicted Winner]]=NHL2025_26Results[[#This Row],[Winning Team]],"YES","NO"))</f>
        <v>-</v>
      </c>
      <c r="N507" t="str">
        <f ca="1">IF(Table4[[#This Row],[Adjusted Correct]]="-", "",IF(Table4[[#This Row],[Adjusted Correct]]="YES",(Table4[[#This Row],[Strength of Win]]-1)^2,(Table4[[#This Row],[Strength of Win]]-0)^2))</f>
        <v/>
      </c>
      <c r="P507" s="11"/>
    </row>
    <row r="508" spans="4:16" x14ac:dyDescent="0.2">
      <c r="D508" s="1">
        <v>46004</v>
      </c>
      <c r="E508" s="2">
        <v>0.79166666666666663</v>
      </c>
      <c r="F508" t="s">
        <v>40</v>
      </c>
      <c r="G508">
        <f>VLOOKUP(Table4[[#This Row],[Home]],'NHL Model'!$A$6:$B$38,2,FALSE)</f>
        <v>0.105105258369765</v>
      </c>
      <c r="H508" t="s">
        <v>22</v>
      </c>
      <c r="I508">
        <f>VLOOKUP(Table4[[#This Row],[Visitor]],'NHL Model'!$A$6:$B$38,2,FALSE)</f>
        <v>-6.1308839486784707E-2</v>
      </c>
      <c r="J508">
        <f ca="1">($B$1+Table4[[#This Row],[Home Differential]])-Table4[[#This Row],[Away Differential]]</f>
        <v>0.32898640751886815</v>
      </c>
      <c r="K508" t="str">
        <f ca="1">IF(Table4[[#This Row],[HomeIce Differential]]&gt;0,Table4[[#This Row],[Home]],Table4[[#This Row],[Visitor]])</f>
        <v>Winnipeg Jets</v>
      </c>
      <c r="L508" s="11">
        <f ca="1"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0.62162078348879946</v>
      </c>
      <c r="M508" t="str">
        <f ca="1">IF(OR((NHL2025_26Results[[#This Row],[Winning Team]]="")),"-",IF(Table4[[#This Row],[Predicted Winner]]=NHL2025_26Results[[#This Row],[Winning Team]],"YES","NO"))</f>
        <v>-</v>
      </c>
      <c r="N508" t="str">
        <f ca="1">IF(Table4[[#This Row],[Adjusted Correct]]="-", "",IF(Table4[[#This Row],[Adjusted Correct]]="YES",(Table4[[#This Row],[Strength of Win]]-1)^2,(Table4[[#This Row],[Strength of Win]]-0)^2))</f>
        <v/>
      </c>
      <c r="P508" s="11"/>
    </row>
    <row r="509" spans="4:16" x14ac:dyDescent="0.2">
      <c r="D509" s="1">
        <v>46005</v>
      </c>
      <c r="E509" s="2">
        <v>0.70833333333333337</v>
      </c>
      <c r="F509" t="s">
        <v>25</v>
      </c>
      <c r="G509">
        <f>VLOOKUP(Table4[[#This Row],[Home]],'NHL Model'!$A$6:$B$38,2,FALSE)</f>
        <v>0.67193921242367816</v>
      </c>
      <c r="H509" t="s">
        <v>27</v>
      </c>
      <c r="I509">
        <f>VLOOKUP(Table4[[#This Row],[Visitor]],'NHL Model'!$A$6:$B$38,2,FALSE)</f>
        <v>-0.51358590497437617</v>
      </c>
      <c r="J509">
        <f ca="1">($B$1+Table4[[#This Row],[Home Differential]])-Table4[[#This Row],[Away Differential]]</f>
        <v>1.3480974270603727</v>
      </c>
      <c r="K509" t="str">
        <f ca="1">IF(Table4[[#This Row],[HomeIce Differential]]&gt;0,Table4[[#This Row],[Home]],Table4[[#This Row],[Visitor]])</f>
        <v>Carolina Hurricanes</v>
      </c>
      <c r="L509" s="11">
        <f ca="1"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0.77850655488706844</v>
      </c>
      <c r="M509" t="str">
        <f ca="1">IF(OR((NHL2025_26Results[[#This Row],[Winning Team]]="")),"-",IF(Table4[[#This Row],[Predicted Winner]]=NHL2025_26Results[[#This Row],[Winning Team]],"YES","NO"))</f>
        <v>-</v>
      </c>
      <c r="N509" t="str">
        <f ca="1">IF(Table4[[#This Row],[Adjusted Correct]]="-", "",IF(Table4[[#This Row],[Adjusted Correct]]="YES",(Table4[[#This Row],[Strength of Win]]-1)^2,(Table4[[#This Row],[Strength of Win]]-0)^2))</f>
        <v/>
      </c>
      <c r="P509" s="11"/>
    </row>
    <row r="510" spans="4:16" x14ac:dyDescent="0.2">
      <c r="D510" s="1">
        <v>46005</v>
      </c>
      <c r="E510" s="2">
        <v>0.75</v>
      </c>
      <c r="F510" t="s">
        <v>34</v>
      </c>
      <c r="G510">
        <f>VLOOKUP(Table4[[#This Row],[Home]],'NHL Model'!$A$6:$B$38,2,FALSE)</f>
        <v>-0.53650300840565446</v>
      </c>
      <c r="H510" t="s">
        <v>21</v>
      </c>
      <c r="I510">
        <f>VLOOKUP(Table4[[#This Row],[Visitor]],'NHL Model'!$A$6:$B$38,2,FALSE)</f>
        <v>4.029141914856392E-2</v>
      </c>
      <c r="J510">
        <f ca="1">($B$1+Table4[[#This Row],[Home Differential]])-Table4[[#This Row],[Away Differential]]</f>
        <v>-0.4142221178919</v>
      </c>
      <c r="K510" t="str">
        <f ca="1">IF(Table4[[#This Row],[HomeIce Differential]]&gt;0,Table4[[#This Row],[Home]],Table4[[#This Row],[Visitor]])</f>
        <v>Boston Bruins</v>
      </c>
      <c r="L510" s="11">
        <f ca="1"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0.51739406329134219</v>
      </c>
      <c r="M510" t="str">
        <f ca="1">IF(OR((NHL2025_26Results[[#This Row],[Winning Team]]="")),"-",IF(Table4[[#This Row],[Predicted Winner]]=NHL2025_26Results[[#This Row],[Winning Team]],"YES","NO"))</f>
        <v>-</v>
      </c>
      <c r="N510" t="str">
        <f ca="1">IF(Table4[[#This Row],[Adjusted Correct]]="-", "",IF(Table4[[#This Row],[Adjusted Correct]]="YES",(Table4[[#This Row],[Strength of Win]]-1)^2,(Table4[[#This Row],[Strength of Win]]-0)^2))</f>
        <v/>
      </c>
      <c r="P510" s="11"/>
    </row>
    <row r="511" spans="4:16" x14ac:dyDescent="0.2">
      <c r="D511" s="1">
        <v>46005</v>
      </c>
      <c r="E511" s="2">
        <v>0.79166666666666663</v>
      </c>
      <c r="F511" t="s">
        <v>18</v>
      </c>
      <c r="G511">
        <f>VLOOKUP(Table4[[#This Row],[Home]],'NHL Model'!$A$6:$B$38,2,FALSE)</f>
        <v>-0.52437726201848234</v>
      </c>
      <c r="H511" t="s">
        <v>17</v>
      </c>
      <c r="I511">
        <f>VLOOKUP(Table4[[#This Row],[Visitor]],'NHL Model'!$A$6:$B$38,2,FALSE)</f>
        <v>-0.61980804137564283</v>
      </c>
      <c r="J511">
        <f ca="1">($B$1+Table4[[#This Row],[Home Differential]])-Table4[[#This Row],[Away Differential]]</f>
        <v>0.25800308901947888</v>
      </c>
      <c r="K511" t="str">
        <f ca="1">IF(Table4[[#This Row],[HomeIce Differential]]&gt;0,Table4[[#This Row],[Home]],Table4[[#This Row],[Visitor]])</f>
        <v>Montreal Canadiens</v>
      </c>
      <c r="L511" s="11">
        <f ca="1"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0.57574856334545177</v>
      </c>
      <c r="M511" t="str">
        <f ca="1">IF(OR((NHL2025_26Results[[#This Row],[Winning Team]]="")),"-",IF(Table4[[#This Row],[Predicted Winner]]=NHL2025_26Results[[#This Row],[Winning Team]],"YES","NO"))</f>
        <v>-</v>
      </c>
      <c r="N511" t="str">
        <f ca="1">IF(Table4[[#This Row],[Adjusted Correct]]="-", "",IF(Table4[[#This Row],[Adjusted Correct]]="YES",(Table4[[#This Row],[Strength of Win]]-1)^2,(Table4[[#This Row],[Strength of Win]]-0)^2))</f>
        <v/>
      </c>
      <c r="P511" s="11"/>
    </row>
    <row r="512" spans="4:16" x14ac:dyDescent="0.2">
      <c r="D512" s="1">
        <v>46005</v>
      </c>
      <c r="E512" s="2">
        <v>0.52083333333333337</v>
      </c>
      <c r="F512" t="s">
        <v>24</v>
      </c>
      <c r="G512">
        <f>VLOOKUP(Table4[[#This Row],[Home]],'NHL Model'!$A$6:$B$38,2,FALSE)</f>
        <v>0.559441163373953</v>
      </c>
      <c r="H512" t="s">
        <v>38</v>
      </c>
      <c r="I512">
        <f>VLOOKUP(Table4[[#This Row],[Visitor]],'NHL Model'!$A$6:$B$38,2,FALSE)</f>
        <v>-0.6902088310934803</v>
      </c>
      <c r="J512">
        <f ca="1">($B$1+Table4[[#This Row],[Home Differential]])-Table4[[#This Row],[Away Differential]]</f>
        <v>1.4122223041297517</v>
      </c>
      <c r="K512" t="str">
        <f ca="1">IF(Table4[[#This Row],[HomeIce Differential]]&gt;0,Table4[[#This Row],[Home]],Table4[[#This Row],[Visitor]])</f>
        <v>New Jersey Devils</v>
      </c>
      <c r="L512" s="11">
        <f ca="1"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0.81167563585733127</v>
      </c>
      <c r="M512" t="str">
        <f ca="1">IF(OR((NHL2025_26Results[[#This Row],[Winning Team]]="")),"-",IF(Table4[[#This Row],[Predicted Winner]]=NHL2025_26Results[[#This Row],[Winning Team]],"YES","NO"))</f>
        <v>-</v>
      </c>
      <c r="N512" t="str">
        <f ca="1">IF(Table4[[#This Row],[Adjusted Correct]]="-", "",IF(Table4[[#This Row],[Adjusted Correct]]="YES",(Table4[[#This Row],[Strength of Win]]-1)^2,(Table4[[#This Row],[Strength of Win]]-0)^2))</f>
        <v/>
      </c>
      <c r="P512" s="11"/>
    </row>
    <row r="513" spans="4:16" x14ac:dyDescent="0.2">
      <c r="D513" s="1">
        <v>46005</v>
      </c>
      <c r="E513" s="2">
        <v>0.625</v>
      </c>
      <c r="F513" t="s">
        <v>14</v>
      </c>
      <c r="G513">
        <f>VLOOKUP(Table4[[#This Row],[Home]],'NHL Model'!$A$6:$B$38,2,FALSE)</f>
        <v>0.26289091192875702</v>
      </c>
      <c r="H513" t="s">
        <v>55</v>
      </c>
      <c r="I513">
        <f>VLOOKUP(Table4[[#This Row],[Visitor]],'NHL Model'!$A$6:$B$38,2,FALSE)</f>
        <v>-0.12212311954851815</v>
      </c>
      <c r="J513">
        <f ca="1">($B$1+Table4[[#This Row],[Home Differential]])-Table4[[#This Row],[Away Differential]]</f>
        <v>0.54758634113959359</v>
      </c>
      <c r="K513" t="str">
        <f ca="1">IF(Table4[[#This Row],[HomeIce Differential]]&gt;0,Table4[[#This Row],[Home]],Table4[[#This Row],[Visitor]])</f>
        <v>Pittsburgh Penguins</v>
      </c>
      <c r="L513" s="11">
        <f ca="1"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0.65190969826129674</v>
      </c>
      <c r="M513" t="str">
        <f ca="1">IF(OR((NHL2025_26Results[[#This Row],[Winning Team]]="")),"-",IF(Table4[[#This Row],[Predicted Winner]]=NHL2025_26Results[[#This Row],[Winning Team]],"YES","NO"))</f>
        <v>-</v>
      </c>
      <c r="N513" t="str">
        <f ca="1">IF(Table4[[#This Row],[Adjusted Correct]]="-", "",IF(Table4[[#This Row],[Adjusted Correct]]="YES",(Table4[[#This Row],[Strength of Win]]-1)^2,(Table4[[#This Row],[Strength of Win]]-0)^2))</f>
        <v/>
      </c>
      <c r="P513" s="11"/>
    </row>
    <row r="514" spans="4:16" x14ac:dyDescent="0.2">
      <c r="D514" s="1">
        <v>46005</v>
      </c>
      <c r="E514" s="2">
        <v>0.83333333333333337</v>
      </c>
      <c r="F514" t="s">
        <v>32</v>
      </c>
      <c r="G514">
        <f>VLOOKUP(Table4[[#This Row],[Home]],'NHL Model'!$A$6:$B$38,2,FALSE)</f>
        <v>-0.361361309178443</v>
      </c>
      <c r="H514" t="s">
        <v>23</v>
      </c>
      <c r="I514">
        <f>VLOOKUP(Table4[[#This Row],[Visitor]],'NHL Model'!$A$6:$B$38,2,FALSE)</f>
        <v>-0.8683412362501769</v>
      </c>
      <c r="J514">
        <f ca="1">($B$1+Table4[[#This Row],[Home Differential]])-Table4[[#This Row],[Away Differential]]</f>
        <v>0.66955223673405229</v>
      </c>
      <c r="K514" t="str">
        <f ca="1">IF(Table4[[#This Row],[HomeIce Differential]]&gt;0,Table4[[#This Row],[Home]],Table4[[#This Row],[Visitor]])</f>
        <v>Seattle Kraken</v>
      </c>
      <c r="L514" s="11">
        <f ca="1"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0.65880999930892947</v>
      </c>
      <c r="M514" t="str">
        <f ca="1">IF(OR((NHL2025_26Results[[#This Row],[Winning Team]]="")),"-",IF(Table4[[#This Row],[Predicted Winner]]=NHL2025_26Results[[#This Row],[Winning Team]],"YES","NO"))</f>
        <v>-</v>
      </c>
      <c r="N514" t="str">
        <f ca="1">IF(Table4[[#This Row],[Adjusted Correct]]="-", "",IF(Table4[[#This Row],[Adjusted Correct]]="YES",(Table4[[#This Row],[Strength of Win]]-1)^2,(Table4[[#This Row],[Strength of Win]]-0)^2))</f>
        <v/>
      </c>
      <c r="P514" s="11"/>
    </row>
    <row r="515" spans="4:16" x14ac:dyDescent="0.2">
      <c r="D515" s="1">
        <v>46006</v>
      </c>
      <c r="E515" s="2">
        <v>0.83333333333333337</v>
      </c>
      <c r="F515" t="s">
        <v>39</v>
      </c>
      <c r="G515">
        <f>VLOOKUP(Table4[[#This Row],[Home]],'NHL Model'!$A$6:$B$38,2,FALSE)</f>
        <v>0.19809534061227302</v>
      </c>
      <c r="H515" t="s">
        <v>13</v>
      </c>
      <c r="I515">
        <f>VLOOKUP(Table4[[#This Row],[Visitor]],'NHL Model'!$A$6:$B$38,2,FALSE)</f>
        <v>-7.5459708298993802E-2</v>
      </c>
      <c r="J515">
        <f ca="1">($B$1+Table4[[#This Row],[Home Differential]])-Table4[[#This Row],[Away Differential]]</f>
        <v>0.4361273585735852</v>
      </c>
      <c r="K515" t="str">
        <f ca="1">IF(Table4[[#This Row],[HomeIce Differential]]&gt;0,Table4[[#This Row],[Home]],Table4[[#This Row],[Visitor]])</f>
        <v>Dallas Stars</v>
      </c>
      <c r="L515" s="11">
        <f ca="1"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0.50487366862119543</v>
      </c>
      <c r="M515" t="str">
        <f ca="1">IF(OR((NHL2025_26Results[[#This Row],[Winning Team]]="")),"-",IF(Table4[[#This Row],[Predicted Winner]]=NHL2025_26Results[[#This Row],[Winning Team]],"YES","NO"))</f>
        <v>-</v>
      </c>
      <c r="N515" t="str">
        <f ca="1">IF(Table4[[#This Row],[Adjusted Correct]]="-", "",IF(Table4[[#This Row],[Adjusted Correct]]="YES",(Table4[[#This Row],[Strength of Win]]-1)^2,(Table4[[#This Row],[Strength of Win]]-0)^2))</f>
        <v/>
      </c>
      <c r="P515" s="11"/>
    </row>
    <row r="516" spans="4:16" x14ac:dyDescent="0.2">
      <c r="D516" s="1">
        <v>46006</v>
      </c>
      <c r="E516" s="2">
        <v>0.79166666666666663</v>
      </c>
      <c r="F516" t="s">
        <v>15</v>
      </c>
      <c r="G516">
        <f>VLOOKUP(Table4[[#This Row],[Home]],'NHL Model'!$A$6:$B$38,2,FALSE)</f>
        <v>-0.30719665303039001</v>
      </c>
      <c r="H516" t="s">
        <v>31</v>
      </c>
      <c r="I516">
        <f>VLOOKUP(Table4[[#This Row],[Visitor]],'NHL Model'!$A$6:$B$38,2,FALSE)</f>
        <v>0.51775546328552802</v>
      </c>
      <c r="J516">
        <f ca="1">($B$1+Table4[[#This Row],[Home Differential]])-Table4[[#This Row],[Away Differential]]</f>
        <v>-0.66237980665359963</v>
      </c>
      <c r="K516" t="str">
        <f ca="1">IF(Table4[[#This Row],[HomeIce Differential]]&gt;0,Table4[[#This Row],[Home]],Table4[[#This Row],[Visitor]])</f>
        <v>Anaheim Ducks</v>
      </c>
      <c r="L516" s="11">
        <f ca="1"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0.57254769189888222</v>
      </c>
      <c r="M516" t="str">
        <f ca="1">IF(OR((NHL2025_26Results[[#This Row],[Winning Team]]="")),"-",IF(Table4[[#This Row],[Predicted Winner]]=NHL2025_26Results[[#This Row],[Winning Team]],"YES","NO"))</f>
        <v>-</v>
      </c>
      <c r="N516" t="str">
        <f ca="1">IF(Table4[[#This Row],[Adjusted Correct]]="-", "",IF(Table4[[#This Row],[Adjusted Correct]]="YES",(Table4[[#This Row],[Strength of Win]]-1)^2,(Table4[[#This Row],[Strength of Win]]-0)^2))</f>
        <v/>
      </c>
      <c r="P516" s="11"/>
    </row>
    <row r="517" spans="4:16" x14ac:dyDescent="0.2">
      <c r="D517" s="1">
        <v>46006</v>
      </c>
      <c r="E517" s="2">
        <v>0.83333333333333337</v>
      </c>
      <c r="F517" t="s">
        <v>35</v>
      </c>
      <c r="G517">
        <f>VLOOKUP(Table4[[#This Row],[Home]],'NHL Model'!$A$6:$B$38,2,FALSE)</f>
        <v>-1.6211574240381006</v>
      </c>
      <c r="H517" t="s">
        <v>29</v>
      </c>
      <c r="I517">
        <f>VLOOKUP(Table4[[#This Row],[Visitor]],'NHL Model'!$A$6:$B$38,2,FALSE)</f>
        <v>-1.3516250707060606</v>
      </c>
      <c r="J517">
        <f ca="1">($B$1+Table4[[#This Row],[Home Differential]])-Table4[[#This Row],[Away Differential]]</f>
        <v>-0.10696004366972156</v>
      </c>
      <c r="K517" t="str">
        <f ca="1">IF(Table4[[#This Row],[HomeIce Differential]]&gt;0,Table4[[#This Row],[Home]],Table4[[#This Row],[Visitor]])</f>
        <v>Nashville Predators</v>
      </c>
      <c r="L517" s="11">
        <f ca="1"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0.47482024076180979</v>
      </c>
      <c r="M517" t="str">
        <f ca="1">IF(OR((NHL2025_26Results[[#This Row],[Winning Team]]="")),"-",IF(Table4[[#This Row],[Predicted Winner]]=NHL2025_26Results[[#This Row],[Winning Team]],"YES","NO"))</f>
        <v>-</v>
      </c>
      <c r="N517" t="str">
        <f ca="1">IF(Table4[[#This Row],[Adjusted Correct]]="-", "",IF(Table4[[#This Row],[Adjusted Correct]]="YES",(Table4[[#This Row],[Strength of Win]]-1)^2,(Table4[[#This Row],[Strength of Win]]-0)^2))</f>
        <v/>
      </c>
      <c r="P517" s="11"/>
    </row>
    <row r="518" spans="4:16" x14ac:dyDescent="0.2">
      <c r="D518" s="1">
        <v>46006</v>
      </c>
      <c r="E518" s="2">
        <v>0.79166666666666663</v>
      </c>
      <c r="F518" t="s">
        <v>37</v>
      </c>
      <c r="G518">
        <f>VLOOKUP(Table4[[#This Row],[Home]],'NHL Model'!$A$6:$B$38,2,FALSE)</f>
        <v>-0.11309445867623392</v>
      </c>
      <c r="H518" t="s">
        <v>11</v>
      </c>
      <c r="I518">
        <f>VLOOKUP(Table4[[#This Row],[Visitor]],'NHL Model'!$A$6:$B$38,2,FALSE)</f>
        <v>-0.28105923893144158</v>
      </c>
      <c r="J518">
        <f ca="1">($B$1+Table4[[#This Row],[Home Differential]])-Table4[[#This Row],[Away Differential]]</f>
        <v>0.33053708991752606</v>
      </c>
      <c r="K518" t="str">
        <f ca="1">IF(Table4[[#This Row],[HomeIce Differential]]&gt;0,Table4[[#This Row],[Home]],Table4[[#This Row],[Visitor]])</f>
        <v>Tampa Bay Lightning</v>
      </c>
      <c r="L518" s="11">
        <f ca="1"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0.58579877761093724</v>
      </c>
      <c r="M518" t="str">
        <f ca="1">IF(OR((NHL2025_26Results[[#This Row],[Winning Team]]="")),"-",IF(Table4[[#This Row],[Predicted Winner]]=NHL2025_26Results[[#This Row],[Winning Team]],"YES","NO"))</f>
        <v>-</v>
      </c>
      <c r="N518" t="str">
        <f ca="1">IF(Table4[[#This Row],[Adjusted Correct]]="-", "",IF(Table4[[#This Row],[Adjusted Correct]]="YES",(Table4[[#This Row],[Strength of Win]]-1)^2,(Table4[[#This Row],[Strength of Win]]-0)^2))</f>
        <v/>
      </c>
      <c r="P518" s="11"/>
    </row>
    <row r="519" spans="4:16" x14ac:dyDescent="0.2">
      <c r="D519" s="1">
        <v>46006</v>
      </c>
      <c r="E519" s="2">
        <v>0.8125</v>
      </c>
      <c r="F519" t="s">
        <v>40</v>
      </c>
      <c r="G519">
        <f>VLOOKUP(Table4[[#This Row],[Home]],'NHL Model'!$A$6:$B$38,2,FALSE)</f>
        <v>0.105105258369765</v>
      </c>
      <c r="H519" t="s">
        <v>36</v>
      </c>
      <c r="I519">
        <f>VLOOKUP(Table4[[#This Row],[Visitor]],'NHL Model'!$A$6:$B$38,2,FALSE)</f>
        <v>-0.40651947573390851</v>
      </c>
      <c r="J519">
        <f ca="1">($B$1+Table4[[#This Row],[Home Differential]])-Table4[[#This Row],[Away Differential]]</f>
        <v>0.67419704376599188</v>
      </c>
      <c r="K519" t="str">
        <f ca="1">IF(Table4[[#This Row],[HomeIce Differential]]&gt;0,Table4[[#This Row],[Home]],Table4[[#This Row],[Visitor]])</f>
        <v>Winnipeg Jets</v>
      </c>
      <c r="L519" s="11">
        <f ca="1"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0.66945270807661816</v>
      </c>
      <c r="M519" t="str">
        <f ca="1">IF(OR((NHL2025_26Results[[#This Row],[Winning Team]]="")),"-",IF(Table4[[#This Row],[Predicted Winner]]=NHL2025_26Results[[#This Row],[Winning Team]],"YES","NO"))</f>
        <v>-</v>
      </c>
      <c r="N519" t="str">
        <f ca="1">IF(Table4[[#This Row],[Adjusted Correct]]="-", "",IF(Table4[[#This Row],[Adjusted Correct]]="YES",(Table4[[#This Row],[Strength of Win]]-1)^2,(Table4[[#This Row],[Strength of Win]]-0)^2))</f>
        <v/>
      </c>
      <c r="P519" s="11"/>
    </row>
    <row r="520" spans="4:16" x14ac:dyDescent="0.2">
      <c r="D520" s="1">
        <v>46007</v>
      </c>
      <c r="E520" s="2">
        <v>0.79166666666666663</v>
      </c>
      <c r="F520" t="s">
        <v>21</v>
      </c>
      <c r="G520">
        <f>VLOOKUP(Table4[[#This Row],[Home]],'NHL Model'!$A$6:$B$38,2,FALSE)</f>
        <v>4.029141914856392E-2</v>
      </c>
      <c r="H520" t="s">
        <v>55</v>
      </c>
      <c r="I520">
        <f>VLOOKUP(Table4[[#This Row],[Visitor]],'NHL Model'!$A$6:$B$38,2,FALSE)</f>
        <v>-0.12212311954851815</v>
      </c>
      <c r="J520">
        <f ca="1">($B$1+Table4[[#This Row],[Home Differential]])-Table4[[#This Row],[Away Differential]]</f>
        <v>0.3249868483594005</v>
      </c>
      <c r="K520" t="str">
        <f ca="1">IF(Table4[[#This Row],[HomeIce Differential]]&gt;0,Table4[[#This Row],[Home]],Table4[[#This Row],[Visitor]])</f>
        <v>Boston Bruins</v>
      </c>
      <c r="L520" s="11">
        <f ca="1"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0.65758717081407603</v>
      </c>
      <c r="M520" t="str">
        <f ca="1">IF(OR((NHL2025_26Results[[#This Row],[Winning Team]]="")),"-",IF(Table4[[#This Row],[Predicted Winner]]=NHL2025_26Results[[#This Row],[Winning Team]],"YES","NO"))</f>
        <v>-</v>
      </c>
      <c r="N520" t="str">
        <f ca="1">IF(Table4[[#This Row],[Adjusted Correct]]="-", "",IF(Table4[[#This Row],[Adjusted Correct]]="YES",(Table4[[#This Row],[Strength of Win]]-1)^2,(Table4[[#This Row],[Strength of Win]]-0)^2))</f>
        <v/>
      </c>
      <c r="P520" s="11"/>
    </row>
    <row r="521" spans="4:16" x14ac:dyDescent="0.2">
      <c r="D521" s="1">
        <v>46007</v>
      </c>
      <c r="E521" s="2">
        <v>0.79166666666666663</v>
      </c>
      <c r="F521" t="s">
        <v>28</v>
      </c>
      <c r="G521">
        <f>VLOOKUP(Table4[[#This Row],[Home]],'NHL Model'!$A$6:$B$38,2,FALSE)</f>
        <v>-0.40822279081308277</v>
      </c>
      <c r="H521" t="s">
        <v>31</v>
      </c>
      <c r="I521">
        <f>VLOOKUP(Table4[[#This Row],[Visitor]],'NHL Model'!$A$6:$B$38,2,FALSE)</f>
        <v>0.51775546328552802</v>
      </c>
      <c r="J521">
        <f ca="1">($B$1+Table4[[#This Row],[Home Differential]])-Table4[[#This Row],[Away Differential]]</f>
        <v>-0.76340594443629239</v>
      </c>
      <c r="K521" t="str">
        <f ca="1">IF(Table4[[#This Row],[HomeIce Differential]]&gt;0,Table4[[#This Row],[Home]],Table4[[#This Row],[Visitor]])</f>
        <v>Anaheim Ducks</v>
      </c>
      <c r="L521" s="11">
        <f ca="1"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0.58654573858815362</v>
      </c>
      <c r="M521" t="str">
        <f ca="1">IF(OR((NHL2025_26Results[[#This Row],[Winning Team]]="")),"-",IF(Table4[[#This Row],[Predicted Winner]]=NHL2025_26Results[[#This Row],[Winning Team]],"YES","NO"))</f>
        <v>-</v>
      </c>
      <c r="N521" t="str">
        <f ca="1">IF(Table4[[#This Row],[Adjusted Correct]]="-", "",IF(Table4[[#This Row],[Adjusted Correct]]="YES",(Table4[[#This Row],[Strength of Win]]-1)^2,(Table4[[#This Row],[Strength of Win]]-0)^2))</f>
        <v/>
      </c>
      <c r="P521" s="11"/>
    </row>
    <row r="522" spans="4:16" x14ac:dyDescent="0.2">
      <c r="D522" s="1">
        <v>46007</v>
      </c>
      <c r="E522" s="2">
        <v>0.79166666666666663</v>
      </c>
      <c r="F522" t="s">
        <v>26</v>
      </c>
      <c r="G522">
        <f>VLOOKUP(Table4[[#This Row],[Home]],'NHL Model'!$A$6:$B$38,2,FALSE)</f>
        <v>-0.513643833119658</v>
      </c>
      <c r="H522" t="s">
        <v>30</v>
      </c>
      <c r="I522">
        <f>VLOOKUP(Table4[[#This Row],[Visitor]],'NHL Model'!$A$6:$B$38,2,FALSE)</f>
        <v>-6.4729560818359025E-2</v>
      </c>
      <c r="J522">
        <f ca="1">($B$1+Table4[[#This Row],[Home Differential]])-Table4[[#This Row],[Away Differential]]</f>
        <v>-0.2863419626389806</v>
      </c>
      <c r="K522" t="str">
        <f ca="1">IF(Table4[[#This Row],[HomeIce Differential]]&gt;0,Table4[[#This Row],[Home]],Table4[[#This Row],[Visitor]])</f>
        <v>New York Islanders</v>
      </c>
      <c r="L522" s="11">
        <f ca="1"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0.51586563600644142</v>
      </c>
      <c r="M522" t="str">
        <f ca="1">IF(OR((NHL2025_26Results[[#This Row],[Winning Team]]="")),"-",IF(Table4[[#This Row],[Predicted Winner]]=NHL2025_26Results[[#This Row],[Winning Team]],"YES","NO"))</f>
        <v>-</v>
      </c>
      <c r="N522" t="str">
        <f ca="1">IF(Table4[[#This Row],[Adjusted Correct]]="-", "",IF(Table4[[#This Row],[Adjusted Correct]]="YES",(Table4[[#This Row],[Strength of Win]]-1)^2,(Table4[[#This Row],[Strength of Win]]-0)^2))</f>
        <v/>
      </c>
      <c r="P522" s="11"/>
    </row>
    <row r="523" spans="4:16" x14ac:dyDescent="0.2">
      <c r="D523" s="1">
        <v>46007</v>
      </c>
      <c r="E523" s="2">
        <v>0.83333333333333337</v>
      </c>
      <c r="F523" t="s">
        <v>34</v>
      </c>
      <c r="G523">
        <f>VLOOKUP(Table4[[#This Row],[Home]],'NHL Model'!$A$6:$B$38,2,FALSE)</f>
        <v>-0.53650300840565446</v>
      </c>
      <c r="H523" t="s">
        <v>22</v>
      </c>
      <c r="I523">
        <f>VLOOKUP(Table4[[#This Row],[Visitor]],'NHL Model'!$A$6:$B$38,2,FALSE)</f>
        <v>-6.1308839486784707E-2</v>
      </c>
      <c r="J523">
        <f ca="1">($B$1+Table4[[#This Row],[Home Differential]])-Table4[[#This Row],[Away Differential]]</f>
        <v>-0.31262185925655134</v>
      </c>
      <c r="K523" t="str">
        <f ca="1">IF(Table4[[#This Row],[HomeIce Differential]]&gt;0,Table4[[#This Row],[Home]],Table4[[#This Row],[Visitor]])</f>
        <v>Washington Capitals</v>
      </c>
      <c r="L523" s="11">
        <f ca="1"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0.50331646718370093</v>
      </c>
      <c r="M523" t="str">
        <f ca="1">IF(OR((NHL2025_26Results[[#This Row],[Winning Team]]="")),"-",IF(Table4[[#This Row],[Predicted Winner]]=NHL2025_26Results[[#This Row],[Winning Team]],"YES","NO"))</f>
        <v>-</v>
      </c>
      <c r="N523" t="str">
        <f ca="1">IF(Table4[[#This Row],[Adjusted Correct]]="-", "",IF(Table4[[#This Row],[Adjusted Correct]]="YES",(Table4[[#This Row],[Strength of Win]]-1)^2,(Table4[[#This Row],[Strength of Win]]-0)^2))</f>
        <v/>
      </c>
      <c r="P523" s="11"/>
    </row>
    <row r="524" spans="4:16" x14ac:dyDescent="0.2">
      <c r="D524" s="1">
        <v>46007</v>
      </c>
      <c r="E524" s="2">
        <v>0.79166666666666663</v>
      </c>
      <c r="F524" t="s">
        <v>18</v>
      </c>
      <c r="G524">
        <f>VLOOKUP(Table4[[#This Row],[Home]],'NHL Model'!$A$6:$B$38,2,FALSE)</f>
        <v>-0.52437726201848234</v>
      </c>
      <c r="H524" t="s">
        <v>27</v>
      </c>
      <c r="I524">
        <f>VLOOKUP(Table4[[#This Row],[Visitor]],'NHL Model'!$A$6:$B$38,2,FALSE)</f>
        <v>-0.51358590497437617</v>
      </c>
      <c r="J524">
        <f ca="1">($B$1+Table4[[#This Row],[Home Differential]])-Table4[[#This Row],[Away Differential]]</f>
        <v>0.15178095261821223</v>
      </c>
      <c r="K524" t="str">
        <f ca="1">IF(Table4[[#This Row],[HomeIce Differential]]&gt;0,Table4[[#This Row],[Home]],Table4[[#This Row],[Visitor]])</f>
        <v>Montreal Canadiens</v>
      </c>
      <c r="L524" s="11">
        <f ca="1"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0.56103056602898083</v>
      </c>
      <c r="M524" t="str">
        <f ca="1">IF(OR((NHL2025_26Results[[#This Row],[Winning Team]]="")),"-",IF(Table4[[#This Row],[Predicted Winner]]=NHL2025_26Results[[#This Row],[Winning Team]],"YES","NO"))</f>
        <v>-</v>
      </c>
      <c r="N524" t="str">
        <f ca="1">IF(Table4[[#This Row],[Adjusted Correct]]="-", "",IF(Table4[[#This Row],[Adjusted Correct]]="YES",(Table4[[#This Row],[Strength of Win]]-1)^2,(Table4[[#This Row],[Strength of Win]]-0)^2))</f>
        <v/>
      </c>
      <c r="P524" s="11"/>
    </row>
    <row r="525" spans="4:16" x14ac:dyDescent="0.2">
      <c r="D525" s="1">
        <v>46007</v>
      </c>
      <c r="E525" s="2">
        <v>0.79166666666666663</v>
      </c>
      <c r="F525" t="s">
        <v>15</v>
      </c>
      <c r="G525">
        <f>VLOOKUP(Table4[[#This Row],[Home]],'NHL Model'!$A$6:$B$38,2,FALSE)</f>
        <v>-0.30719665303039001</v>
      </c>
      <c r="H525" t="s">
        <v>38</v>
      </c>
      <c r="I525">
        <f>VLOOKUP(Table4[[#This Row],[Visitor]],'NHL Model'!$A$6:$B$38,2,FALSE)</f>
        <v>-0.6902088310934803</v>
      </c>
      <c r="J525">
        <f ca="1">($B$1+Table4[[#This Row],[Home Differential]])-Table4[[#This Row],[Away Differential]]</f>
        <v>0.54558448772540868</v>
      </c>
      <c r="K525" t="str">
        <f ca="1">IF(Table4[[#This Row],[HomeIce Differential]]&gt;0,Table4[[#This Row],[Home]],Table4[[#This Row],[Visitor]])</f>
        <v>New York Rangers</v>
      </c>
      <c r="L525" s="11">
        <f ca="1"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0.57308289495300735</v>
      </c>
      <c r="M525" t="str">
        <f ca="1">IF(OR((NHL2025_26Results[[#This Row],[Winning Team]]="")),"-",IF(Table4[[#This Row],[Predicted Winner]]=NHL2025_26Results[[#This Row],[Winning Team]],"YES","NO"))</f>
        <v>-</v>
      </c>
      <c r="N525" t="str">
        <f ca="1">IF(Table4[[#This Row],[Adjusted Correct]]="-", "",IF(Table4[[#This Row],[Adjusted Correct]]="YES",(Table4[[#This Row],[Strength of Win]]-1)^2,(Table4[[#This Row],[Strength of Win]]-0)^2))</f>
        <v/>
      </c>
      <c r="P525" s="11"/>
    </row>
    <row r="526" spans="4:16" x14ac:dyDescent="0.2">
      <c r="D526" s="1">
        <v>46007</v>
      </c>
      <c r="E526" s="2">
        <v>0.8125</v>
      </c>
      <c r="F526" t="s">
        <v>14</v>
      </c>
      <c r="G526">
        <f>VLOOKUP(Table4[[#This Row],[Home]],'NHL Model'!$A$6:$B$38,2,FALSE)</f>
        <v>0.26289091192875702</v>
      </c>
      <c r="H526" t="s">
        <v>17</v>
      </c>
      <c r="I526">
        <f>VLOOKUP(Table4[[#This Row],[Visitor]],'NHL Model'!$A$6:$B$38,2,FALSE)</f>
        <v>-0.61980804137564283</v>
      </c>
      <c r="J526">
        <f ca="1">($B$1+Table4[[#This Row],[Home Differential]])-Table4[[#This Row],[Away Differential]]</f>
        <v>1.0452712629667182</v>
      </c>
      <c r="K526" t="str">
        <f ca="1">IF(Table4[[#This Row],[HomeIce Differential]]&gt;0,Table4[[#This Row],[Home]],Table4[[#This Row],[Visitor]])</f>
        <v>Pittsburgh Penguins</v>
      </c>
      <c r="L526" s="11">
        <f ca="1"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0.72086825616705075</v>
      </c>
      <c r="M526" t="str">
        <f ca="1">IF(OR((NHL2025_26Results[[#This Row],[Winning Team]]="")),"-",IF(Table4[[#This Row],[Predicted Winner]]=NHL2025_26Results[[#This Row],[Winning Team]],"YES","NO"))</f>
        <v>-</v>
      </c>
      <c r="N526" t="str">
        <f ca="1">IF(Table4[[#This Row],[Adjusted Correct]]="-", "",IF(Table4[[#This Row],[Adjusted Correct]]="YES",(Table4[[#This Row],[Strength of Win]]-1)^2,(Table4[[#This Row],[Strength of Win]]-0)^2))</f>
        <v/>
      </c>
      <c r="P526" s="11"/>
    </row>
    <row r="527" spans="4:16" x14ac:dyDescent="0.2">
      <c r="D527" s="1">
        <v>46007</v>
      </c>
      <c r="E527" s="2">
        <v>0.91666666666666663</v>
      </c>
      <c r="F527" t="s">
        <v>32</v>
      </c>
      <c r="G527">
        <f>VLOOKUP(Table4[[#This Row],[Home]],'NHL Model'!$A$6:$B$38,2,FALSE)</f>
        <v>-0.361361309178443</v>
      </c>
      <c r="H527" t="s">
        <v>12</v>
      </c>
      <c r="I527">
        <f>VLOOKUP(Table4[[#This Row],[Visitor]],'NHL Model'!$A$6:$B$38,2,FALSE)</f>
        <v>1.5475013591489768</v>
      </c>
      <c r="J527">
        <f ca="1">($B$1+Table4[[#This Row],[Home Differential]])-Table4[[#This Row],[Away Differential]]</f>
        <v>-1.7462903586651013</v>
      </c>
      <c r="K527" t="str">
        <f ca="1">IF(Table4[[#This Row],[HomeIce Differential]]&gt;0,Table4[[#This Row],[Home]],Table4[[#This Row],[Visitor]])</f>
        <v>Colorado Avalanche</v>
      </c>
      <c r="L527" s="11">
        <f ca="1"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0.7419636592086607</v>
      </c>
      <c r="M527" t="str">
        <f ca="1">IF(OR((NHL2025_26Results[[#This Row],[Winning Team]]="")),"-",IF(Table4[[#This Row],[Predicted Winner]]=NHL2025_26Results[[#This Row],[Winning Team]],"YES","NO"))</f>
        <v>-</v>
      </c>
      <c r="N527" t="str">
        <f ca="1">IF(Table4[[#This Row],[Adjusted Correct]]="-", "",IF(Table4[[#This Row],[Adjusted Correct]]="YES",(Table4[[#This Row],[Strength of Win]]-1)^2,(Table4[[#This Row],[Strength of Win]]-0)^2))</f>
        <v/>
      </c>
      <c r="P527" s="11"/>
    </row>
    <row r="528" spans="4:16" x14ac:dyDescent="0.2">
      <c r="D528" s="1">
        <v>46007</v>
      </c>
      <c r="E528" s="2">
        <v>0.91666666666666663</v>
      </c>
      <c r="F528" t="s">
        <v>33</v>
      </c>
      <c r="G528">
        <f>VLOOKUP(Table4[[#This Row],[Home]],'NHL Model'!$A$6:$B$38,2,FALSE)</f>
        <v>-0.39418177254008485</v>
      </c>
      <c r="H528" t="s">
        <v>16</v>
      </c>
      <c r="I528">
        <f>VLOOKUP(Table4[[#This Row],[Visitor]],'NHL Model'!$A$6:$B$38,2,FALSE)</f>
        <v>-1.3903684122795328</v>
      </c>
      <c r="J528">
        <f ca="1">($B$1+Table4[[#This Row],[Home Differential]])-Table4[[#This Row],[Away Differential]]</f>
        <v>1.1587589494017663</v>
      </c>
      <c r="K528" t="str">
        <f ca="1">IF(Table4[[#This Row],[HomeIce Differential]]&gt;0,Table4[[#This Row],[Home]],Table4[[#This Row],[Visitor]])</f>
        <v>San Jose Sharks</v>
      </c>
      <c r="L528" s="11">
        <f ca="1"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0.7005560920306293</v>
      </c>
      <c r="M528" t="str">
        <f ca="1">IF(OR((NHL2025_26Results[[#This Row],[Winning Team]]="")),"-",IF(Table4[[#This Row],[Predicted Winner]]=NHL2025_26Results[[#This Row],[Winning Team]],"YES","NO"))</f>
        <v>-</v>
      </c>
      <c r="N528" t="str">
        <f ca="1">IF(Table4[[#This Row],[Adjusted Correct]]="-", "",IF(Table4[[#This Row],[Adjusted Correct]]="YES",(Table4[[#This Row],[Strength of Win]]-1)^2,(Table4[[#This Row],[Strength of Win]]-0)^2))</f>
        <v/>
      </c>
      <c r="P528" s="11"/>
    </row>
    <row r="529" spans="4:16" x14ac:dyDescent="0.2">
      <c r="D529" s="1">
        <v>46007</v>
      </c>
      <c r="E529" s="2">
        <v>0.79166666666666663</v>
      </c>
      <c r="F529" t="s">
        <v>19</v>
      </c>
      <c r="G529">
        <f>VLOOKUP(Table4[[#This Row],[Home]],'NHL Model'!$A$6:$B$38,2,FALSE)</f>
        <v>-0.635565543477981</v>
      </c>
      <c r="H529" t="s">
        <v>10</v>
      </c>
      <c r="I529">
        <f>VLOOKUP(Table4[[#This Row],[Visitor]],'NHL Model'!$A$6:$B$38,2,FALSE)</f>
        <v>0.30570968833820172</v>
      </c>
      <c r="J529">
        <f ca="1">($B$1+Table4[[#This Row],[Home Differential]])-Table4[[#This Row],[Away Differential]]</f>
        <v>-0.77870292215386439</v>
      </c>
      <c r="K529" t="str">
        <f ca="1">IF(Table4[[#This Row],[HomeIce Differential]]&gt;0,Table4[[#This Row],[Home]],Table4[[#This Row],[Visitor]])</f>
        <v>Chicago Blackhawks</v>
      </c>
      <c r="L529" s="11">
        <f ca="1"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0.58866526738530423</v>
      </c>
      <c r="M529" t="str">
        <f ca="1">IF(OR((NHL2025_26Results[[#This Row],[Winning Team]]="")),"-",IF(Table4[[#This Row],[Predicted Winner]]=NHL2025_26Results[[#This Row],[Winning Team]],"YES","NO"))</f>
        <v>-</v>
      </c>
      <c r="N529" t="str">
        <f ca="1">IF(Table4[[#This Row],[Adjusted Correct]]="-", "",IF(Table4[[#This Row],[Adjusted Correct]]="YES",(Table4[[#This Row],[Strength of Win]]-1)^2,(Table4[[#This Row],[Strength of Win]]-0)^2))</f>
        <v/>
      </c>
      <c r="P529" s="11"/>
    </row>
    <row r="530" spans="4:16" x14ac:dyDescent="0.2">
      <c r="D530" s="1">
        <v>46008</v>
      </c>
      <c r="E530" s="2">
        <v>0.8125</v>
      </c>
      <c r="F530" t="s">
        <v>26</v>
      </c>
      <c r="G530">
        <f>VLOOKUP(Table4[[#This Row],[Home]],'NHL Model'!$A$6:$B$38,2,FALSE)</f>
        <v>-0.513643833119658</v>
      </c>
      <c r="H530" t="s">
        <v>55</v>
      </c>
      <c r="I530">
        <f>VLOOKUP(Table4[[#This Row],[Visitor]],'NHL Model'!$A$6:$B$38,2,FALSE)</f>
        <v>-0.12212311954851815</v>
      </c>
      <c r="J530">
        <f ca="1">($B$1+Table4[[#This Row],[Home Differential]])-Table4[[#This Row],[Away Differential]]</f>
        <v>-0.22894840390882146</v>
      </c>
      <c r="K530" t="str">
        <f ca="1">IF(Table4[[#This Row],[HomeIce Differential]]&gt;0,Table4[[#This Row],[Home]],Table4[[#This Row],[Visitor]])</f>
        <v>Utah Mammoth</v>
      </c>
      <c r="L530" s="11">
        <f ca="1"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0.46568504914192715</v>
      </c>
      <c r="M530" t="str">
        <f ca="1">IF(OR((NHL2025_26Results[[#This Row],[Winning Team]]="")),"-",IF(Table4[[#This Row],[Predicted Winner]]=NHL2025_26Results[[#This Row],[Winning Team]],"YES","NO"))</f>
        <v>-</v>
      </c>
      <c r="N530" t="str">
        <f ca="1">IF(Table4[[#This Row],[Adjusted Correct]]="-", "",IF(Table4[[#This Row],[Adjusted Correct]]="YES",(Table4[[#This Row],[Strength of Win]]-1)^2,(Table4[[#This Row],[Strength of Win]]-0)^2))</f>
        <v/>
      </c>
      <c r="P530" s="11"/>
    </row>
    <row r="531" spans="4:16" x14ac:dyDescent="0.2">
      <c r="D531" s="1">
        <v>46008</v>
      </c>
      <c r="E531" s="2">
        <v>0.79166666666666663</v>
      </c>
      <c r="F531" t="s">
        <v>11</v>
      </c>
      <c r="G531">
        <f>VLOOKUP(Table4[[#This Row],[Home]],'NHL Model'!$A$6:$B$38,2,FALSE)</f>
        <v>-0.28105923893144158</v>
      </c>
      <c r="H531" t="s">
        <v>13</v>
      </c>
      <c r="I531">
        <f>VLOOKUP(Table4[[#This Row],[Visitor]],'NHL Model'!$A$6:$B$38,2,FALSE)</f>
        <v>-7.5459708298993802E-2</v>
      </c>
      <c r="J531">
        <f ca="1">($B$1+Table4[[#This Row],[Home Differential]])-Table4[[#This Row],[Away Differential]]</f>
        <v>-4.3027220970129385E-2</v>
      </c>
      <c r="K531" t="str">
        <f ca="1">IF(Table4[[#This Row],[HomeIce Differential]]&gt;0,Table4[[#This Row],[Home]],Table4[[#This Row],[Visitor]])</f>
        <v>Los Angeles Kings</v>
      </c>
      <c r="L531" s="11">
        <f ca="1"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0.53537355896297856</v>
      </c>
      <c r="M531" t="str">
        <f ca="1">IF(OR((NHL2025_26Results[[#This Row],[Winning Team]]="")),"-",IF(Table4[[#This Row],[Predicted Winner]]=NHL2025_26Results[[#This Row],[Winning Team]],"YES","NO"))</f>
        <v>-</v>
      </c>
      <c r="N531" t="str">
        <f ca="1">IF(Table4[[#This Row],[Adjusted Correct]]="-", "",IF(Table4[[#This Row],[Adjusted Correct]]="YES",(Table4[[#This Row],[Strength of Win]]-1)^2,(Table4[[#This Row],[Strength of Win]]-0)^2))</f>
        <v/>
      </c>
      <c r="P531" s="11"/>
    </row>
    <row r="532" spans="4:16" x14ac:dyDescent="0.2">
      <c r="D532" s="1">
        <v>46008</v>
      </c>
      <c r="E532" s="2">
        <v>0.83333333333333337</v>
      </c>
      <c r="F532" t="s">
        <v>29</v>
      </c>
      <c r="G532">
        <f>VLOOKUP(Table4[[#This Row],[Home]],'NHL Model'!$A$6:$B$38,2,FALSE)</f>
        <v>-1.3516250707060606</v>
      </c>
      <c r="H532" t="s">
        <v>25</v>
      </c>
      <c r="I532">
        <f>VLOOKUP(Table4[[#This Row],[Visitor]],'NHL Model'!$A$6:$B$38,2,FALSE)</f>
        <v>0.67193921242367816</v>
      </c>
      <c r="J532">
        <f ca="1">($B$1+Table4[[#This Row],[Home Differential]])-Table4[[#This Row],[Away Differential]]</f>
        <v>-1.8609919734674203</v>
      </c>
      <c r="K532" t="str">
        <f ca="1">IF(Table4[[#This Row],[HomeIce Differential]]&gt;0,Table4[[#This Row],[Home]],Table4[[#This Row],[Visitor]])</f>
        <v>Carolina Hurricanes</v>
      </c>
      <c r="L532" s="11">
        <f ca="1"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0.81034274956985941</v>
      </c>
      <c r="M532" t="str">
        <f ca="1">IF(OR((NHL2025_26Results[[#This Row],[Winning Team]]="")),"-",IF(Table4[[#This Row],[Predicted Winner]]=NHL2025_26Results[[#This Row],[Winning Team]],"YES","NO"))</f>
        <v>-</v>
      </c>
      <c r="N532" t="str">
        <f ca="1">IF(Table4[[#This Row],[Adjusted Correct]]="-", "",IF(Table4[[#This Row],[Adjusted Correct]]="YES",(Table4[[#This Row],[Strength of Win]]-1)^2,(Table4[[#This Row],[Strength of Win]]-0)^2))</f>
        <v/>
      </c>
      <c r="P532" s="11"/>
    </row>
    <row r="533" spans="4:16" x14ac:dyDescent="0.2">
      <c r="D533" s="1">
        <v>46008</v>
      </c>
      <c r="E533" s="2">
        <v>0.83333333333333337</v>
      </c>
      <c r="F533" t="s">
        <v>35</v>
      </c>
      <c r="G533">
        <f>VLOOKUP(Table4[[#This Row],[Home]],'NHL Model'!$A$6:$B$38,2,FALSE)</f>
        <v>-1.6211574240381006</v>
      </c>
      <c r="H533" t="s">
        <v>40</v>
      </c>
      <c r="I533">
        <f>VLOOKUP(Table4[[#This Row],[Visitor]],'NHL Model'!$A$6:$B$38,2,FALSE)</f>
        <v>0.105105258369765</v>
      </c>
      <c r="J533">
        <f ca="1">($B$1+Table4[[#This Row],[Home Differential]])-Table4[[#This Row],[Away Differential]]</f>
        <v>-1.5636903727455471</v>
      </c>
      <c r="K533" t="str">
        <f ca="1">IF(Table4[[#This Row],[HomeIce Differential]]&gt;0,Table4[[#This Row],[Home]],Table4[[#This Row],[Visitor]])</f>
        <v>Winnipeg Jets</v>
      </c>
      <c r="L533" s="11">
        <f ca="1"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0.74297863857060653</v>
      </c>
      <c r="M533" t="str">
        <f ca="1">IF(OR((NHL2025_26Results[[#This Row],[Winning Team]]="")),"-",IF(Table4[[#This Row],[Predicted Winner]]=NHL2025_26Results[[#This Row],[Winning Team]],"YES","NO"))</f>
        <v>-</v>
      </c>
      <c r="N533" t="str">
        <f ca="1">IF(Table4[[#This Row],[Adjusted Correct]]="-", "",IF(Table4[[#This Row],[Adjusted Correct]]="YES",(Table4[[#This Row],[Strength of Win]]-1)^2,(Table4[[#This Row],[Strength of Win]]-0)^2))</f>
        <v/>
      </c>
      <c r="P533" s="11"/>
    </row>
    <row r="534" spans="4:16" x14ac:dyDescent="0.2">
      <c r="D534" s="1">
        <v>46008</v>
      </c>
      <c r="E534" s="2">
        <v>0.91666666666666663</v>
      </c>
      <c r="F534" t="s">
        <v>20</v>
      </c>
      <c r="G534">
        <f>VLOOKUP(Table4[[#This Row],[Home]],'NHL Model'!$A$6:$B$38,2,FALSE)</f>
        <v>-6.3745791019188943E-4</v>
      </c>
      <c r="H534" t="s">
        <v>24</v>
      </c>
      <c r="I534">
        <f>VLOOKUP(Table4[[#This Row],[Visitor]],'NHL Model'!$A$6:$B$38,2,FALSE)</f>
        <v>0.559441163373953</v>
      </c>
      <c r="J534">
        <f ca="1">($B$1+Table4[[#This Row],[Home Differential]])-Table4[[#This Row],[Away Differential]]</f>
        <v>-0.39750631162182648</v>
      </c>
      <c r="K534" t="str">
        <f ca="1">IF(Table4[[#This Row],[HomeIce Differential]]&gt;0,Table4[[#This Row],[Home]],Table4[[#This Row],[Visitor]])</f>
        <v>New Jersey Devils</v>
      </c>
      <c r="L534" s="11">
        <f ca="1"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0.58139373297906938</v>
      </c>
      <c r="M534" t="str">
        <f ca="1">IF(OR((NHL2025_26Results[[#This Row],[Winning Team]]="")),"-",IF(Table4[[#This Row],[Predicted Winner]]=NHL2025_26Results[[#This Row],[Winning Team]],"YES","NO"))</f>
        <v>-</v>
      </c>
      <c r="N534" t="str">
        <f ca="1">IF(Table4[[#This Row],[Adjusted Correct]]="-", "",IF(Table4[[#This Row],[Adjusted Correct]]="YES",(Table4[[#This Row],[Strength of Win]]-1)^2,(Table4[[#This Row],[Strength of Win]]-0)^2))</f>
        <v/>
      </c>
      <c r="P534" s="11"/>
    </row>
    <row r="535" spans="4:16" x14ac:dyDescent="0.2">
      <c r="D535" s="1">
        <v>46009</v>
      </c>
      <c r="E535" s="2">
        <v>0.79166666666666663</v>
      </c>
      <c r="F535" t="s">
        <v>21</v>
      </c>
      <c r="G535">
        <f>VLOOKUP(Table4[[#This Row],[Home]],'NHL Model'!$A$6:$B$38,2,FALSE)</f>
        <v>4.029141914856392E-2</v>
      </c>
      <c r="H535" t="s">
        <v>17</v>
      </c>
      <c r="I535">
        <f>VLOOKUP(Table4[[#This Row],[Visitor]],'NHL Model'!$A$6:$B$38,2,FALSE)</f>
        <v>-0.61980804137564283</v>
      </c>
      <c r="J535">
        <f ca="1">($B$1+Table4[[#This Row],[Home Differential]])-Table4[[#This Row],[Away Differential]]</f>
        <v>0.82267177018652515</v>
      </c>
      <c r="K535" t="str">
        <f ca="1">IF(Table4[[#This Row],[HomeIce Differential]]&gt;0,Table4[[#This Row],[Home]],Table4[[#This Row],[Visitor]])</f>
        <v>Boston Bruins</v>
      </c>
      <c r="L535" s="11">
        <f ca="1"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0.72654572871983003</v>
      </c>
      <c r="M535" t="str">
        <f ca="1">IF(OR((NHL2025_26Results[[#This Row],[Winning Team]]="")),"-",IF(Table4[[#This Row],[Predicted Winner]]=NHL2025_26Results[[#This Row],[Winning Team]],"YES","NO"))</f>
        <v>-</v>
      </c>
      <c r="N535" t="str">
        <f ca="1">IF(Table4[[#This Row],[Adjusted Correct]]="-", "",IF(Table4[[#This Row],[Adjusted Correct]]="YES",(Table4[[#This Row],[Strength of Win]]-1)^2,(Table4[[#This Row],[Strength of Win]]-0)^2))</f>
        <v/>
      </c>
      <c r="P535" s="11"/>
    </row>
    <row r="536" spans="4:16" x14ac:dyDescent="0.2">
      <c r="D536" s="1">
        <v>46009</v>
      </c>
      <c r="E536" s="2">
        <v>0.8125</v>
      </c>
      <c r="F536" t="s">
        <v>23</v>
      </c>
      <c r="G536">
        <f>VLOOKUP(Table4[[#This Row],[Home]],'NHL Model'!$A$6:$B$38,2,FALSE)</f>
        <v>-0.8683412362501769</v>
      </c>
      <c r="H536" t="s">
        <v>27</v>
      </c>
      <c r="I536">
        <f>VLOOKUP(Table4[[#This Row],[Visitor]],'NHL Model'!$A$6:$B$38,2,FALSE)</f>
        <v>-0.51358590497437617</v>
      </c>
      <c r="J536">
        <f ca="1">($B$1+Table4[[#This Row],[Home Differential]])-Table4[[#This Row],[Away Differential]]</f>
        <v>-0.19218302161348233</v>
      </c>
      <c r="K536" t="str">
        <f ca="1">IF(Table4[[#This Row],[HomeIce Differential]]&gt;0,Table4[[#This Row],[Home]],Table4[[#This Row],[Visitor]])</f>
        <v>Philadelphia Flyers</v>
      </c>
      <c r="L536" s="11">
        <f ca="1"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0.48662862273540919</v>
      </c>
      <c r="M536" t="str">
        <f ca="1">IF(OR((NHL2025_26Results[[#This Row],[Winning Team]]="")),"-",IF(Table4[[#This Row],[Predicted Winner]]=NHL2025_26Results[[#This Row],[Winning Team]],"YES","NO"))</f>
        <v>-</v>
      </c>
      <c r="N536" t="str">
        <f ca="1">IF(Table4[[#This Row],[Adjusted Correct]]="-", "",IF(Table4[[#This Row],[Adjusted Correct]]="YES",(Table4[[#This Row],[Strength of Win]]-1)^2,(Table4[[#This Row],[Strength of Win]]-0)^2))</f>
        <v/>
      </c>
      <c r="P536" s="11"/>
    </row>
    <row r="537" spans="4:16" x14ac:dyDescent="0.2">
      <c r="D537" s="1">
        <v>46009</v>
      </c>
      <c r="E537" s="2">
        <v>0.79166666666666663</v>
      </c>
      <c r="F537" t="s">
        <v>28</v>
      </c>
      <c r="G537">
        <f>VLOOKUP(Table4[[#This Row],[Home]],'NHL Model'!$A$6:$B$38,2,FALSE)</f>
        <v>-0.40822279081308277</v>
      </c>
      <c r="H537" t="s">
        <v>34</v>
      </c>
      <c r="I537">
        <f>VLOOKUP(Table4[[#This Row],[Visitor]],'NHL Model'!$A$6:$B$38,2,FALSE)</f>
        <v>-0.53650300840565446</v>
      </c>
      <c r="J537">
        <f ca="1">($B$1+Table4[[#This Row],[Home Differential]])-Table4[[#This Row],[Away Differential]]</f>
        <v>0.29085252725489008</v>
      </c>
      <c r="K537" t="str">
        <f ca="1">IF(Table4[[#This Row],[HomeIce Differential]]&gt;0,Table4[[#This Row],[Home]],Table4[[#This Row],[Visitor]])</f>
        <v>Columbus Blue Jackets</v>
      </c>
      <c r="L537" s="11">
        <f ca="1"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0.58030013762343424</v>
      </c>
      <c r="M537" t="str">
        <f ca="1">IF(OR((NHL2025_26Results[[#This Row],[Winning Team]]="")),"-",IF(Table4[[#This Row],[Predicted Winner]]=NHL2025_26Results[[#This Row],[Winning Team]],"YES","NO"))</f>
        <v>-</v>
      </c>
      <c r="N537" t="str">
        <f ca="1">IF(Table4[[#This Row],[Adjusted Correct]]="-", "",IF(Table4[[#This Row],[Adjusted Correct]]="YES",(Table4[[#This Row],[Strength of Win]]-1)^2,(Table4[[#This Row],[Strength of Win]]-0)^2))</f>
        <v/>
      </c>
      <c r="P537" s="11"/>
    </row>
    <row r="538" spans="4:16" x14ac:dyDescent="0.2">
      <c r="D538" s="1">
        <v>46009</v>
      </c>
      <c r="E538" s="2">
        <v>0.875</v>
      </c>
      <c r="F538" t="s">
        <v>16</v>
      </c>
      <c r="G538">
        <f>VLOOKUP(Table4[[#This Row],[Home]],'NHL Model'!$A$6:$B$38,2,FALSE)</f>
        <v>-1.3903684122795328</v>
      </c>
      <c r="H538" t="s">
        <v>32</v>
      </c>
      <c r="I538">
        <f>VLOOKUP(Table4[[#This Row],[Visitor]],'NHL Model'!$A$6:$B$38,2,FALSE)</f>
        <v>-0.361361309178443</v>
      </c>
      <c r="J538">
        <f ca="1">($B$1+Table4[[#This Row],[Home Differential]])-Table4[[#This Row],[Away Differential]]</f>
        <v>-0.86643479343877139</v>
      </c>
      <c r="K538" t="str">
        <f ca="1">IF(Table4[[#This Row],[HomeIce Differential]]&gt;0,Table4[[#This Row],[Home]],Table4[[#This Row],[Visitor]])</f>
        <v>Seattle Kraken</v>
      </c>
      <c r="L538" s="11">
        <f ca="1"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0.58005204749936468</v>
      </c>
      <c r="M538" t="str">
        <f ca="1">IF(OR((NHL2025_26Results[[#This Row],[Winning Team]]="")),"-",IF(Table4[[#This Row],[Predicted Winner]]=NHL2025_26Results[[#This Row],[Winning Team]],"YES","NO"))</f>
        <v>-</v>
      </c>
      <c r="N538" t="str">
        <f ca="1">IF(Table4[[#This Row],[Adjusted Correct]]="-", "",IF(Table4[[#This Row],[Adjusted Correct]]="YES",(Table4[[#This Row],[Strength of Win]]-1)^2,(Table4[[#This Row],[Strength of Win]]-0)^2))</f>
        <v/>
      </c>
      <c r="P538" s="11"/>
    </row>
    <row r="539" spans="4:16" x14ac:dyDescent="0.2">
      <c r="D539" s="1">
        <v>46009</v>
      </c>
      <c r="E539" s="2">
        <v>0.79166666666666663</v>
      </c>
      <c r="F539" t="s">
        <v>18</v>
      </c>
      <c r="G539">
        <f>VLOOKUP(Table4[[#This Row],[Home]],'NHL Model'!$A$6:$B$38,2,FALSE)</f>
        <v>-0.52437726201848234</v>
      </c>
      <c r="H539" t="s">
        <v>10</v>
      </c>
      <c r="I539">
        <f>VLOOKUP(Table4[[#This Row],[Visitor]],'NHL Model'!$A$6:$B$38,2,FALSE)</f>
        <v>0.30570968833820172</v>
      </c>
      <c r="J539">
        <f ca="1">($B$1+Table4[[#This Row],[Home Differential]])-Table4[[#This Row],[Away Differential]]</f>
        <v>-0.66751464069436572</v>
      </c>
      <c r="K539" t="str">
        <f ca="1">IF(Table4[[#This Row],[HomeIce Differential]]&gt;0,Table4[[#This Row],[Home]],Table4[[#This Row],[Visitor]])</f>
        <v>Chicago Blackhawks</v>
      </c>
      <c r="L539" s="11">
        <f ca="1"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0.57325916764389107</v>
      </c>
      <c r="M539" t="str">
        <f ca="1">IF(OR((NHL2025_26Results[[#This Row],[Winning Team]]="")),"-",IF(Table4[[#This Row],[Predicted Winner]]=NHL2025_26Results[[#This Row],[Winning Team]],"YES","NO"))</f>
        <v>-</v>
      </c>
      <c r="N539" t="str">
        <f ca="1">IF(Table4[[#This Row],[Adjusted Correct]]="-", "",IF(Table4[[#This Row],[Adjusted Correct]]="YES",(Table4[[#This Row],[Strength of Win]]-1)^2,(Table4[[#This Row],[Strength of Win]]-0)^2))</f>
        <v/>
      </c>
      <c r="P539" s="11"/>
    </row>
    <row r="540" spans="4:16" x14ac:dyDescent="0.2">
      <c r="D540" s="1">
        <v>46009</v>
      </c>
      <c r="E540" s="2">
        <v>0.79166666666666663</v>
      </c>
      <c r="F540" t="s">
        <v>36</v>
      </c>
      <c r="G540">
        <f>VLOOKUP(Table4[[#This Row],[Home]],'NHL Model'!$A$6:$B$38,2,FALSE)</f>
        <v>-0.40651947573390851</v>
      </c>
      <c r="H540" t="s">
        <v>14</v>
      </c>
      <c r="I540">
        <f>VLOOKUP(Table4[[#This Row],[Visitor]],'NHL Model'!$A$6:$B$38,2,FALSE)</f>
        <v>0.26289091192875702</v>
      </c>
      <c r="J540">
        <f ca="1">($B$1+Table4[[#This Row],[Home Differential]])-Table4[[#This Row],[Away Differential]]</f>
        <v>-0.50683807800034719</v>
      </c>
      <c r="K540" t="str">
        <f ca="1">IF(Table4[[#This Row],[HomeIce Differential]]&gt;0,Table4[[#This Row],[Home]],Table4[[#This Row],[Visitor]])</f>
        <v>Pittsburgh Penguins</v>
      </c>
      <c r="L540" s="11">
        <f ca="1"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0.52773132779297649</v>
      </c>
      <c r="M540" t="str">
        <f ca="1">IF(OR((NHL2025_26Results[[#This Row],[Winning Team]]="")),"-",IF(Table4[[#This Row],[Predicted Winner]]=NHL2025_26Results[[#This Row],[Winning Team]],"YES","NO"))</f>
        <v>-</v>
      </c>
      <c r="N540" t="str">
        <f ca="1">IF(Table4[[#This Row],[Adjusted Correct]]="-", "",IF(Table4[[#This Row],[Adjusted Correct]]="YES",(Table4[[#This Row],[Strength of Win]]-1)^2,(Table4[[#This Row],[Strength of Win]]-0)^2))</f>
        <v/>
      </c>
      <c r="P540" s="11"/>
    </row>
    <row r="541" spans="4:16" x14ac:dyDescent="0.2">
      <c r="D541" s="1">
        <v>46009</v>
      </c>
      <c r="E541" s="2">
        <v>0.91666666666666663</v>
      </c>
      <c r="F541" t="s">
        <v>33</v>
      </c>
      <c r="G541">
        <f>VLOOKUP(Table4[[#This Row],[Home]],'NHL Model'!$A$6:$B$38,2,FALSE)</f>
        <v>-0.39418177254008485</v>
      </c>
      <c r="H541" t="s">
        <v>39</v>
      </c>
      <c r="I541">
        <f>VLOOKUP(Table4[[#This Row],[Visitor]],'NHL Model'!$A$6:$B$38,2,FALSE)</f>
        <v>0.19809534061227302</v>
      </c>
      <c r="J541">
        <f ca="1">($B$1+Table4[[#This Row],[Home Differential]])-Table4[[#This Row],[Away Differential]]</f>
        <v>-0.42970480349003948</v>
      </c>
      <c r="K541" t="str">
        <f ca="1">IF(Table4[[#This Row],[HomeIce Differential]]&gt;0,Table4[[#This Row],[Home]],Table4[[#This Row],[Visitor]])</f>
        <v>Dallas Stars</v>
      </c>
      <c r="L541" s="11">
        <f ca="1"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0.6120255113696389</v>
      </c>
      <c r="M541" t="str">
        <f ca="1">IF(OR((NHL2025_26Results[[#This Row],[Winning Team]]="")),"-",IF(Table4[[#This Row],[Predicted Winner]]=NHL2025_26Results[[#This Row],[Winning Team]],"YES","NO"))</f>
        <v>-</v>
      </c>
      <c r="N541" t="str">
        <f ca="1">IF(Table4[[#This Row],[Adjusted Correct]]="-", "",IF(Table4[[#This Row],[Adjusted Correct]]="YES",(Table4[[#This Row],[Strength of Win]]-1)^2,(Table4[[#This Row],[Strength of Win]]-0)^2))</f>
        <v/>
      </c>
      <c r="P541" s="11"/>
    </row>
    <row r="542" spans="4:16" x14ac:dyDescent="0.2">
      <c r="D542" s="1">
        <v>46009</v>
      </c>
      <c r="E542" s="2">
        <v>0.83333333333333337</v>
      </c>
      <c r="F542" t="s">
        <v>35</v>
      </c>
      <c r="G542">
        <f>VLOOKUP(Table4[[#This Row],[Home]],'NHL Model'!$A$6:$B$38,2,FALSE)</f>
        <v>-1.6211574240381006</v>
      </c>
      <c r="H542" t="s">
        <v>15</v>
      </c>
      <c r="I542">
        <f>VLOOKUP(Table4[[#This Row],[Visitor]],'NHL Model'!$A$6:$B$38,2,FALSE)</f>
        <v>-0.30719665303039001</v>
      </c>
      <c r="J542">
        <f ca="1">($B$1+Table4[[#This Row],[Home Differential]])-Table4[[#This Row],[Away Differential]]</f>
        <v>-1.1513884613453922</v>
      </c>
      <c r="K542" t="str">
        <f ca="1">IF(Table4[[#This Row],[HomeIce Differential]]&gt;0,Table4[[#This Row],[Home]],Table4[[#This Row],[Visitor]])</f>
        <v>New York Rangers</v>
      </c>
      <c r="L542" s="11">
        <f ca="1"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0.76194448560606887</v>
      </c>
      <c r="M542" t="str">
        <f ca="1">IF(OR((NHL2025_26Results[[#This Row],[Winning Team]]="")),"-",IF(Table4[[#This Row],[Predicted Winner]]=NHL2025_26Results[[#This Row],[Winning Team]],"YES","NO"))</f>
        <v>-</v>
      </c>
      <c r="N542" t="str">
        <f ca="1">IF(Table4[[#This Row],[Adjusted Correct]]="-", "",IF(Table4[[#This Row],[Adjusted Correct]]="YES",(Table4[[#This Row],[Strength of Win]]-1)^2,(Table4[[#This Row],[Strength of Win]]-0)^2))</f>
        <v/>
      </c>
      <c r="P542" s="11"/>
    </row>
    <row r="543" spans="4:16" x14ac:dyDescent="0.2">
      <c r="D543" s="1">
        <v>46009</v>
      </c>
      <c r="E543" s="2">
        <v>0.79166666666666663</v>
      </c>
      <c r="F543" t="s">
        <v>37</v>
      </c>
      <c r="G543">
        <f>VLOOKUP(Table4[[#This Row],[Home]],'NHL Model'!$A$6:$B$38,2,FALSE)</f>
        <v>-0.11309445867623392</v>
      </c>
      <c r="H543" t="s">
        <v>13</v>
      </c>
      <c r="I543">
        <f>VLOOKUP(Table4[[#This Row],[Visitor]],'NHL Model'!$A$6:$B$38,2,FALSE)</f>
        <v>-7.5459708298993802E-2</v>
      </c>
      <c r="J543">
        <f ca="1">($B$1+Table4[[#This Row],[Home Differential]])-Table4[[#This Row],[Away Differential]]</f>
        <v>0.12493755928507827</v>
      </c>
      <c r="K543" t="str">
        <f ca="1">IF(Table4[[#This Row],[HomeIce Differential]]&gt;0,Table4[[#This Row],[Home]],Table4[[#This Row],[Visitor]])</f>
        <v>Tampa Bay Lightning</v>
      </c>
      <c r="L543" s="11">
        <f ca="1"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0.43591583247190885</v>
      </c>
      <c r="M543" t="str">
        <f ca="1">IF(OR((NHL2025_26Results[[#This Row],[Winning Team]]="")),"-",IF(Table4[[#This Row],[Predicted Winner]]=NHL2025_26Results[[#This Row],[Winning Team]],"YES","NO"))</f>
        <v>-</v>
      </c>
      <c r="N543" t="str">
        <f ca="1">IF(Table4[[#This Row],[Adjusted Correct]]="-", "",IF(Table4[[#This Row],[Adjusted Correct]]="YES",(Table4[[#This Row],[Strength of Win]]-1)^2,(Table4[[#This Row],[Strength of Win]]-0)^2))</f>
        <v/>
      </c>
      <c r="P543" s="11"/>
    </row>
    <row r="544" spans="4:16" x14ac:dyDescent="0.2">
      <c r="D544" s="1">
        <v>46009</v>
      </c>
      <c r="E544" s="2">
        <v>0.79166666666666663</v>
      </c>
      <c r="F544" t="s">
        <v>22</v>
      </c>
      <c r="G544">
        <f>VLOOKUP(Table4[[#This Row],[Home]],'NHL Model'!$A$6:$B$38,2,FALSE)</f>
        <v>-6.1308839486784707E-2</v>
      </c>
      <c r="H544" t="s">
        <v>19</v>
      </c>
      <c r="I544">
        <f>VLOOKUP(Table4[[#This Row],[Visitor]],'NHL Model'!$A$6:$B$38,2,FALSE)</f>
        <v>-0.635565543477981</v>
      </c>
      <c r="J544">
        <f ca="1">($B$1+Table4[[#This Row],[Home Differential]])-Table4[[#This Row],[Away Differential]]</f>
        <v>0.73682901365351472</v>
      </c>
      <c r="K544" t="str">
        <f ca="1">IF(Table4[[#This Row],[HomeIce Differential]]&gt;0,Table4[[#This Row],[Home]],Table4[[#This Row],[Visitor]])</f>
        <v>Washington Capitals</v>
      </c>
      <c r="L544" s="11">
        <f ca="1"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0.64209404379406754</v>
      </c>
      <c r="M544" t="str">
        <f ca="1">IF(OR((NHL2025_26Results[[#This Row],[Winning Team]]="")),"-",IF(Table4[[#This Row],[Predicted Winner]]=NHL2025_26Results[[#This Row],[Winning Team]],"YES","NO"))</f>
        <v>-</v>
      </c>
      <c r="N544" t="str">
        <f ca="1">IF(Table4[[#This Row],[Adjusted Correct]]="-", "",IF(Table4[[#This Row],[Adjusted Correct]]="YES",(Table4[[#This Row],[Strength of Win]]-1)^2,(Table4[[#This Row],[Strength of Win]]-0)^2))</f>
        <v/>
      </c>
      <c r="P544" s="11"/>
    </row>
    <row r="545" spans="4:16" x14ac:dyDescent="0.2">
      <c r="D545" s="1">
        <v>46010</v>
      </c>
      <c r="E545" s="2">
        <v>0.91666666666666663</v>
      </c>
      <c r="F545" t="s">
        <v>31</v>
      </c>
      <c r="G545">
        <f>VLOOKUP(Table4[[#This Row],[Home]],'NHL Model'!$A$6:$B$38,2,FALSE)</f>
        <v>0.51775546328552802</v>
      </c>
      <c r="H545" t="s">
        <v>39</v>
      </c>
      <c r="I545">
        <f>VLOOKUP(Table4[[#This Row],[Visitor]],'NHL Model'!$A$6:$B$38,2,FALSE)</f>
        <v>0.19809534061227302</v>
      </c>
      <c r="J545">
        <f ca="1">($B$1+Table4[[#This Row],[Home Differential]])-Table4[[#This Row],[Away Differential]]</f>
        <v>0.48223243233557339</v>
      </c>
      <c r="K545" t="str">
        <f ca="1">IF(Table4[[#This Row],[HomeIce Differential]]&gt;0,Table4[[#This Row],[Home]],Table4[[#This Row],[Visitor]])</f>
        <v>Anaheim Ducks</v>
      </c>
      <c r="L545" s="11">
        <f ca="1"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0.62237303716050629</v>
      </c>
      <c r="M545" t="str">
        <f ca="1">IF(OR((NHL2025_26Results[[#This Row],[Winning Team]]="")),"-",IF(Table4[[#This Row],[Predicted Winner]]=NHL2025_26Results[[#This Row],[Winning Team]],"YES","NO"))</f>
        <v>-</v>
      </c>
      <c r="N545" t="str">
        <f ca="1">IF(Table4[[#This Row],[Adjusted Correct]]="-", "",IF(Table4[[#This Row],[Adjusted Correct]]="YES",(Table4[[#This Row],[Strength of Win]]-1)^2,(Table4[[#This Row],[Strength of Win]]-0)^2))</f>
        <v/>
      </c>
      <c r="P545" s="11"/>
    </row>
    <row r="546" spans="4:16" x14ac:dyDescent="0.2">
      <c r="D546" s="1">
        <v>46010</v>
      </c>
      <c r="E546" s="2">
        <v>0.875</v>
      </c>
      <c r="F546" t="s">
        <v>12</v>
      </c>
      <c r="G546">
        <f>VLOOKUP(Table4[[#This Row],[Home]],'NHL Model'!$A$6:$B$38,2,FALSE)</f>
        <v>1.5475013591489768</v>
      </c>
      <c r="H546" t="s">
        <v>40</v>
      </c>
      <c r="I546">
        <f>VLOOKUP(Table4[[#This Row],[Visitor]],'NHL Model'!$A$6:$B$38,2,FALSE)</f>
        <v>0.105105258369765</v>
      </c>
      <c r="J546">
        <f ca="1">($B$1+Table4[[#This Row],[Home Differential]])-Table4[[#This Row],[Away Differential]]</f>
        <v>1.6049684104415303</v>
      </c>
      <c r="K546" t="str">
        <f ca="1">IF(Table4[[#This Row],[HomeIce Differential]]&gt;0,Table4[[#This Row],[Home]],Table4[[#This Row],[Visitor]])</f>
        <v>Colorado Avalanche</v>
      </c>
      <c r="L546" s="11">
        <f ca="1"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0.78689840788856369</v>
      </c>
      <c r="M546" t="str">
        <f ca="1">IF(OR((NHL2025_26Results[[#This Row],[Winning Team]]="")),"-",IF(Table4[[#This Row],[Predicted Winner]]=NHL2025_26Results[[#This Row],[Winning Team]],"YES","NO"))</f>
        <v>-</v>
      </c>
      <c r="N546" t="str">
        <f ca="1">IF(Table4[[#This Row],[Adjusted Correct]]="-", "",IF(Table4[[#This Row],[Adjusted Correct]]="YES",(Table4[[#This Row],[Strength of Win]]-1)^2,(Table4[[#This Row],[Strength of Win]]-0)^2))</f>
        <v/>
      </c>
      <c r="P546" s="11"/>
    </row>
    <row r="547" spans="4:16" x14ac:dyDescent="0.2">
      <c r="D547" s="1">
        <v>46010</v>
      </c>
      <c r="E547" s="2">
        <v>0.79166666666666663</v>
      </c>
      <c r="F547" t="s">
        <v>11</v>
      </c>
      <c r="G547">
        <f>VLOOKUP(Table4[[#This Row],[Home]],'NHL Model'!$A$6:$B$38,2,FALSE)</f>
        <v>-0.28105923893144158</v>
      </c>
      <c r="H547" t="s">
        <v>25</v>
      </c>
      <c r="I547">
        <f>VLOOKUP(Table4[[#This Row],[Visitor]],'NHL Model'!$A$6:$B$38,2,FALSE)</f>
        <v>0.67193921242367816</v>
      </c>
      <c r="J547">
        <f ca="1">($B$1+Table4[[#This Row],[Home Differential]])-Table4[[#This Row],[Away Differential]]</f>
        <v>-0.79042614169280134</v>
      </c>
      <c r="K547" t="str">
        <f ca="1">IF(Table4[[#This Row],[HomeIce Differential]]&gt;0,Table4[[#This Row],[Home]],Table4[[#This Row],[Visitor]])</f>
        <v>Carolina Hurricanes</v>
      </c>
      <c r="L547" s="11">
        <f ca="1"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0.60952039025421423</v>
      </c>
      <c r="M547" t="str">
        <f ca="1">IF(OR((NHL2025_26Results[[#This Row],[Winning Team]]="")),"-",IF(Table4[[#This Row],[Predicted Winner]]=NHL2025_26Results[[#This Row],[Winning Team]],"YES","NO"))</f>
        <v>-</v>
      </c>
      <c r="N547" t="str">
        <f ca="1">IF(Table4[[#This Row],[Adjusted Correct]]="-", "",IF(Table4[[#This Row],[Adjusted Correct]]="YES",(Table4[[#This Row],[Strength of Win]]-1)^2,(Table4[[#This Row],[Strength of Win]]-0)^2))</f>
        <v/>
      </c>
      <c r="P547" s="11"/>
    </row>
    <row r="548" spans="4:16" x14ac:dyDescent="0.2">
      <c r="D548" s="1">
        <v>46010</v>
      </c>
      <c r="E548" s="2">
        <v>0.79166666666666663</v>
      </c>
      <c r="F548" t="s">
        <v>30</v>
      </c>
      <c r="G548">
        <f>VLOOKUP(Table4[[#This Row],[Home]],'NHL Model'!$A$6:$B$38,2,FALSE)</f>
        <v>-6.4729560818359025E-2</v>
      </c>
      <c r="H548" t="s">
        <v>38</v>
      </c>
      <c r="I548">
        <f>VLOOKUP(Table4[[#This Row],[Visitor]],'NHL Model'!$A$6:$B$38,2,FALSE)</f>
        <v>-0.6902088310934803</v>
      </c>
      <c r="J548">
        <f ca="1">($B$1+Table4[[#This Row],[Home Differential]])-Table4[[#This Row],[Away Differential]]</f>
        <v>0.78805157993743968</v>
      </c>
      <c r="K548" t="str">
        <f ca="1">IF(Table4[[#This Row],[HomeIce Differential]]&gt;0,Table4[[#This Row],[Home]],Table4[[#This Row],[Visitor]])</f>
        <v>New York Islanders</v>
      </c>
      <c r="L548" s="11">
        <f ca="1"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0.60667881133552348</v>
      </c>
      <c r="M548" t="str">
        <f ca="1">IF(OR((NHL2025_26Results[[#This Row],[Winning Team]]="")),"-",IF(Table4[[#This Row],[Predicted Winner]]=NHL2025_26Results[[#This Row],[Winning Team]],"YES","NO"))</f>
        <v>-</v>
      </c>
      <c r="N548" t="str">
        <f ca="1">IF(Table4[[#This Row],[Adjusted Correct]]="-", "",IF(Table4[[#This Row],[Adjusted Correct]]="YES",(Table4[[#This Row],[Strength of Win]]-1)^2,(Table4[[#This Row],[Strength of Win]]-0)^2))</f>
        <v/>
      </c>
      <c r="P548" s="11"/>
    </row>
    <row r="549" spans="4:16" x14ac:dyDescent="0.2">
      <c r="D549" s="1">
        <v>46010</v>
      </c>
      <c r="E549" s="2">
        <v>0.875</v>
      </c>
      <c r="F549" t="s">
        <v>55</v>
      </c>
      <c r="G549">
        <f>VLOOKUP(Table4[[#This Row],[Home]],'NHL Model'!$A$6:$B$38,2,FALSE)</f>
        <v>-0.12212311954851815</v>
      </c>
      <c r="H549" t="s">
        <v>24</v>
      </c>
      <c r="I549">
        <f>VLOOKUP(Table4[[#This Row],[Visitor]],'NHL Model'!$A$6:$B$38,2,FALSE)</f>
        <v>0.559441163373953</v>
      </c>
      <c r="J549">
        <f ca="1">($B$1+Table4[[#This Row],[Home Differential]])-Table4[[#This Row],[Away Differential]]</f>
        <v>-0.51899197326015278</v>
      </c>
      <c r="K549" t="str">
        <f ca="1">IF(Table4[[#This Row],[HomeIce Differential]]&gt;0,Table4[[#This Row],[Home]],Table4[[#This Row],[Visitor]])</f>
        <v>New Jersey Devils</v>
      </c>
      <c r="L549" s="11">
        <f ca="1"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0.52843257361843121</v>
      </c>
      <c r="M549" t="str">
        <f ca="1">IF(OR((NHL2025_26Results[[#This Row],[Winning Team]]="")),"-",IF(Table4[[#This Row],[Predicted Winner]]=NHL2025_26Results[[#This Row],[Winning Team]],"YES","NO"))</f>
        <v>-</v>
      </c>
      <c r="N549" t="str">
        <f ca="1">IF(Table4[[#This Row],[Adjusted Correct]]="-", "",IF(Table4[[#This Row],[Adjusted Correct]]="YES",(Table4[[#This Row],[Strength of Win]]-1)^2,(Table4[[#This Row],[Strength of Win]]-0)^2))</f>
        <v/>
      </c>
      <c r="P549" s="11"/>
    </row>
    <row r="550" spans="4:16" x14ac:dyDescent="0.2">
      <c r="D550" s="1">
        <v>46011</v>
      </c>
      <c r="E550" s="2">
        <v>0.91666666666666663</v>
      </c>
      <c r="F550" t="s">
        <v>31</v>
      </c>
      <c r="G550">
        <f>VLOOKUP(Table4[[#This Row],[Home]],'NHL Model'!$A$6:$B$38,2,FALSE)</f>
        <v>0.51775546328552802</v>
      </c>
      <c r="H550" t="s">
        <v>28</v>
      </c>
      <c r="I550">
        <f>VLOOKUP(Table4[[#This Row],[Visitor]],'NHL Model'!$A$6:$B$38,2,FALSE)</f>
        <v>-0.40822279081308277</v>
      </c>
      <c r="J550">
        <f ca="1">($B$1+Table4[[#This Row],[Home Differential]])-Table4[[#This Row],[Away Differential]]</f>
        <v>1.0885505637609292</v>
      </c>
      <c r="K550" t="str">
        <f ca="1">IF(Table4[[#This Row],[HomeIce Differential]]&gt;0,Table4[[#This Row],[Home]],Table4[[#This Row],[Visitor]])</f>
        <v>Anaheim Ducks</v>
      </c>
      <c r="L550" s="11">
        <f ca="1"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0.77582811190836853</v>
      </c>
      <c r="M550" t="str">
        <f ca="1">IF(OR((NHL2025_26Results[[#This Row],[Winning Team]]="")),"-",IF(Table4[[#This Row],[Predicted Winner]]=NHL2025_26Results[[#This Row],[Winning Team]],"YES","NO"))</f>
        <v>-</v>
      </c>
      <c r="N550" t="str">
        <f ca="1">IF(Table4[[#This Row],[Adjusted Correct]]="-", "",IF(Table4[[#This Row],[Adjusted Correct]]="YES",(Table4[[#This Row],[Strength of Win]]-1)^2,(Table4[[#This Row],[Strength of Win]]-0)^2))</f>
        <v/>
      </c>
      <c r="P550" s="11"/>
    </row>
    <row r="551" spans="4:16" x14ac:dyDescent="0.2">
      <c r="D551" s="1">
        <v>46011</v>
      </c>
      <c r="E551" s="2">
        <v>0.79166666666666663</v>
      </c>
      <c r="F551" t="s">
        <v>21</v>
      </c>
      <c r="G551">
        <f>VLOOKUP(Table4[[#This Row],[Home]],'NHL Model'!$A$6:$B$38,2,FALSE)</f>
        <v>4.029141914856392E-2</v>
      </c>
      <c r="H551" t="s">
        <v>38</v>
      </c>
      <c r="I551">
        <f>VLOOKUP(Table4[[#This Row],[Visitor]],'NHL Model'!$A$6:$B$38,2,FALSE)</f>
        <v>-0.6902088310934803</v>
      </c>
      <c r="J551">
        <f ca="1">($B$1+Table4[[#This Row],[Home Differential]])-Table4[[#This Row],[Away Differential]]</f>
        <v>0.89307255990436263</v>
      </c>
      <c r="K551" t="str">
        <f ca="1">IF(Table4[[#This Row],[HomeIce Differential]]&gt;0,Table4[[#This Row],[Home]],Table4[[#This Row],[Visitor]])</f>
        <v>Boston Bruins</v>
      </c>
      <c r="L551" s="11">
        <f ca="1"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0.69517151226373119</v>
      </c>
      <c r="M551" t="str">
        <f ca="1">IF(OR((NHL2025_26Results[[#This Row],[Winning Team]]="")),"-",IF(Table4[[#This Row],[Predicted Winner]]=NHL2025_26Results[[#This Row],[Winning Team]],"YES","NO"))</f>
        <v>-</v>
      </c>
      <c r="N551" t="str">
        <f ca="1">IF(Table4[[#This Row],[Adjusted Correct]]="-", "",IF(Table4[[#This Row],[Adjusted Correct]]="YES",(Table4[[#This Row],[Strength of Win]]-1)^2,(Table4[[#This Row],[Strength of Win]]-0)^2))</f>
        <v/>
      </c>
      <c r="P551" s="11"/>
    </row>
    <row r="552" spans="4:16" x14ac:dyDescent="0.2">
      <c r="D552" s="1">
        <v>46011</v>
      </c>
      <c r="E552" s="2">
        <v>0.70833333333333337</v>
      </c>
      <c r="F552" t="s">
        <v>23</v>
      </c>
      <c r="G552">
        <f>VLOOKUP(Table4[[#This Row],[Home]],'NHL Model'!$A$6:$B$38,2,FALSE)</f>
        <v>-0.8683412362501769</v>
      </c>
      <c r="H552" t="s">
        <v>30</v>
      </c>
      <c r="I552">
        <f>VLOOKUP(Table4[[#This Row],[Visitor]],'NHL Model'!$A$6:$B$38,2,FALSE)</f>
        <v>-6.4729560818359025E-2</v>
      </c>
      <c r="J552">
        <f ca="1">($B$1+Table4[[#This Row],[Home Differential]])-Table4[[#This Row],[Away Differential]]</f>
        <v>-0.64103936576949949</v>
      </c>
      <c r="K552" t="str">
        <f ca="1">IF(Table4[[#This Row],[HomeIce Differential]]&gt;0,Table4[[#This Row],[Home]],Table4[[#This Row],[Visitor]])</f>
        <v>New York Islanders</v>
      </c>
      <c r="L552" s="11">
        <f ca="1"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0.59133412096374416</v>
      </c>
      <c r="M552" t="str">
        <f ca="1">IF(OR((NHL2025_26Results[[#This Row],[Winning Team]]="")),"-",IF(Table4[[#This Row],[Predicted Winner]]=NHL2025_26Results[[#This Row],[Winning Team]],"YES","NO"))</f>
        <v>-</v>
      </c>
      <c r="N552" t="str">
        <f ca="1">IF(Table4[[#This Row],[Adjusted Correct]]="-", "",IF(Table4[[#This Row],[Adjusted Correct]]="YES",(Table4[[#This Row],[Strength of Win]]-1)^2,(Table4[[#This Row],[Strength of Win]]-0)^2))</f>
        <v/>
      </c>
      <c r="P552" s="11"/>
    </row>
    <row r="553" spans="4:16" x14ac:dyDescent="0.2">
      <c r="D553" s="1">
        <v>46011</v>
      </c>
      <c r="E553" s="2">
        <v>0.91666666666666663</v>
      </c>
      <c r="F553" t="s">
        <v>16</v>
      </c>
      <c r="G553">
        <f>VLOOKUP(Table4[[#This Row],[Home]],'NHL Model'!$A$6:$B$38,2,FALSE)</f>
        <v>-1.3903684122795328</v>
      </c>
      <c r="H553" t="s">
        <v>20</v>
      </c>
      <c r="I553">
        <f>VLOOKUP(Table4[[#This Row],[Visitor]],'NHL Model'!$A$6:$B$38,2,FALSE)</f>
        <v>-6.3745791019188943E-4</v>
      </c>
      <c r="J553">
        <f ca="1">($B$1+Table4[[#This Row],[Home Differential]])-Table4[[#This Row],[Away Differential]]</f>
        <v>-1.2271586447070224</v>
      </c>
      <c r="K553" t="str">
        <f ca="1">IF(Table4[[#This Row],[HomeIce Differential]]&gt;0,Table4[[#This Row],[Home]],Table4[[#This Row],[Visitor]])</f>
        <v>Vegas Golden Knights</v>
      </c>
      <c r="L553" s="11">
        <f ca="1"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0.65080269320547146</v>
      </c>
      <c r="M553" t="str">
        <f ca="1">IF(OR((NHL2025_26Results[[#This Row],[Winning Team]]="")),"-",IF(Table4[[#This Row],[Predicted Winner]]=NHL2025_26Results[[#This Row],[Winning Team]],"YES","NO"))</f>
        <v>-</v>
      </c>
      <c r="N553" t="str">
        <f ca="1">IF(Table4[[#This Row],[Adjusted Correct]]="-", "",IF(Table4[[#This Row],[Adjusted Correct]]="YES",(Table4[[#This Row],[Strength of Win]]-1)^2,(Table4[[#This Row],[Strength of Win]]-0)^2))</f>
        <v/>
      </c>
      <c r="P553" s="11"/>
    </row>
    <row r="554" spans="4:16" x14ac:dyDescent="0.2">
      <c r="D554" s="1">
        <v>46011</v>
      </c>
      <c r="E554" s="2">
        <v>0.75</v>
      </c>
      <c r="F554" t="s">
        <v>11</v>
      </c>
      <c r="G554">
        <f>VLOOKUP(Table4[[#This Row],[Home]],'NHL Model'!$A$6:$B$38,2,FALSE)</f>
        <v>-0.28105923893144158</v>
      </c>
      <c r="H554" t="s">
        <v>35</v>
      </c>
      <c r="I554">
        <f>VLOOKUP(Table4[[#This Row],[Visitor]],'NHL Model'!$A$6:$B$38,2,FALSE)</f>
        <v>-1.6211574240381006</v>
      </c>
      <c r="J554">
        <f ca="1">($B$1+Table4[[#This Row],[Home Differential]])-Table4[[#This Row],[Away Differential]]</f>
        <v>1.5026704947689775</v>
      </c>
      <c r="K554" t="str">
        <f ca="1">IF(Table4[[#This Row],[HomeIce Differential]]&gt;0,Table4[[#This Row],[Home]],Table4[[#This Row],[Visitor]])</f>
        <v>Florida Panthers</v>
      </c>
      <c r="L554" s="11">
        <f ca="1"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0.79992399265295755</v>
      </c>
      <c r="M554" t="str">
        <f ca="1">IF(OR((NHL2025_26Results[[#This Row],[Winning Team]]="")),"-",IF(Table4[[#This Row],[Predicted Winner]]=NHL2025_26Results[[#This Row],[Winning Team]],"YES","NO"))</f>
        <v>-</v>
      </c>
      <c r="N554" t="str">
        <f ca="1">IF(Table4[[#This Row],[Adjusted Correct]]="-", "",IF(Table4[[#This Row],[Adjusted Correct]]="YES",(Table4[[#This Row],[Strength of Win]]-1)^2,(Table4[[#This Row],[Strength of Win]]-0)^2))</f>
        <v/>
      </c>
      <c r="P554" s="11"/>
    </row>
    <row r="555" spans="4:16" x14ac:dyDescent="0.2">
      <c r="D555" s="1">
        <v>46011</v>
      </c>
      <c r="E555" s="2">
        <v>0.625</v>
      </c>
      <c r="F555" t="s">
        <v>34</v>
      </c>
      <c r="G555">
        <f>VLOOKUP(Table4[[#This Row],[Home]],'NHL Model'!$A$6:$B$38,2,FALSE)</f>
        <v>-0.53650300840565446</v>
      </c>
      <c r="H555" t="s">
        <v>17</v>
      </c>
      <c r="I555">
        <f>VLOOKUP(Table4[[#This Row],[Visitor]],'NHL Model'!$A$6:$B$38,2,FALSE)</f>
        <v>-0.61980804137564283</v>
      </c>
      <c r="J555">
        <f ca="1">($B$1+Table4[[#This Row],[Home Differential]])-Table4[[#This Row],[Away Differential]]</f>
        <v>0.24587734263230676</v>
      </c>
      <c r="K555" t="str">
        <f ca="1">IF(Table4[[#This Row],[HomeIce Differential]]&gt;0,Table4[[#This Row],[Home]],Table4[[#This Row],[Visitor]])</f>
        <v>Minnesota Wild</v>
      </c>
      <c r="L555" s="11">
        <f ca="1"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0.5740684361249595</v>
      </c>
      <c r="M555" t="str">
        <f ca="1">IF(OR((NHL2025_26Results[[#This Row],[Winning Team]]="")),"-",IF(Table4[[#This Row],[Predicted Winner]]=NHL2025_26Results[[#This Row],[Winning Team]],"YES","NO"))</f>
        <v>-</v>
      </c>
      <c r="N555" t="str">
        <f ca="1">IF(Table4[[#This Row],[Adjusted Correct]]="-", "",IF(Table4[[#This Row],[Adjusted Correct]]="YES",(Table4[[#This Row],[Strength of Win]]-1)^2,(Table4[[#This Row],[Strength of Win]]-0)^2))</f>
        <v/>
      </c>
      <c r="P555" s="11"/>
    </row>
    <row r="556" spans="4:16" x14ac:dyDescent="0.2">
      <c r="D556" s="1">
        <v>46011</v>
      </c>
      <c r="E556" s="2">
        <v>0.79166666666666663</v>
      </c>
      <c r="F556" t="s">
        <v>18</v>
      </c>
      <c r="G556">
        <f>VLOOKUP(Table4[[#This Row],[Home]],'NHL Model'!$A$6:$B$38,2,FALSE)</f>
        <v>-0.52437726201848234</v>
      </c>
      <c r="H556" t="s">
        <v>14</v>
      </c>
      <c r="I556">
        <f>VLOOKUP(Table4[[#This Row],[Visitor]],'NHL Model'!$A$6:$B$38,2,FALSE)</f>
        <v>0.26289091192875702</v>
      </c>
      <c r="J556">
        <f ca="1">($B$1+Table4[[#This Row],[Home Differential]])-Table4[[#This Row],[Away Differential]]</f>
        <v>-0.62469586428492097</v>
      </c>
      <c r="K556" t="str">
        <f ca="1">IF(Table4[[#This Row],[HomeIce Differential]]&gt;0,Table4[[#This Row],[Home]],Table4[[#This Row],[Visitor]])</f>
        <v>Pittsburgh Penguins</v>
      </c>
      <c r="L556" s="11">
        <f ca="1"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0.54655702441742926</v>
      </c>
      <c r="M556" t="str">
        <f ca="1">IF(OR((NHL2025_26Results[[#This Row],[Winning Team]]="")),"-",IF(Table4[[#This Row],[Predicted Winner]]=NHL2025_26Results[[#This Row],[Winning Team]],"YES","NO"))</f>
        <v>-</v>
      </c>
      <c r="N556" t="str">
        <f ca="1">IF(Table4[[#This Row],[Adjusted Correct]]="-", "",IF(Table4[[#This Row],[Adjusted Correct]]="YES",(Table4[[#This Row],[Strength of Win]]-1)^2,(Table4[[#This Row],[Strength of Win]]-0)^2))</f>
        <v/>
      </c>
      <c r="P556" s="11"/>
    </row>
    <row r="557" spans="4:16" x14ac:dyDescent="0.2">
      <c r="D557" s="1">
        <v>46011</v>
      </c>
      <c r="E557" s="2">
        <v>0.79166666666666663</v>
      </c>
      <c r="F557" t="s">
        <v>29</v>
      </c>
      <c r="G557">
        <f>VLOOKUP(Table4[[#This Row],[Home]],'NHL Model'!$A$6:$B$38,2,FALSE)</f>
        <v>-1.3516250707060606</v>
      </c>
      <c r="H557" t="s">
        <v>19</v>
      </c>
      <c r="I557">
        <f>VLOOKUP(Table4[[#This Row],[Visitor]],'NHL Model'!$A$6:$B$38,2,FALSE)</f>
        <v>-0.635565543477981</v>
      </c>
      <c r="J557">
        <f ca="1">($B$1+Table4[[#This Row],[Home Differential]])-Table4[[#This Row],[Away Differential]]</f>
        <v>-0.55348721756576125</v>
      </c>
      <c r="K557" t="str">
        <f ca="1">IF(Table4[[#This Row],[HomeIce Differential]]&gt;0,Table4[[#This Row],[Home]],Table4[[#This Row],[Visitor]])</f>
        <v>Toronto Maple Leafs</v>
      </c>
      <c r="L557" s="11">
        <f ca="1"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0.53669044945641553</v>
      </c>
      <c r="M557" t="str">
        <f ca="1">IF(OR((NHL2025_26Results[[#This Row],[Winning Team]]="")),"-",IF(Table4[[#This Row],[Predicted Winner]]=NHL2025_26Results[[#This Row],[Winning Team]],"YES","NO"))</f>
        <v>-</v>
      </c>
      <c r="N557" t="str">
        <f ca="1">IF(Table4[[#This Row],[Adjusted Correct]]="-", "",IF(Table4[[#This Row],[Adjusted Correct]]="YES",(Table4[[#This Row],[Strength of Win]]-1)^2,(Table4[[#This Row],[Strength of Win]]-0)^2))</f>
        <v/>
      </c>
      <c r="P557" s="11"/>
    </row>
    <row r="558" spans="4:16" x14ac:dyDescent="0.2">
      <c r="D558" s="1">
        <v>46011</v>
      </c>
      <c r="E558" s="2">
        <v>0.52083333333333337</v>
      </c>
      <c r="F558" t="s">
        <v>15</v>
      </c>
      <c r="G558">
        <f>VLOOKUP(Table4[[#This Row],[Home]],'NHL Model'!$A$6:$B$38,2,FALSE)</f>
        <v>-0.30719665303039001</v>
      </c>
      <c r="H558" t="s">
        <v>27</v>
      </c>
      <c r="I558">
        <f>VLOOKUP(Table4[[#This Row],[Visitor]],'NHL Model'!$A$6:$B$38,2,FALSE)</f>
        <v>-0.51358590497437617</v>
      </c>
      <c r="J558">
        <f ca="1">($B$1+Table4[[#This Row],[Home Differential]])-Table4[[#This Row],[Away Differential]]</f>
        <v>0.36896156160630456</v>
      </c>
      <c r="K558" t="str">
        <f ca="1">IF(Table4[[#This Row],[HomeIce Differential]]&gt;0,Table4[[#This Row],[Home]],Table4[[#This Row],[Visitor]])</f>
        <v>New York Rangers</v>
      </c>
      <c r="L558" s="11">
        <f ca="1"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0.59112282107647152</v>
      </c>
      <c r="M558" t="str">
        <f ca="1">IF(OR((NHL2025_26Results[[#This Row],[Winning Team]]="")),"-",IF(Table4[[#This Row],[Predicted Winner]]=NHL2025_26Results[[#This Row],[Winning Team]],"YES","NO"))</f>
        <v>-</v>
      </c>
      <c r="N558" t="str">
        <f ca="1">IF(Table4[[#This Row],[Adjusted Correct]]="-", "",IF(Table4[[#This Row],[Adjusted Correct]]="YES",(Table4[[#This Row],[Strength of Win]]-1)^2,(Table4[[#This Row],[Strength of Win]]-0)^2))</f>
        <v/>
      </c>
      <c r="P558" s="11"/>
    </row>
    <row r="559" spans="4:16" x14ac:dyDescent="0.2">
      <c r="D559" s="1">
        <v>46011</v>
      </c>
      <c r="E559" s="2">
        <v>0.625</v>
      </c>
      <c r="F559" t="s">
        <v>36</v>
      </c>
      <c r="G559">
        <f>VLOOKUP(Table4[[#This Row],[Home]],'NHL Model'!$A$6:$B$38,2,FALSE)</f>
        <v>-0.40651947573390851</v>
      </c>
      <c r="H559" t="s">
        <v>10</v>
      </c>
      <c r="I559">
        <f>VLOOKUP(Table4[[#This Row],[Visitor]],'NHL Model'!$A$6:$B$38,2,FALSE)</f>
        <v>0.30570968833820172</v>
      </c>
      <c r="J559">
        <f ca="1">($B$1+Table4[[#This Row],[Home Differential]])-Table4[[#This Row],[Away Differential]]</f>
        <v>-0.54965685440979184</v>
      </c>
      <c r="K559" t="str">
        <f ca="1">IF(Table4[[#This Row],[HomeIce Differential]]&gt;0,Table4[[#This Row],[Home]],Table4[[#This Row],[Visitor]])</f>
        <v>Chicago Blackhawks</v>
      </c>
      <c r="L559" s="11">
        <f ca="1"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0.55442058901976499</v>
      </c>
      <c r="M559" t="str">
        <f ca="1">IF(OR((NHL2025_26Results[[#This Row],[Winning Team]]="")),"-",IF(Table4[[#This Row],[Predicted Winner]]=NHL2025_26Results[[#This Row],[Winning Team]],"YES","NO"))</f>
        <v>-</v>
      </c>
      <c r="N559" t="str">
        <f ca="1">IF(Table4[[#This Row],[Adjusted Correct]]="-", "",IF(Table4[[#This Row],[Adjusted Correct]]="YES",(Table4[[#This Row],[Strength of Win]]-1)^2,(Table4[[#This Row],[Strength of Win]]-0)^2))</f>
        <v/>
      </c>
      <c r="P559" s="11"/>
    </row>
    <row r="560" spans="4:16" x14ac:dyDescent="0.2">
      <c r="D560" s="1">
        <v>46011</v>
      </c>
      <c r="E560" s="2">
        <v>0.91666666666666663</v>
      </c>
      <c r="F560" t="s">
        <v>33</v>
      </c>
      <c r="G560">
        <f>VLOOKUP(Table4[[#This Row],[Home]],'NHL Model'!$A$6:$B$38,2,FALSE)</f>
        <v>-0.39418177254008485</v>
      </c>
      <c r="H560" t="s">
        <v>32</v>
      </c>
      <c r="I560">
        <f>VLOOKUP(Table4[[#This Row],[Visitor]],'NHL Model'!$A$6:$B$38,2,FALSE)</f>
        <v>-0.361361309178443</v>
      </c>
      <c r="J560">
        <f ca="1">($B$1+Table4[[#This Row],[Home Differential]])-Table4[[#This Row],[Away Differential]]</f>
        <v>0.12975184630067654</v>
      </c>
      <c r="K560" t="str">
        <f ca="1">IF(Table4[[#This Row],[HomeIce Differential]]&gt;0,Table4[[#This Row],[Home]],Table4[[#This Row],[Visitor]])</f>
        <v>San Jose Sharks</v>
      </c>
      <c r="L560" s="11">
        <f ca="1"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0.55797824248654193</v>
      </c>
      <c r="M560" t="str">
        <f ca="1">IF(OR((NHL2025_26Results[[#This Row],[Winning Team]]="")),"-",IF(Table4[[#This Row],[Predicted Winner]]=NHL2025_26Results[[#This Row],[Winning Team]],"YES","NO"))</f>
        <v>-</v>
      </c>
      <c r="N560" t="str">
        <f ca="1">IF(Table4[[#This Row],[Adjusted Correct]]="-", "",IF(Table4[[#This Row],[Adjusted Correct]]="YES",(Table4[[#This Row],[Strength of Win]]-1)^2,(Table4[[#This Row],[Strength of Win]]-0)^2))</f>
        <v/>
      </c>
      <c r="P560" s="11"/>
    </row>
    <row r="561" spans="4:16" x14ac:dyDescent="0.2">
      <c r="D561" s="1">
        <v>46011</v>
      </c>
      <c r="E561" s="2">
        <v>0.79166666666666663</v>
      </c>
      <c r="F561" t="s">
        <v>37</v>
      </c>
      <c r="G561">
        <f>VLOOKUP(Table4[[#This Row],[Home]],'NHL Model'!$A$6:$B$38,2,FALSE)</f>
        <v>-0.11309445867623392</v>
      </c>
      <c r="H561" t="s">
        <v>25</v>
      </c>
      <c r="I561">
        <f>VLOOKUP(Table4[[#This Row],[Visitor]],'NHL Model'!$A$6:$B$38,2,FALSE)</f>
        <v>0.67193921242367816</v>
      </c>
      <c r="J561">
        <f ca="1">($B$1+Table4[[#This Row],[Home Differential]])-Table4[[#This Row],[Away Differential]]</f>
        <v>-0.62246136143759367</v>
      </c>
      <c r="K561" t="str">
        <f ca="1">IF(Table4[[#This Row],[HomeIce Differential]]&gt;0,Table4[[#This Row],[Home]],Table4[[#This Row],[Visitor]])</f>
        <v>Carolina Hurricanes</v>
      </c>
      <c r="L561" s="11">
        <f ca="1"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0.63873360253330369</v>
      </c>
      <c r="M561" t="str">
        <f ca="1">IF(OR((NHL2025_26Results[[#This Row],[Winning Team]]="")),"-",IF(Table4[[#This Row],[Predicted Winner]]=NHL2025_26Results[[#This Row],[Winning Team]],"YES","NO"))</f>
        <v>-</v>
      </c>
      <c r="N561" t="str">
        <f ca="1">IF(Table4[[#This Row],[Adjusted Correct]]="-", "",IF(Table4[[#This Row],[Adjusted Correct]]="YES",(Table4[[#This Row],[Strength of Win]]-1)^2,(Table4[[#This Row],[Strength of Win]]-0)^2))</f>
        <v/>
      </c>
      <c r="P561" s="11"/>
    </row>
    <row r="562" spans="4:16" x14ac:dyDescent="0.2">
      <c r="D562" s="1">
        <v>46011</v>
      </c>
      <c r="E562" s="2">
        <v>0.52083333333333337</v>
      </c>
      <c r="F562" t="s">
        <v>22</v>
      </c>
      <c r="G562">
        <f>VLOOKUP(Table4[[#This Row],[Home]],'NHL Model'!$A$6:$B$38,2,FALSE)</f>
        <v>-6.1308839486784707E-2</v>
      </c>
      <c r="H562" t="s">
        <v>26</v>
      </c>
      <c r="I562">
        <f>VLOOKUP(Table4[[#This Row],[Visitor]],'NHL Model'!$A$6:$B$38,2,FALSE)</f>
        <v>-0.513643833119658</v>
      </c>
      <c r="J562">
        <f ca="1">($B$1+Table4[[#This Row],[Home Differential]])-Table4[[#This Row],[Away Differential]]</f>
        <v>0.61490730329519172</v>
      </c>
      <c r="K562" t="str">
        <f ca="1">IF(Table4[[#This Row],[HomeIce Differential]]&gt;0,Table4[[#This Row],[Home]],Table4[[#This Row],[Visitor]])</f>
        <v>Washington Capitals</v>
      </c>
      <c r="L562" s="11">
        <f ca="1"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0.57810134300260541</v>
      </c>
      <c r="M562" t="str">
        <f ca="1">IF(OR((NHL2025_26Results[[#This Row],[Winning Team]]="")),"-",IF(Table4[[#This Row],[Predicted Winner]]=NHL2025_26Results[[#This Row],[Winning Team]],"YES","NO"))</f>
        <v>-</v>
      </c>
      <c r="N562" t="str">
        <f ca="1">IF(Table4[[#This Row],[Adjusted Correct]]="-", "",IF(Table4[[#This Row],[Adjusted Correct]]="YES",(Table4[[#This Row],[Strength of Win]]-1)^2,(Table4[[#This Row],[Strength of Win]]-0)^2))</f>
        <v/>
      </c>
      <c r="P562" s="11"/>
    </row>
    <row r="563" spans="4:16" x14ac:dyDescent="0.2">
      <c r="D563" s="1">
        <v>46012</v>
      </c>
      <c r="E563" s="2">
        <v>0.79166666666666663</v>
      </c>
      <c r="F563" t="s">
        <v>21</v>
      </c>
      <c r="G563">
        <f>VLOOKUP(Table4[[#This Row],[Home]],'NHL Model'!$A$6:$B$38,2,FALSE)</f>
        <v>4.029141914856392E-2</v>
      </c>
      <c r="H563" t="s">
        <v>36</v>
      </c>
      <c r="I563">
        <f>VLOOKUP(Table4[[#This Row],[Visitor]],'NHL Model'!$A$6:$B$38,2,FALSE)</f>
        <v>-0.40651947573390851</v>
      </c>
      <c r="J563">
        <f ca="1">($B$1+Table4[[#This Row],[Home Differential]])-Table4[[#This Row],[Away Differential]]</f>
        <v>0.60938320454479089</v>
      </c>
      <c r="K563" t="str">
        <f ca="1">IF(Table4[[#This Row],[HomeIce Differential]]&gt;0,Table4[[#This Row],[Home]],Table4[[#This Row],[Visitor]])</f>
        <v>Boston Bruins</v>
      </c>
      <c r="L563" s="11">
        <f ca="1"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0.6969927499989883</v>
      </c>
      <c r="M563" t="str">
        <f ca="1">IF(OR((NHL2025_26Results[[#This Row],[Winning Team]]="")),"-",IF(Table4[[#This Row],[Predicted Winner]]=NHL2025_26Results[[#This Row],[Winning Team]],"YES","NO"))</f>
        <v>-</v>
      </c>
      <c r="N563" t="str">
        <f ca="1">IF(Table4[[#This Row],[Adjusted Correct]]="-", "",IF(Table4[[#This Row],[Adjusted Correct]]="YES",(Table4[[#This Row],[Strength of Win]]-1)^2,(Table4[[#This Row],[Strength of Win]]-0)^2))</f>
        <v/>
      </c>
      <c r="P563" s="11"/>
    </row>
    <row r="564" spans="4:16" x14ac:dyDescent="0.2">
      <c r="D564" s="1">
        <v>46012</v>
      </c>
      <c r="E564" s="2">
        <v>0.79166666666666663</v>
      </c>
      <c r="F564" t="s">
        <v>39</v>
      </c>
      <c r="G564">
        <f>VLOOKUP(Table4[[#This Row],[Home]],'NHL Model'!$A$6:$B$38,2,FALSE)</f>
        <v>0.19809534061227302</v>
      </c>
      <c r="H564" t="s">
        <v>19</v>
      </c>
      <c r="I564">
        <f>VLOOKUP(Table4[[#This Row],[Visitor]],'NHL Model'!$A$6:$B$38,2,FALSE)</f>
        <v>-0.635565543477981</v>
      </c>
      <c r="J564">
        <f ca="1">($B$1+Table4[[#This Row],[Home Differential]])-Table4[[#This Row],[Away Differential]]</f>
        <v>0.99623319375257235</v>
      </c>
      <c r="K564" t="str">
        <f ca="1">IF(Table4[[#This Row],[HomeIce Differential]]&gt;0,Table4[[#This Row],[Home]],Table4[[#This Row],[Visitor]])</f>
        <v>Dallas Stars</v>
      </c>
      <c r="L564" s="11">
        <f ca="1"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0.70407447629682962</v>
      </c>
      <c r="M564" t="str">
        <f ca="1">IF(OR((NHL2025_26Results[[#This Row],[Winning Team]]="")),"-",IF(Table4[[#This Row],[Predicted Winner]]=NHL2025_26Results[[#This Row],[Winning Team]],"YES","NO"))</f>
        <v>-</v>
      </c>
      <c r="N564" t="str">
        <f ca="1">IF(Table4[[#This Row],[Adjusted Correct]]="-", "",IF(Table4[[#This Row],[Adjusted Correct]]="YES",(Table4[[#This Row],[Strength of Win]]-1)^2,(Table4[[#This Row],[Strength of Win]]-0)^2))</f>
        <v/>
      </c>
      <c r="P564" s="11"/>
    </row>
    <row r="565" spans="4:16" x14ac:dyDescent="0.2">
      <c r="D565" s="1">
        <v>46012</v>
      </c>
      <c r="E565" s="2">
        <v>0.54166666666666663</v>
      </c>
      <c r="F565" t="s">
        <v>26</v>
      </c>
      <c r="G565">
        <f>VLOOKUP(Table4[[#This Row],[Home]],'NHL Model'!$A$6:$B$38,2,FALSE)</f>
        <v>-0.513643833119658</v>
      </c>
      <c r="H565" t="s">
        <v>22</v>
      </c>
      <c r="I565">
        <f>VLOOKUP(Table4[[#This Row],[Visitor]],'NHL Model'!$A$6:$B$38,2,FALSE)</f>
        <v>-6.1308839486784707E-2</v>
      </c>
      <c r="J565">
        <f ca="1">($B$1+Table4[[#This Row],[Home Differential]])-Table4[[#This Row],[Away Differential]]</f>
        <v>-0.28976268397055488</v>
      </c>
      <c r="K565" t="str">
        <f ca="1">IF(Table4[[#This Row],[HomeIce Differential]]&gt;0,Table4[[#This Row],[Home]],Table4[[#This Row],[Visitor]])</f>
        <v>Washington Capitals</v>
      </c>
      <c r="L565" s="11">
        <f ca="1"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0.47411139454483348</v>
      </c>
      <c r="M565" t="str">
        <f ca="1">IF(OR((NHL2025_26Results[[#This Row],[Winning Team]]="")),"-",IF(Table4[[#This Row],[Predicted Winner]]=NHL2025_26Results[[#This Row],[Winning Team]],"YES","NO"))</f>
        <v>-</v>
      </c>
      <c r="N565" t="str">
        <f ca="1">IF(Table4[[#This Row],[Adjusted Correct]]="-", "",IF(Table4[[#This Row],[Adjusted Correct]]="YES",(Table4[[#This Row],[Strength of Win]]-1)^2,(Table4[[#This Row],[Strength of Win]]-0)^2))</f>
        <v/>
      </c>
      <c r="P565" s="11"/>
    </row>
    <row r="566" spans="4:16" x14ac:dyDescent="0.2">
      <c r="D566" s="1">
        <v>46012</v>
      </c>
      <c r="E566" s="2">
        <v>0.83333333333333337</v>
      </c>
      <c r="F566" t="s">
        <v>17</v>
      </c>
      <c r="G566">
        <f>VLOOKUP(Table4[[#This Row],[Home]],'NHL Model'!$A$6:$B$38,2,FALSE)</f>
        <v>-0.61980804137564283</v>
      </c>
      <c r="H566" t="s">
        <v>20</v>
      </c>
      <c r="I566">
        <f>VLOOKUP(Table4[[#This Row],[Visitor]],'NHL Model'!$A$6:$B$38,2,FALSE)</f>
        <v>-6.3745791019188943E-4</v>
      </c>
      <c r="J566">
        <f ca="1">($B$1+Table4[[#This Row],[Home Differential]])-Table4[[#This Row],[Away Differential]]</f>
        <v>-0.45659827380313256</v>
      </c>
      <c r="K566" t="str">
        <f ca="1">IF(Table4[[#This Row],[HomeIce Differential]]&gt;0,Table4[[#This Row],[Home]],Table4[[#This Row],[Visitor]])</f>
        <v>Vegas Golden Knights</v>
      </c>
      <c r="L566" s="11">
        <f ca="1"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0.50771009128808686</v>
      </c>
      <c r="M566" t="str">
        <f ca="1">IF(OR((NHL2025_26Results[[#This Row],[Winning Team]]="")),"-",IF(Table4[[#This Row],[Predicted Winner]]=NHL2025_26Results[[#This Row],[Winning Team]],"YES","NO"))</f>
        <v>-</v>
      </c>
      <c r="N566" t="str">
        <f ca="1">IF(Table4[[#This Row],[Adjusted Correct]]="-", "",IF(Table4[[#This Row],[Adjusted Correct]]="YES",(Table4[[#This Row],[Strength of Win]]-1)^2,(Table4[[#This Row],[Strength of Win]]-0)^2))</f>
        <v/>
      </c>
      <c r="P566" s="11"/>
    </row>
    <row r="567" spans="4:16" x14ac:dyDescent="0.2">
      <c r="D567" s="1">
        <v>46012</v>
      </c>
      <c r="E567" s="2">
        <v>0.75</v>
      </c>
      <c r="F567" t="s">
        <v>34</v>
      </c>
      <c r="G567">
        <f>VLOOKUP(Table4[[#This Row],[Home]],'NHL Model'!$A$6:$B$38,2,FALSE)</f>
        <v>-0.53650300840565446</v>
      </c>
      <c r="H567" t="s">
        <v>12</v>
      </c>
      <c r="I567">
        <f>VLOOKUP(Table4[[#This Row],[Visitor]],'NHL Model'!$A$6:$B$38,2,FALSE)</f>
        <v>1.5475013591489768</v>
      </c>
      <c r="J567">
        <f ca="1">($B$1+Table4[[#This Row],[Home Differential]])-Table4[[#This Row],[Away Differential]]</f>
        <v>-1.921432057892313</v>
      </c>
      <c r="K567" t="str">
        <f ca="1">IF(Table4[[#This Row],[HomeIce Differential]]&gt;0,Table4[[#This Row],[Home]],Table4[[#This Row],[Visitor]])</f>
        <v>Colorado Avalanche</v>
      </c>
      <c r="L567" s="11">
        <f ca="1"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0.79254684855359736</v>
      </c>
      <c r="M567" t="str">
        <f ca="1">IF(OR((NHL2025_26Results[[#This Row],[Winning Team]]="")),"-",IF(Table4[[#This Row],[Predicted Winner]]=NHL2025_26Results[[#This Row],[Winning Team]],"YES","NO"))</f>
        <v>-</v>
      </c>
      <c r="N567" t="str">
        <f ca="1">IF(Table4[[#This Row],[Adjusted Correct]]="-", "",IF(Table4[[#This Row],[Adjusted Correct]]="YES",(Table4[[#This Row],[Strength of Win]]-1)^2,(Table4[[#This Row],[Strength of Win]]-0)^2))</f>
        <v/>
      </c>
      <c r="P567" s="11"/>
    </row>
    <row r="568" spans="4:16" x14ac:dyDescent="0.2">
      <c r="D568" s="1">
        <v>46012</v>
      </c>
      <c r="E568" s="2">
        <v>0.79166666666666663</v>
      </c>
      <c r="F568" t="s">
        <v>24</v>
      </c>
      <c r="G568">
        <f>VLOOKUP(Table4[[#This Row],[Home]],'NHL Model'!$A$6:$B$38,2,FALSE)</f>
        <v>0.559441163373953</v>
      </c>
      <c r="H568" t="s">
        <v>23</v>
      </c>
      <c r="I568">
        <f>VLOOKUP(Table4[[#This Row],[Visitor]],'NHL Model'!$A$6:$B$38,2,FALSE)</f>
        <v>-0.8683412362501769</v>
      </c>
      <c r="J568">
        <f ca="1">($B$1+Table4[[#This Row],[Home Differential]])-Table4[[#This Row],[Away Differential]]</f>
        <v>1.5903547092864483</v>
      </c>
      <c r="K568" t="str">
        <f ca="1">IF(Table4[[#This Row],[HomeIce Differential]]&gt;0,Table4[[#This Row],[Home]],Table4[[#This Row],[Visitor]])</f>
        <v>New Jersey Devils</v>
      </c>
      <c r="L568" s="11">
        <f ca="1"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0.87578813555734403</v>
      </c>
      <c r="M568" t="str">
        <f ca="1">IF(OR((NHL2025_26Results[[#This Row],[Winning Team]]="")),"-",IF(Table4[[#This Row],[Predicted Winner]]=NHL2025_26Results[[#This Row],[Winning Team]],"YES","NO"))</f>
        <v>-</v>
      </c>
      <c r="N568" t="str">
        <f ca="1">IF(Table4[[#This Row],[Adjusted Correct]]="-", "",IF(Table4[[#This Row],[Adjusted Correct]]="YES",(Table4[[#This Row],[Strength of Win]]-1)^2,(Table4[[#This Row],[Strength of Win]]-0)^2))</f>
        <v/>
      </c>
      <c r="P568" s="11"/>
    </row>
    <row r="569" spans="4:16" x14ac:dyDescent="0.2">
      <c r="D569" s="1">
        <v>46012</v>
      </c>
      <c r="E569" s="2">
        <v>0.79166666666666663</v>
      </c>
      <c r="F569" t="s">
        <v>29</v>
      </c>
      <c r="G569">
        <f>VLOOKUP(Table4[[#This Row],[Home]],'NHL Model'!$A$6:$B$38,2,FALSE)</f>
        <v>-1.3516250707060606</v>
      </c>
      <c r="H569" t="s">
        <v>15</v>
      </c>
      <c r="I569">
        <f>VLOOKUP(Table4[[#This Row],[Visitor]],'NHL Model'!$A$6:$B$38,2,FALSE)</f>
        <v>-0.30719665303039001</v>
      </c>
      <c r="J569">
        <f ca="1">($B$1+Table4[[#This Row],[Home Differential]])-Table4[[#This Row],[Away Differential]]</f>
        <v>-0.88185610801335224</v>
      </c>
      <c r="K569" t="str">
        <f ca="1">IF(Table4[[#This Row],[HomeIce Differential]]&gt;0,Table4[[#This Row],[Home]],Table4[[#This Row],[Visitor]])</f>
        <v>New York Rangers</v>
      </c>
      <c r="L569" s="11">
        <f ca="1"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0.72459844279953622</v>
      </c>
      <c r="M569" t="str">
        <f ca="1">IF(OR((NHL2025_26Results[[#This Row],[Winning Team]]="")),"-",IF(Table4[[#This Row],[Predicted Winner]]=NHL2025_26Results[[#This Row],[Winning Team]],"YES","NO"))</f>
        <v>-</v>
      </c>
      <c r="N569" t="str">
        <f ca="1">IF(Table4[[#This Row],[Adjusted Correct]]="-", "",IF(Table4[[#This Row],[Adjusted Correct]]="YES",(Table4[[#This Row],[Strength of Win]]-1)^2,(Table4[[#This Row],[Strength of Win]]-0)^2))</f>
        <v/>
      </c>
      <c r="P569" s="11"/>
    </row>
    <row r="570" spans="4:16" x14ac:dyDescent="0.2">
      <c r="D570" s="1">
        <v>46012</v>
      </c>
      <c r="E570" s="2">
        <v>0.79166666666666663</v>
      </c>
      <c r="F570" t="s">
        <v>14</v>
      </c>
      <c r="G570">
        <f>VLOOKUP(Table4[[#This Row],[Home]],'NHL Model'!$A$6:$B$38,2,FALSE)</f>
        <v>0.26289091192875702</v>
      </c>
      <c r="H570" t="s">
        <v>18</v>
      </c>
      <c r="I570">
        <f>VLOOKUP(Table4[[#This Row],[Visitor]],'NHL Model'!$A$6:$B$38,2,FALSE)</f>
        <v>-0.52437726201848234</v>
      </c>
      <c r="J570">
        <f ca="1">($B$1+Table4[[#This Row],[Home Differential]])-Table4[[#This Row],[Away Differential]]</f>
        <v>0.94984048360955775</v>
      </c>
      <c r="K570" t="str">
        <f ca="1">IF(Table4[[#This Row],[HomeIce Differential]]&gt;0,Table4[[#This Row],[Home]],Table4[[#This Row],[Visitor]])</f>
        <v>Pittsburgh Penguins</v>
      </c>
      <c r="L570" s="11">
        <f ca="1"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0.63160862850687483</v>
      </c>
      <c r="M570" t="str">
        <f ca="1">IF(OR((NHL2025_26Results[[#This Row],[Winning Team]]="")),"-",IF(Table4[[#This Row],[Predicted Winner]]=NHL2025_26Results[[#This Row],[Winning Team]],"YES","NO"))</f>
        <v>-</v>
      </c>
      <c r="N570" t="str">
        <f ca="1">IF(Table4[[#This Row],[Adjusted Correct]]="-", "",IF(Table4[[#This Row],[Adjusted Correct]]="YES",(Table4[[#This Row],[Strength of Win]]-1)^2,(Table4[[#This Row],[Strength of Win]]-0)^2))</f>
        <v/>
      </c>
      <c r="P570" s="11"/>
    </row>
    <row r="571" spans="4:16" x14ac:dyDescent="0.2">
      <c r="D571" s="1">
        <v>46012</v>
      </c>
      <c r="E571" s="2">
        <v>0.79166666666666663</v>
      </c>
      <c r="F571" t="s">
        <v>55</v>
      </c>
      <c r="G571">
        <f>VLOOKUP(Table4[[#This Row],[Home]],'NHL Model'!$A$6:$B$38,2,FALSE)</f>
        <v>-0.12212311954851815</v>
      </c>
      <c r="H571" t="s">
        <v>40</v>
      </c>
      <c r="I571">
        <f>VLOOKUP(Table4[[#This Row],[Visitor]],'NHL Model'!$A$6:$B$38,2,FALSE)</f>
        <v>0.105105258369765</v>
      </c>
      <c r="J571">
        <f ca="1">($B$1+Table4[[#This Row],[Home Differential]])-Table4[[#This Row],[Away Differential]]</f>
        <v>-6.465606825596476E-2</v>
      </c>
      <c r="K571" t="str">
        <f ca="1">IF(Table4[[#This Row],[HomeIce Differential]]&gt;0,Table4[[#This Row],[Home]],Table4[[#This Row],[Visitor]])</f>
        <v>Winnipeg Jets</v>
      </c>
      <c r="L571" s="11">
        <f ca="1"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0.46548039757324783</v>
      </c>
      <c r="M571" t="str">
        <f ca="1">IF(OR((NHL2025_26Results[[#This Row],[Winning Team]]="")),"-",IF(Table4[[#This Row],[Predicted Winner]]=NHL2025_26Results[[#This Row],[Winning Team]],"YES","NO"))</f>
        <v>-</v>
      </c>
      <c r="N571" t="str">
        <f ca="1">IF(Table4[[#This Row],[Adjusted Correct]]="-", "",IF(Table4[[#This Row],[Adjusted Correct]]="YES",(Table4[[#This Row],[Strength of Win]]-1)^2,(Table4[[#This Row],[Strength of Win]]-0)^2))</f>
        <v/>
      </c>
      <c r="P571" s="11"/>
    </row>
    <row r="572" spans="4:16" x14ac:dyDescent="0.2">
      <c r="D572" s="1">
        <v>46013</v>
      </c>
      <c r="E572" s="2">
        <v>0.91666666666666663</v>
      </c>
      <c r="F572" t="s">
        <v>31</v>
      </c>
      <c r="G572">
        <f>VLOOKUP(Table4[[#This Row],[Home]],'NHL Model'!$A$6:$B$38,2,FALSE)</f>
        <v>0.51775546328552802</v>
      </c>
      <c r="H572" t="s">
        <v>32</v>
      </c>
      <c r="I572">
        <f>VLOOKUP(Table4[[#This Row],[Visitor]],'NHL Model'!$A$6:$B$38,2,FALSE)</f>
        <v>-0.361361309178443</v>
      </c>
      <c r="J572">
        <f ca="1">($B$1+Table4[[#This Row],[Home Differential]])-Table4[[#This Row],[Away Differential]]</f>
        <v>1.0416890821262894</v>
      </c>
      <c r="K572" t="str">
        <f ca="1">IF(Table4[[#This Row],[HomeIce Differential]]&gt;0,Table4[[#This Row],[Home]],Table4[[#This Row],[Visitor]])</f>
        <v>Anaheim Ducks</v>
      </c>
      <c r="L572" s="11">
        <f ca="1"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0.78866494452304403</v>
      </c>
      <c r="M572" t="str">
        <f ca="1">IF(OR((NHL2025_26Results[[#This Row],[Winning Team]]="")),"-",IF(Table4[[#This Row],[Predicted Winner]]=NHL2025_26Results[[#This Row],[Winning Team]],"YES","NO"))</f>
        <v>-</v>
      </c>
      <c r="N572" t="str">
        <f ca="1">IF(Table4[[#This Row],[Adjusted Correct]]="-", "",IF(Table4[[#This Row],[Adjusted Correct]]="YES",(Table4[[#This Row],[Strength of Win]]-1)^2,(Table4[[#This Row],[Strength of Win]]-0)^2))</f>
        <v/>
      </c>
      <c r="P572" s="11"/>
    </row>
    <row r="573" spans="4:16" x14ac:dyDescent="0.2">
      <c r="D573" s="1">
        <v>46013</v>
      </c>
      <c r="E573" s="2">
        <v>0.91666666666666663</v>
      </c>
      <c r="F573" t="s">
        <v>13</v>
      </c>
      <c r="G573">
        <f>VLOOKUP(Table4[[#This Row],[Home]],'NHL Model'!$A$6:$B$38,2,FALSE)</f>
        <v>-7.5459708298993802E-2</v>
      </c>
      <c r="H573" t="s">
        <v>28</v>
      </c>
      <c r="I573">
        <f>VLOOKUP(Table4[[#This Row],[Visitor]],'NHL Model'!$A$6:$B$38,2,FALSE)</f>
        <v>-0.40822279081308277</v>
      </c>
      <c r="J573">
        <f ca="1">($B$1+Table4[[#This Row],[Home Differential]])-Table4[[#This Row],[Away Differential]]</f>
        <v>0.49533539217640737</v>
      </c>
      <c r="K573" t="str">
        <f ca="1">IF(Table4[[#This Row],[HomeIce Differential]]&gt;0,Table4[[#This Row],[Home]],Table4[[#This Row],[Visitor]])</f>
        <v>Los Angeles Kings</v>
      </c>
      <c r="L573" s="11">
        <f ca="1"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0.58786377944688173</v>
      </c>
      <c r="M573" t="str">
        <f ca="1">IF(OR((NHL2025_26Results[[#This Row],[Winning Team]]="")),"-",IF(Table4[[#This Row],[Predicted Winner]]=NHL2025_26Results[[#This Row],[Winning Team]],"YES","NO"))</f>
        <v>-</v>
      </c>
      <c r="N573" t="str">
        <f ca="1">IF(Table4[[#This Row],[Adjusted Correct]]="-", "",IF(Table4[[#This Row],[Adjusted Correct]]="YES",(Table4[[#This Row],[Strength of Win]]-1)^2,(Table4[[#This Row],[Strength of Win]]-0)^2))</f>
        <v/>
      </c>
      <c r="P573" s="11"/>
    </row>
    <row r="574" spans="4:16" x14ac:dyDescent="0.2">
      <c r="D574" s="1">
        <v>46013</v>
      </c>
      <c r="E574" s="2">
        <v>0.8125</v>
      </c>
      <c r="F574" t="s">
        <v>27</v>
      </c>
      <c r="G574">
        <f>VLOOKUP(Table4[[#This Row],[Home]],'NHL Model'!$A$6:$B$38,2,FALSE)</f>
        <v>-0.51358590497437617</v>
      </c>
      <c r="H574" t="s">
        <v>38</v>
      </c>
      <c r="I574">
        <f>VLOOKUP(Table4[[#This Row],[Visitor]],'NHL Model'!$A$6:$B$38,2,FALSE)</f>
        <v>-0.6902088310934803</v>
      </c>
      <c r="J574">
        <f ca="1">($B$1+Table4[[#This Row],[Home Differential]])-Table4[[#This Row],[Away Differential]]</f>
        <v>0.33919523578142252</v>
      </c>
      <c r="K574" t="str">
        <f ca="1">IF(Table4[[#This Row],[HomeIce Differential]]&gt;0,Table4[[#This Row],[Home]],Table4[[#This Row],[Visitor]])</f>
        <v>Philadelphia Flyers</v>
      </c>
      <c r="L574" s="11">
        <f ca="1"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0.54699843873532894</v>
      </c>
      <c r="M574" t="str">
        <f ca="1">IF(OR((NHL2025_26Results[[#This Row],[Winning Team]]="")),"-",IF(Table4[[#This Row],[Predicted Winner]]=NHL2025_26Results[[#This Row],[Winning Team]],"YES","NO"))</f>
        <v>-</v>
      </c>
      <c r="N574" t="str">
        <f ca="1">IF(Table4[[#This Row],[Adjusted Correct]]="-", "",IF(Table4[[#This Row],[Adjusted Correct]]="YES",(Table4[[#This Row],[Strength of Win]]-1)^2,(Table4[[#This Row],[Strength of Win]]-0)^2))</f>
        <v/>
      </c>
      <c r="P574" s="11"/>
    </row>
    <row r="575" spans="4:16" x14ac:dyDescent="0.2">
      <c r="D575" s="1">
        <v>46013</v>
      </c>
      <c r="E575" s="2">
        <v>0.79166666666666663</v>
      </c>
      <c r="F575" t="s">
        <v>37</v>
      </c>
      <c r="G575">
        <f>VLOOKUP(Table4[[#This Row],[Home]],'NHL Model'!$A$6:$B$38,2,FALSE)</f>
        <v>-0.11309445867623392</v>
      </c>
      <c r="H575" t="s">
        <v>35</v>
      </c>
      <c r="I575">
        <f>VLOOKUP(Table4[[#This Row],[Visitor]],'NHL Model'!$A$6:$B$38,2,FALSE)</f>
        <v>-1.6211574240381006</v>
      </c>
      <c r="J575">
        <f ca="1">($B$1+Table4[[#This Row],[Home Differential]])-Table4[[#This Row],[Away Differential]]</f>
        <v>1.6706352750241851</v>
      </c>
      <c r="K575" t="str">
        <f ca="1">IF(Table4[[#This Row],[HomeIce Differential]]&gt;0,Table4[[#This Row],[Home]],Table4[[#This Row],[Visitor]])</f>
        <v>Tampa Bay Lightning</v>
      </c>
      <c r="L575" s="11">
        <f ca="1"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0.77148099188781116</v>
      </c>
      <c r="M575" t="str">
        <f ca="1">IF(OR((NHL2025_26Results[[#This Row],[Winning Team]]="")),"-",IF(Table4[[#This Row],[Predicted Winner]]=NHL2025_26Results[[#This Row],[Winning Team]],"YES","NO"))</f>
        <v>-</v>
      </c>
      <c r="N575" t="str">
        <f ca="1">IF(Table4[[#This Row],[Adjusted Correct]]="-", "",IF(Table4[[#This Row],[Adjusted Correct]]="YES",(Table4[[#This Row],[Strength of Win]]-1)^2,(Table4[[#This Row],[Strength of Win]]-0)^2))</f>
        <v/>
      </c>
      <c r="P575" s="11"/>
    </row>
    <row r="576" spans="4:16" x14ac:dyDescent="0.2">
      <c r="D576" s="1">
        <v>46014</v>
      </c>
      <c r="E576" s="2">
        <v>0.79166666666666663</v>
      </c>
      <c r="F576" t="s">
        <v>21</v>
      </c>
      <c r="G576">
        <f>VLOOKUP(Table4[[#This Row],[Home]],'NHL Model'!$A$6:$B$38,2,FALSE)</f>
        <v>4.029141914856392E-2</v>
      </c>
      <c r="H576" t="s">
        <v>18</v>
      </c>
      <c r="I576">
        <f>VLOOKUP(Table4[[#This Row],[Visitor]],'NHL Model'!$A$6:$B$38,2,FALSE)</f>
        <v>-0.52437726201848234</v>
      </c>
      <c r="J576">
        <f ca="1">($B$1+Table4[[#This Row],[Home Differential]])-Table4[[#This Row],[Away Differential]]</f>
        <v>0.72724099082936466</v>
      </c>
      <c r="K576" t="str">
        <f ca="1">IF(Table4[[#This Row],[HomeIce Differential]]&gt;0,Table4[[#This Row],[Home]],Table4[[#This Row],[Visitor]])</f>
        <v>Boston Bruins</v>
      </c>
      <c r="L576" s="11">
        <f ca="1"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0.63858066621071563</v>
      </c>
      <c r="M576" t="str">
        <f ca="1">IF(OR((NHL2025_26Results[[#This Row],[Winning Team]]="")),"-",IF(Table4[[#This Row],[Predicted Winner]]=NHL2025_26Results[[#This Row],[Winning Team]],"YES","NO"))</f>
        <v>-</v>
      </c>
      <c r="N576" t="str">
        <f ca="1">IF(Table4[[#This Row],[Adjusted Correct]]="-", "",IF(Table4[[#This Row],[Adjusted Correct]]="YES",(Table4[[#This Row],[Strength of Win]]-1)^2,(Table4[[#This Row],[Strength of Win]]-0)^2))</f>
        <v/>
      </c>
      <c r="P576" s="11"/>
    </row>
    <row r="577" spans="4:16" x14ac:dyDescent="0.2">
      <c r="D577" s="1">
        <v>46014</v>
      </c>
      <c r="E577" s="2">
        <v>0.79166666666666663</v>
      </c>
      <c r="F577" t="s">
        <v>25</v>
      </c>
      <c r="G577">
        <f>VLOOKUP(Table4[[#This Row],[Home]],'NHL Model'!$A$6:$B$38,2,FALSE)</f>
        <v>0.67193921242367816</v>
      </c>
      <c r="H577" t="s">
        <v>11</v>
      </c>
      <c r="I577">
        <f>VLOOKUP(Table4[[#This Row],[Visitor]],'NHL Model'!$A$6:$B$38,2,FALSE)</f>
        <v>-0.28105923893144158</v>
      </c>
      <c r="J577">
        <f ca="1">($B$1+Table4[[#This Row],[Home Differential]])-Table4[[#This Row],[Away Differential]]</f>
        <v>1.1155707610174381</v>
      </c>
      <c r="K577" t="str">
        <f ca="1">IF(Table4[[#This Row],[HomeIce Differential]]&gt;0,Table4[[#This Row],[Home]],Table4[[#This Row],[Visitor]])</f>
        <v>Carolina Hurricanes</v>
      </c>
      <c r="L577" s="11">
        <f ca="1"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0.74628797067502073</v>
      </c>
      <c r="M577" t="str">
        <f ca="1">IF(OR((NHL2025_26Results[[#This Row],[Winning Team]]="")),"-",IF(Table4[[#This Row],[Predicted Winner]]=NHL2025_26Results[[#This Row],[Winning Team]],"YES","NO"))</f>
        <v>-</v>
      </c>
      <c r="N577" t="str">
        <f ca="1">IF(Table4[[#This Row],[Adjusted Correct]]="-", "",IF(Table4[[#This Row],[Adjusted Correct]]="YES",(Table4[[#This Row],[Strength of Win]]-1)^2,(Table4[[#This Row],[Strength of Win]]-0)^2))</f>
        <v/>
      </c>
      <c r="P577" s="11"/>
    </row>
    <row r="578" spans="4:16" x14ac:dyDescent="0.2">
      <c r="D578" s="1">
        <v>46014</v>
      </c>
      <c r="E578" s="2">
        <v>0.875</v>
      </c>
      <c r="F578" t="s">
        <v>10</v>
      </c>
      <c r="G578">
        <f>VLOOKUP(Table4[[#This Row],[Home]],'NHL Model'!$A$6:$B$38,2,FALSE)</f>
        <v>0.30570968833820172</v>
      </c>
      <c r="H578" t="s">
        <v>27</v>
      </c>
      <c r="I578">
        <f>VLOOKUP(Table4[[#This Row],[Visitor]],'NHL Model'!$A$6:$B$38,2,FALSE)</f>
        <v>-0.51358590497437617</v>
      </c>
      <c r="J578">
        <f ca="1">($B$1+Table4[[#This Row],[Home Differential]])-Table4[[#This Row],[Away Differential]]</f>
        <v>0.98186790297489623</v>
      </c>
      <c r="K578" t="str">
        <f ca="1">IF(Table4[[#This Row],[HomeIce Differential]]&gt;0,Table4[[#This Row],[Home]],Table4[[#This Row],[Visitor]])</f>
        <v>Chicago Blackhawks</v>
      </c>
      <c r="L578" s="11">
        <f ca="1"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0.67604630494836393</v>
      </c>
      <c r="M578" t="str">
        <f ca="1">IF(OR((NHL2025_26Results[[#This Row],[Winning Team]]="")),"-",IF(Table4[[#This Row],[Predicted Winner]]=NHL2025_26Results[[#This Row],[Winning Team]],"YES","NO"))</f>
        <v>-</v>
      </c>
      <c r="N578" t="str">
        <f ca="1">IF(Table4[[#This Row],[Adjusted Correct]]="-", "",IF(Table4[[#This Row],[Adjusted Correct]]="YES",(Table4[[#This Row],[Strength of Win]]-1)^2,(Table4[[#This Row],[Strength of Win]]-0)^2))</f>
        <v/>
      </c>
      <c r="P578" s="11"/>
    </row>
    <row r="579" spans="4:16" x14ac:dyDescent="0.2">
      <c r="D579" s="1">
        <v>46014</v>
      </c>
      <c r="E579" s="2">
        <v>0.875</v>
      </c>
      <c r="F579" t="s">
        <v>12</v>
      </c>
      <c r="G579">
        <f>VLOOKUP(Table4[[#This Row],[Home]],'NHL Model'!$A$6:$B$38,2,FALSE)</f>
        <v>1.5475013591489768</v>
      </c>
      <c r="H579" t="s">
        <v>55</v>
      </c>
      <c r="I579">
        <f>VLOOKUP(Table4[[#This Row],[Visitor]],'NHL Model'!$A$6:$B$38,2,FALSE)</f>
        <v>-0.12212311954851815</v>
      </c>
      <c r="J579">
        <f ca="1">($B$1+Table4[[#This Row],[Home Differential]])-Table4[[#This Row],[Away Differential]]</f>
        <v>1.8321967883598134</v>
      </c>
      <c r="K579" t="str">
        <f ca="1">IF(Table4[[#This Row],[HomeIce Differential]]&gt;0,Table4[[#This Row],[Home]],Table4[[#This Row],[Visitor]])</f>
        <v>Colorado Avalanche</v>
      </c>
      <c r="L579" s="11">
        <f ca="1"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0.88223298709967612</v>
      </c>
      <c r="M579" t="str">
        <f ca="1">IF(OR((NHL2025_26Results[[#This Row],[Winning Team]]="")),"-",IF(Table4[[#This Row],[Predicted Winner]]=NHL2025_26Results[[#This Row],[Winning Team]],"YES","NO"))</f>
        <v>-</v>
      </c>
      <c r="N579" t="str">
        <f ca="1">IF(Table4[[#This Row],[Adjusted Correct]]="-", "",IF(Table4[[#This Row],[Adjusted Correct]]="YES",(Table4[[#This Row],[Strength of Win]]-1)^2,(Table4[[#This Row],[Strength of Win]]-0)^2))</f>
        <v/>
      </c>
      <c r="P579" s="11"/>
    </row>
    <row r="580" spans="4:16" x14ac:dyDescent="0.2">
      <c r="D580" s="1">
        <v>46014</v>
      </c>
      <c r="E580" s="2">
        <v>0.77083333333333337</v>
      </c>
      <c r="F580" t="s">
        <v>26</v>
      </c>
      <c r="G580">
        <f>VLOOKUP(Table4[[#This Row],[Home]],'NHL Model'!$A$6:$B$38,2,FALSE)</f>
        <v>-0.513643833119658</v>
      </c>
      <c r="H580" t="s">
        <v>39</v>
      </c>
      <c r="I580">
        <f>VLOOKUP(Table4[[#This Row],[Visitor]],'NHL Model'!$A$6:$B$38,2,FALSE)</f>
        <v>0.19809534061227302</v>
      </c>
      <c r="J580">
        <f ca="1">($B$1+Table4[[#This Row],[Home Differential]])-Table4[[#This Row],[Away Differential]]</f>
        <v>-0.54916686406961257</v>
      </c>
      <c r="K580" t="str">
        <f ca="1">IF(Table4[[#This Row],[HomeIce Differential]]&gt;0,Table4[[#This Row],[Home]],Table4[[#This Row],[Visitor]])</f>
        <v>Dallas Stars</v>
      </c>
      <c r="L580" s="11">
        <f ca="1"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0.60240761652127983</v>
      </c>
      <c r="M580" t="str">
        <f ca="1">IF(OR((NHL2025_26Results[[#This Row],[Winning Team]]="")),"-",IF(Table4[[#This Row],[Predicted Winner]]=NHL2025_26Results[[#This Row],[Winning Team]],"YES","NO"))</f>
        <v>-</v>
      </c>
      <c r="N580" t="str">
        <f ca="1">IF(Table4[[#This Row],[Adjusted Correct]]="-", "",IF(Table4[[#This Row],[Adjusted Correct]]="YES",(Table4[[#This Row],[Strength of Win]]-1)^2,(Table4[[#This Row],[Strength of Win]]-0)^2))</f>
        <v/>
      </c>
      <c r="P580" s="11"/>
    </row>
    <row r="581" spans="4:16" x14ac:dyDescent="0.2">
      <c r="D581" s="1">
        <v>46014</v>
      </c>
      <c r="E581" s="2">
        <v>0.875</v>
      </c>
      <c r="F581" t="s">
        <v>17</v>
      </c>
      <c r="G581">
        <f>VLOOKUP(Table4[[#This Row],[Home]],'NHL Model'!$A$6:$B$38,2,FALSE)</f>
        <v>-0.61980804137564283</v>
      </c>
      <c r="H581" t="s">
        <v>16</v>
      </c>
      <c r="I581">
        <f>VLOOKUP(Table4[[#This Row],[Visitor]],'NHL Model'!$A$6:$B$38,2,FALSE)</f>
        <v>-1.3903684122795328</v>
      </c>
      <c r="J581">
        <f ca="1">($B$1+Table4[[#This Row],[Home Differential]])-Table4[[#This Row],[Away Differential]]</f>
        <v>0.93313268056620835</v>
      </c>
      <c r="K581" t="str">
        <f ca="1">IF(Table4[[#This Row],[HomeIce Differential]]&gt;0,Table4[[#This Row],[Home]],Table4[[#This Row],[Visitor]])</f>
        <v>Edmonton Oilers</v>
      </c>
      <c r="L581" s="11">
        <f ca="1"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0.70533048399676823</v>
      </c>
      <c r="M581" t="str">
        <f ca="1">IF(OR((NHL2025_26Results[[#This Row],[Winning Team]]="")),"-",IF(Table4[[#This Row],[Predicted Winner]]=NHL2025_26Results[[#This Row],[Winning Team]],"YES","NO"))</f>
        <v>-</v>
      </c>
      <c r="N581" t="str">
        <f ca="1">IF(Table4[[#This Row],[Adjusted Correct]]="-", "",IF(Table4[[#This Row],[Adjusted Correct]]="YES",(Table4[[#This Row],[Strength of Win]]-1)^2,(Table4[[#This Row],[Strength of Win]]-0)^2))</f>
        <v/>
      </c>
      <c r="P581" s="11"/>
    </row>
    <row r="582" spans="4:16" x14ac:dyDescent="0.2">
      <c r="D582" s="1">
        <v>46014</v>
      </c>
      <c r="E582" s="2">
        <v>0.91666666666666663</v>
      </c>
      <c r="F582" t="s">
        <v>13</v>
      </c>
      <c r="G582">
        <f>VLOOKUP(Table4[[#This Row],[Home]],'NHL Model'!$A$6:$B$38,2,FALSE)</f>
        <v>-7.5459708298993802E-2</v>
      </c>
      <c r="H582" t="s">
        <v>32</v>
      </c>
      <c r="I582">
        <f>VLOOKUP(Table4[[#This Row],[Visitor]],'NHL Model'!$A$6:$B$38,2,FALSE)</f>
        <v>-0.361361309178443</v>
      </c>
      <c r="J582">
        <f ca="1">($B$1+Table4[[#This Row],[Home Differential]])-Table4[[#This Row],[Away Differential]]</f>
        <v>0.44847391054176761</v>
      </c>
      <c r="K582" t="str">
        <f ca="1">IF(Table4[[#This Row],[HomeIce Differential]]&gt;0,Table4[[#This Row],[Home]],Table4[[#This Row],[Visitor]])</f>
        <v>Los Angeles Kings</v>
      </c>
      <c r="L582" s="11">
        <f ca="1"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0.60213994592357156</v>
      </c>
      <c r="M582" t="str">
        <f ca="1">IF(OR((NHL2025_26Results[[#This Row],[Winning Team]]="")),"-",IF(Table4[[#This Row],[Predicted Winner]]=NHL2025_26Results[[#This Row],[Winning Team]],"YES","NO"))</f>
        <v>-</v>
      </c>
      <c r="N582" t="str">
        <f ca="1">IF(Table4[[#This Row],[Adjusted Correct]]="-", "",IF(Table4[[#This Row],[Adjusted Correct]]="YES",(Table4[[#This Row],[Strength of Win]]-1)^2,(Table4[[#This Row],[Strength of Win]]-0)^2))</f>
        <v/>
      </c>
      <c r="P582" s="11"/>
    </row>
    <row r="583" spans="4:16" x14ac:dyDescent="0.2">
      <c r="D583" s="1">
        <v>46014</v>
      </c>
      <c r="E583" s="2">
        <v>0.83333333333333337</v>
      </c>
      <c r="F583" t="s">
        <v>34</v>
      </c>
      <c r="G583">
        <f>VLOOKUP(Table4[[#This Row],[Home]],'NHL Model'!$A$6:$B$38,2,FALSE)</f>
        <v>-0.53650300840565446</v>
      </c>
      <c r="H583" t="s">
        <v>29</v>
      </c>
      <c r="I583">
        <f>VLOOKUP(Table4[[#This Row],[Visitor]],'NHL Model'!$A$6:$B$38,2,FALSE)</f>
        <v>-1.3516250707060606</v>
      </c>
      <c r="J583">
        <f ca="1">($B$1+Table4[[#This Row],[Home Differential]])-Table4[[#This Row],[Away Differential]]</f>
        <v>0.97769437196272457</v>
      </c>
      <c r="K583" t="str">
        <f ca="1">IF(Table4[[#This Row],[HomeIce Differential]]&gt;0,Table4[[#This Row],[Home]],Table4[[#This Row],[Visitor]])</f>
        <v>Minnesota Wild</v>
      </c>
      <c r="L583" s="11">
        <f ca="1"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0.67546802606678213</v>
      </c>
      <c r="M583" t="str">
        <f ca="1">IF(OR((NHL2025_26Results[[#This Row],[Winning Team]]="")),"-",IF(Table4[[#This Row],[Predicted Winner]]=NHL2025_26Results[[#This Row],[Winning Team]],"YES","NO"))</f>
        <v>-</v>
      </c>
      <c r="N583" t="str">
        <f ca="1">IF(Table4[[#This Row],[Adjusted Correct]]="-", "",IF(Table4[[#This Row],[Adjusted Correct]]="YES",(Table4[[#This Row],[Strength of Win]]-1)^2,(Table4[[#This Row],[Strength of Win]]-0)^2))</f>
        <v/>
      </c>
      <c r="P583" s="11"/>
    </row>
    <row r="584" spans="4:16" x14ac:dyDescent="0.2">
      <c r="D584" s="1">
        <v>46014</v>
      </c>
      <c r="E584" s="2">
        <v>0.79166666666666663</v>
      </c>
      <c r="F584" t="s">
        <v>30</v>
      </c>
      <c r="G584">
        <f>VLOOKUP(Table4[[#This Row],[Home]],'NHL Model'!$A$6:$B$38,2,FALSE)</f>
        <v>-6.4729560818359025E-2</v>
      </c>
      <c r="H584" t="s">
        <v>24</v>
      </c>
      <c r="I584">
        <f>VLOOKUP(Table4[[#This Row],[Visitor]],'NHL Model'!$A$6:$B$38,2,FALSE)</f>
        <v>0.559441163373953</v>
      </c>
      <c r="J584">
        <f ca="1">($B$1+Table4[[#This Row],[Home Differential]])-Table4[[#This Row],[Away Differential]]</f>
        <v>-0.46159841452999362</v>
      </c>
      <c r="K584" t="str">
        <f ca="1">IF(Table4[[#This Row],[HomeIce Differential]]&gt;0,Table4[[#This Row],[Home]],Table4[[#This Row],[Visitor]])</f>
        <v>New Jersey Devils</v>
      </c>
      <c r="L584" s="11">
        <f ca="1"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0.5902742491366989</v>
      </c>
      <c r="M584" t="str">
        <f ca="1">IF(OR((NHL2025_26Results[[#This Row],[Winning Team]]="")),"-",IF(Table4[[#This Row],[Predicted Winner]]=NHL2025_26Results[[#This Row],[Winning Team]],"YES","NO"))</f>
        <v>-</v>
      </c>
      <c r="N584" t="str">
        <f ca="1">IF(Table4[[#This Row],[Adjusted Correct]]="-", "",IF(Table4[[#This Row],[Adjusted Correct]]="YES",(Table4[[#This Row],[Strength of Win]]-1)^2,(Table4[[#This Row],[Strength of Win]]-0)^2))</f>
        <v/>
      </c>
      <c r="P584" s="11"/>
    </row>
    <row r="585" spans="4:16" x14ac:dyDescent="0.2">
      <c r="D585" s="1">
        <v>46014</v>
      </c>
      <c r="E585" s="2">
        <v>0.79166666666666663</v>
      </c>
      <c r="F585" t="s">
        <v>36</v>
      </c>
      <c r="G585">
        <f>VLOOKUP(Table4[[#This Row],[Home]],'NHL Model'!$A$6:$B$38,2,FALSE)</f>
        <v>-0.40651947573390851</v>
      </c>
      <c r="H585" t="s">
        <v>23</v>
      </c>
      <c r="I585">
        <f>VLOOKUP(Table4[[#This Row],[Visitor]],'NHL Model'!$A$6:$B$38,2,FALSE)</f>
        <v>-0.8683412362501769</v>
      </c>
      <c r="J585">
        <f ca="1">($B$1+Table4[[#This Row],[Home Differential]])-Table4[[#This Row],[Away Differential]]</f>
        <v>0.62439407017858684</v>
      </c>
      <c r="K585" t="str">
        <f ca="1">IF(Table4[[#This Row],[HomeIce Differential]]&gt;0,Table4[[#This Row],[Home]],Table4[[#This Row],[Visitor]])</f>
        <v>Ottawa Senators</v>
      </c>
      <c r="L585" s="11">
        <f ca="1"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0.62901068743356547</v>
      </c>
      <c r="M585" t="str">
        <f ca="1">IF(OR((NHL2025_26Results[[#This Row],[Winning Team]]="")),"-",IF(Table4[[#This Row],[Predicted Winner]]=NHL2025_26Results[[#This Row],[Winning Team]],"YES","NO"))</f>
        <v>-</v>
      </c>
      <c r="N585" t="str">
        <f ca="1">IF(Table4[[#This Row],[Adjusted Correct]]="-", "",IF(Table4[[#This Row],[Adjusted Correct]]="YES",(Table4[[#This Row],[Strength of Win]]-1)^2,(Table4[[#This Row],[Strength of Win]]-0)^2))</f>
        <v/>
      </c>
      <c r="P585" s="11"/>
    </row>
    <row r="586" spans="4:16" x14ac:dyDescent="0.2">
      <c r="D586" s="1">
        <v>46014</v>
      </c>
      <c r="E586" s="2">
        <v>0.66666666666666663</v>
      </c>
      <c r="F586" t="s">
        <v>19</v>
      </c>
      <c r="G586">
        <f>VLOOKUP(Table4[[#This Row],[Home]],'NHL Model'!$A$6:$B$38,2,FALSE)</f>
        <v>-0.635565543477981</v>
      </c>
      <c r="H586" t="s">
        <v>14</v>
      </c>
      <c r="I586">
        <f>VLOOKUP(Table4[[#This Row],[Visitor]],'NHL Model'!$A$6:$B$38,2,FALSE)</f>
        <v>0.26289091192875702</v>
      </c>
      <c r="J586">
        <f ca="1">($B$1+Table4[[#This Row],[Home Differential]])-Table4[[#This Row],[Away Differential]]</f>
        <v>-0.73588414574441963</v>
      </c>
      <c r="K586" t="str">
        <f ca="1">IF(Table4[[#This Row],[HomeIce Differential]]&gt;0,Table4[[#This Row],[Home]],Table4[[#This Row],[Visitor]])</f>
        <v>Pittsburgh Penguins</v>
      </c>
      <c r="L586" s="11">
        <f ca="1"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0.56196312415884242</v>
      </c>
      <c r="M586" t="str">
        <f ca="1">IF(OR((NHL2025_26Results[[#This Row],[Winning Team]]="")),"-",IF(Table4[[#This Row],[Predicted Winner]]=NHL2025_26Results[[#This Row],[Winning Team]],"YES","NO"))</f>
        <v>-</v>
      </c>
      <c r="N586" t="str">
        <f ca="1">IF(Table4[[#This Row],[Adjusted Correct]]="-", "",IF(Table4[[#This Row],[Adjusted Correct]]="YES",(Table4[[#This Row],[Strength of Win]]-1)^2,(Table4[[#This Row],[Strength of Win]]-0)^2))</f>
        <v/>
      </c>
      <c r="P586" s="11"/>
    </row>
    <row r="587" spans="4:16" x14ac:dyDescent="0.2">
      <c r="D587" s="1">
        <v>46014</v>
      </c>
      <c r="E587" s="2">
        <v>0.91666666666666663</v>
      </c>
      <c r="F587" t="s">
        <v>20</v>
      </c>
      <c r="G587">
        <f>VLOOKUP(Table4[[#This Row],[Home]],'NHL Model'!$A$6:$B$38,2,FALSE)</f>
        <v>-6.3745791019188943E-4</v>
      </c>
      <c r="H587" t="s">
        <v>33</v>
      </c>
      <c r="I587">
        <f>VLOOKUP(Table4[[#This Row],[Visitor]],'NHL Model'!$A$6:$B$38,2,FALSE)</f>
        <v>-0.39418177254008485</v>
      </c>
      <c r="J587">
        <f ca="1">($B$1+Table4[[#This Row],[Home Differential]])-Table4[[#This Row],[Away Differential]]</f>
        <v>0.55611662429221131</v>
      </c>
      <c r="K587" t="str">
        <f ca="1">IF(Table4[[#This Row],[HomeIce Differential]]&gt;0,Table4[[#This Row],[Home]],Table4[[#This Row],[Visitor]])</f>
        <v>Vegas Golden Knights</v>
      </c>
      <c r="L587" s="11">
        <f ca="1"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0.61705477653977991</v>
      </c>
      <c r="M587" t="str">
        <f ca="1">IF(OR((NHL2025_26Results[[#This Row],[Winning Team]]="")),"-",IF(Table4[[#This Row],[Predicted Winner]]=NHL2025_26Results[[#This Row],[Winning Team]],"YES","NO"))</f>
        <v>-</v>
      </c>
      <c r="N587" t="str">
        <f ca="1">IF(Table4[[#This Row],[Adjusted Correct]]="-", "",IF(Table4[[#This Row],[Adjusted Correct]]="YES",(Table4[[#This Row],[Strength of Win]]-1)^2,(Table4[[#This Row],[Strength of Win]]-0)^2))</f>
        <v/>
      </c>
      <c r="P587" s="11"/>
    </row>
    <row r="588" spans="4:16" x14ac:dyDescent="0.2">
      <c r="D588" s="1">
        <v>46014</v>
      </c>
      <c r="E588" s="2">
        <v>0.79166666666666663</v>
      </c>
      <c r="F588" t="s">
        <v>22</v>
      </c>
      <c r="G588">
        <f>VLOOKUP(Table4[[#This Row],[Home]],'NHL Model'!$A$6:$B$38,2,FALSE)</f>
        <v>-6.1308839486784707E-2</v>
      </c>
      <c r="H588" t="s">
        <v>15</v>
      </c>
      <c r="I588">
        <f>VLOOKUP(Table4[[#This Row],[Visitor]],'NHL Model'!$A$6:$B$38,2,FALSE)</f>
        <v>-0.30719665303039001</v>
      </c>
      <c r="J588">
        <f ca="1">($B$1+Table4[[#This Row],[Home Differential]])-Table4[[#This Row],[Away Differential]]</f>
        <v>0.40846012320592373</v>
      </c>
      <c r="K588" t="str">
        <f ca="1">IF(Table4[[#This Row],[HomeIce Differential]]&gt;0,Table4[[#This Row],[Home]],Table4[[#This Row],[Visitor]])</f>
        <v>Washington Capitals</v>
      </c>
      <c r="L588" s="11">
        <f ca="1"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0.45418605045094668</v>
      </c>
      <c r="M588" t="str">
        <f ca="1">IF(OR((NHL2025_26Results[[#This Row],[Winning Team]]="")),"-",IF(Table4[[#This Row],[Predicted Winner]]=NHL2025_26Results[[#This Row],[Winning Team]],"YES","NO"))</f>
        <v>-</v>
      </c>
      <c r="N588" t="str">
        <f ca="1">IF(Table4[[#This Row],[Adjusted Correct]]="-", "",IF(Table4[[#This Row],[Adjusted Correct]]="YES",(Table4[[#This Row],[Strength of Win]]-1)^2,(Table4[[#This Row],[Strength of Win]]-0)^2))</f>
        <v/>
      </c>
      <c r="P588" s="11"/>
    </row>
    <row r="589" spans="4:16" x14ac:dyDescent="0.2">
      <c r="D589" s="1">
        <v>46018</v>
      </c>
      <c r="E589" s="2">
        <v>0.79166666666666663</v>
      </c>
      <c r="F589" t="s">
        <v>23</v>
      </c>
      <c r="G589">
        <f>VLOOKUP(Table4[[#This Row],[Home]],'NHL Model'!$A$6:$B$38,2,FALSE)</f>
        <v>-0.8683412362501769</v>
      </c>
      <c r="H589" t="s">
        <v>21</v>
      </c>
      <c r="I589">
        <f>VLOOKUP(Table4[[#This Row],[Visitor]],'NHL Model'!$A$6:$B$38,2,FALSE)</f>
        <v>4.029141914856392E-2</v>
      </c>
      <c r="J589">
        <f ca="1">($B$1+Table4[[#This Row],[Home Differential]])-Table4[[#This Row],[Away Differential]]</f>
        <v>-0.74606034573642244</v>
      </c>
      <c r="K589" t="str">
        <f ca="1">IF(Table4[[#This Row],[HomeIce Differential]]&gt;0,Table4[[#This Row],[Home]],Table4[[#This Row],[Visitor]])</f>
        <v>Boston Bruins</v>
      </c>
      <c r="L589" s="11">
        <f ca="1"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0.56337312483523982</v>
      </c>
      <c r="M589" t="str">
        <f ca="1">IF(OR((NHL2025_26Results[[#This Row],[Winning Team]]="")),"-",IF(Table4[[#This Row],[Predicted Winner]]=NHL2025_26Results[[#This Row],[Winning Team]],"YES","NO"))</f>
        <v>-</v>
      </c>
      <c r="N589" t="str">
        <f ca="1">IF(Table4[[#This Row],[Adjusted Correct]]="-", "",IF(Table4[[#This Row],[Adjusted Correct]]="YES",(Table4[[#This Row],[Strength of Win]]-1)^2,(Table4[[#This Row],[Strength of Win]]-0)^2))</f>
        <v/>
      </c>
      <c r="P589" s="11"/>
    </row>
    <row r="590" spans="4:16" x14ac:dyDescent="0.2">
      <c r="D590" s="1">
        <v>46018</v>
      </c>
      <c r="E590" s="2">
        <v>0.79166666666666663</v>
      </c>
      <c r="F590" t="s">
        <v>25</v>
      </c>
      <c r="G590">
        <f>VLOOKUP(Table4[[#This Row],[Home]],'NHL Model'!$A$6:$B$38,2,FALSE)</f>
        <v>0.67193921242367816</v>
      </c>
      <c r="H590" t="s">
        <v>26</v>
      </c>
      <c r="I590">
        <f>VLOOKUP(Table4[[#This Row],[Visitor]],'NHL Model'!$A$6:$B$38,2,FALSE)</f>
        <v>-0.513643833119658</v>
      </c>
      <c r="J590">
        <f ca="1">($B$1+Table4[[#This Row],[Home Differential]])-Table4[[#This Row],[Away Differential]]</f>
        <v>1.3481553552056544</v>
      </c>
      <c r="K590" t="str">
        <f ca="1">IF(Table4[[#This Row],[HomeIce Differential]]&gt;0,Table4[[#This Row],[Home]],Table4[[#This Row],[Visitor]])</f>
        <v>Carolina Hurricanes</v>
      </c>
      <c r="L590" s="11">
        <f ca="1"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0.73225315045667638</v>
      </c>
      <c r="M590" t="str">
        <f ca="1">IF(OR((NHL2025_26Results[[#This Row],[Winning Team]]="")),"-",IF(Table4[[#This Row],[Predicted Winner]]=NHL2025_26Results[[#This Row],[Winning Team]],"YES","NO"))</f>
        <v>-</v>
      </c>
      <c r="N590" t="str">
        <f ca="1">IF(Table4[[#This Row],[Adjusted Correct]]="-", "",IF(Table4[[#This Row],[Adjusted Correct]]="YES",(Table4[[#This Row],[Strength of Win]]-1)^2,(Table4[[#This Row],[Strength of Win]]-0)^2))</f>
        <v/>
      </c>
      <c r="P590" s="11"/>
    </row>
    <row r="591" spans="4:16" x14ac:dyDescent="0.2">
      <c r="D591" s="1">
        <v>46018</v>
      </c>
      <c r="E591" s="2">
        <v>0.91666666666666663</v>
      </c>
      <c r="F591" t="s">
        <v>16</v>
      </c>
      <c r="G591">
        <f>VLOOKUP(Table4[[#This Row],[Home]],'NHL Model'!$A$6:$B$38,2,FALSE)</f>
        <v>-1.3903684122795328</v>
      </c>
      <c r="H591" t="s">
        <v>17</v>
      </c>
      <c r="I591">
        <f>VLOOKUP(Table4[[#This Row],[Visitor]],'NHL Model'!$A$6:$B$38,2,FALSE)</f>
        <v>-0.61980804137564283</v>
      </c>
      <c r="J591">
        <f ca="1">($B$1+Table4[[#This Row],[Home Differential]])-Table4[[#This Row],[Away Differential]]</f>
        <v>-0.60798806124157156</v>
      </c>
      <c r="K591" t="str">
        <f ca="1">IF(Table4[[#This Row],[HomeIce Differential]]&gt;0,Table4[[#This Row],[Home]],Table4[[#This Row],[Visitor]])</f>
        <v>Edmonton Oilers</v>
      </c>
      <c r="L591" s="11">
        <f ca="1"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0.5442420135478756</v>
      </c>
      <c r="M591" t="str">
        <f ca="1">IF(OR((NHL2025_26Results[[#This Row],[Winning Team]]="")),"-",IF(Table4[[#This Row],[Predicted Winner]]=NHL2025_26Results[[#This Row],[Winning Team]],"YES","NO"))</f>
        <v>-</v>
      </c>
      <c r="N591" t="str">
        <f ca="1">IF(Table4[[#This Row],[Adjusted Correct]]="-", "",IF(Table4[[#This Row],[Adjusted Correct]]="YES",(Table4[[#This Row],[Strength of Win]]-1)^2,(Table4[[#This Row],[Strength of Win]]-0)^2))</f>
        <v/>
      </c>
      <c r="P591" s="11"/>
    </row>
    <row r="592" spans="4:16" x14ac:dyDescent="0.2">
      <c r="D592" s="1">
        <v>46018</v>
      </c>
      <c r="E592" s="2">
        <v>0.83333333333333337</v>
      </c>
      <c r="F592" t="s">
        <v>39</v>
      </c>
      <c r="G592">
        <f>VLOOKUP(Table4[[#This Row],[Home]],'NHL Model'!$A$6:$B$38,2,FALSE)</f>
        <v>0.19809534061227302</v>
      </c>
      <c r="H592" t="s">
        <v>10</v>
      </c>
      <c r="I592">
        <f>VLOOKUP(Table4[[#This Row],[Visitor]],'NHL Model'!$A$6:$B$38,2,FALSE)</f>
        <v>0.30570968833820172</v>
      </c>
      <c r="J592">
        <f ca="1">($B$1+Table4[[#This Row],[Home Differential]])-Table4[[#This Row],[Away Differential]]</f>
        <v>5.4957961936389688E-2</v>
      </c>
      <c r="K592" t="str">
        <f ca="1">IF(Table4[[#This Row],[HomeIce Differential]]&gt;0,Table4[[#This Row],[Home]],Table4[[#This Row],[Visitor]])</f>
        <v>Dallas Stars</v>
      </c>
      <c r="L592" s="11">
        <f ca="1"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0.55306944724152218</v>
      </c>
      <c r="M592" t="str">
        <f ca="1">IF(OR((NHL2025_26Results[[#This Row],[Winning Team]]="")),"-",IF(Table4[[#This Row],[Predicted Winner]]=NHL2025_26Results[[#This Row],[Winning Team]],"YES","NO"))</f>
        <v>-</v>
      </c>
      <c r="N592" t="str">
        <f ca="1">IF(Table4[[#This Row],[Adjusted Correct]]="-", "",IF(Table4[[#This Row],[Adjusted Correct]]="YES",(Table4[[#This Row],[Strength of Win]]-1)^2,(Table4[[#This Row],[Strength of Win]]-0)^2))</f>
        <v/>
      </c>
      <c r="P592" s="11"/>
    </row>
    <row r="593" spans="4:16" x14ac:dyDescent="0.2">
      <c r="D593" s="1">
        <v>46018</v>
      </c>
      <c r="E593" s="2">
        <v>0.79166666666666663</v>
      </c>
      <c r="F593" t="s">
        <v>11</v>
      </c>
      <c r="G593">
        <f>VLOOKUP(Table4[[#This Row],[Home]],'NHL Model'!$A$6:$B$38,2,FALSE)</f>
        <v>-0.28105923893144158</v>
      </c>
      <c r="H593" t="s">
        <v>37</v>
      </c>
      <c r="I593">
        <f>VLOOKUP(Table4[[#This Row],[Visitor]],'NHL Model'!$A$6:$B$38,2,FALSE)</f>
        <v>-0.11309445867623392</v>
      </c>
      <c r="J593">
        <f ca="1">($B$1+Table4[[#This Row],[Home Differential]])-Table4[[#This Row],[Away Differential]]</f>
        <v>-5.3924705928892619E-3</v>
      </c>
      <c r="K593" t="str">
        <f ca="1">IF(Table4[[#This Row],[HomeIce Differential]]&gt;0,Table4[[#This Row],[Home]],Table4[[#This Row],[Visitor]])</f>
        <v>Tampa Bay Lightning</v>
      </c>
      <c r="L593" s="11">
        <f ca="1"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0.45529262806694609</v>
      </c>
      <c r="M593" t="str">
        <f ca="1">IF(OR((NHL2025_26Results[[#This Row],[Winning Team]]="")),"-",IF(Table4[[#This Row],[Predicted Winner]]=NHL2025_26Results[[#This Row],[Winning Team]],"YES","NO"))</f>
        <v>-</v>
      </c>
      <c r="N593" t="str">
        <f ca="1">IF(Table4[[#This Row],[Adjusted Correct]]="-", "",IF(Table4[[#This Row],[Adjusted Correct]]="YES",(Table4[[#This Row],[Strength of Win]]-1)^2,(Table4[[#This Row],[Strength of Win]]-0)^2))</f>
        <v/>
      </c>
      <c r="P593" s="11"/>
    </row>
    <row r="594" spans="4:16" x14ac:dyDescent="0.2">
      <c r="D594" s="1">
        <v>46018</v>
      </c>
      <c r="E594" s="2">
        <v>0.875</v>
      </c>
      <c r="F594" t="s">
        <v>13</v>
      </c>
      <c r="G594">
        <f>VLOOKUP(Table4[[#This Row],[Home]],'NHL Model'!$A$6:$B$38,2,FALSE)</f>
        <v>-7.5459708298993802E-2</v>
      </c>
      <c r="H594" t="s">
        <v>31</v>
      </c>
      <c r="I594">
        <f>VLOOKUP(Table4[[#This Row],[Visitor]],'NHL Model'!$A$6:$B$38,2,FALSE)</f>
        <v>0.51775546328552802</v>
      </c>
      <c r="J594">
        <f ca="1">($B$1+Table4[[#This Row],[Home Differential]])-Table4[[#This Row],[Away Differential]]</f>
        <v>-0.43064286192220341</v>
      </c>
      <c r="K594" t="str">
        <f ca="1">IF(Table4[[#This Row],[HomeIce Differential]]&gt;0,Table4[[#This Row],[Home]],Table4[[#This Row],[Visitor]])</f>
        <v>Anaheim Ducks</v>
      </c>
      <c r="L594" s="11">
        <f ca="1"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0.54043853041676404</v>
      </c>
      <c r="M594" t="str">
        <f ca="1">IF(OR((NHL2025_26Results[[#This Row],[Winning Team]]="")),"-",IF(Table4[[#This Row],[Predicted Winner]]=NHL2025_26Results[[#This Row],[Winning Team]],"YES","NO"))</f>
        <v>-</v>
      </c>
      <c r="N594" t="str">
        <f ca="1">IF(Table4[[#This Row],[Adjusted Correct]]="-", "",IF(Table4[[#This Row],[Adjusted Correct]]="YES",(Table4[[#This Row],[Strength of Win]]-1)^2,(Table4[[#This Row],[Strength of Win]]-0)^2))</f>
        <v/>
      </c>
      <c r="P594" s="11"/>
    </row>
    <row r="595" spans="4:16" x14ac:dyDescent="0.2">
      <c r="D595" s="1">
        <v>46018</v>
      </c>
      <c r="E595" s="2">
        <v>0.79166666666666663</v>
      </c>
      <c r="F595" t="s">
        <v>24</v>
      </c>
      <c r="G595">
        <f>VLOOKUP(Table4[[#This Row],[Home]],'NHL Model'!$A$6:$B$38,2,FALSE)</f>
        <v>0.559441163373953</v>
      </c>
      <c r="H595" t="s">
        <v>22</v>
      </c>
      <c r="I595">
        <f>VLOOKUP(Table4[[#This Row],[Visitor]],'NHL Model'!$A$6:$B$38,2,FALSE)</f>
        <v>-6.1308839486784707E-2</v>
      </c>
      <c r="J595">
        <f ca="1">($B$1+Table4[[#This Row],[Home Differential]])-Table4[[#This Row],[Away Differential]]</f>
        <v>0.78332231252305606</v>
      </c>
      <c r="K595" t="str">
        <f ca="1">IF(Table4[[#This Row],[HomeIce Differential]]&gt;0,Table4[[#This Row],[Home]],Table4[[#This Row],[Visitor]])</f>
        <v>New Jersey Devils</v>
      </c>
      <c r="L595" s="11">
        <f ca="1"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0.76396680478502266</v>
      </c>
      <c r="M595" t="str">
        <f ca="1">IF(OR((NHL2025_26Results[[#This Row],[Winning Team]]="")),"-",IF(Table4[[#This Row],[Predicted Winner]]=NHL2025_26Results[[#This Row],[Winning Team]],"YES","NO"))</f>
        <v>-</v>
      </c>
      <c r="N595" t="str">
        <f ca="1">IF(Table4[[#This Row],[Adjusted Correct]]="-", "",IF(Table4[[#This Row],[Adjusted Correct]]="YES",(Table4[[#This Row],[Strength of Win]]-1)^2,(Table4[[#This Row],[Strength of Win]]-0)^2))</f>
        <v/>
      </c>
      <c r="P595" s="11"/>
    </row>
    <row r="596" spans="4:16" x14ac:dyDescent="0.2">
      <c r="D596" s="1">
        <v>46018</v>
      </c>
      <c r="E596" s="2">
        <v>0.75</v>
      </c>
      <c r="F596" t="s">
        <v>30</v>
      </c>
      <c r="G596">
        <f>VLOOKUP(Table4[[#This Row],[Home]],'NHL Model'!$A$6:$B$38,2,FALSE)</f>
        <v>-6.4729560818359025E-2</v>
      </c>
      <c r="H596" t="s">
        <v>15</v>
      </c>
      <c r="I596">
        <f>VLOOKUP(Table4[[#This Row],[Visitor]],'NHL Model'!$A$6:$B$38,2,FALSE)</f>
        <v>-0.30719665303039001</v>
      </c>
      <c r="J596">
        <f ca="1">($B$1+Table4[[#This Row],[Home Differential]])-Table4[[#This Row],[Away Differential]]</f>
        <v>0.40503940187434939</v>
      </c>
      <c r="K596" t="str">
        <f ca="1">IF(Table4[[#This Row],[HomeIce Differential]]&gt;0,Table4[[#This Row],[Home]],Table4[[#This Row],[Visitor]])</f>
        <v>New York Islanders</v>
      </c>
      <c r="L596" s="11">
        <f ca="1"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0.45371207987302198</v>
      </c>
      <c r="M596" t="str">
        <f ca="1">IF(OR((NHL2025_26Results[[#This Row],[Winning Team]]="")),"-",IF(Table4[[#This Row],[Predicted Winner]]=NHL2025_26Results[[#This Row],[Winning Team]],"YES","NO"))</f>
        <v>-</v>
      </c>
      <c r="N596" t="str">
        <f ca="1">IF(Table4[[#This Row],[Adjusted Correct]]="-", "",IF(Table4[[#This Row],[Adjusted Correct]]="YES",(Table4[[#This Row],[Strength of Win]]-1)^2,(Table4[[#This Row],[Strength of Win]]-0)^2))</f>
        <v/>
      </c>
      <c r="P596" s="11"/>
    </row>
    <row r="597" spans="4:16" x14ac:dyDescent="0.2">
      <c r="D597" s="1">
        <v>46018</v>
      </c>
      <c r="E597" s="2">
        <v>0.83333333333333337</v>
      </c>
      <c r="F597" t="s">
        <v>35</v>
      </c>
      <c r="G597">
        <f>VLOOKUP(Table4[[#This Row],[Home]],'NHL Model'!$A$6:$B$38,2,FALSE)</f>
        <v>-1.6211574240381006</v>
      </c>
      <c r="H597" t="s">
        <v>29</v>
      </c>
      <c r="I597">
        <f>VLOOKUP(Table4[[#This Row],[Visitor]],'NHL Model'!$A$6:$B$38,2,FALSE)</f>
        <v>-1.3516250707060606</v>
      </c>
      <c r="J597">
        <f ca="1">($B$1+Table4[[#This Row],[Home Differential]])-Table4[[#This Row],[Away Differential]]</f>
        <v>-0.10696004366972156</v>
      </c>
      <c r="K597" t="str">
        <f ca="1">IF(Table4[[#This Row],[HomeIce Differential]]&gt;0,Table4[[#This Row],[Home]],Table4[[#This Row],[Visitor]])</f>
        <v>Nashville Predators</v>
      </c>
      <c r="L597" s="11">
        <f ca="1"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0.47482024076180979</v>
      </c>
      <c r="M597" t="str">
        <f ca="1">IF(OR((NHL2025_26Results[[#This Row],[Winning Team]]="")),"-",IF(Table4[[#This Row],[Predicted Winner]]=NHL2025_26Results[[#This Row],[Winning Team]],"YES","NO"))</f>
        <v>-</v>
      </c>
      <c r="N597" t="str">
        <f ca="1">IF(Table4[[#This Row],[Adjusted Correct]]="-", "",IF(Table4[[#This Row],[Adjusted Correct]]="YES",(Table4[[#This Row],[Strength of Win]]-1)^2,(Table4[[#This Row],[Strength of Win]]-0)^2))</f>
        <v/>
      </c>
      <c r="P597" s="11"/>
    </row>
    <row r="598" spans="4:16" x14ac:dyDescent="0.2">
      <c r="D598" s="1">
        <v>46018</v>
      </c>
      <c r="E598" s="2">
        <v>0.79166666666666663</v>
      </c>
      <c r="F598" t="s">
        <v>19</v>
      </c>
      <c r="G598">
        <f>VLOOKUP(Table4[[#This Row],[Home]],'NHL Model'!$A$6:$B$38,2,FALSE)</f>
        <v>-0.635565543477981</v>
      </c>
      <c r="H598" t="s">
        <v>36</v>
      </c>
      <c r="I598">
        <f>VLOOKUP(Table4[[#This Row],[Visitor]],'NHL Model'!$A$6:$B$38,2,FALSE)</f>
        <v>-0.40651947573390851</v>
      </c>
      <c r="J598">
        <f ca="1">($B$1+Table4[[#This Row],[Home Differential]])-Table4[[#This Row],[Away Differential]]</f>
        <v>-6.6473758081754097E-2</v>
      </c>
      <c r="K598" t="str">
        <f ca="1">IF(Table4[[#This Row],[HomeIce Differential]]&gt;0,Table4[[#This Row],[Home]],Table4[[#This Row],[Visitor]])</f>
        <v>Ottawa Senators</v>
      </c>
      <c r="L598" s="11">
        <f ca="1"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0.46921051511680317</v>
      </c>
      <c r="M598" t="str">
        <f ca="1">IF(OR((NHL2025_26Results[[#This Row],[Winning Team]]="")),"-",IF(Table4[[#This Row],[Predicted Winner]]=NHL2025_26Results[[#This Row],[Winning Team]],"YES","NO"))</f>
        <v>-</v>
      </c>
      <c r="N598" t="str">
        <f ca="1">IF(Table4[[#This Row],[Adjusted Correct]]="-", "",IF(Table4[[#This Row],[Adjusted Correct]]="YES",(Table4[[#This Row],[Strength of Win]]-1)^2,(Table4[[#This Row],[Strength of Win]]-0)^2))</f>
        <v/>
      </c>
      <c r="P598" s="11"/>
    </row>
    <row r="599" spans="4:16" x14ac:dyDescent="0.2">
      <c r="D599" s="1">
        <v>46018</v>
      </c>
      <c r="E599" s="2">
        <v>0.91666666666666663</v>
      </c>
      <c r="F599" t="s">
        <v>38</v>
      </c>
      <c r="G599">
        <f>VLOOKUP(Table4[[#This Row],[Home]],'NHL Model'!$A$6:$B$38,2,FALSE)</f>
        <v>-0.6902088310934803</v>
      </c>
      <c r="H599" t="s">
        <v>33</v>
      </c>
      <c r="I599">
        <f>VLOOKUP(Table4[[#This Row],[Visitor]],'NHL Model'!$A$6:$B$38,2,FALSE)</f>
        <v>-0.39418177254008485</v>
      </c>
      <c r="J599">
        <f ca="1">($B$1+Table4[[#This Row],[Home Differential]])-Table4[[#This Row],[Away Differential]]</f>
        <v>-0.13345474889107706</v>
      </c>
      <c r="K599" t="str">
        <f ca="1">IF(Table4[[#This Row],[HomeIce Differential]]&gt;0,Table4[[#This Row],[Home]],Table4[[#This Row],[Visitor]])</f>
        <v>San Jose Sharks</v>
      </c>
      <c r="L599" s="11">
        <f ca="1"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0.47849131172272064</v>
      </c>
      <c r="M599" t="str">
        <f ca="1">IF(OR((NHL2025_26Results[[#This Row],[Winning Team]]="")),"-",IF(Table4[[#This Row],[Predicted Winner]]=NHL2025_26Results[[#This Row],[Winning Team]],"YES","NO"))</f>
        <v>-</v>
      </c>
      <c r="N599" t="str">
        <f ca="1">IF(Table4[[#This Row],[Adjusted Correct]]="-", "",IF(Table4[[#This Row],[Adjusted Correct]]="YES",(Table4[[#This Row],[Strength of Win]]-1)^2,(Table4[[#This Row],[Strength of Win]]-0)^2))</f>
        <v/>
      </c>
      <c r="P599" s="11"/>
    </row>
    <row r="600" spans="4:16" x14ac:dyDescent="0.2">
      <c r="D600" s="1">
        <v>46018</v>
      </c>
      <c r="E600" s="2">
        <v>0.91666666666666663</v>
      </c>
      <c r="F600" t="s">
        <v>20</v>
      </c>
      <c r="G600">
        <f>VLOOKUP(Table4[[#This Row],[Home]],'NHL Model'!$A$6:$B$38,2,FALSE)</f>
        <v>-6.3745791019188943E-4</v>
      </c>
      <c r="H600" t="s">
        <v>12</v>
      </c>
      <c r="I600">
        <f>VLOOKUP(Table4[[#This Row],[Visitor]],'NHL Model'!$A$6:$B$38,2,FALSE)</f>
        <v>1.5475013591489768</v>
      </c>
      <c r="J600">
        <f ca="1">($B$1+Table4[[#This Row],[Home Differential]])-Table4[[#This Row],[Away Differential]]</f>
        <v>-1.3855665073968504</v>
      </c>
      <c r="K600" t="str">
        <f ca="1">IF(Table4[[#This Row],[HomeIce Differential]]&gt;0,Table4[[#This Row],[Home]],Table4[[#This Row],[Visitor]])</f>
        <v>Colorado Avalanche</v>
      </c>
      <c r="L600" s="11">
        <f ca="1"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0.71829803374546874</v>
      </c>
      <c r="M600" t="str">
        <f ca="1">IF(OR((NHL2025_26Results[[#This Row],[Winning Team]]="")),"-",IF(Table4[[#This Row],[Predicted Winner]]=NHL2025_26Results[[#This Row],[Winning Team]],"YES","NO"))</f>
        <v>-</v>
      </c>
      <c r="N600" t="str">
        <f ca="1">IF(Table4[[#This Row],[Adjusted Correct]]="-", "",IF(Table4[[#This Row],[Adjusted Correct]]="YES",(Table4[[#This Row],[Strength of Win]]-1)^2,(Table4[[#This Row],[Strength of Win]]-0)^2))</f>
        <v/>
      </c>
      <c r="P600" s="11"/>
    </row>
    <row r="601" spans="4:16" x14ac:dyDescent="0.2">
      <c r="D601" s="1">
        <v>46018</v>
      </c>
      <c r="E601" s="2">
        <v>0.79166666666666663</v>
      </c>
      <c r="F601" t="s">
        <v>40</v>
      </c>
      <c r="G601">
        <f>VLOOKUP(Table4[[#This Row],[Home]],'NHL Model'!$A$6:$B$38,2,FALSE)</f>
        <v>0.105105258369765</v>
      </c>
      <c r="H601" t="s">
        <v>34</v>
      </c>
      <c r="I601">
        <f>VLOOKUP(Table4[[#This Row],[Visitor]],'NHL Model'!$A$6:$B$38,2,FALSE)</f>
        <v>-0.53650300840565446</v>
      </c>
      <c r="J601">
        <f ca="1">($B$1+Table4[[#This Row],[Home Differential]])-Table4[[#This Row],[Away Differential]]</f>
        <v>0.80418057643773788</v>
      </c>
      <c r="K601" t="str">
        <f ca="1">IF(Table4[[#This Row],[HomeIce Differential]]&gt;0,Table4[[#This Row],[Home]],Table4[[#This Row],[Visitor]])</f>
        <v>Winnipeg Jets</v>
      </c>
      <c r="L601" s="11">
        <f ca="1"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0.68746305271722308</v>
      </c>
      <c r="M601" t="str">
        <f ca="1">IF(OR((NHL2025_26Results[[#This Row],[Winning Team]]="")),"-",IF(Table4[[#This Row],[Predicted Winner]]=NHL2025_26Results[[#This Row],[Winning Team]],"YES","NO"))</f>
        <v>-</v>
      </c>
      <c r="N601" t="str">
        <f ca="1">IF(Table4[[#This Row],[Adjusted Correct]]="-", "",IF(Table4[[#This Row],[Adjusted Correct]]="YES",(Table4[[#This Row],[Strength of Win]]-1)^2,(Table4[[#This Row],[Strength of Win]]-0)^2))</f>
        <v/>
      </c>
      <c r="P601" s="11"/>
    </row>
    <row r="602" spans="4:16" x14ac:dyDescent="0.2">
      <c r="D602" s="1">
        <v>46019</v>
      </c>
      <c r="E602" s="2">
        <v>0.70833333333333337</v>
      </c>
      <c r="F602" t="s">
        <v>28</v>
      </c>
      <c r="G602">
        <f>VLOOKUP(Table4[[#This Row],[Home]],'NHL Model'!$A$6:$B$38,2,FALSE)</f>
        <v>-0.40822279081308277</v>
      </c>
      <c r="H602" t="s">
        <v>30</v>
      </c>
      <c r="I602">
        <f>VLOOKUP(Table4[[#This Row],[Visitor]],'NHL Model'!$A$6:$B$38,2,FALSE)</f>
        <v>-6.4729560818359025E-2</v>
      </c>
      <c r="J602">
        <f ca="1">($B$1+Table4[[#This Row],[Home Differential]])-Table4[[#This Row],[Away Differential]]</f>
        <v>-0.18092092033240537</v>
      </c>
      <c r="K602" t="str">
        <f ca="1">IF(Table4[[#This Row],[HomeIce Differential]]&gt;0,Table4[[#This Row],[Home]],Table4[[#This Row],[Visitor]])</f>
        <v>New York Islanders</v>
      </c>
      <c r="L602" s="11">
        <f ca="1"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0.52758072384113508</v>
      </c>
      <c r="M602" t="str">
        <f ca="1">IF(OR((NHL2025_26Results[[#This Row],[Winning Team]]="")),"-",IF(Table4[[#This Row],[Predicted Winner]]=NHL2025_26Results[[#This Row],[Winning Team]],"YES","NO"))</f>
        <v>-</v>
      </c>
      <c r="N602" t="str">
        <f ca="1">IF(Table4[[#This Row],[Adjusted Correct]]="-", "",IF(Table4[[#This Row],[Adjusted Correct]]="YES",(Table4[[#This Row],[Strength of Win]]-1)^2,(Table4[[#This Row],[Strength of Win]]-0)^2))</f>
        <v/>
      </c>
      <c r="P602" s="11"/>
    </row>
    <row r="603" spans="4:16" x14ac:dyDescent="0.2">
      <c r="D603" s="1">
        <v>46019</v>
      </c>
      <c r="E603" s="2">
        <v>0.79166666666666663</v>
      </c>
      <c r="F603" t="s">
        <v>10</v>
      </c>
      <c r="G603">
        <f>VLOOKUP(Table4[[#This Row],[Home]],'NHL Model'!$A$6:$B$38,2,FALSE)</f>
        <v>0.30570968833820172</v>
      </c>
      <c r="H603" t="s">
        <v>14</v>
      </c>
      <c r="I603">
        <f>VLOOKUP(Table4[[#This Row],[Visitor]],'NHL Model'!$A$6:$B$38,2,FALSE)</f>
        <v>0.26289091192875702</v>
      </c>
      <c r="J603">
        <f ca="1">($B$1+Table4[[#This Row],[Home Differential]])-Table4[[#This Row],[Away Differential]]</f>
        <v>0.2053910860717631</v>
      </c>
      <c r="K603" t="str">
        <f ca="1">IF(Table4[[#This Row],[HomeIce Differential]]&gt;0,Table4[[#This Row],[Home]],Table4[[#This Row],[Visitor]])</f>
        <v>Chicago Blackhawks</v>
      </c>
      <c r="L603" s="11">
        <f ca="1"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0.56845871450195395</v>
      </c>
      <c r="M603" t="str">
        <f ca="1">IF(OR((NHL2025_26Results[[#This Row],[Winning Team]]="")),"-",IF(Table4[[#This Row],[Predicted Winner]]=NHL2025_26Results[[#This Row],[Winning Team]],"YES","NO"))</f>
        <v>-</v>
      </c>
      <c r="N603" t="str">
        <f ca="1">IF(Table4[[#This Row],[Adjusted Correct]]="-", "",IF(Table4[[#This Row],[Adjusted Correct]]="YES",(Table4[[#This Row],[Strength of Win]]-1)^2,(Table4[[#This Row],[Strength of Win]]-0)^2))</f>
        <v/>
      </c>
      <c r="P603" s="11"/>
    </row>
    <row r="604" spans="4:16" x14ac:dyDescent="0.2">
      <c r="D604" s="1">
        <v>46019</v>
      </c>
      <c r="E604" s="2">
        <v>0.79166666666666663</v>
      </c>
      <c r="F604" t="s">
        <v>26</v>
      </c>
      <c r="G604">
        <f>VLOOKUP(Table4[[#This Row],[Home]],'NHL Model'!$A$6:$B$38,2,FALSE)</f>
        <v>-0.513643833119658</v>
      </c>
      <c r="H604" t="s">
        <v>19</v>
      </c>
      <c r="I604">
        <f>VLOOKUP(Table4[[#This Row],[Visitor]],'NHL Model'!$A$6:$B$38,2,FALSE)</f>
        <v>-0.635565543477981</v>
      </c>
      <c r="J604">
        <f ca="1">($B$1+Table4[[#This Row],[Home Differential]])-Table4[[#This Row],[Away Differential]]</f>
        <v>0.28449402002064139</v>
      </c>
      <c r="K604" t="str">
        <f ca="1">IF(Table4[[#This Row],[HomeIce Differential]]&gt;0,Table4[[#This Row],[Home]],Table4[[#This Row],[Visitor]])</f>
        <v>Detroit Red Wings</v>
      </c>
      <c r="L604" s="11">
        <f ca="1"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0.60545684720451121</v>
      </c>
      <c r="M604" t="str">
        <f ca="1">IF(OR((NHL2025_26Results[[#This Row],[Winning Team]]="")),"-",IF(Table4[[#This Row],[Predicted Winner]]=NHL2025_26Results[[#This Row],[Winning Team]],"YES","NO"))</f>
        <v>-</v>
      </c>
      <c r="N604" t="str">
        <f ca="1">IF(Table4[[#This Row],[Adjusted Correct]]="-", "",IF(Table4[[#This Row],[Adjusted Correct]]="YES",(Table4[[#This Row],[Strength of Win]]-1)^2,(Table4[[#This Row],[Strength of Win]]-0)^2))</f>
        <v/>
      </c>
      <c r="P604" s="11"/>
    </row>
    <row r="605" spans="4:16" x14ac:dyDescent="0.2">
      <c r="D605" s="1">
        <v>46019</v>
      </c>
      <c r="E605" s="2">
        <v>0.83333333333333337</v>
      </c>
      <c r="F605" t="s">
        <v>32</v>
      </c>
      <c r="G605">
        <f>VLOOKUP(Table4[[#This Row],[Home]],'NHL Model'!$A$6:$B$38,2,FALSE)</f>
        <v>-0.361361309178443</v>
      </c>
      <c r="H605" t="s">
        <v>27</v>
      </c>
      <c r="I605">
        <f>VLOOKUP(Table4[[#This Row],[Visitor]],'NHL Model'!$A$6:$B$38,2,FALSE)</f>
        <v>-0.51358590497437617</v>
      </c>
      <c r="J605">
        <f ca="1">($B$1+Table4[[#This Row],[Home Differential]])-Table4[[#This Row],[Away Differential]]</f>
        <v>0.31479690545825156</v>
      </c>
      <c r="K605" t="str">
        <f ca="1">IF(Table4[[#This Row],[HomeIce Differential]]&gt;0,Table4[[#This Row],[Home]],Table4[[#This Row],[Visitor]])</f>
        <v>Seattle Kraken</v>
      </c>
      <c r="L605" s="11">
        <f ca="1"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0.60965557452879759</v>
      </c>
      <c r="M605" t="str">
        <f ca="1">IF(OR((NHL2025_26Results[[#This Row],[Winning Team]]="")),"-",IF(Table4[[#This Row],[Predicted Winner]]=NHL2025_26Results[[#This Row],[Winning Team]],"YES","NO"))</f>
        <v>-</v>
      </c>
      <c r="N605" t="str">
        <f ca="1">IF(Table4[[#This Row],[Adjusted Correct]]="-", "",IF(Table4[[#This Row],[Adjusted Correct]]="YES",(Table4[[#This Row],[Strength of Win]]-1)^2,(Table4[[#This Row],[Strength of Win]]-0)^2))</f>
        <v/>
      </c>
      <c r="P605" s="11"/>
    </row>
    <row r="606" spans="4:16" x14ac:dyDescent="0.2">
      <c r="D606" s="1">
        <v>46019</v>
      </c>
      <c r="E606" s="2">
        <v>0.70833333333333337</v>
      </c>
      <c r="F606" t="s">
        <v>37</v>
      </c>
      <c r="G606">
        <f>VLOOKUP(Table4[[#This Row],[Home]],'NHL Model'!$A$6:$B$38,2,FALSE)</f>
        <v>-0.11309445867623392</v>
      </c>
      <c r="H606" t="s">
        <v>18</v>
      </c>
      <c r="I606">
        <f>VLOOKUP(Table4[[#This Row],[Visitor]],'NHL Model'!$A$6:$B$38,2,FALSE)</f>
        <v>-0.52437726201848234</v>
      </c>
      <c r="J606">
        <f ca="1">($B$1+Table4[[#This Row],[Home Differential]])-Table4[[#This Row],[Away Differential]]</f>
        <v>0.57385511300456682</v>
      </c>
      <c r="K606" t="str">
        <f ca="1">IF(Table4[[#This Row],[HomeIce Differential]]&gt;0,Table4[[#This Row],[Home]],Table4[[#This Row],[Visitor]])</f>
        <v>Tampa Bay Lightning</v>
      </c>
      <c r="L606" s="11">
        <f ca="1"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0.54303191114344807</v>
      </c>
      <c r="M606" t="str">
        <f ca="1">IF(OR((NHL2025_26Results[[#This Row],[Winning Team]]="")),"-",IF(Table4[[#This Row],[Predicted Winner]]=NHL2025_26Results[[#This Row],[Winning Team]],"YES","NO"))</f>
        <v>-</v>
      </c>
      <c r="N606" t="str">
        <f ca="1">IF(Table4[[#This Row],[Adjusted Correct]]="-", "",IF(Table4[[#This Row],[Adjusted Correct]]="YES",(Table4[[#This Row],[Strength of Win]]-1)^2,(Table4[[#This Row],[Strength of Win]]-0)^2))</f>
        <v/>
      </c>
      <c r="P606" s="11"/>
    </row>
    <row r="607" spans="4:16" x14ac:dyDescent="0.2">
      <c r="D607" s="1">
        <v>46020</v>
      </c>
      <c r="E607" s="2">
        <v>0.91666666666666663</v>
      </c>
      <c r="F607" t="s">
        <v>31</v>
      </c>
      <c r="G607">
        <f>VLOOKUP(Table4[[#This Row],[Home]],'NHL Model'!$A$6:$B$38,2,FALSE)</f>
        <v>0.51775546328552802</v>
      </c>
      <c r="H607" t="s">
        <v>33</v>
      </c>
      <c r="I607">
        <f>VLOOKUP(Table4[[#This Row],[Visitor]],'NHL Model'!$A$6:$B$38,2,FALSE)</f>
        <v>-0.39418177254008485</v>
      </c>
      <c r="J607">
        <f ca="1">($B$1+Table4[[#This Row],[Home Differential]])-Table4[[#This Row],[Away Differential]]</f>
        <v>1.0745095454879312</v>
      </c>
      <c r="K607" t="str">
        <f ca="1">IF(Table4[[#This Row],[HomeIce Differential]]&gt;0,Table4[[#This Row],[Home]],Table4[[#This Row],[Visitor]])</f>
        <v>Anaheim Ducks</v>
      </c>
      <c r="L607" s="11">
        <f ca="1"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0.7932125040812249</v>
      </c>
      <c r="M607" t="str">
        <f ca="1">IF(OR((NHL2025_26Results[[#This Row],[Winning Team]]="")),"-",IF(Table4[[#This Row],[Predicted Winner]]=NHL2025_26Results[[#This Row],[Winning Team]],"YES","NO"))</f>
        <v>-</v>
      </c>
      <c r="N607" t="str">
        <f ca="1">IF(Table4[[#This Row],[Adjusted Correct]]="-", "",IF(Table4[[#This Row],[Adjusted Correct]]="YES",(Table4[[#This Row],[Strength of Win]]-1)^2,(Table4[[#This Row],[Strength of Win]]-0)^2))</f>
        <v/>
      </c>
      <c r="P607" s="11"/>
    </row>
    <row r="608" spans="4:16" x14ac:dyDescent="0.2">
      <c r="D608" s="1">
        <v>46020</v>
      </c>
      <c r="E608" s="2">
        <v>0.79166666666666663</v>
      </c>
      <c r="F608" t="s">
        <v>25</v>
      </c>
      <c r="G608">
        <f>VLOOKUP(Table4[[#This Row],[Home]],'NHL Model'!$A$6:$B$38,2,FALSE)</f>
        <v>0.67193921242367816</v>
      </c>
      <c r="H608" t="s">
        <v>15</v>
      </c>
      <c r="I608">
        <f>VLOOKUP(Table4[[#This Row],[Visitor]],'NHL Model'!$A$6:$B$38,2,FALSE)</f>
        <v>-0.30719665303039001</v>
      </c>
      <c r="J608">
        <f ca="1">($B$1+Table4[[#This Row],[Home Differential]])-Table4[[#This Row],[Away Differential]]</f>
        <v>1.1417081751163867</v>
      </c>
      <c r="K608" t="str">
        <f ca="1">IF(Table4[[#This Row],[HomeIce Differential]]&gt;0,Table4[[#This Row],[Home]],Table4[[#This Row],[Visitor]])</f>
        <v>Carolina Hurricanes</v>
      </c>
      <c r="L608" s="11">
        <f ca="1"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0.60717315136069361</v>
      </c>
      <c r="M608" t="str">
        <f ca="1">IF(OR((NHL2025_26Results[[#This Row],[Winning Team]]="")),"-",IF(Table4[[#This Row],[Predicted Winner]]=NHL2025_26Results[[#This Row],[Winning Team]],"YES","NO"))</f>
        <v>-</v>
      </c>
      <c r="N608" t="str">
        <f ca="1">IF(Table4[[#This Row],[Adjusted Correct]]="-", "",IF(Table4[[#This Row],[Adjusted Correct]]="YES",(Table4[[#This Row],[Strength of Win]]-1)^2,(Table4[[#This Row],[Strength of Win]]-0)^2))</f>
        <v/>
      </c>
      <c r="P608" s="11"/>
    </row>
    <row r="609" spans="4:16" x14ac:dyDescent="0.2">
      <c r="D609" s="1">
        <v>46020</v>
      </c>
      <c r="E609" s="2">
        <v>0.875</v>
      </c>
      <c r="F609" t="s">
        <v>16</v>
      </c>
      <c r="G609">
        <f>VLOOKUP(Table4[[#This Row],[Home]],'NHL Model'!$A$6:$B$38,2,FALSE)</f>
        <v>-1.3903684122795328</v>
      </c>
      <c r="H609" t="s">
        <v>21</v>
      </c>
      <c r="I609">
        <f>VLOOKUP(Table4[[#This Row],[Visitor]],'NHL Model'!$A$6:$B$38,2,FALSE)</f>
        <v>4.029141914856392E-2</v>
      </c>
      <c r="J609">
        <f ca="1">($B$1+Table4[[#This Row],[Home Differential]])-Table4[[#This Row],[Away Differential]]</f>
        <v>-1.2680875217657783</v>
      </c>
      <c r="K609" t="str">
        <f ca="1">IF(Table4[[#This Row],[HomeIce Differential]]&gt;0,Table4[[#This Row],[Home]],Table4[[#This Row],[Visitor]])</f>
        <v>Boston Bruins</v>
      </c>
      <c r="L609" s="11">
        <f ca="1"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0.63570451296417718</v>
      </c>
      <c r="M609" t="str">
        <f ca="1">IF(OR((NHL2025_26Results[[#This Row],[Winning Team]]="")),"-",IF(Table4[[#This Row],[Predicted Winner]]=NHL2025_26Results[[#This Row],[Winning Team]],"YES","NO"))</f>
        <v>-</v>
      </c>
      <c r="N609" t="str">
        <f ca="1">IF(Table4[[#This Row],[Adjusted Correct]]="-", "",IF(Table4[[#This Row],[Adjusted Correct]]="YES",(Table4[[#This Row],[Strength of Win]]-1)^2,(Table4[[#This Row],[Strength of Win]]-0)^2))</f>
        <v/>
      </c>
      <c r="P609" s="11"/>
    </row>
    <row r="610" spans="4:16" x14ac:dyDescent="0.2">
      <c r="D610" s="1">
        <v>46020</v>
      </c>
      <c r="E610" s="2">
        <v>0.875</v>
      </c>
      <c r="F610" t="s">
        <v>12</v>
      </c>
      <c r="G610">
        <f>VLOOKUP(Table4[[#This Row],[Home]],'NHL Model'!$A$6:$B$38,2,FALSE)</f>
        <v>1.5475013591489768</v>
      </c>
      <c r="H610" t="s">
        <v>13</v>
      </c>
      <c r="I610">
        <f>VLOOKUP(Table4[[#This Row],[Visitor]],'NHL Model'!$A$6:$B$38,2,FALSE)</f>
        <v>-7.5459708298993802E-2</v>
      </c>
      <c r="J610">
        <f ca="1">($B$1+Table4[[#This Row],[Home Differential]])-Table4[[#This Row],[Away Differential]]</f>
        <v>1.785533377110289</v>
      </c>
      <c r="K610" t="str">
        <f ca="1">IF(Table4[[#This Row],[HomeIce Differential]]&gt;0,Table4[[#This Row],[Home]],Table4[[#This Row],[Visitor]])</f>
        <v>Colorado Avalanche</v>
      </c>
      <c r="L610" s="11">
        <f ca="1"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0.75649202851016684</v>
      </c>
      <c r="M610" t="str">
        <f ca="1">IF(OR((NHL2025_26Results[[#This Row],[Winning Team]]="")),"-",IF(Table4[[#This Row],[Predicted Winner]]=NHL2025_26Results[[#This Row],[Winning Team]],"YES","NO"))</f>
        <v>-</v>
      </c>
      <c r="N610" t="str">
        <f ca="1">IF(Table4[[#This Row],[Adjusted Correct]]="-", "",IF(Table4[[#This Row],[Adjusted Correct]]="YES",(Table4[[#This Row],[Strength of Win]]-1)^2,(Table4[[#This Row],[Strength of Win]]-0)^2))</f>
        <v/>
      </c>
      <c r="P610" s="11"/>
    </row>
    <row r="611" spans="4:16" x14ac:dyDescent="0.2">
      <c r="D611" s="1">
        <v>46020</v>
      </c>
      <c r="E611" s="2">
        <v>0.79166666666666663</v>
      </c>
      <c r="F611" t="s">
        <v>11</v>
      </c>
      <c r="G611">
        <f>VLOOKUP(Table4[[#This Row],[Home]],'NHL Model'!$A$6:$B$38,2,FALSE)</f>
        <v>-0.28105923893144158</v>
      </c>
      <c r="H611" t="s">
        <v>22</v>
      </c>
      <c r="I611">
        <f>VLOOKUP(Table4[[#This Row],[Visitor]],'NHL Model'!$A$6:$B$38,2,FALSE)</f>
        <v>-6.1308839486784707E-2</v>
      </c>
      <c r="J611">
        <f ca="1">($B$1+Table4[[#This Row],[Home Differential]])-Table4[[#This Row],[Away Differential]]</f>
        <v>-5.717808978233848E-2</v>
      </c>
      <c r="K611" t="str">
        <f ca="1">IF(Table4[[#This Row],[HomeIce Differential]]&gt;0,Table4[[#This Row],[Home]],Table4[[#This Row],[Visitor]])</f>
        <v>Washington Capitals</v>
      </c>
      <c r="L611" s="11">
        <f ca="1"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0.41620654340405794</v>
      </c>
      <c r="M611" t="str">
        <f ca="1">IF(OR((NHL2025_26Results[[#This Row],[Winning Team]]="")),"-",IF(Table4[[#This Row],[Predicted Winner]]=NHL2025_26Results[[#This Row],[Winning Team]],"YES","NO"))</f>
        <v>-</v>
      </c>
      <c r="N611" t="str">
        <f ca="1">IF(Table4[[#This Row],[Adjusted Correct]]="-", "",IF(Table4[[#This Row],[Adjusted Correct]]="YES",(Table4[[#This Row],[Strength of Win]]-1)^2,(Table4[[#This Row],[Strength of Win]]-0)^2))</f>
        <v/>
      </c>
      <c r="P611" s="11"/>
    </row>
    <row r="612" spans="4:16" x14ac:dyDescent="0.2">
      <c r="D612" s="1">
        <v>46020</v>
      </c>
      <c r="E612" s="2">
        <v>0.79166666666666663</v>
      </c>
      <c r="F612" t="s">
        <v>36</v>
      </c>
      <c r="G612">
        <f>VLOOKUP(Table4[[#This Row],[Home]],'NHL Model'!$A$6:$B$38,2,FALSE)</f>
        <v>-0.40651947573390851</v>
      </c>
      <c r="H612" t="s">
        <v>28</v>
      </c>
      <c r="I612">
        <f>VLOOKUP(Table4[[#This Row],[Visitor]],'NHL Model'!$A$6:$B$38,2,FALSE)</f>
        <v>-0.40822279081308277</v>
      </c>
      <c r="J612">
        <f ca="1">($B$1+Table4[[#This Row],[Home Differential]])-Table4[[#This Row],[Away Differential]]</f>
        <v>0.16427562474149265</v>
      </c>
      <c r="K612" t="str">
        <f ca="1">IF(Table4[[#This Row],[HomeIce Differential]]&gt;0,Table4[[#This Row],[Home]],Table4[[#This Row],[Visitor]])</f>
        <v>Ottawa Senators</v>
      </c>
      <c r="L612" s="11">
        <f ca="1"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0.54450094154139894</v>
      </c>
      <c r="M612" t="str">
        <f ca="1">IF(OR((NHL2025_26Results[[#This Row],[Winning Team]]="")),"-",IF(Table4[[#This Row],[Predicted Winner]]=NHL2025_26Results[[#This Row],[Winning Team]],"YES","NO"))</f>
        <v>-</v>
      </c>
      <c r="N612" t="str">
        <f ca="1">IF(Table4[[#This Row],[Adjusted Correct]]="-", "",IF(Table4[[#This Row],[Adjusted Correct]]="YES",(Table4[[#This Row],[Strength of Win]]-1)^2,(Table4[[#This Row],[Strength of Win]]-0)^2))</f>
        <v/>
      </c>
      <c r="P612" s="11"/>
    </row>
    <row r="613" spans="4:16" x14ac:dyDescent="0.2">
      <c r="D613" s="1">
        <v>46020</v>
      </c>
      <c r="E613" s="2">
        <v>0.91666666666666663</v>
      </c>
      <c r="F613" t="s">
        <v>32</v>
      </c>
      <c r="G613">
        <f>VLOOKUP(Table4[[#This Row],[Home]],'NHL Model'!$A$6:$B$38,2,FALSE)</f>
        <v>-0.361361309178443</v>
      </c>
      <c r="H613" t="s">
        <v>38</v>
      </c>
      <c r="I613">
        <f>VLOOKUP(Table4[[#This Row],[Visitor]],'NHL Model'!$A$6:$B$38,2,FALSE)</f>
        <v>-0.6902088310934803</v>
      </c>
      <c r="J613">
        <f ca="1">($B$1+Table4[[#This Row],[Home Differential]])-Table4[[#This Row],[Away Differential]]</f>
        <v>0.49141983157735569</v>
      </c>
      <c r="K613" t="str">
        <f ca="1">IF(Table4[[#This Row],[HomeIce Differential]]&gt;0,Table4[[#This Row],[Home]],Table4[[#This Row],[Visitor]])</f>
        <v>Seattle Kraken</v>
      </c>
      <c r="L613" s="11">
        <f ca="1"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0.59189999917987079</v>
      </c>
      <c r="M613" t="str">
        <f ca="1">IF(OR((NHL2025_26Results[[#This Row],[Winning Team]]="")),"-",IF(Table4[[#This Row],[Predicted Winner]]=NHL2025_26Results[[#This Row],[Winning Team]],"YES","NO"))</f>
        <v>-</v>
      </c>
      <c r="N613" t="str">
        <f ca="1">IF(Table4[[#This Row],[Adjusted Correct]]="-", "",IF(Table4[[#This Row],[Adjusted Correct]]="YES",(Table4[[#This Row],[Strength of Win]]-1)^2,(Table4[[#This Row],[Strength of Win]]-0)^2))</f>
        <v/>
      </c>
      <c r="P613" s="11"/>
    </row>
    <row r="614" spans="4:16" x14ac:dyDescent="0.2">
      <c r="D614" s="1">
        <v>46020</v>
      </c>
      <c r="E614" s="2">
        <v>0.83333333333333337</v>
      </c>
      <c r="F614" t="s">
        <v>35</v>
      </c>
      <c r="G614">
        <f>VLOOKUP(Table4[[#This Row],[Home]],'NHL Model'!$A$6:$B$38,2,FALSE)</f>
        <v>-1.6211574240381006</v>
      </c>
      <c r="H614" t="s">
        <v>23</v>
      </c>
      <c r="I614">
        <f>VLOOKUP(Table4[[#This Row],[Visitor]],'NHL Model'!$A$6:$B$38,2,FALSE)</f>
        <v>-0.8683412362501769</v>
      </c>
      <c r="J614">
        <f ca="1">($B$1+Table4[[#This Row],[Home Differential]])-Table4[[#This Row],[Away Differential]]</f>
        <v>-0.5902438781256053</v>
      </c>
      <c r="K614" t="str">
        <f ca="1">IF(Table4[[#This Row],[HomeIce Differential]]&gt;0,Table4[[#This Row],[Home]],Table4[[#This Row],[Visitor]])</f>
        <v>Buffalo Sabres</v>
      </c>
      <c r="L614" s="11">
        <f ca="1"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0.54178340323997143</v>
      </c>
      <c r="M614" t="str">
        <f ca="1">IF(OR((NHL2025_26Results[[#This Row],[Winning Team]]="")),"-",IF(Table4[[#This Row],[Predicted Winner]]=NHL2025_26Results[[#This Row],[Winning Team]],"YES","NO"))</f>
        <v>-</v>
      </c>
      <c r="N614" t="str">
        <f ca="1">IF(Table4[[#This Row],[Adjusted Correct]]="-", "",IF(Table4[[#This Row],[Adjusted Correct]]="YES",(Table4[[#This Row],[Strength of Win]]-1)^2,(Table4[[#This Row],[Strength of Win]]-0)^2))</f>
        <v/>
      </c>
      <c r="P614" s="11"/>
    </row>
    <row r="615" spans="4:16" x14ac:dyDescent="0.2">
      <c r="D615" s="1">
        <v>46020</v>
      </c>
      <c r="E615" s="2">
        <v>0.875</v>
      </c>
      <c r="F615" t="s">
        <v>55</v>
      </c>
      <c r="G615">
        <f>VLOOKUP(Table4[[#This Row],[Home]],'NHL Model'!$A$6:$B$38,2,FALSE)</f>
        <v>-0.12212311954851815</v>
      </c>
      <c r="H615" t="s">
        <v>29</v>
      </c>
      <c r="I615">
        <f>VLOOKUP(Table4[[#This Row],[Visitor]],'NHL Model'!$A$6:$B$38,2,FALSE)</f>
        <v>-1.3516250707060606</v>
      </c>
      <c r="J615">
        <f ca="1">($B$1+Table4[[#This Row],[Home Differential]])-Table4[[#This Row],[Away Differential]]</f>
        <v>1.3920742608198609</v>
      </c>
      <c r="K615" t="str">
        <f ca="1">IF(Table4[[#This Row],[HomeIce Differential]]&gt;0,Table4[[#This Row],[Home]],Table4[[#This Row],[Visitor]])</f>
        <v>Utah Mammoth</v>
      </c>
      <c r="L615" s="11">
        <f ca="1"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0.8011564559750245</v>
      </c>
      <c r="M615" t="str">
        <f ca="1">IF(OR((NHL2025_26Results[[#This Row],[Winning Team]]="")),"-",IF(Table4[[#This Row],[Predicted Winner]]=NHL2025_26Results[[#This Row],[Winning Team]],"YES","NO"))</f>
        <v>-</v>
      </c>
      <c r="N615" t="str">
        <f ca="1">IF(Table4[[#This Row],[Adjusted Correct]]="-", "",IF(Table4[[#This Row],[Adjusted Correct]]="YES",(Table4[[#This Row],[Strength of Win]]-1)^2,(Table4[[#This Row],[Strength of Win]]-0)^2))</f>
        <v/>
      </c>
      <c r="P615" s="11"/>
    </row>
    <row r="616" spans="4:16" x14ac:dyDescent="0.2">
      <c r="D616" s="1">
        <v>46020</v>
      </c>
      <c r="E616" s="2">
        <v>0.91666666666666663</v>
      </c>
      <c r="F616" t="s">
        <v>20</v>
      </c>
      <c r="G616">
        <f>VLOOKUP(Table4[[#This Row],[Home]],'NHL Model'!$A$6:$B$38,2,FALSE)</f>
        <v>-6.3745791019188943E-4</v>
      </c>
      <c r="H616" t="s">
        <v>34</v>
      </c>
      <c r="I616">
        <f>VLOOKUP(Table4[[#This Row],[Visitor]],'NHL Model'!$A$6:$B$38,2,FALSE)</f>
        <v>-0.53650300840565446</v>
      </c>
      <c r="J616">
        <f ca="1">($B$1+Table4[[#This Row],[Home Differential]])-Table4[[#This Row],[Away Differential]]</f>
        <v>0.69843786015778098</v>
      </c>
      <c r="K616" t="str">
        <f ca="1">IF(Table4[[#This Row],[HomeIce Differential]]&gt;0,Table4[[#This Row],[Home]],Table4[[#This Row],[Visitor]])</f>
        <v>Vegas Golden Knights</v>
      </c>
      <c r="L616" s="11">
        <f ca="1"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0.63677461685285142</v>
      </c>
      <c r="M616" t="str">
        <f ca="1">IF(OR((NHL2025_26Results[[#This Row],[Winning Team]]="")),"-",IF(Table4[[#This Row],[Predicted Winner]]=NHL2025_26Results[[#This Row],[Winning Team]],"YES","NO"))</f>
        <v>-</v>
      </c>
      <c r="N616" t="str">
        <f ca="1">IF(Table4[[#This Row],[Adjusted Correct]]="-", "",IF(Table4[[#This Row],[Adjusted Correct]]="YES",(Table4[[#This Row],[Strength of Win]]-1)^2,(Table4[[#This Row],[Strength of Win]]-0)^2))</f>
        <v/>
      </c>
      <c r="P616" s="11"/>
    </row>
    <row r="617" spans="4:16" x14ac:dyDescent="0.2">
      <c r="D617" s="1">
        <v>46020</v>
      </c>
      <c r="E617" s="2">
        <v>0.8125</v>
      </c>
      <c r="F617" t="s">
        <v>40</v>
      </c>
      <c r="G617">
        <f>VLOOKUP(Table4[[#This Row],[Home]],'NHL Model'!$A$6:$B$38,2,FALSE)</f>
        <v>0.105105258369765</v>
      </c>
      <c r="H617" t="s">
        <v>17</v>
      </c>
      <c r="I617">
        <f>VLOOKUP(Table4[[#This Row],[Visitor]],'NHL Model'!$A$6:$B$38,2,FALSE)</f>
        <v>-0.61980804137564283</v>
      </c>
      <c r="J617">
        <f ca="1">($B$1+Table4[[#This Row],[Home Differential]])-Table4[[#This Row],[Away Differential]]</f>
        <v>0.88748560940772625</v>
      </c>
      <c r="K617" t="str">
        <f ca="1">IF(Table4[[#This Row],[HomeIce Differential]]&gt;0,Table4[[#This Row],[Home]],Table4[[#This Row],[Visitor]])</f>
        <v>Winnipeg Jets</v>
      </c>
      <c r="L617" s="11">
        <f ca="1"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0.69900568679745978</v>
      </c>
      <c r="M617" t="str">
        <f ca="1">IF(OR((NHL2025_26Results[[#This Row],[Winning Team]]="")),"-",IF(Table4[[#This Row],[Predicted Winner]]=NHL2025_26Results[[#This Row],[Winning Team]],"YES","NO"))</f>
        <v>-</v>
      </c>
      <c r="N617" t="str">
        <f ca="1">IF(Table4[[#This Row],[Adjusted Correct]]="-", "",IF(Table4[[#This Row],[Adjusted Correct]]="YES",(Table4[[#This Row],[Strength of Win]]-1)^2,(Table4[[#This Row],[Strength of Win]]-0)^2))</f>
        <v/>
      </c>
      <c r="P617" s="11"/>
    </row>
    <row r="618" spans="4:16" x14ac:dyDescent="0.2">
      <c r="D618" s="1">
        <v>46021</v>
      </c>
      <c r="E618" s="2">
        <v>0.85416666666666663</v>
      </c>
      <c r="F618" t="s">
        <v>10</v>
      </c>
      <c r="G618">
        <f>VLOOKUP(Table4[[#This Row],[Home]],'NHL Model'!$A$6:$B$38,2,FALSE)</f>
        <v>0.30570968833820172</v>
      </c>
      <c r="H618" t="s">
        <v>30</v>
      </c>
      <c r="I618">
        <f>VLOOKUP(Table4[[#This Row],[Visitor]],'NHL Model'!$A$6:$B$38,2,FALSE)</f>
        <v>-6.4729560818359025E-2</v>
      </c>
      <c r="J618">
        <f ca="1">($B$1+Table4[[#This Row],[Home Differential]])-Table4[[#This Row],[Away Differential]]</f>
        <v>0.53301155881887918</v>
      </c>
      <c r="K618" t="str">
        <f ca="1">IF(Table4[[#This Row],[HomeIce Differential]]&gt;0,Table4[[#This Row],[Home]],Table4[[#This Row],[Visitor]])</f>
        <v>Chicago Blackhawks</v>
      </c>
      <c r="L618" s="11">
        <f ca="1"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0.57134080672002885</v>
      </c>
      <c r="M618" t="str">
        <f ca="1">IF(OR((NHL2025_26Results[[#This Row],[Winning Team]]="")),"-",IF(Table4[[#This Row],[Predicted Winner]]=NHL2025_26Results[[#This Row],[Winning Team]],"YES","NO"))</f>
        <v>-</v>
      </c>
      <c r="N618" t="str">
        <f ca="1">IF(Table4[[#This Row],[Adjusted Correct]]="-", "",IF(Table4[[#This Row],[Adjusted Correct]]="YES",(Table4[[#This Row],[Strength of Win]]-1)^2,(Table4[[#This Row],[Strength of Win]]-0)^2))</f>
        <v/>
      </c>
      <c r="P618" s="11"/>
    </row>
    <row r="619" spans="4:16" x14ac:dyDescent="0.2">
      <c r="D619" s="1">
        <v>46021</v>
      </c>
      <c r="E619" s="2">
        <v>0.79166666666666663</v>
      </c>
      <c r="F619" t="s">
        <v>11</v>
      </c>
      <c r="G619">
        <f>VLOOKUP(Table4[[#This Row],[Home]],'NHL Model'!$A$6:$B$38,2,FALSE)</f>
        <v>-0.28105923893144158</v>
      </c>
      <c r="H619" t="s">
        <v>18</v>
      </c>
      <c r="I619">
        <f>VLOOKUP(Table4[[#This Row],[Visitor]],'NHL Model'!$A$6:$B$38,2,FALSE)</f>
        <v>-0.52437726201848234</v>
      </c>
      <c r="J619">
        <f ca="1">($B$1+Table4[[#This Row],[Home Differential]])-Table4[[#This Row],[Away Differential]]</f>
        <v>0.40589033274935915</v>
      </c>
      <c r="K619" t="str">
        <f ca="1">IF(Table4[[#This Row],[HomeIce Differential]]&gt;0,Table4[[#This Row],[Home]],Table4[[#This Row],[Visitor]])</f>
        <v>Florida Panthers</v>
      </c>
      <c r="L619" s="11">
        <f ca="1"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0.57236865453057706</v>
      </c>
      <c r="M619" t="str">
        <f ca="1">IF(OR((NHL2025_26Results[[#This Row],[Winning Team]]="")),"-",IF(Table4[[#This Row],[Predicted Winner]]=NHL2025_26Results[[#This Row],[Winning Team]],"YES","NO"))</f>
        <v>-</v>
      </c>
      <c r="N619" t="str">
        <f ca="1">IF(Table4[[#This Row],[Adjusted Correct]]="-", "",IF(Table4[[#This Row],[Adjusted Correct]]="YES",(Table4[[#This Row],[Strength of Win]]-1)^2,(Table4[[#This Row],[Strength of Win]]-0)^2))</f>
        <v/>
      </c>
      <c r="P619" s="11"/>
    </row>
    <row r="620" spans="4:16" x14ac:dyDescent="0.2">
      <c r="D620" s="1">
        <v>46021</v>
      </c>
      <c r="E620" s="2">
        <v>0.79166666666666663</v>
      </c>
      <c r="F620" t="s">
        <v>14</v>
      </c>
      <c r="G620">
        <f>VLOOKUP(Table4[[#This Row],[Home]],'NHL Model'!$A$6:$B$38,2,FALSE)</f>
        <v>0.26289091192875702</v>
      </c>
      <c r="H620" t="s">
        <v>25</v>
      </c>
      <c r="I620">
        <f>VLOOKUP(Table4[[#This Row],[Visitor]],'NHL Model'!$A$6:$B$38,2,FALSE)</f>
        <v>0.67193921242367816</v>
      </c>
      <c r="J620">
        <f ca="1">($B$1+Table4[[#This Row],[Home Differential]])-Table4[[#This Row],[Away Differential]]</f>
        <v>-0.24647599083260274</v>
      </c>
      <c r="K620" t="str">
        <f ca="1">IF(Table4[[#This Row],[HomeIce Differential]]&gt;0,Table4[[#This Row],[Home]],Table4[[#This Row],[Visitor]])</f>
        <v>Carolina Hurricanes</v>
      </c>
      <c r="L620" s="11">
        <f ca="1"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0.55028041627791646</v>
      </c>
      <c r="M620" t="str">
        <f ca="1">IF(OR((NHL2025_26Results[[#This Row],[Winning Team]]="")),"-",IF(Table4[[#This Row],[Predicted Winner]]=NHL2025_26Results[[#This Row],[Winning Team]],"YES","NO"))</f>
        <v>-</v>
      </c>
      <c r="N620" t="str">
        <f ca="1">IF(Table4[[#This Row],[Adjusted Correct]]="-", "",IF(Table4[[#This Row],[Adjusted Correct]]="YES",(Table4[[#This Row],[Strength of Win]]-1)^2,(Table4[[#This Row],[Strength of Win]]-0)^2))</f>
        <v/>
      </c>
      <c r="P620" s="11"/>
    </row>
    <row r="621" spans="4:16" x14ac:dyDescent="0.2">
      <c r="D621" s="1">
        <v>46021</v>
      </c>
      <c r="E621" s="2">
        <v>0.79166666666666663</v>
      </c>
      <c r="F621" t="s">
        <v>19</v>
      </c>
      <c r="G621">
        <f>VLOOKUP(Table4[[#This Row],[Home]],'NHL Model'!$A$6:$B$38,2,FALSE)</f>
        <v>-0.635565543477981</v>
      </c>
      <c r="H621" t="s">
        <v>24</v>
      </c>
      <c r="I621">
        <f>VLOOKUP(Table4[[#This Row],[Visitor]],'NHL Model'!$A$6:$B$38,2,FALSE)</f>
        <v>0.559441163373953</v>
      </c>
      <c r="J621">
        <f ca="1">($B$1+Table4[[#This Row],[Home Differential]])-Table4[[#This Row],[Away Differential]]</f>
        <v>-1.0324343971896157</v>
      </c>
      <c r="K621" t="str">
        <f ca="1">IF(Table4[[#This Row],[HomeIce Differential]]&gt;0,Table4[[#This Row],[Home]],Table4[[#This Row],[Visitor]])</f>
        <v>New Jersey Devils</v>
      </c>
      <c r="L621" s="11">
        <f ca="1"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0.66936852030811889</v>
      </c>
      <c r="M621" t="str">
        <f ca="1">IF(OR((NHL2025_26Results[[#This Row],[Winning Team]]="")),"-",IF(Table4[[#This Row],[Predicted Winner]]=NHL2025_26Results[[#This Row],[Winning Team]],"YES","NO"))</f>
        <v>-</v>
      </c>
      <c r="N621" t="str">
        <f ca="1">IF(Table4[[#This Row],[Adjusted Correct]]="-", "",IF(Table4[[#This Row],[Adjusted Correct]]="YES",(Table4[[#This Row],[Strength of Win]]-1)^2,(Table4[[#This Row],[Strength of Win]]-0)^2))</f>
        <v/>
      </c>
      <c r="P621" s="11"/>
    </row>
    <row r="622" spans="4:16" x14ac:dyDescent="0.2">
      <c r="D622" s="1">
        <v>46021</v>
      </c>
      <c r="E622" s="2">
        <v>0.91666666666666663</v>
      </c>
      <c r="F622" t="s">
        <v>38</v>
      </c>
      <c r="G622">
        <f>VLOOKUP(Table4[[#This Row],[Home]],'NHL Model'!$A$6:$B$38,2,FALSE)</f>
        <v>-0.6902088310934803</v>
      </c>
      <c r="H622" t="s">
        <v>27</v>
      </c>
      <c r="I622">
        <f>VLOOKUP(Table4[[#This Row],[Visitor]],'NHL Model'!$A$6:$B$38,2,FALSE)</f>
        <v>-0.51358590497437617</v>
      </c>
      <c r="J622">
        <f ca="1">($B$1+Table4[[#This Row],[Home Differential]])-Table4[[#This Row],[Away Differential]]</f>
        <v>-1.4050616456785736E-2</v>
      </c>
      <c r="K622" t="str">
        <f ca="1">IF(Table4[[#This Row],[HomeIce Differential]]&gt;0,Table4[[#This Row],[Home]],Table4[[#This Row],[Visitor]])</f>
        <v>Philadelphia Flyers</v>
      </c>
      <c r="L622" s="11">
        <f ca="1"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0.46194683464588338</v>
      </c>
      <c r="M622" t="str">
        <f ca="1">IF(OR((NHL2025_26Results[[#This Row],[Winning Team]]="")),"-",IF(Table4[[#This Row],[Predicted Winner]]=NHL2025_26Results[[#This Row],[Winning Team]],"YES","NO"))</f>
        <v>-</v>
      </c>
      <c r="N622" t="str">
        <f ca="1">IF(Table4[[#This Row],[Adjusted Correct]]="-", "",IF(Table4[[#This Row],[Adjusted Correct]]="YES",(Table4[[#This Row],[Strength of Win]]-1)^2,(Table4[[#This Row],[Strength of Win]]-0)^2))</f>
        <v/>
      </c>
      <c r="P622" s="11"/>
    </row>
    <row r="623" spans="4:16" x14ac:dyDescent="0.2">
      <c r="D623" s="1">
        <v>46022</v>
      </c>
      <c r="E623" s="2">
        <v>0.66666666666666663</v>
      </c>
      <c r="F623" t="s">
        <v>31</v>
      </c>
      <c r="G623">
        <f>VLOOKUP(Table4[[#This Row],[Home]],'NHL Model'!$A$6:$B$38,2,FALSE)</f>
        <v>0.51775546328552802</v>
      </c>
      <c r="H623" t="s">
        <v>37</v>
      </c>
      <c r="I623">
        <f>VLOOKUP(Table4[[#This Row],[Visitor]],'NHL Model'!$A$6:$B$38,2,FALSE)</f>
        <v>-0.11309445867623392</v>
      </c>
      <c r="J623">
        <f ca="1">($B$1+Table4[[#This Row],[Home Differential]])-Table4[[#This Row],[Away Differential]]</f>
        <v>0.79342223162408032</v>
      </c>
      <c r="K623" t="str">
        <f ca="1">IF(Table4[[#This Row],[HomeIce Differential]]&gt;0,Table4[[#This Row],[Home]],Table4[[#This Row],[Visitor]])</f>
        <v>Anaheim Ducks</v>
      </c>
      <c r="L623" s="11">
        <f ca="1"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0.70993552447258368</v>
      </c>
      <c r="M623" t="str">
        <f ca="1">IF(OR((NHL2025_26Results[[#This Row],[Winning Team]]="")),"-",IF(Table4[[#This Row],[Predicted Winner]]=NHL2025_26Results[[#This Row],[Winning Team]],"YES","NO"))</f>
        <v>-</v>
      </c>
      <c r="N623" t="str">
        <f ca="1">IF(Table4[[#This Row],[Adjusted Correct]]="-", "",IF(Table4[[#This Row],[Adjusted Correct]]="YES",(Table4[[#This Row],[Strength of Win]]-1)^2,(Table4[[#This Row],[Strength of Win]]-0)^2))</f>
        <v/>
      </c>
      <c r="P623" s="11"/>
    </row>
    <row r="624" spans="4:16" x14ac:dyDescent="0.2">
      <c r="D624" s="1">
        <v>46022</v>
      </c>
      <c r="E624" s="2">
        <v>0.79166666666666663</v>
      </c>
      <c r="F624" t="s">
        <v>28</v>
      </c>
      <c r="G624">
        <f>VLOOKUP(Table4[[#This Row],[Home]],'NHL Model'!$A$6:$B$38,2,FALSE)</f>
        <v>-0.40822279081308277</v>
      </c>
      <c r="H624" t="s">
        <v>24</v>
      </c>
      <c r="I624">
        <f>VLOOKUP(Table4[[#This Row],[Visitor]],'NHL Model'!$A$6:$B$38,2,FALSE)</f>
        <v>0.559441163373953</v>
      </c>
      <c r="J624">
        <f ca="1">($B$1+Table4[[#This Row],[Home Differential]])-Table4[[#This Row],[Away Differential]]</f>
        <v>-0.80509164452471738</v>
      </c>
      <c r="K624" t="str">
        <f ca="1">IF(Table4[[#This Row],[HomeIce Differential]]&gt;0,Table4[[#This Row],[Home]],Table4[[#This Row],[Visitor]])</f>
        <v>New Jersey Devils</v>
      </c>
      <c r="L624" s="11">
        <f ca="1"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0.63786821220848644</v>
      </c>
      <c r="M624" t="str">
        <f ca="1">IF(OR((NHL2025_26Results[[#This Row],[Winning Team]]="")),"-",IF(Table4[[#This Row],[Predicted Winner]]=NHL2025_26Results[[#This Row],[Winning Team]],"YES","NO"))</f>
        <v>-</v>
      </c>
      <c r="N624" t="str">
        <f ca="1">IF(Table4[[#This Row],[Adjusted Correct]]="-", "",IF(Table4[[#This Row],[Adjusted Correct]]="YES",(Table4[[#This Row],[Strength of Win]]-1)^2,(Table4[[#This Row],[Strength of Win]]-0)^2))</f>
        <v/>
      </c>
      <c r="P624" s="11"/>
    </row>
    <row r="625" spans="4:16" x14ac:dyDescent="0.2">
      <c r="D625" s="1">
        <v>46022</v>
      </c>
      <c r="E625" s="2">
        <v>0.89583333333333337</v>
      </c>
      <c r="F625" t="s">
        <v>16</v>
      </c>
      <c r="G625">
        <f>VLOOKUP(Table4[[#This Row],[Home]],'NHL Model'!$A$6:$B$38,2,FALSE)</f>
        <v>-1.3903684122795328</v>
      </c>
      <c r="H625" t="s">
        <v>27</v>
      </c>
      <c r="I625">
        <f>VLOOKUP(Table4[[#This Row],[Visitor]],'NHL Model'!$A$6:$B$38,2,FALSE)</f>
        <v>-0.51358590497437617</v>
      </c>
      <c r="J625">
        <f ca="1">($B$1+Table4[[#This Row],[Home Differential]])-Table4[[#This Row],[Away Differential]]</f>
        <v>-0.71421019764283822</v>
      </c>
      <c r="K625" t="str">
        <f ca="1">IF(Table4[[#This Row],[HomeIce Differential]]&gt;0,Table4[[#This Row],[Home]],Table4[[#This Row],[Visitor]])</f>
        <v>Philadelphia Flyers</v>
      </c>
      <c r="L625" s="11">
        <f ca="1"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0.55896001086434643</v>
      </c>
      <c r="M625" t="str">
        <f ca="1">IF(OR((NHL2025_26Results[[#This Row],[Winning Team]]="")),"-",IF(Table4[[#This Row],[Predicted Winner]]=NHL2025_26Results[[#This Row],[Winning Team]],"YES","NO"))</f>
        <v>-</v>
      </c>
      <c r="N625" t="str">
        <f ca="1">IF(Table4[[#This Row],[Adjusted Correct]]="-", "",IF(Table4[[#This Row],[Adjusted Correct]]="YES",(Table4[[#This Row],[Strength of Win]]-1)^2,(Table4[[#This Row],[Strength of Win]]-0)^2))</f>
        <v/>
      </c>
      <c r="P625" s="11"/>
    </row>
    <row r="626" spans="4:16" x14ac:dyDescent="0.2">
      <c r="D626" s="1">
        <v>46022</v>
      </c>
      <c r="E626" s="2">
        <v>0.875</v>
      </c>
      <c r="F626" t="s">
        <v>12</v>
      </c>
      <c r="G626">
        <f>VLOOKUP(Table4[[#This Row],[Home]],'NHL Model'!$A$6:$B$38,2,FALSE)</f>
        <v>1.5475013591489768</v>
      </c>
      <c r="H626" t="s">
        <v>35</v>
      </c>
      <c r="I626">
        <f>VLOOKUP(Table4[[#This Row],[Visitor]],'NHL Model'!$A$6:$B$38,2,FALSE)</f>
        <v>-1.6211574240381006</v>
      </c>
      <c r="J626">
        <f ca="1">($B$1+Table4[[#This Row],[Home Differential]])-Table4[[#This Row],[Away Differential]]</f>
        <v>3.3312310928493956</v>
      </c>
      <c r="K626" t="str">
        <f ca="1">IF(Table4[[#This Row],[HomeIce Differential]]&gt;0,Table4[[#This Row],[Home]],Table4[[#This Row],[Visitor]])</f>
        <v>Colorado Avalanche</v>
      </c>
      <c r="L626" s="11">
        <f ca="1"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1</v>
      </c>
      <c r="M626" t="str">
        <f ca="1">IF(OR((NHL2025_26Results[[#This Row],[Winning Team]]="")),"-",IF(Table4[[#This Row],[Predicted Winner]]=NHL2025_26Results[[#This Row],[Winning Team]],"YES","NO"))</f>
        <v>-</v>
      </c>
      <c r="N626" t="str">
        <f ca="1">IF(Table4[[#This Row],[Adjusted Correct]]="-", "",IF(Table4[[#This Row],[Adjusted Correct]]="YES",(Table4[[#This Row],[Strength of Win]]-1)^2,(Table4[[#This Row],[Strength of Win]]-0)^2))</f>
        <v/>
      </c>
      <c r="P626" s="11"/>
    </row>
    <row r="627" spans="4:16" x14ac:dyDescent="0.2">
      <c r="D627" s="1">
        <v>46022</v>
      </c>
      <c r="E627" s="2">
        <v>0.83333333333333337</v>
      </c>
      <c r="F627" t="s">
        <v>39</v>
      </c>
      <c r="G627">
        <f>VLOOKUP(Table4[[#This Row],[Home]],'NHL Model'!$A$6:$B$38,2,FALSE)</f>
        <v>0.19809534061227302</v>
      </c>
      <c r="H627" t="s">
        <v>23</v>
      </c>
      <c r="I627">
        <f>VLOOKUP(Table4[[#This Row],[Visitor]],'NHL Model'!$A$6:$B$38,2,FALSE)</f>
        <v>-0.8683412362501769</v>
      </c>
      <c r="J627">
        <f ca="1">($B$1+Table4[[#This Row],[Home Differential]])-Table4[[#This Row],[Away Differential]]</f>
        <v>1.2290088865247684</v>
      </c>
      <c r="K627" t="str">
        <f ca="1">IF(Table4[[#This Row],[HomeIce Differential]]&gt;0,Table4[[#This Row],[Home]],Table4[[#This Row],[Visitor]])</f>
        <v>Dallas Stars</v>
      </c>
      <c r="L627" s="11">
        <f ca="1"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0.73632756531980637</v>
      </c>
      <c r="M627" t="str">
        <f ca="1">IF(OR((NHL2025_26Results[[#This Row],[Winning Team]]="")),"-",IF(Table4[[#This Row],[Predicted Winner]]=NHL2025_26Results[[#This Row],[Winning Team]],"YES","NO"))</f>
        <v>-</v>
      </c>
      <c r="N627" t="str">
        <f ca="1">IF(Table4[[#This Row],[Adjusted Correct]]="-", "",IF(Table4[[#This Row],[Adjusted Correct]]="YES",(Table4[[#This Row],[Strength of Win]]-1)^2,(Table4[[#This Row],[Strength of Win]]-0)^2))</f>
        <v/>
      </c>
      <c r="P627" s="11"/>
    </row>
    <row r="628" spans="4:16" x14ac:dyDescent="0.2">
      <c r="D628" s="1">
        <v>46022</v>
      </c>
      <c r="E628" s="2">
        <v>0.77083333333333337</v>
      </c>
      <c r="F628" t="s">
        <v>26</v>
      </c>
      <c r="G628">
        <f>VLOOKUP(Table4[[#This Row],[Home]],'NHL Model'!$A$6:$B$38,2,FALSE)</f>
        <v>-0.513643833119658</v>
      </c>
      <c r="H628" t="s">
        <v>40</v>
      </c>
      <c r="I628">
        <f>VLOOKUP(Table4[[#This Row],[Visitor]],'NHL Model'!$A$6:$B$38,2,FALSE)</f>
        <v>0.105105258369765</v>
      </c>
      <c r="J628">
        <f ca="1">($B$1+Table4[[#This Row],[Home Differential]])-Table4[[#This Row],[Away Differential]]</f>
        <v>-0.45617678182710464</v>
      </c>
      <c r="K628" t="str">
        <f ca="1">IF(Table4[[#This Row],[HomeIce Differential]]&gt;0,Table4[[#This Row],[Home]],Table4[[#This Row],[Visitor]])</f>
        <v>Winnipeg Jets</v>
      </c>
      <c r="L628" s="11">
        <f ca="1"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0.56320724547851964</v>
      </c>
      <c r="M628" t="str">
        <f ca="1">IF(OR((NHL2025_26Results[[#This Row],[Winning Team]]="")),"-",IF(Table4[[#This Row],[Predicted Winner]]=NHL2025_26Results[[#This Row],[Winning Team]],"YES","NO"))</f>
        <v>-</v>
      </c>
      <c r="N628" t="str">
        <f ca="1">IF(Table4[[#This Row],[Adjusted Correct]]="-", "",IF(Table4[[#This Row],[Adjusted Correct]]="YES",(Table4[[#This Row],[Strength of Win]]-1)^2,(Table4[[#This Row],[Strength of Win]]-0)^2))</f>
        <v/>
      </c>
      <c r="P628" s="11"/>
    </row>
    <row r="629" spans="4:16" x14ac:dyDescent="0.2">
      <c r="D629" s="1">
        <v>46022</v>
      </c>
      <c r="E629" s="2">
        <v>0.89583333333333337</v>
      </c>
      <c r="F629" t="s">
        <v>17</v>
      </c>
      <c r="G629">
        <f>VLOOKUP(Table4[[#This Row],[Home]],'NHL Model'!$A$6:$B$38,2,FALSE)</f>
        <v>-0.61980804137564283</v>
      </c>
      <c r="H629" t="s">
        <v>21</v>
      </c>
      <c r="I629">
        <f>VLOOKUP(Table4[[#This Row],[Visitor]],'NHL Model'!$A$6:$B$38,2,FALSE)</f>
        <v>4.029141914856392E-2</v>
      </c>
      <c r="J629">
        <f ca="1">($B$1+Table4[[#This Row],[Home Differential]])-Table4[[#This Row],[Away Differential]]</f>
        <v>-0.49752715086188837</v>
      </c>
      <c r="K629" t="str">
        <f ca="1">IF(Table4[[#This Row],[HomeIce Differential]]&gt;0,Table4[[#This Row],[Home]],Table4[[#This Row],[Visitor]])</f>
        <v>Boston Bruins</v>
      </c>
      <c r="L629" s="11">
        <f ca="1"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0.49289983101213186</v>
      </c>
      <c r="M629" t="str">
        <f ca="1">IF(OR((NHL2025_26Results[[#This Row],[Winning Team]]="")),"-",IF(Table4[[#This Row],[Predicted Winner]]=NHL2025_26Results[[#This Row],[Winning Team]],"YES","NO"))</f>
        <v>-</v>
      </c>
      <c r="N629" t="str">
        <f ca="1">IF(Table4[[#This Row],[Adjusted Correct]]="-", "",IF(Table4[[#This Row],[Adjusted Correct]]="YES",(Table4[[#This Row],[Strength of Win]]-1)^2,(Table4[[#This Row],[Strength of Win]]-0)^2))</f>
        <v/>
      </c>
      <c r="P629" s="11"/>
    </row>
    <row r="630" spans="4:16" x14ac:dyDescent="0.2">
      <c r="D630" s="1">
        <v>46022</v>
      </c>
      <c r="E630" s="2">
        <v>0.66666666666666663</v>
      </c>
      <c r="F630" t="s">
        <v>33</v>
      </c>
      <c r="G630">
        <f>VLOOKUP(Table4[[#This Row],[Home]],'NHL Model'!$A$6:$B$38,2,FALSE)</f>
        <v>-0.39418177254008485</v>
      </c>
      <c r="H630" t="s">
        <v>34</v>
      </c>
      <c r="I630">
        <f>VLOOKUP(Table4[[#This Row],[Visitor]],'NHL Model'!$A$6:$B$38,2,FALSE)</f>
        <v>-0.53650300840565446</v>
      </c>
      <c r="J630">
        <f ca="1">($B$1+Table4[[#This Row],[Home Differential]])-Table4[[#This Row],[Away Differential]]</f>
        <v>0.304893545527888</v>
      </c>
      <c r="K630" t="str">
        <f ca="1">IF(Table4[[#This Row],[HomeIce Differential]]&gt;0,Table4[[#This Row],[Home]],Table4[[#This Row],[Visitor]])</f>
        <v>San Jose Sharks</v>
      </c>
      <c r="L630" s="11">
        <f ca="1"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0.5822456423577943</v>
      </c>
      <c r="M630" t="str">
        <f ca="1">IF(OR((NHL2025_26Results[[#This Row],[Winning Team]]="")),"-",IF(Table4[[#This Row],[Predicted Winner]]=NHL2025_26Results[[#This Row],[Winning Team]],"YES","NO"))</f>
        <v>-</v>
      </c>
      <c r="N630" t="str">
        <f ca="1">IF(Table4[[#This Row],[Adjusted Correct]]="-", "",IF(Table4[[#This Row],[Adjusted Correct]]="YES",(Table4[[#This Row],[Strength of Win]]-1)^2,(Table4[[#This Row],[Strength of Win]]-0)^2))</f>
        <v/>
      </c>
      <c r="P630" s="11"/>
    </row>
    <row r="631" spans="4:16" x14ac:dyDescent="0.2">
      <c r="D631" s="1">
        <v>46022</v>
      </c>
      <c r="E631" s="2">
        <v>0.625</v>
      </c>
      <c r="F631" t="s">
        <v>20</v>
      </c>
      <c r="G631">
        <f>VLOOKUP(Table4[[#This Row],[Home]],'NHL Model'!$A$6:$B$38,2,FALSE)</f>
        <v>-6.3745791019188943E-4</v>
      </c>
      <c r="H631" t="s">
        <v>29</v>
      </c>
      <c r="I631">
        <f>VLOOKUP(Table4[[#This Row],[Visitor]],'NHL Model'!$A$6:$B$38,2,FALSE)</f>
        <v>-1.3516250707060606</v>
      </c>
      <c r="J631">
        <f ca="1">($B$1+Table4[[#This Row],[Home Differential]])-Table4[[#This Row],[Away Differential]]</f>
        <v>1.513559922458187</v>
      </c>
      <c r="K631" t="str">
        <f ca="1">IF(Table4[[#This Row],[HomeIce Differential]]&gt;0,Table4[[#This Row],[Home]],Table4[[#This Row],[Visitor]])</f>
        <v>Vegas Golden Knights</v>
      </c>
      <c r="L631" s="11">
        <f ca="1"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0.74971684087491064</v>
      </c>
      <c r="M631" t="str">
        <f ca="1">IF(OR((NHL2025_26Results[[#This Row],[Winning Team]]="")),"-",IF(Table4[[#This Row],[Predicted Winner]]=NHL2025_26Results[[#This Row],[Winning Team]],"YES","NO"))</f>
        <v>-</v>
      </c>
      <c r="N631" t="str">
        <f ca="1">IF(Table4[[#This Row],[Adjusted Correct]]="-", "",IF(Table4[[#This Row],[Adjusted Correct]]="YES",(Table4[[#This Row],[Strength of Win]]-1)^2,(Table4[[#This Row],[Strength of Win]]-0)^2))</f>
        <v/>
      </c>
      <c r="P631" s="11"/>
    </row>
    <row r="632" spans="4:16" x14ac:dyDescent="0.2">
      <c r="D632" s="1">
        <v>46022</v>
      </c>
      <c r="E632" s="2">
        <v>0.52083333333333337</v>
      </c>
      <c r="F632" t="s">
        <v>22</v>
      </c>
      <c r="G632">
        <f>VLOOKUP(Table4[[#This Row],[Home]],'NHL Model'!$A$6:$B$38,2,FALSE)</f>
        <v>-6.1308839486784707E-2</v>
      </c>
      <c r="H632" t="s">
        <v>15</v>
      </c>
      <c r="I632">
        <f>VLOOKUP(Table4[[#This Row],[Visitor]],'NHL Model'!$A$6:$B$38,2,FALSE)</f>
        <v>-0.30719665303039001</v>
      </c>
      <c r="J632">
        <f ca="1">($B$1+Table4[[#This Row],[Home Differential]])-Table4[[#This Row],[Away Differential]]</f>
        <v>0.40846012320592373</v>
      </c>
      <c r="K632" t="str">
        <f ca="1">IF(Table4[[#This Row],[HomeIce Differential]]&gt;0,Table4[[#This Row],[Home]],Table4[[#This Row],[Visitor]])</f>
        <v>Washington Capitals</v>
      </c>
      <c r="L632" s="11">
        <f ca="1"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0.45418605045094668</v>
      </c>
      <c r="M632" t="str">
        <f ca="1">IF(OR((NHL2025_26Results[[#This Row],[Winning Team]]="")),"-",IF(Table4[[#This Row],[Predicted Winner]]=NHL2025_26Results[[#This Row],[Winning Team]],"YES","NO"))</f>
        <v>-</v>
      </c>
      <c r="N632" t="str">
        <f ca="1">IF(Table4[[#This Row],[Adjusted Correct]]="-", "",IF(Table4[[#This Row],[Adjusted Correct]]="YES",(Table4[[#This Row],[Strength of Win]]-1)^2,(Table4[[#This Row],[Strength of Win]]-0)^2))</f>
        <v/>
      </c>
      <c r="P632" s="11"/>
    </row>
    <row r="633" spans="4:16" x14ac:dyDescent="0.2">
      <c r="D633" s="1">
        <v>46023</v>
      </c>
      <c r="E633" s="2">
        <v>0.79166666666666663</v>
      </c>
      <c r="F633" t="s">
        <v>25</v>
      </c>
      <c r="G633">
        <f>VLOOKUP(Table4[[#This Row],[Home]],'NHL Model'!$A$6:$B$38,2,FALSE)</f>
        <v>0.67193921242367816</v>
      </c>
      <c r="H633" t="s">
        <v>18</v>
      </c>
      <c r="I633">
        <f>VLOOKUP(Table4[[#This Row],[Visitor]],'NHL Model'!$A$6:$B$38,2,FALSE)</f>
        <v>-0.52437726201848234</v>
      </c>
      <c r="J633">
        <f ca="1">($B$1+Table4[[#This Row],[Home Differential]])-Table4[[#This Row],[Away Differential]]</f>
        <v>1.358888784104479</v>
      </c>
      <c r="K633" t="str">
        <f ca="1">IF(Table4[[#This Row],[HomeIce Differential]]&gt;0,Table4[[#This Row],[Home]],Table4[[#This Row],[Visitor]])</f>
        <v>Carolina Hurricanes</v>
      </c>
      <c r="L633" s="11">
        <f ca="1"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0.70441484682951416</v>
      </c>
      <c r="M633" t="str">
        <f ca="1">IF(OR((NHL2025_26Results[[#This Row],[Winning Team]]="")),"-",IF(Table4[[#This Row],[Predicted Winner]]=NHL2025_26Results[[#This Row],[Winning Team]],"YES","NO"))</f>
        <v>-</v>
      </c>
      <c r="N633" t="str">
        <f ca="1">IF(Table4[[#This Row],[Adjusted Correct]]="-", "",IF(Table4[[#This Row],[Adjusted Correct]]="YES",(Table4[[#This Row],[Strength of Win]]-1)^2,(Table4[[#This Row],[Strength of Win]]-0)^2))</f>
        <v/>
      </c>
      <c r="P633" s="11"/>
    </row>
    <row r="634" spans="4:16" x14ac:dyDescent="0.2">
      <c r="D634" s="1">
        <v>46023</v>
      </c>
      <c r="E634" s="2">
        <v>0.85416666666666663</v>
      </c>
      <c r="F634" t="s">
        <v>10</v>
      </c>
      <c r="G634">
        <f>VLOOKUP(Table4[[#This Row],[Home]],'NHL Model'!$A$6:$B$38,2,FALSE)</f>
        <v>0.30570968833820172</v>
      </c>
      <c r="H634" t="s">
        <v>39</v>
      </c>
      <c r="I634">
        <f>VLOOKUP(Table4[[#This Row],[Visitor]],'NHL Model'!$A$6:$B$38,2,FALSE)</f>
        <v>0.19809534061227302</v>
      </c>
      <c r="J634">
        <f ca="1">($B$1+Table4[[#This Row],[Home Differential]])-Table4[[#This Row],[Away Differential]]</f>
        <v>0.2701866573882471</v>
      </c>
      <c r="K634" t="str">
        <f ca="1">IF(Table4[[#This Row],[HomeIce Differential]]&gt;0,Table4[[#This Row],[Home]],Table4[[#This Row],[Visitor]])</f>
        <v>Chicago Blackhawks</v>
      </c>
      <c r="L634" s="11">
        <f ca="1"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0.48495051445716508</v>
      </c>
      <c r="M634" t="str">
        <f ca="1">IF(OR((NHL2025_26Results[[#This Row],[Winning Team]]="")),"-",IF(Table4[[#This Row],[Predicted Winner]]=NHL2025_26Results[[#This Row],[Winning Team]],"YES","NO"))</f>
        <v>-</v>
      </c>
      <c r="N634" t="str">
        <f ca="1">IF(Table4[[#This Row],[Adjusted Correct]]="-", "",IF(Table4[[#This Row],[Adjusted Correct]]="YES",(Table4[[#This Row],[Strength of Win]]-1)^2,(Table4[[#This Row],[Strength of Win]]-0)^2))</f>
        <v/>
      </c>
      <c r="P634" s="11"/>
    </row>
    <row r="635" spans="4:16" x14ac:dyDescent="0.2">
      <c r="D635" s="1">
        <v>46023</v>
      </c>
      <c r="E635" s="2">
        <v>0.79166666666666663</v>
      </c>
      <c r="F635" t="s">
        <v>13</v>
      </c>
      <c r="G635">
        <f>VLOOKUP(Table4[[#This Row],[Home]],'NHL Model'!$A$6:$B$38,2,FALSE)</f>
        <v>-7.5459708298993802E-2</v>
      </c>
      <c r="H635" t="s">
        <v>37</v>
      </c>
      <c r="I635">
        <f>VLOOKUP(Table4[[#This Row],[Visitor]],'NHL Model'!$A$6:$B$38,2,FALSE)</f>
        <v>-0.11309445867623392</v>
      </c>
      <c r="J635">
        <f ca="1">($B$1+Table4[[#This Row],[Home Differential]])-Table4[[#This Row],[Away Differential]]</f>
        <v>0.20020706003955852</v>
      </c>
      <c r="K635" t="str">
        <f ca="1">IF(Table4[[#This Row],[HomeIce Differential]]&gt;0,Table4[[#This Row],[Home]],Table4[[#This Row],[Visitor]])</f>
        <v>Los Angeles Kings</v>
      </c>
      <c r="L635" s="11">
        <f ca="1"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0.52064103129959727</v>
      </c>
      <c r="M635" t="str">
        <f ca="1">IF(OR((NHL2025_26Results[[#This Row],[Winning Team]]="")),"-",IF(Table4[[#This Row],[Predicted Winner]]=NHL2025_26Results[[#This Row],[Winning Team]],"YES","NO"))</f>
        <v>-</v>
      </c>
      <c r="N635" t="str">
        <f ca="1">IF(Table4[[#This Row],[Adjusted Correct]]="-", "",IF(Table4[[#This Row],[Adjusted Correct]]="YES",(Table4[[#This Row],[Strength of Win]]-1)^2,(Table4[[#This Row],[Strength of Win]]-0)^2))</f>
        <v/>
      </c>
      <c r="P635" s="11"/>
    </row>
    <row r="636" spans="4:16" x14ac:dyDescent="0.2">
      <c r="D636" s="1">
        <v>46023</v>
      </c>
      <c r="E636" s="2">
        <v>0.625</v>
      </c>
      <c r="F636" t="s">
        <v>30</v>
      </c>
      <c r="G636">
        <f>VLOOKUP(Table4[[#This Row],[Home]],'NHL Model'!$A$6:$B$38,2,FALSE)</f>
        <v>-6.4729560818359025E-2</v>
      </c>
      <c r="H636" t="s">
        <v>55</v>
      </c>
      <c r="I636">
        <f>VLOOKUP(Table4[[#This Row],[Visitor]],'NHL Model'!$A$6:$B$38,2,FALSE)</f>
        <v>-0.12212311954851815</v>
      </c>
      <c r="J636">
        <f ca="1">($B$1+Table4[[#This Row],[Home Differential]])-Table4[[#This Row],[Away Differential]]</f>
        <v>0.2199658683924775</v>
      </c>
      <c r="K636" t="str">
        <f ca="1">IF(Table4[[#This Row],[HomeIce Differential]]&gt;0,Table4[[#This Row],[Home]],Table4[[#This Row],[Visitor]])</f>
        <v>New York Islanders</v>
      </c>
      <c r="L636" s="11">
        <f ca="1"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0.57047817686970448</v>
      </c>
      <c r="M636" t="str">
        <f ca="1">IF(OR((NHL2025_26Results[[#This Row],[Winning Team]]="")),"-",IF(Table4[[#This Row],[Predicted Winner]]=NHL2025_26Results[[#This Row],[Winning Team]],"YES","NO"))</f>
        <v>-</v>
      </c>
      <c r="N636" t="str">
        <f ca="1">IF(Table4[[#This Row],[Adjusted Correct]]="-", "",IF(Table4[[#This Row],[Adjusted Correct]]="YES",(Table4[[#This Row],[Strength of Win]]-1)^2,(Table4[[#This Row],[Strength of Win]]-0)^2))</f>
        <v/>
      </c>
      <c r="P636" s="11"/>
    </row>
    <row r="637" spans="4:16" x14ac:dyDescent="0.2">
      <c r="D637" s="1">
        <v>46023</v>
      </c>
      <c r="E637" s="2">
        <v>0.54166666666666663</v>
      </c>
      <c r="F637" t="s">
        <v>36</v>
      </c>
      <c r="G637">
        <f>VLOOKUP(Table4[[#This Row],[Home]],'NHL Model'!$A$6:$B$38,2,FALSE)</f>
        <v>-0.40651947573390851</v>
      </c>
      <c r="H637" t="s">
        <v>22</v>
      </c>
      <c r="I637">
        <f>VLOOKUP(Table4[[#This Row],[Visitor]],'NHL Model'!$A$6:$B$38,2,FALSE)</f>
        <v>-6.1308839486784707E-2</v>
      </c>
      <c r="J637">
        <f ca="1">($B$1+Table4[[#This Row],[Home Differential]])-Table4[[#This Row],[Away Differential]]</f>
        <v>-0.18263832658480542</v>
      </c>
      <c r="K637" t="str">
        <f ca="1">IF(Table4[[#This Row],[HomeIce Differential]]&gt;0,Table4[[#This Row],[Home]],Table4[[#This Row],[Visitor]])</f>
        <v>Washington Capitals</v>
      </c>
      <c r="L637" s="11">
        <f ca="1"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0.48281064333875595</v>
      </c>
      <c r="M637" t="str">
        <f ca="1">IF(OR((NHL2025_26Results[[#This Row],[Winning Team]]="")),"-",IF(Table4[[#This Row],[Predicted Winner]]=NHL2025_26Results[[#This Row],[Winning Team]],"YES","NO"))</f>
        <v>-</v>
      </c>
      <c r="N637" t="str">
        <f ca="1">IF(Table4[[#This Row],[Adjusted Correct]]="-", "",IF(Table4[[#This Row],[Adjusted Correct]]="YES",(Table4[[#This Row],[Strength of Win]]-1)^2,(Table4[[#This Row],[Strength of Win]]-0)^2))</f>
        <v/>
      </c>
      <c r="P637" s="11"/>
    </row>
    <row r="638" spans="4:16" x14ac:dyDescent="0.2">
      <c r="D638" s="1">
        <v>46023</v>
      </c>
      <c r="E638" s="2">
        <v>0.79166666666666663</v>
      </c>
      <c r="F638" t="s">
        <v>14</v>
      </c>
      <c r="G638">
        <f>VLOOKUP(Table4[[#This Row],[Home]],'NHL Model'!$A$6:$B$38,2,FALSE)</f>
        <v>0.26289091192875702</v>
      </c>
      <c r="H638" t="s">
        <v>26</v>
      </c>
      <c r="I638">
        <f>VLOOKUP(Table4[[#This Row],[Visitor]],'NHL Model'!$A$6:$B$38,2,FALSE)</f>
        <v>-0.513643833119658</v>
      </c>
      <c r="J638">
        <f ca="1">($B$1+Table4[[#This Row],[Home Differential]])-Table4[[#This Row],[Away Differential]]</f>
        <v>0.93910705471073341</v>
      </c>
      <c r="K638" t="str">
        <f ca="1">IF(Table4[[#This Row],[HomeIce Differential]]&gt;0,Table4[[#This Row],[Home]],Table4[[#This Row],[Visitor]])</f>
        <v>Pittsburgh Penguins</v>
      </c>
      <c r="L638" s="11">
        <f ca="1"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0.6595331836434386</v>
      </c>
      <c r="M638" t="str">
        <f ca="1">IF(OR((NHL2025_26Results[[#This Row],[Winning Team]]="")),"-",IF(Table4[[#This Row],[Predicted Winner]]=NHL2025_26Results[[#This Row],[Winning Team]],"YES","NO"))</f>
        <v>-</v>
      </c>
      <c r="N638" t="str">
        <f ca="1">IF(Table4[[#This Row],[Adjusted Correct]]="-", "",IF(Table4[[#This Row],[Adjusted Correct]]="YES",(Table4[[#This Row],[Strength of Win]]-1)^2,(Table4[[#This Row],[Strength of Win]]-0)^2))</f>
        <v/>
      </c>
      <c r="P638" s="11"/>
    </row>
    <row r="639" spans="4:16" x14ac:dyDescent="0.2">
      <c r="D639" s="1">
        <v>46023</v>
      </c>
      <c r="E639" s="2">
        <v>0.91666666666666663</v>
      </c>
      <c r="F639" t="s">
        <v>32</v>
      </c>
      <c r="G639">
        <f>VLOOKUP(Table4[[#This Row],[Home]],'NHL Model'!$A$6:$B$38,2,FALSE)</f>
        <v>-0.361361309178443</v>
      </c>
      <c r="H639" t="s">
        <v>29</v>
      </c>
      <c r="I639">
        <f>VLOOKUP(Table4[[#This Row],[Visitor]],'NHL Model'!$A$6:$B$38,2,FALSE)</f>
        <v>-1.3516250707060606</v>
      </c>
      <c r="J639">
        <f ca="1">($B$1+Table4[[#This Row],[Home Differential]])-Table4[[#This Row],[Away Differential]]</f>
        <v>1.1528360711899359</v>
      </c>
      <c r="K639" t="str">
        <f ca="1">IF(Table4[[#This Row],[HomeIce Differential]]&gt;0,Table4[[#This Row],[Home]],Table4[[#This Row],[Visitor]])</f>
        <v>Seattle Kraken</v>
      </c>
      <c r="L639" s="11">
        <f ca="1"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0.72577316178709106</v>
      </c>
      <c r="M639" t="str">
        <f ca="1">IF(OR((NHL2025_26Results[[#This Row],[Winning Team]]="")),"-",IF(Table4[[#This Row],[Predicted Winner]]=NHL2025_26Results[[#This Row],[Winning Team]],"YES","NO"))</f>
        <v>-</v>
      </c>
      <c r="N639" t="str">
        <f ca="1">IF(Table4[[#This Row],[Adjusted Correct]]="-", "",IF(Table4[[#This Row],[Adjusted Correct]]="YES",(Table4[[#This Row],[Strength of Win]]-1)^2,(Table4[[#This Row],[Strength of Win]]-0)^2))</f>
        <v/>
      </c>
      <c r="P639" s="11"/>
    </row>
    <row r="640" spans="4:16" x14ac:dyDescent="0.2">
      <c r="D640" s="1">
        <v>46023</v>
      </c>
      <c r="E640" s="2">
        <v>0.79166666666666663</v>
      </c>
      <c r="F640" t="s">
        <v>19</v>
      </c>
      <c r="G640">
        <f>VLOOKUP(Table4[[#This Row],[Home]],'NHL Model'!$A$6:$B$38,2,FALSE)</f>
        <v>-0.635565543477981</v>
      </c>
      <c r="H640" t="s">
        <v>40</v>
      </c>
      <c r="I640">
        <f>VLOOKUP(Table4[[#This Row],[Visitor]],'NHL Model'!$A$6:$B$38,2,FALSE)</f>
        <v>0.105105258369765</v>
      </c>
      <c r="J640">
        <f ca="1">($B$1+Table4[[#This Row],[Home Differential]])-Table4[[#This Row],[Away Differential]]</f>
        <v>-0.57809849218542764</v>
      </c>
      <c r="K640" t="str">
        <f ca="1">IF(Table4[[#This Row],[HomeIce Differential]]&gt;0,Table4[[#This Row],[Home]],Table4[[#This Row],[Visitor]])</f>
        <v>Winnipeg Jets</v>
      </c>
      <c r="L640" s="11">
        <f ca="1"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0.60641634426293556</v>
      </c>
      <c r="M640" t="str">
        <f ca="1">IF(OR((NHL2025_26Results[[#This Row],[Winning Team]]="")),"-",IF(Table4[[#This Row],[Predicted Winner]]=NHL2025_26Results[[#This Row],[Winning Team]],"YES","NO"))</f>
        <v>-</v>
      </c>
      <c r="N640" t="str">
        <f ca="1">IF(Table4[[#This Row],[Adjusted Correct]]="-", "",IF(Table4[[#This Row],[Adjusted Correct]]="YES",(Table4[[#This Row],[Strength of Win]]-1)^2,(Table4[[#This Row],[Strength of Win]]-0)^2))</f>
        <v/>
      </c>
      <c r="P640" s="11"/>
    </row>
    <row r="641" spans="4:16" x14ac:dyDescent="0.2">
      <c r="D641" s="1">
        <v>46024</v>
      </c>
      <c r="E641" s="2">
        <v>0.9375</v>
      </c>
      <c r="F641" t="s">
        <v>31</v>
      </c>
      <c r="G641">
        <f>VLOOKUP(Table4[[#This Row],[Home]],'NHL Model'!$A$6:$B$38,2,FALSE)</f>
        <v>0.51775546328552802</v>
      </c>
      <c r="H641" t="s">
        <v>34</v>
      </c>
      <c r="I641">
        <f>VLOOKUP(Table4[[#This Row],[Visitor]],'NHL Model'!$A$6:$B$38,2,FALSE)</f>
        <v>-0.53650300840565446</v>
      </c>
      <c r="J641">
        <f ca="1">($B$1+Table4[[#This Row],[Home Differential]])-Table4[[#This Row],[Away Differential]]</f>
        <v>1.2168307813535009</v>
      </c>
      <c r="K641" t="str">
        <f ca="1">IF(Table4[[#This Row],[HomeIce Differential]]&gt;0,Table4[[#This Row],[Home]],Table4[[#This Row],[Visitor]])</f>
        <v>Anaheim Ducks</v>
      </c>
      <c r="L641" s="11">
        <f ca="1"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0.8129323443942964</v>
      </c>
      <c r="M641" t="str">
        <f ca="1">IF(OR((NHL2025_26Results[[#This Row],[Winning Team]]="")),"-",IF(Table4[[#This Row],[Predicted Winner]]=NHL2025_26Results[[#This Row],[Winning Team]],"YES","NO"))</f>
        <v>-</v>
      </c>
      <c r="N641" t="str">
        <f ca="1">IF(Table4[[#This Row],[Adjusted Correct]]="-", "",IF(Table4[[#This Row],[Adjusted Correct]]="YES",(Table4[[#This Row],[Strength of Win]]-1)^2,(Table4[[#This Row],[Strength of Win]]-0)^2))</f>
        <v/>
      </c>
      <c r="P641" s="11"/>
    </row>
    <row r="642" spans="4:16" x14ac:dyDescent="0.2">
      <c r="D642" s="1">
        <v>46024</v>
      </c>
      <c r="E642" s="2">
        <v>0.83333333333333337</v>
      </c>
      <c r="F642" t="s">
        <v>11</v>
      </c>
      <c r="G642">
        <f>VLOOKUP(Table4[[#This Row],[Home]],'NHL Model'!$A$6:$B$38,2,FALSE)</f>
        <v>-0.28105923893144158</v>
      </c>
      <c r="H642" t="s">
        <v>15</v>
      </c>
      <c r="I642">
        <f>VLOOKUP(Table4[[#This Row],[Visitor]],'NHL Model'!$A$6:$B$38,2,FALSE)</f>
        <v>-0.30719665303039001</v>
      </c>
      <c r="J642">
        <f ca="1">($B$1+Table4[[#This Row],[Home Differential]])-Table4[[#This Row],[Away Differential]]</f>
        <v>0.18870972376126682</v>
      </c>
      <c r="K642" t="str">
        <f ca="1">IF(Table4[[#This Row],[HomeIce Differential]]&gt;0,Table4[[#This Row],[Home]],Table4[[#This Row],[Visitor]])</f>
        <v>Florida Panthers</v>
      </c>
      <c r="L642" s="11">
        <f ca="1"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0.47512695906175656</v>
      </c>
      <c r="M642" t="str">
        <f ca="1">IF(OR((NHL2025_26Results[[#This Row],[Winning Team]]="")),"-",IF(Table4[[#This Row],[Predicted Winner]]=NHL2025_26Results[[#This Row],[Winning Team]],"YES","NO"))</f>
        <v>-</v>
      </c>
      <c r="N642" t="str">
        <f ca="1">IF(Table4[[#This Row],[Adjusted Correct]]="-", "",IF(Table4[[#This Row],[Adjusted Correct]]="YES",(Table4[[#This Row],[Strength of Win]]-1)^2,(Table4[[#This Row],[Strength of Win]]-0)^2))</f>
        <v/>
      </c>
      <c r="P642" s="11"/>
    </row>
    <row r="643" spans="4:16" x14ac:dyDescent="0.2">
      <c r="D643" s="1">
        <v>46024</v>
      </c>
      <c r="E643" s="2">
        <v>0.625</v>
      </c>
      <c r="F643" t="s">
        <v>35</v>
      </c>
      <c r="G643">
        <f>VLOOKUP(Table4[[#This Row],[Home]],'NHL Model'!$A$6:$B$38,2,FALSE)</f>
        <v>-1.6211574240381006</v>
      </c>
      <c r="H643" t="s">
        <v>20</v>
      </c>
      <c r="I643">
        <f>VLOOKUP(Table4[[#This Row],[Visitor]],'NHL Model'!$A$6:$B$38,2,FALSE)</f>
        <v>-6.3745791019188943E-4</v>
      </c>
      <c r="J643">
        <f ca="1">($B$1+Table4[[#This Row],[Home Differential]])-Table4[[#This Row],[Away Differential]]</f>
        <v>-1.4579476564655902</v>
      </c>
      <c r="K643" t="str">
        <f ca="1">IF(Table4[[#This Row],[HomeIce Differential]]&gt;0,Table4[[#This Row],[Home]],Table4[[#This Row],[Visitor]])</f>
        <v>Vegas Golden Knights</v>
      </c>
      <c r="L643" s="11">
        <f ca="1"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0.68278051036122833</v>
      </c>
      <c r="M643" t="str">
        <f ca="1">IF(OR((NHL2025_26Results[[#This Row],[Winning Team]]="")),"-",IF(Table4[[#This Row],[Predicted Winner]]=NHL2025_26Results[[#This Row],[Winning Team]],"YES","NO"))</f>
        <v>-</v>
      </c>
      <c r="N643" t="str">
        <f ca="1">IF(Table4[[#This Row],[Adjusted Correct]]="-", "",IF(Table4[[#This Row],[Adjusted Correct]]="YES",(Table4[[#This Row],[Strength of Win]]-1)^2,(Table4[[#This Row],[Strength of Win]]-0)^2))</f>
        <v/>
      </c>
      <c r="P643" s="11"/>
    </row>
    <row r="644" spans="4:16" x14ac:dyDescent="0.2">
      <c r="D644" s="1">
        <v>46024</v>
      </c>
      <c r="E644" s="2">
        <v>0.9375</v>
      </c>
      <c r="F644" t="s">
        <v>38</v>
      </c>
      <c r="G644">
        <f>VLOOKUP(Table4[[#This Row],[Home]],'NHL Model'!$A$6:$B$38,2,FALSE)</f>
        <v>-0.6902088310934803</v>
      </c>
      <c r="H644" t="s">
        <v>32</v>
      </c>
      <c r="I644">
        <f>VLOOKUP(Table4[[#This Row],[Visitor]],'NHL Model'!$A$6:$B$38,2,FALSE)</f>
        <v>-0.361361309178443</v>
      </c>
      <c r="J644">
        <f ca="1">($B$1+Table4[[#This Row],[Home Differential]])-Table4[[#This Row],[Away Differential]]</f>
        <v>-0.16627521225271891</v>
      </c>
      <c r="K644" t="str">
        <f ca="1">IF(Table4[[#This Row],[HomeIce Differential]]&gt;0,Table4[[#This Row],[Home]],Table4[[#This Row],[Visitor]])</f>
        <v>Seattle Kraken</v>
      </c>
      <c r="L644" s="11">
        <f ca="1"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0.48303887128090151</v>
      </c>
      <c r="M644" t="str">
        <f ca="1">IF(OR((NHL2025_26Results[[#This Row],[Winning Team]]="")),"-",IF(Table4[[#This Row],[Predicted Winner]]=NHL2025_26Results[[#This Row],[Winning Team]],"YES","NO"))</f>
        <v>-</v>
      </c>
      <c r="N644" t="str">
        <f ca="1">IF(Table4[[#This Row],[Adjusted Correct]]="-", "",IF(Table4[[#This Row],[Adjusted Correct]]="YES",(Table4[[#This Row],[Strength of Win]]-1)^2,(Table4[[#This Row],[Strength of Win]]-0)^2))</f>
        <v/>
      </c>
      <c r="P644" s="11"/>
    </row>
    <row r="645" spans="4:16" x14ac:dyDescent="0.2">
      <c r="D645" s="1">
        <v>46025</v>
      </c>
      <c r="E645" s="2">
        <v>0.79166666666666663</v>
      </c>
      <c r="F645" t="s">
        <v>25</v>
      </c>
      <c r="G645">
        <f>VLOOKUP(Table4[[#This Row],[Home]],'NHL Model'!$A$6:$B$38,2,FALSE)</f>
        <v>0.67193921242367816</v>
      </c>
      <c r="H645" t="s">
        <v>12</v>
      </c>
      <c r="I645">
        <f>VLOOKUP(Table4[[#This Row],[Visitor]],'NHL Model'!$A$6:$B$38,2,FALSE)</f>
        <v>1.5475013591489768</v>
      </c>
      <c r="J645">
        <f ca="1">($B$1+Table4[[#This Row],[Home Differential]])-Table4[[#This Row],[Away Differential]]</f>
        <v>-0.71298983706298025</v>
      </c>
      <c r="K645" t="str">
        <f ca="1">IF(Table4[[#This Row],[HomeIce Differential]]&gt;0,Table4[[#This Row],[Home]],Table4[[#This Row],[Visitor]])</f>
        <v>Colorado Avalanche</v>
      </c>
      <c r="L645" s="11">
        <f ca="1"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0.57247512985900995</v>
      </c>
      <c r="M645" t="str">
        <f ca="1">IF(OR((NHL2025_26Results[[#This Row],[Winning Team]]="")),"-",IF(Table4[[#This Row],[Predicted Winner]]=NHL2025_26Results[[#This Row],[Winning Team]],"YES","NO"))</f>
        <v>-</v>
      </c>
      <c r="N645" t="str">
        <f ca="1">IF(Table4[[#This Row],[Adjusted Correct]]="-", "",IF(Table4[[#This Row],[Adjusted Correct]]="YES",(Table4[[#This Row],[Strength of Win]]-1)^2,(Table4[[#This Row],[Strength of Win]]-0)^2))</f>
        <v/>
      </c>
      <c r="P645" s="11"/>
    </row>
    <row r="646" spans="4:16" x14ac:dyDescent="0.2">
      <c r="D646" s="1">
        <v>46025</v>
      </c>
      <c r="E646" s="2">
        <v>0.625</v>
      </c>
      <c r="F646" t="s">
        <v>28</v>
      </c>
      <c r="G646">
        <f>VLOOKUP(Table4[[#This Row],[Home]],'NHL Model'!$A$6:$B$38,2,FALSE)</f>
        <v>-0.40822279081308277</v>
      </c>
      <c r="H646" t="s">
        <v>23</v>
      </c>
      <c r="I646">
        <f>VLOOKUP(Table4[[#This Row],[Visitor]],'NHL Model'!$A$6:$B$38,2,FALSE)</f>
        <v>-0.8683412362501769</v>
      </c>
      <c r="J646">
        <f ca="1">($B$1+Table4[[#This Row],[Home Differential]])-Table4[[#This Row],[Away Differential]]</f>
        <v>0.62269075509941252</v>
      </c>
      <c r="K646" t="str">
        <f ca="1">IF(Table4[[#This Row],[HomeIce Differential]]&gt;0,Table4[[#This Row],[Home]],Table4[[#This Row],[Visitor]])</f>
        <v>Columbus Blue Jackets</v>
      </c>
      <c r="L646" s="11">
        <f ca="1"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0.62627919916733199</v>
      </c>
      <c r="M646" t="str">
        <f ca="1">IF(OR((NHL2025_26Results[[#This Row],[Winning Team]]="")),"-",IF(Table4[[#This Row],[Predicted Winner]]=NHL2025_26Results[[#This Row],[Winning Team]],"YES","NO"))</f>
        <v>-</v>
      </c>
      <c r="N646" t="str">
        <f ca="1">IF(Table4[[#This Row],[Adjusted Correct]]="-", "",IF(Table4[[#This Row],[Adjusted Correct]]="YES",(Table4[[#This Row],[Strength of Win]]-1)^2,(Table4[[#This Row],[Strength of Win]]-0)^2))</f>
        <v/>
      </c>
      <c r="P646" s="11"/>
    </row>
    <row r="647" spans="4:16" x14ac:dyDescent="0.2">
      <c r="D647" s="1">
        <v>46025</v>
      </c>
      <c r="E647" s="2">
        <v>0.79166666666666663</v>
      </c>
      <c r="F647" t="s">
        <v>16</v>
      </c>
      <c r="G647">
        <f>VLOOKUP(Table4[[#This Row],[Home]],'NHL Model'!$A$6:$B$38,2,FALSE)</f>
        <v>-1.3903684122795328</v>
      </c>
      <c r="H647" t="s">
        <v>29</v>
      </c>
      <c r="I647">
        <f>VLOOKUP(Table4[[#This Row],[Visitor]],'NHL Model'!$A$6:$B$38,2,FALSE)</f>
        <v>-1.3516250707060606</v>
      </c>
      <c r="J647">
        <f ca="1">($B$1+Table4[[#This Row],[Home Differential]])-Table4[[#This Row],[Away Differential]]</f>
        <v>0.12382896808884625</v>
      </c>
      <c r="K647" t="str">
        <f ca="1">IF(Table4[[#This Row],[HomeIce Differential]]&gt;0,Table4[[#This Row],[Home]],Table4[[#This Row],[Visitor]])</f>
        <v>Calgary Flames</v>
      </c>
      <c r="L647" s="11">
        <f ca="1"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0.55715757639394714</v>
      </c>
      <c r="M647" t="str">
        <f ca="1">IF(OR((NHL2025_26Results[[#This Row],[Winning Team]]="")),"-",IF(Table4[[#This Row],[Predicted Winner]]=NHL2025_26Results[[#This Row],[Winning Team]],"YES","NO"))</f>
        <v>-</v>
      </c>
      <c r="N647" t="str">
        <f ca="1">IF(Table4[[#This Row],[Adjusted Correct]]="-", "",IF(Table4[[#This Row],[Adjusted Correct]]="YES",(Table4[[#This Row],[Strength of Win]]-1)^2,(Table4[[#This Row],[Strength of Win]]-0)^2))</f>
        <v/>
      </c>
      <c r="P647" s="11"/>
    </row>
    <row r="648" spans="4:16" x14ac:dyDescent="0.2">
      <c r="D648" s="1">
        <v>46025</v>
      </c>
      <c r="E648" s="2">
        <v>0.5</v>
      </c>
      <c r="F648" t="s">
        <v>26</v>
      </c>
      <c r="G648">
        <f>VLOOKUP(Table4[[#This Row],[Home]],'NHL Model'!$A$6:$B$38,2,FALSE)</f>
        <v>-0.513643833119658</v>
      </c>
      <c r="H648" t="s">
        <v>14</v>
      </c>
      <c r="I648">
        <f>VLOOKUP(Table4[[#This Row],[Visitor]],'NHL Model'!$A$6:$B$38,2,FALSE)</f>
        <v>0.26289091192875702</v>
      </c>
      <c r="J648">
        <f ca="1">($B$1+Table4[[#This Row],[Home Differential]])-Table4[[#This Row],[Away Differential]]</f>
        <v>-0.61396243538609663</v>
      </c>
      <c r="K648" t="str">
        <f ca="1">IF(Table4[[#This Row],[HomeIce Differential]]&gt;0,Table4[[#This Row],[Home]],Table4[[#This Row],[Visitor]])</f>
        <v>Pittsburgh Penguins</v>
      </c>
      <c r="L648" s="11">
        <f ca="1"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0.51903207899905401</v>
      </c>
      <c r="M648" t="str">
        <f ca="1">IF(OR((NHL2025_26Results[[#This Row],[Winning Team]]="")),"-",IF(Table4[[#This Row],[Predicted Winner]]=NHL2025_26Results[[#This Row],[Winning Team]],"YES","NO"))</f>
        <v>-</v>
      </c>
      <c r="N648" t="str">
        <f ca="1">IF(Table4[[#This Row],[Adjusted Correct]]="-", "",IF(Table4[[#This Row],[Adjusted Correct]]="YES",(Table4[[#This Row],[Strength of Win]]-1)^2,(Table4[[#This Row],[Strength of Win]]-0)^2))</f>
        <v/>
      </c>
      <c r="P648" s="11"/>
    </row>
    <row r="649" spans="4:16" x14ac:dyDescent="0.2">
      <c r="D649" s="1">
        <v>46025</v>
      </c>
      <c r="E649" s="2">
        <v>0.64583333333333337</v>
      </c>
      <c r="F649" t="s">
        <v>17</v>
      </c>
      <c r="G649">
        <f>VLOOKUP(Table4[[#This Row],[Home]],'NHL Model'!$A$6:$B$38,2,FALSE)</f>
        <v>-0.61980804137564283</v>
      </c>
      <c r="H649" t="s">
        <v>27</v>
      </c>
      <c r="I649">
        <f>VLOOKUP(Table4[[#This Row],[Visitor]],'NHL Model'!$A$6:$B$38,2,FALSE)</f>
        <v>-0.51358590497437617</v>
      </c>
      <c r="J649">
        <f ca="1">($B$1+Table4[[#This Row],[Home Differential]])-Table4[[#This Row],[Away Differential]]</f>
        <v>5.6350173261051739E-2</v>
      </c>
      <c r="K649" t="str">
        <f ca="1">IF(Table4[[#This Row],[HomeIce Differential]]&gt;0,Table4[[#This Row],[Home]],Table4[[#This Row],[Visitor]])</f>
        <v>Edmonton Oilers</v>
      </c>
      <c r="L649" s="11">
        <f ca="1"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0.583844671087699</v>
      </c>
      <c r="M649" t="str">
        <f ca="1">IF(OR((NHL2025_26Results[[#This Row],[Winning Team]]="")),"-",IF(Table4[[#This Row],[Predicted Winner]]=NHL2025_26Results[[#This Row],[Winning Team]],"YES","NO"))</f>
        <v>-</v>
      </c>
      <c r="N649" t="str">
        <f ca="1">IF(Table4[[#This Row],[Adjusted Correct]]="-", "",IF(Table4[[#This Row],[Adjusted Correct]]="YES",(Table4[[#This Row],[Strength of Win]]-1)^2,(Table4[[#This Row],[Strength of Win]]-0)^2))</f>
        <v/>
      </c>
      <c r="P649" s="11"/>
    </row>
    <row r="650" spans="4:16" x14ac:dyDescent="0.2">
      <c r="D650" s="1">
        <v>46025</v>
      </c>
      <c r="E650" s="2">
        <v>0.875</v>
      </c>
      <c r="F650" t="s">
        <v>13</v>
      </c>
      <c r="G650">
        <f>VLOOKUP(Table4[[#This Row],[Home]],'NHL Model'!$A$6:$B$38,2,FALSE)</f>
        <v>-7.5459708298993802E-2</v>
      </c>
      <c r="H650" t="s">
        <v>34</v>
      </c>
      <c r="I650">
        <f>VLOOKUP(Table4[[#This Row],[Visitor]],'NHL Model'!$A$6:$B$38,2,FALSE)</f>
        <v>-0.53650300840565446</v>
      </c>
      <c r="J650">
        <f ca="1">($B$1+Table4[[#This Row],[Home Differential]])-Table4[[#This Row],[Away Differential]]</f>
        <v>0.62361560976897901</v>
      </c>
      <c r="K650" t="str">
        <f ca="1">IF(Table4[[#This Row],[HomeIce Differential]]&gt;0,Table4[[#This Row],[Home]],Table4[[#This Row],[Visitor]])</f>
        <v>Los Angeles Kings</v>
      </c>
      <c r="L650" s="11">
        <f ca="1"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0.62640734579482393</v>
      </c>
      <c r="M650" t="str">
        <f ca="1">IF(OR((NHL2025_26Results[[#This Row],[Winning Team]]="")),"-",IF(Table4[[#This Row],[Predicted Winner]]=NHL2025_26Results[[#This Row],[Winning Team]],"YES","NO"))</f>
        <v>-</v>
      </c>
      <c r="N650" t="str">
        <f ca="1">IF(Table4[[#This Row],[Adjusted Correct]]="-", "",IF(Table4[[#This Row],[Adjusted Correct]]="YES",(Table4[[#This Row],[Strength of Win]]-1)^2,(Table4[[#This Row],[Strength of Win]]-0)^2))</f>
        <v/>
      </c>
      <c r="P650" s="11"/>
    </row>
    <row r="651" spans="4:16" x14ac:dyDescent="0.2">
      <c r="D651" s="1">
        <v>46025</v>
      </c>
      <c r="E651" s="2">
        <v>0.625</v>
      </c>
      <c r="F651" t="s">
        <v>24</v>
      </c>
      <c r="G651">
        <f>VLOOKUP(Table4[[#This Row],[Home]],'NHL Model'!$A$6:$B$38,2,FALSE)</f>
        <v>0.559441163373953</v>
      </c>
      <c r="H651" t="s">
        <v>55</v>
      </c>
      <c r="I651">
        <f>VLOOKUP(Table4[[#This Row],[Visitor]],'NHL Model'!$A$6:$B$38,2,FALSE)</f>
        <v>-0.12212311954851815</v>
      </c>
      <c r="J651">
        <f ca="1">($B$1+Table4[[#This Row],[Home Differential]])-Table4[[#This Row],[Away Differential]]</f>
        <v>0.84413659258478957</v>
      </c>
      <c r="K651" t="str">
        <f ca="1">IF(Table4[[#This Row],[HomeIce Differential]]&gt;0,Table4[[#This Row],[Home]],Table4[[#This Row],[Visitor]])</f>
        <v>New Jersey Devils</v>
      </c>
      <c r="L651" s="11">
        <f ca="1"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0.77239315018792898</v>
      </c>
      <c r="M651" t="str">
        <f ca="1">IF(OR((NHL2025_26Results[[#This Row],[Winning Team]]="")),"-",IF(Table4[[#This Row],[Predicted Winner]]=NHL2025_26Results[[#This Row],[Winning Team]],"YES","NO"))</f>
        <v>-</v>
      </c>
      <c r="N651" t="str">
        <f ca="1">IF(Table4[[#This Row],[Adjusted Correct]]="-", "",IF(Table4[[#This Row],[Adjusted Correct]]="YES",(Table4[[#This Row],[Strength of Win]]-1)^2,(Table4[[#This Row],[Strength of Win]]-0)^2))</f>
        <v/>
      </c>
      <c r="P651" s="11"/>
    </row>
    <row r="652" spans="4:16" x14ac:dyDescent="0.2">
      <c r="D652" s="1">
        <v>46025</v>
      </c>
      <c r="E652" s="2">
        <v>0.79166666666666663</v>
      </c>
      <c r="F652" t="s">
        <v>30</v>
      </c>
      <c r="G652">
        <f>VLOOKUP(Table4[[#This Row],[Home]],'NHL Model'!$A$6:$B$38,2,FALSE)</f>
        <v>-6.4729560818359025E-2</v>
      </c>
      <c r="H652" t="s">
        <v>19</v>
      </c>
      <c r="I652">
        <f>VLOOKUP(Table4[[#This Row],[Visitor]],'NHL Model'!$A$6:$B$38,2,FALSE)</f>
        <v>-0.635565543477981</v>
      </c>
      <c r="J652">
        <f ca="1">($B$1+Table4[[#This Row],[Home Differential]])-Table4[[#This Row],[Away Differential]]</f>
        <v>0.73340829232194038</v>
      </c>
      <c r="K652" t="str">
        <f ca="1">IF(Table4[[#This Row],[HomeIce Differential]]&gt;0,Table4[[#This Row],[Home]],Table4[[#This Row],[Visitor]])</f>
        <v>New York Islanders</v>
      </c>
      <c r="L652" s="11">
        <f ca="1"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0.64162007321614278</v>
      </c>
      <c r="M652" t="str">
        <f ca="1">IF(OR((NHL2025_26Results[[#This Row],[Winning Team]]="")),"-",IF(Table4[[#This Row],[Predicted Winner]]=NHL2025_26Results[[#This Row],[Winning Team]],"YES","NO"))</f>
        <v>-</v>
      </c>
      <c r="N652" t="str">
        <f ca="1">IF(Table4[[#This Row],[Adjusted Correct]]="-", "",IF(Table4[[#This Row],[Adjusted Correct]]="YES",(Table4[[#This Row],[Strength of Win]]-1)^2,(Table4[[#This Row],[Strength of Win]]-0)^2))</f>
        <v/>
      </c>
      <c r="P652" s="11"/>
    </row>
    <row r="653" spans="4:16" x14ac:dyDescent="0.2">
      <c r="D653" s="1">
        <v>46025</v>
      </c>
      <c r="E653" s="2">
        <v>0.79166666666666663</v>
      </c>
      <c r="F653" t="s">
        <v>36</v>
      </c>
      <c r="G653">
        <f>VLOOKUP(Table4[[#This Row],[Home]],'NHL Model'!$A$6:$B$38,2,FALSE)</f>
        <v>-0.40651947573390851</v>
      </c>
      <c r="H653" t="s">
        <v>40</v>
      </c>
      <c r="I653">
        <f>VLOOKUP(Table4[[#This Row],[Visitor]],'NHL Model'!$A$6:$B$38,2,FALSE)</f>
        <v>0.105105258369765</v>
      </c>
      <c r="J653">
        <f ca="1">($B$1+Table4[[#This Row],[Home Differential]])-Table4[[#This Row],[Away Differential]]</f>
        <v>-0.34905242444135509</v>
      </c>
      <c r="K653" t="str">
        <f ca="1">IF(Table4[[#This Row],[HomeIce Differential]]&gt;0,Table4[[#This Row],[Home]],Table4[[#This Row],[Visitor]])</f>
        <v>Winnipeg Jets</v>
      </c>
      <c r="L653" s="11">
        <f ca="1"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0.57217376143724918</v>
      </c>
      <c r="M653" t="str">
        <f ca="1">IF(OR((NHL2025_26Results[[#This Row],[Winning Team]]="")),"-",IF(Table4[[#This Row],[Predicted Winner]]=NHL2025_26Results[[#This Row],[Winning Team]],"YES","NO"))</f>
        <v>-</v>
      </c>
      <c r="N653" t="str">
        <f ca="1">IF(Table4[[#This Row],[Adjusted Correct]]="-", "",IF(Table4[[#This Row],[Adjusted Correct]]="YES",(Table4[[#This Row],[Strength of Win]]-1)^2,(Table4[[#This Row],[Strength of Win]]-0)^2))</f>
        <v/>
      </c>
      <c r="P653" s="11"/>
    </row>
    <row r="654" spans="4:16" x14ac:dyDescent="0.2">
      <c r="D654" s="1">
        <v>46025</v>
      </c>
      <c r="E654" s="2">
        <v>0.66666666666666663</v>
      </c>
      <c r="F654" t="s">
        <v>33</v>
      </c>
      <c r="G654">
        <f>VLOOKUP(Table4[[#This Row],[Home]],'NHL Model'!$A$6:$B$38,2,FALSE)</f>
        <v>-0.39418177254008485</v>
      </c>
      <c r="H654" t="s">
        <v>37</v>
      </c>
      <c r="I654">
        <f>VLOOKUP(Table4[[#This Row],[Visitor]],'NHL Model'!$A$6:$B$38,2,FALSE)</f>
        <v>-0.11309445867623392</v>
      </c>
      <c r="J654">
        <f ca="1">($B$1+Table4[[#This Row],[Home Differential]])-Table4[[#This Row],[Away Differential]]</f>
        <v>-0.11851500420153253</v>
      </c>
      <c r="K654" t="str">
        <f ca="1">IF(Table4[[#This Row],[HomeIce Differential]]&gt;0,Table4[[#This Row],[Home]],Table4[[#This Row],[Visitor]])</f>
        <v>Tampa Bay Lightning</v>
      </c>
      <c r="L654" s="11">
        <f ca="1"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0.52352067213743236</v>
      </c>
      <c r="M654" t="str">
        <f ca="1">IF(OR((NHL2025_26Results[[#This Row],[Winning Team]]="")),"-",IF(Table4[[#This Row],[Predicted Winner]]=NHL2025_26Results[[#This Row],[Winning Team]],"YES","NO"))</f>
        <v>-</v>
      </c>
      <c r="N654" t="str">
        <f ca="1">IF(Table4[[#This Row],[Adjusted Correct]]="-", "",IF(Table4[[#This Row],[Adjusted Correct]]="YES",(Table4[[#This Row],[Strength of Win]]-1)^2,(Table4[[#This Row],[Strength of Win]]-0)^2))</f>
        <v/>
      </c>
      <c r="P654" s="11"/>
    </row>
    <row r="655" spans="4:16" x14ac:dyDescent="0.2">
      <c r="D655" s="1">
        <v>46025</v>
      </c>
      <c r="E655" s="2">
        <v>0.66666666666666663</v>
      </c>
      <c r="F655" t="s">
        <v>35</v>
      </c>
      <c r="G655">
        <f>VLOOKUP(Table4[[#This Row],[Home]],'NHL Model'!$A$6:$B$38,2,FALSE)</f>
        <v>-1.6211574240381006</v>
      </c>
      <c r="H655" t="s">
        <v>18</v>
      </c>
      <c r="I655">
        <f>VLOOKUP(Table4[[#This Row],[Visitor]],'NHL Model'!$A$6:$B$38,2,FALSE)</f>
        <v>-0.52437726201848234</v>
      </c>
      <c r="J655">
        <f ca="1">($B$1+Table4[[#This Row],[Home Differential]])-Table4[[#This Row],[Away Differential]]</f>
        <v>-0.93420785235729986</v>
      </c>
      <c r="K655" t="str">
        <f ca="1">IF(Table4[[#This Row],[HomeIce Differential]]&gt;0,Table4[[#This Row],[Home]],Table4[[#This Row],[Visitor]])</f>
        <v>Montreal Canadiens</v>
      </c>
      <c r="L655" s="11">
        <f ca="1"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0.6659232786996403</v>
      </c>
      <c r="M655" t="str">
        <f ca="1">IF(OR((NHL2025_26Results[[#This Row],[Winning Team]]="")),"-",IF(Table4[[#This Row],[Predicted Winner]]=NHL2025_26Results[[#This Row],[Winning Team]],"YES","NO"))</f>
        <v>-</v>
      </c>
      <c r="N655" t="str">
        <f ca="1">IF(Table4[[#This Row],[Adjusted Correct]]="-", "",IF(Table4[[#This Row],[Adjusted Correct]]="YES",(Table4[[#This Row],[Strength of Win]]-1)^2,(Table4[[#This Row],[Strength of Win]]-0)^2))</f>
        <v/>
      </c>
      <c r="P655" s="11"/>
    </row>
    <row r="656" spans="4:16" x14ac:dyDescent="0.2">
      <c r="D656" s="1">
        <v>46025</v>
      </c>
      <c r="E656" s="2">
        <v>0.91666666666666663</v>
      </c>
      <c r="F656" t="s">
        <v>38</v>
      </c>
      <c r="G656">
        <f>VLOOKUP(Table4[[#This Row],[Home]],'NHL Model'!$A$6:$B$38,2,FALSE)</f>
        <v>-0.6902088310934803</v>
      </c>
      <c r="H656" t="s">
        <v>21</v>
      </c>
      <c r="I656">
        <f>VLOOKUP(Table4[[#This Row],[Visitor]],'NHL Model'!$A$6:$B$38,2,FALSE)</f>
        <v>4.029141914856392E-2</v>
      </c>
      <c r="J656">
        <f ca="1">($B$1+Table4[[#This Row],[Home Differential]])-Table4[[#This Row],[Away Differential]]</f>
        <v>-0.56792794057972584</v>
      </c>
      <c r="K656" t="str">
        <f ca="1">IF(Table4[[#This Row],[HomeIce Differential]]&gt;0,Table4[[#This Row],[Home]],Table4[[#This Row],[Visitor]])</f>
        <v>Boston Bruins</v>
      </c>
      <c r="L656" s="11">
        <f ca="1"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0.53869133674571412</v>
      </c>
      <c r="M656" t="str">
        <f ca="1">IF(OR((NHL2025_26Results[[#This Row],[Winning Team]]="")),"-",IF(Table4[[#This Row],[Predicted Winner]]=NHL2025_26Results[[#This Row],[Winning Team]],"YES","NO"))</f>
        <v>-</v>
      </c>
      <c r="N656" t="str">
        <f ca="1">IF(Table4[[#This Row],[Adjusted Correct]]="-", "",IF(Table4[[#This Row],[Adjusted Correct]]="YES",(Table4[[#This Row],[Strength of Win]]-1)^2,(Table4[[#This Row],[Strength of Win]]-0)^2))</f>
        <v/>
      </c>
      <c r="P656" s="11"/>
    </row>
    <row r="657" spans="4:16" x14ac:dyDescent="0.2">
      <c r="D657" s="1">
        <v>46025</v>
      </c>
      <c r="E657" s="2">
        <v>0.79166666666666663</v>
      </c>
      <c r="F657" t="s">
        <v>22</v>
      </c>
      <c r="G657">
        <f>VLOOKUP(Table4[[#This Row],[Home]],'NHL Model'!$A$6:$B$38,2,FALSE)</f>
        <v>-6.1308839486784707E-2</v>
      </c>
      <c r="H657" t="s">
        <v>10</v>
      </c>
      <c r="I657">
        <f>VLOOKUP(Table4[[#This Row],[Visitor]],'NHL Model'!$A$6:$B$38,2,FALSE)</f>
        <v>0.30570968833820172</v>
      </c>
      <c r="J657">
        <f ca="1">($B$1+Table4[[#This Row],[Home Differential]])-Table4[[#This Row],[Away Differential]]</f>
        <v>-0.20444621816266803</v>
      </c>
      <c r="K657" t="str">
        <f ca="1">IF(Table4[[#This Row],[HomeIce Differential]]&gt;0,Table4[[#This Row],[Home]],Table4[[#This Row],[Visitor]])</f>
        <v>Chicago Blackhawks</v>
      </c>
      <c r="L657" s="11">
        <f ca="1"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0.5090970256359596</v>
      </c>
      <c r="M657" t="str">
        <f ca="1">IF(OR((NHL2025_26Results[[#This Row],[Winning Team]]="")),"-",IF(Table4[[#This Row],[Predicted Winner]]=NHL2025_26Results[[#This Row],[Winning Team]],"YES","NO"))</f>
        <v>-</v>
      </c>
      <c r="N657" t="str">
        <f ca="1">IF(Table4[[#This Row],[Adjusted Correct]]="-", "",IF(Table4[[#This Row],[Adjusted Correct]]="YES",(Table4[[#This Row],[Strength of Win]]-1)^2,(Table4[[#This Row],[Strength of Win]]-0)^2))</f>
        <v/>
      </c>
      <c r="P657" s="11"/>
    </row>
    <row r="658" spans="4:16" x14ac:dyDescent="0.2">
      <c r="D658" s="1">
        <v>46026</v>
      </c>
      <c r="E658" s="2">
        <v>0.625</v>
      </c>
      <c r="F658" t="s">
        <v>28</v>
      </c>
      <c r="G658">
        <f>VLOOKUP(Table4[[#This Row],[Home]],'NHL Model'!$A$6:$B$38,2,FALSE)</f>
        <v>-0.40822279081308277</v>
      </c>
      <c r="H658" t="s">
        <v>14</v>
      </c>
      <c r="I658">
        <f>VLOOKUP(Table4[[#This Row],[Visitor]],'NHL Model'!$A$6:$B$38,2,FALSE)</f>
        <v>0.26289091192875702</v>
      </c>
      <c r="J658">
        <f ca="1">($B$1+Table4[[#This Row],[Home Differential]])-Table4[[#This Row],[Away Differential]]</f>
        <v>-0.5085413930795214</v>
      </c>
      <c r="K658" t="str">
        <f ca="1">IF(Table4[[#This Row],[HomeIce Differential]]&gt;0,Table4[[#This Row],[Home]],Table4[[#This Row],[Visitor]])</f>
        <v>Pittsburgh Penguins</v>
      </c>
      <c r="L658" s="11">
        <f ca="1"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0.53046281605920997</v>
      </c>
      <c r="M658" t="str">
        <f ca="1">IF(OR((NHL2025_26Results[[#This Row],[Winning Team]]="")),"-",IF(Table4[[#This Row],[Predicted Winner]]=NHL2025_26Results[[#This Row],[Winning Team]],"YES","NO"))</f>
        <v>-</v>
      </c>
      <c r="N658" t="str">
        <f ca="1">IF(Table4[[#This Row],[Adjusted Correct]]="-", "",IF(Table4[[#This Row],[Adjusted Correct]]="YES",(Table4[[#This Row],[Strength of Win]]-1)^2,(Table4[[#This Row],[Strength of Win]]-0)^2))</f>
        <v/>
      </c>
      <c r="P658" s="11"/>
    </row>
    <row r="659" spans="4:16" x14ac:dyDescent="0.2">
      <c r="D659" s="1">
        <v>46026</v>
      </c>
      <c r="E659" s="2">
        <v>0.79166666666666663</v>
      </c>
      <c r="F659" t="s">
        <v>10</v>
      </c>
      <c r="G659">
        <f>VLOOKUP(Table4[[#This Row],[Home]],'NHL Model'!$A$6:$B$38,2,FALSE)</f>
        <v>0.30570968833820172</v>
      </c>
      <c r="H659" t="s">
        <v>20</v>
      </c>
      <c r="I659">
        <f>VLOOKUP(Table4[[#This Row],[Visitor]],'NHL Model'!$A$6:$B$38,2,FALSE)</f>
        <v>-6.3745791019188943E-4</v>
      </c>
      <c r="J659">
        <f ca="1">($B$1+Table4[[#This Row],[Home Differential]])-Table4[[#This Row],[Away Differential]]</f>
        <v>0.46891945591071199</v>
      </c>
      <c r="K659" t="str">
        <f ca="1">IF(Table4[[#This Row],[HomeIce Differential]]&gt;0,Table4[[#This Row],[Home]],Table4[[#This Row],[Visitor]])</f>
        <v>Chicago Blackhawks</v>
      </c>
      <c r="L659" s="11">
        <f ca="1"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0.5842036226072389</v>
      </c>
      <c r="M659" t="str">
        <f ca="1">IF(OR((NHL2025_26Results[[#This Row],[Winning Team]]="")),"-",IF(Table4[[#This Row],[Predicted Winner]]=NHL2025_26Results[[#This Row],[Winning Team]],"YES","NO"))</f>
        <v>-</v>
      </c>
      <c r="N659" t="str">
        <f ca="1">IF(Table4[[#This Row],[Adjusted Correct]]="-", "",IF(Table4[[#This Row],[Adjusted Correct]]="YES",(Table4[[#This Row],[Strength of Win]]-1)^2,(Table4[[#This Row],[Strength of Win]]-0)^2))</f>
        <v/>
      </c>
      <c r="P659" s="11"/>
    </row>
    <row r="660" spans="4:16" x14ac:dyDescent="0.2">
      <c r="D660" s="1">
        <v>46026</v>
      </c>
      <c r="E660" s="2">
        <v>0.58333333333333337</v>
      </c>
      <c r="F660" t="s">
        <v>39</v>
      </c>
      <c r="G660">
        <f>VLOOKUP(Table4[[#This Row],[Home]],'NHL Model'!$A$6:$B$38,2,FALSE)</f>
        <v>0.19809534061227302</v>
      </c>
      <c r="H660" t="s">
        <v>18</v>
      </c>
      <c r="I660">
        <f>VLOOKUP(Table4[[#This Row],[Visitor]],'NHL Model'!$A$6:$B$38,2,FALSE)</f>
        <v>-0.52437726201848234</v>
      </c>
      <c r="J660">
        <f ca="1">($B$1+Table4[[#This Row],[Home Differential]])-Table4[[#This Row],[Away Differential]]</f>
        <v>0.88504491229307369</v>
      </c>
      <c r="K660" t="str">
        <f ca="1">IF(Table4[[#This Row],[HomeIce Differential]]&gt;0,Table4[[#This Row],[Home]],Table4[[#This Row],[Visitor]])</f>
        <v>Dallas Stars</v>
      </c>
      <c r="L660" s="11">
        <f ca="1"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0.61242655907370669</v>
      </c>
      <c r="M660" t="str">
        <f ca="1">IF(OR((NHL2025_26Results[[#This Row],[Winning Team]]="")),"-",IF(Table4[[#This Row],[Predicted Winner]]=NHL2025_26Results[[#This Row],[Winning Team]],"YES","NO"))</f>
        <v>-</v>
      </c>
      <c r="N660" t="str">
        <f ca="1">IF(Table4[[#This Row],[Adjusted Correct]]="-", "",IF(Table4[[#This Row],[Adjusted Correct]]="YES",(Table4[[#This Row],[Strength of Win]]-1)^2,(Table4[[#This Row],[Strength of Win]]-0)^2))</f>
        <v/>
      </c>
      <c r="P660" s="11"/>
    </row>
    <row r="661" spans="4:16" x14ac:dyDescent="0.2">
      <c r="D661" s="1">
        <v>46026</v>
      </c>
      <c r="E661" s="2">
        <v>0.70833333333333337</v>
      </c>
      <c r="F661" t="s">
        <v>11</v>
      </c>
      <c r="G661">
        <f>VLOOKUP(Table4[[#This Row],[Home]],'NHL Model'!$A$6:$B$38,2,FALSE)</f>
        <v>-0.28105923893144158</v>
      </c>
      <c r="H661" t="s">
        <v>12</v>
      </c>
      <c r="I661">
        <f>VLOOKUP(Table4[[#This Row],[Visitor]],'NHL Model'!$A$6:$B$38,2,FALSE)</f>
        <v>1.5475013591489768</v>
      </c>
      <c r="J661">
        <f ca="1">($B$1+Table4[[#This Row],[Home Differential]])-Table4[[#This Row],[Away Differential]]</f>
        <v>-1.6659882884181001</v>
      </c>
      <c r="K661" t="str">
        <f ca="1">IF(Table4[[#This Row],[HomeIce Differential]]&gt;0,Table4[[#This Row],[Home]],Table4[[#This Row],[Visitor]])</f>
        <v>Colorado Avalanche</v>
      </c>
      <c r="L661" s="11">
        <f ca="1"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0.70452132215794694</v>
      </c>
      <c r="M661" t="str">
        <f ca="1">IF(OR((NHL2025_26Results[[#This Row],[Winning Team]]="")),"-",IF(Table4[[#This Row],[Predicted Winner]]=NHL2025_26Results[[#This Row],[Winning Team]],"YES","NO"))</f>
        <v>-</v>
      </c>
      <c r="N661" t="str">
        <f ca="1">IF(Table4[[#This Row],[Adjusted Correct]]="-", "",IF(Table4[[#This Row],[Adjusted Correct]]="YES",(Table4[[#This Row],[Strength of Win]]-1)^2,(Table4[[#This Row],[Strength of Win]]-0)^2))</f>
        <v/>
      </c>
      <c r="P661" s="11"/>
    </row>
    <row r="662" spans="4:16" x14ac:dyDescent="0.2">
      <c r="D662" s="1">
        <v>46026</v>
      </c>
      <c r="E662" s="2">
        <v>0.79166666666666663</v>
      </c>
      <c r="F662" t="s">
        <v>24</v>
      </c>
      <c r="G662">
        <f>VLOOKUP(Table4[[#This Row],[Home]],'NHL Model'!$A$6:$B$38,2,FALSE)</f>
        <v>0.559441163373953</v>
      </c>
      <c r="H662" t="s">
        <v>25</v>
      </c>
      <c r="I662">
        <f>VLOOKUP(Table4[[#This Row],[Visitor]],'NHL Model'!$A$6:$B$38,2,FALSE)</f>
        <v>0.67193921242367816</v>
      </c>
      <c r="J662">
        <f ca="1">($B$1+Table4[[#This Row],[Home Differential]])-Table4[[#This Row],[Away Differential]]</f>
        <v>5.0074260612593235E-2</v>
      </c>
      <c r="K662" t="str">
        <f ca="1">IF(Table4[[#This Row],[HomeIce Differential]]&gt;0,Table4[[#This Row],[Home]],Table4[[#This Row],[Visitor]])</f>
        <v>New Jersey Devils</v>
      </c>
      <c r="L662" s="11">
        <f ca="1"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0.57450579022330805</v>
      </c>
      <c r="M662" t="str">
        <f ca="1">IF(OR((NHL2025_26Results[[#This Row],[Winning Team]]="")),"-",IF(Table4[[#This Row],[Predicted Winner]]=NHL2025_26Results[[#This Row],[Winning Team]],"YES","NO"))</f>
        <v>-</v>
      </c>
      <c r="N662" t="str">
        <f ca="1">IF(Table4[[#This Row],[Adjusted Correct]]="-", "",IF(Table4[[#This Row],[Adjusted Correct]]="YES",(Table4[[#This Row],[Strength of Win]]-1)^2,(Table4[[#This Row],[Strength of Win]]-0)^2))</f>
        <v/>
      </c>
      <c r="P662" s="11"/>
    </row>
    <row r="663" spans="4:16" x14ac:dyDescent="0.2">
      <c r="D663" s="1">
        <v>46027</v>
      </c>
      <c r="E663" s="2">
        <v>0.89583333333333337</v>
      </c>
      <c r="F663" t="s">
        <v>16</v>
      </c>
      <c r="G663">
        <f>VLOOKUP(Table4[[#This Row],[Home]],'NHL Model'!$A$6:$B$38,2,FALSE)</f>
        <v>-1.3903684122795328</v>
      </c>
      <c r="H663" t="s">
        <v>32</v>
      </c>
      <c r="I663">
        <f>VLOOKUP(Table4[[#This Row],[Visitor]],'NHL Model'!$A$6:$B$38,2,FALSE)</f>
        <v>-0.361361309178443</v>
      </c>
      <c r="J663">
        <f ca="1">($B$1+Table4[[#This Row],[Home Differential]])-Table4[[#This Row],[Away Differential]]</f>
        <v>-0.86643479343877139</v>
      </c>
      <c r="K663" t="str">
        <f ca="1">IF(Table4[[#This Row],[HomeIce Differential]]&gt;0,Table4[[#This Row],[Home]],Table4[[#This Row],[Visitor]])</f>
        <v>Seattle Kraken</v>
      </c>
      <c r="L663" s="11">
        <f ca="1"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0.58005204749936468</v>
      </c>
      <c r="M663" t="str">
        <f ca="1">IF(OR((NHL2025_26Results[[#This Row],[Winning Team]]="")),"-",IF(Table4[[#This Row],[Predicted Winner]]=NHL2025_26Results[[#This Row],[Winning Team]],"YES","NO"))</f>
        <v>-</v>
      </c>
      <c r="N663" t="str">
        <f ca="1">IF(Table4[[#This Row],[Adjusted Correct]]="-", "",IF(Table4[[#This Row],[Adjusted Correct]]="YES",(Table4[[#This Row],[Strength of Win]]-1)^2,(Table4[[#This Row],[Strength of Win]]-0)^2))</f>
        <v/>
      </c>
      <c r="P663" s="11"/>
    </row>
    <row r="664" spans="4:16" x14ac:dyDescent="0.2">
      <c r="D664" s="1">
        <v>46027</v>
      </c>
      <c r="E664" s="2">
        <v>0.9375</v>
      </c>
      <c r="F664" t="s">
        <v>13</v>
      </c>
      <c r="G664">
        <f>VLOOKUP(Table4[[#This Row],[Home]],'NHL Model'!$A$6:$B$38,2,FALSE)</f>
        <v>-7.5459708298993802E-2</v>
      </c>
      <c r="H664" t="s">
        <v>34</v>
      </c>
      <c r="I664">
        <f>VLOOKUP(Table4[[#This Row],[Visitor]],'NHL Model'!$A$6:$B$38,2,FALSE)</f>
        <v>-0.53650300840565446</v>
      </c>
      <c r="J664">
        <f ca="1">($B$1+Table4[[#This Row],[Home Differential]])-Table4[[#This Row],[Away Differential]]</f>
        <v>0.62361560976897901</v>
      </c>
      <c r="K664" t="str">
        <f ca="1">IF(Table4[[#This Row],[HomeIce Differential]]&gt;0,Table4[[#This Row],[Home]],Table4[[#This Row],[Visitor]])</f>
        <v>Los Angeles Kings</v>
      </c>
      <c r="L664" s="11">
        <f ca="1"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0.62640734579482393</v>
      </c>
      <c r="M664" t="str">
        <f ca="1">IF(OR((NHL2025_26Results[[#This Row],[Winning Team]]="")),"-",IF(Table4[[#This Row],[Predicted Winner]]=NHL2025_26Results[[#This Row],[Winning Team]],"YES","NO"))</f>
        <v>-</v>
      </c>
      <c r="N664" t="str">
        <f ca="1">IF(Table4[[#This Row],[Adjusted Correct]]="-", "",IF(Table4[[#This Row],[Adjusted Correct]]="YES",(Table4[[#This Row],[Strength of Win]]-1)^2,(Table4[[#This Row],[Strength of Win]]-0)^2))</f>
        <v/>
      </c>
      <c r="P664" s="11"/>
    </row>
    <row r="665" spans="4:16" x14ac:dyDescent="0.2">
      <c r="D665" s="1">
        <v>46027</v>
      </c>
      <c r="E665" s="2">
        <v>0.79166666666666663</v>
      </c>
      <c r="F665" t="s">
        <v>15</v>
      </c>
      <c r="G665">
        <f>VLOOKUP(Table4[[#This Row],[Home]],'NHL Model'!$A$6:$B$38,2,FALSE)</f>
        <v>-0.30719665303039001</v>
      </c>
      <c r="H665" t="s">
        <v>55</v>
      </c>
      <c r="I665">
        <f>VLOOKUP(Table4[[#This Row],[Visitor]],'NHL Model'!$A$6:$B$38,2,FALSE)</f>
        <v>-0.12212311954851815</v>
      </c>
      <c r="J665">
        <f ca="1">($B$1+Table4[[#This Row],[Home Differential]])-Table4[[#This Row],[Away Differential]]</f>
        <v>-2.2501223819553468E-2</v>
      </c>
      <c r="K665" t="str">
        <f ca="1">IF(Table4[[#This Row],[HomeIce Differential]]&gt;0,Table4[[#This Row],[Home]],Table4[[#This Row],[Visitor]])</f>
        <v>Utah Mammoth</v>
      </c>
      <c r="L665" s="11">
        <f ca="1"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0.46311773951281165</v>
      </c>
      <c r="M665" t="str">
        <f ca="1">IF(OR((NHL2025_26Results[[#This Row],[Winning Team]]="")),"-",IF(Table4[[#This Row],[Predicted Winner]]=NHL2025_26Results[[#This Row],[Winning Team]],"YES","NO"))</f>
        <v>-</v>
      </c>
      <c r="N665" t="str">
        <f ca="1">IF(Table4[[#This Row],[Adjusted Correct]]="-", "",IF(Table4[[#This Row],[Adjusted Correct]]="YES",(Table4[[#This Row],[Strength of Win]]-1)^2,(Table4[[#This Row],[Strength of Win]]-0)^2))</f>
        <v/>
      </c>
      <c r="P665" s="11"/>
    </row>
    <row r="666" spans="4:16" x14ac:dyDescent="0.2">
      <c r="D666" s="1">
        <v>46027</v>
      </c>
      <c r="E666" s="2">
        <v>0.8125</v>
      </c>
      <c r="F666" t="s">
        <v>36</v>
      </c>
      <c r="G666">
        <f>VLOOKUP(Table4[[#This Row],[Home]],'NHL Model'!$A$6:$B$38,2,FALSE)</f>
        <v>-0.40651947573390851</v>
      </c>
      <c r="H666" t="s">
        <v>26</v>
      </c>
      <c r="I666">
        <f>VLOOKUP(Table4[[#This Row],[Visitor]],'NHL Model'!$A$6:$B$38,2,FALSE)</f>
        <v>-0.513643833119658</v>
      </c>
      <c r="J666">
        <f ca="1">($B$1+Table4[[#This Row],[Home Differential]])-Table4[[#This Row],[Away Differential]]</f>
        <v>0.26969666704806788</v>
      </c>
      <c r="K666" t="str">
        <f ca="1">IF(Table4[[#This Row],[HomeIce Differential]]&gt;0,Table4[[#This Row],[Home]],Table4[[#This Row],[Visitor]])</f>
        <v>Ottawa Senators</v>
      </c>
      <c r="L666" s="11">
        <f ca="1"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0.53278165393221422</v>
      </c>
      <c r="M666" t="str">
        <f ca="1">IF(OR((NHL2025_26Results[[#This Row],[Winning Team]]="")),"-",IF(Table4[[#This Row],[Predicted Winner]]=NHL2025_26Results[[#This Row],[Winning Team]],"YES","NO"))</f>
        <v>-</v>
      </c>
      <c r="N666" t="str">
        <f ca="1">IF(Table4[[#This Row],[Adjusted Correct]]="-", "",IF(Table4[[#This Row],[Adjusted Correct]]="YES",(Table4[[#This Row],[Strength of Win]]-1)^2,(Table4[[#This Row],[Strength of Win]]-0)^2))</f>
        <v/>
      </c>
      <c r="P666" s="11"/>
    </row>
    <row r="667" spans="4:16" x14ac:dyDescent="0.2">
      <c r="D667" s="1">
        <v>46027</v>
      </c>
      <c r="E667" s="2">
        <v>0.79166666666666663</v>
      </c>
      <c r="F667" t="s">
        <v>22</v>
      </c>
      <c r="G667">
        <f>VLOOKUP(Table4[[#This Row],[Home]],'NHL Model'!$A$6:$B$38,2,FALSE)</f>
        <v>-6.1308839486784707E-2</v>
      </c>
      <c r="H667" t="s">
        <v>31</v>
      </c>
      <c r="I667">
        <f>VLOOKUP(Table4[[#This Row],[Visitor]],'NHL Model'!$A$6:$B$38,2,FALSE)</f>
        <v>0.51775546328552802</v>
      </c>
      <c r="J667">
        <f ca="1">($B$1+Table4[[#This Row],[Home Differential]])-Table4[[#This Row],[Away Differential]]</f>
        <v>-0.4164919931099943</v>
      </c>
      <c r="K667" t="str">
        <f ca="1">IF(Table4[[#This Row],[HomeIce Differential]]&gt;0,Table4[[#This Row],[Home]],Table4[[#This Row],[Visitor]])</f>
        <v>Anaheim Ducks</v>
      </c>
      <c r="L667" s="11">
        <f ca="1"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0.53847780493844144</v>
      </c>
      <c r="M667" t="str">
        <f ca="1">IF(OR((NHL2025_26Results[[#This Row],[Winning Team]]="")),"-",IF(Table4[[#This Row],[Predicted Winner]]=NHL2025_26Results[[#This Row],[Winning Team]],"YES","NO"))</f>
        <v>-</v>
      </c>
      <c r="N667" t="str">
        <f ca="1">IF(Table4[[#This Row],[Adjusted Correct]]="-", "",IF(Table4[[#This Row],[Adjusted Correct]]="YES",(Table4[[#This Row],[Strength of Win]]-1)^2,(Table4[[#This Row],[Strength of Win]]-0)^2))</f>
        <v/>
      </c>
      <c r="P667" s="11"/>
    </row>
    <row r="668" spans="4:16" x14ac:dyDescent="0.2">
      <c r="D668" s="1">
        <v>46028</v>
      </c>
      <c r="E668" s="2">
        <v>0.79166666666666663</v>
      </c>
      <c r="F668" t="s">
        <v>23</v>
      </c>
      <c r="G668">
        <f>VLOOKUP(Table4[[#This Row],[Home]],'NHL Model'!$A$6:$B$38,2,FALSE)</f>
        <v>-0.8683412362501769</v>
      </c>
      <c r="H668" t="s">
        <v>38</v>
      </c>
      <c r="I668">
        <f>VLOOKUP(Table4[[#This Row],[Visitor]],'NHL Model'!$A$6:$B$38,2,FALSE)</f>
        <v>-0.6902088310934803</v>
      </c>
      <c r="J668">
        <f ca="1">($B$1+Table4[[#This Row],[Home Differential]])-Table4[[#This Row],[Away Differential]]</f>
        <v>-1.5560095494378201E-2</v>
      </c>
      <c r="K668" t="str">
        <f ca="1">IF(Table4[[#This Row],[HomeIce Differential]]&gt;0,Table4[[#This Row],[Home]],Table4[[#This Row],[Visitor]])</f>
        <v>Vancouver Canucks</v>
      </c>
      <c r="L668" s="11">
        <f ca="1"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0.50466854885887324</v>
      </c>
      <c r="M668" t="str">
        <f ca="1">IF(OR((NHL2025_26Results[[#This Row],[Winning Team]]="")),"-",IF(Table4[[#This Row],[Predicted Winner]]=NHL2025_26Results[[#This Row],[Winning Team]],"YES","NO"))</f>
        <v>-</v>
      </c>
      <c r="N668" t="str">
        <f ca="1">IF(Table4[[#This Row],[Adjusted Correct]]="-", "",IF(Table4[[#This Row],[Adjusted Correct]]="YES",(Table4[[#This Row],[Strength of Win]]-1)^2,(Table4[[#This Row],[Strength of Win]]-0)^2))</f>
        <v/>
      </c>
      <c r="P668" s="11"/>
    </row>
    <row r="669" spans="4:16" x14ac:dyDescent="0.2">
      <c r="D669" s="1">
        <v>46028</v>
      </c>
      <c r="E669" s="2">
        <v>0.79166666666666663</v>
      </c>
      <c r="F669" t="s">
        <v>25</v>
      </c>
      <c r="G669">
        <f>VLOOKUP(Table4[[#This Row],[Home]],'NHL Model'!$A$6:$B$38,2,FALSE)</f>
        <v>0.67193921242367816</v>
      </c>
      <c r="H669" t="s">
        <v>39</v>
      </c>
      <c r="I669">
        <f>VLOOKUP(Table4[[#This Row],[Visitor]],'NHL Model'!$A$6:$B$38,2,FALSE)</f>
        <v>0.19809534061227302</v>
      </c>
      <c r="J669">
        <f ca="1">($B$1+Table4[[#This Row],[Home Differential]])-Table4[[#This Row],[Away Differential]]</f>
        <v>0.63641618147372347</v>
      </c>
      <c r="K669" t="str">
        <f ca="1">IF(Table4[[#This Row],[HomeIce Differential]]&gt;0,Table4[[#This Row],[Home]],Table4[[#This Row],[Visitor]])</f>
        <v>Carolina Hurricanes</v>
      </c>
      <c r="L669" s="11">
        <f ca="1"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0.58818097590981255</v>
      </c>
      <c r="M669" t="str">
        <f ca="1">IF(OR((NHL2025_26Results[[#This Row],[Winning Team]]="")),"-",IF(Table4[[#This Row],[Predicted Winner]]=NHL2025_26Results[[#This Row],[Winning Team]],"YES","NO"))</f>
        <v>-</v>
      </c>
      <c r="N669" t="str">
        <f ca="1">IF(Table4[[#This Row],[Adjusted Correct]]="-", "",IF(Table4[[#This Row],[Adjusted Correct]]="YES",(Table4[[#This Row],[Strength of Win]]-1)^2,(Table4[[#This Row],[Strength of Win]]-0)^2))</f>
        <v/>
      </c>
      <c r="P669" s="11"/>
    </row>
    <row r="670" spans="4:16" x14ac:dyDescent="0.2">
      <c r="D670" s="1">
        <v>46028</v>
      </c>
      <c r="E670" s="2">
        <v>0.875</v>
      </c>
      <c r="F670" t="s">
        <v>17</v>
      </c>
      <c r="G670">
        <f>VLOOKUP(Table4[[#This Row],[Home]],'NHL Model'!$A$6:$B$38,2,FALSE)</f>
        <v>-0.61980804137564283</v>
      </c>
      <c r="H670" t="s">
        <v>29</v>
      </c>
      <c r="I670">
        <f>VLOOKUP(Table4[[#This Row],[Visitor]],'NHL Model'!$A$6:$B$38,2,FALSE)</f>
        <v>-1.3516250707060606</v>
      </c>
      <c r="J670">
        <f ca="1">($B$1+Table4[[#This Row],[Home Differential]])-Table4[[#This Row],[Away Differential]]</f>
        <v>0.8943893389927362</v>
      </c>
      <c r="K670" t="str">
        <f ca="1">IF(Table4[[#This Row],[HomeIce Differential]]&gt;0,Table4[[#This Row],[Home]],Table4[[#This Row],[Visitor]])</f>
        <v>Edmonton Oilers</v>
      </c>
      <c r="L670" s="11">
        <f ca="1"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0.69996225834599257</v>
      </c>
      <c r="M670" t="str">
        <f ca="1">IF(OR((NHL2025_26Results[[#This Row],[Winning Team]]="")),"-",IF(Table4[[#This Row],[Predicted Winner]]=NHL2025_26Results[[#This Row],[Winning Team]],"YES","NO"))</f>
        <v>-</v>
      </c>
      <c r="N670" t="str">
        <f ca="1">IF(Table4[[#This Row],[Adjusted Correct]]="-", "",IF(Table4[[#This Row],[Adjusted Correct]]="YES",(Table4[[#This Row],[Strength of Win]]-1)^2,(Table4[[#This Row],[Strength of Win]]-0)^2))</f>
        <v/>
      </c>
      <c r="P670" s="11"/>
    </row>
    <row r="671" spans="4:16" x14ac:dyDescent="0.2">
      <c r="D671" s="1">
        <v>46028</v>
      </c>
      <c r="E671" s="2">
        <v>0.8125</v>
      </c>
      <c r="F671" t="s">
        <v>30</v>
      </c>
      <c r="G671">
        <f>VLOOKUP(Table4[[#This Row],[Home]],'NHL Model'!$A$6:$B$38,2,FALSE)</f>
        <v>-6.4729560818359025E-2</v>
      </c>
      <c r="H671" t="s">
        <v>24</v>
      </c>
      <c r="I671">
        <f>VLOOKUP(Table4[[#This Row],[Visitor]],'NHL Model'!$A$6:$B$38,2,FALSE)</f>
        <v>0.559441163373953</v>
      </c>
      <c r="J671">
        <f ca="1">($B$1+Table4[[#This Row],[Home Differential]])-Table4[[#This Row],[Away Differential]]</f>
        <v>-0.46159841452999362</v>
      </c>
      <c r="K671" t="str">
        <f ca="1">IF(Table4[[#This Row],[HomeIce Differential]]&gt;0,Table4[[#This Row],[Home]],Table4[[#This Row],[Visitor]])</f>
        <v>New Jersey Devils</v>
      </c>
      <c r="L671" s="11">
        <f ca="1"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0.5902742491366989</v>
      </c>
      <c r="M671" t="str">
        <f ca="1">IF(OR((NHL2025_26Results[[#This Row],[Winning Team]]="")),"-",IF(Table4[[#This Row],[Predicted Winner]]=NHL2025_26Results[[#This Row],[Winning Team]],"YES","NO"))</f>
        <v>-</v>
      </c>
      <c r="N671" t="str">
        <f ca="1">IF(Table4[[#This Row],[Adjusted Correct]]="-", "",IF(Table4[[#This Row],[Adjusted Correct]]="YES",(Table4[[#This Row],[Strength of Win]]-1)^2,(Table4[[#This Row],[Strength of Win]]-0)^2))</f>
        <v/>
      </c>
      <c r="P671" s="11"/>
    </row>
    <row r="672" spans="4:16" x14ac:dyDescent="0.2">
      <c r="D672" s="1">
        <v>46028</v>
      </c>
      <c r="E672" s="2">
        <v>0.79166666666666663</v>
      </c>
      <c r="F672" t="s">
        <v>27</v>
      </c>
      <c r="G672">
        <f>VLOOKUP(Table4[[#This Row],[Home]],'NHL Model'!$A$6:$B$38,2,FALSE)</f>
        <v>-0.51358590497437617</v>
      </c>
      <c r="H672" t="s">
        <v>31</v>
      </c>
      <c r="I672">
        <f>VLOOKUP(Table4[[#This Row],[Visitor]],'NHL Model'!$A$6:$B$38,2,FALSE)</f>
        <v>0.51775546328552802</v>
      </c>
      <c r="J672">
        <f ca="1">($B$1+Table4[[#This Row],[Home Differential]])-Table4[[#This Row],[Away Differential]]</f>
        <v>-0.8687690585975858</v>
      </c>
      <c r="K672" t="str">
        <f ca="1">IF(Table4[[#This Row],[HomeIce Differential]]&gt;0,Table4[[#This Row],[Home]],Table4[[#This Row],[Visitor]])</f>
        <v>Anaheim Ducks</v>
      </c>
      <c r="L672" s="11">
        <f ca="1"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0.5986363497266175</v>
      </c>
      <c r="M672" t="str">
        <f ca="1">IF(OR((NHL2025_26Results[[#This Row],[Winning Team]]="")),"-",IF(Table4[[#This Row],[Predicted Winner]]=NHL2025_26Results[[#This Row],[Winning Team]],"YES","NO"))</f>
        <v>-</v>
      </c>
      <c r="N672" t="str">
        <f ca="1">IF(Table4[[#This Row],[Adjusted Correct]]="-", "",IF(Table4[[#This Row],[Adjusted Correct]]="YES",(Table4[[#This Row],[Strength of Win]]-1)^2,(Table4[[#This Row],[Strength of Win]]-0)^2))</f>
        <v/>
      </c>
      <c r="P672" s="11"/>
    </row>
    <row r="673" spans="4:16" x14ac:dyDescent="0.2">
      <c r="D673" s="1">
        <v>46028</v>
      </c>
      <c r="E673" s="2">
        <v>0.91666666666666663</v>
      </c>
      <c r="F673" t="s">
        <v>32</v>
      </c>
      <c r="G673">
        <f>VLOOKUP(Table4[[#This Row],[Home]],'NHL Model'!$A$6:$B$38,2,FALSE)</f>
        <v>-0.361361309178443</v>
      </c>
      <c r="H673" t="s">
        <v>21</v>
      </c>
      <c r="I673">
        <f>VLOOKUP(Table4[[#This Row],[Visitor]],'NHL Model'!$A$6:$B$38,2,FALSE)</f>
        <v>4.029141914856392E-2</v>
      </c>
      <c r="J673">
        <f ca="1">($B$1+Table4[[#This Row],[Home Differential]])-Table4[[#This Row],[Away Differential]]</f>
        <v>-0.23908041866468854</v>
      </c>
      <c r="K673" t="str">
        <f ca="1">IF(Table4[[#This Row],[HomeIce Differential]]&gt;0,Table4[[#This Row],[Home]],Table4[[#This Row],[Visitor]])</f>
        <v>Boston Bruins</v>
      </c>
      <c r="L673" s="11">
        <f ca="1"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0.46708892757103315</v>
      </c>
      <c r="M673" t="str">
        <f ca="1">IF(OR((NHL2025_26Results[[#This Row],[Winning Team]]="")),"-",IF(Table4[[#This Row],[Predicted Winner]]=NHL2025_26Results[[#This Row],[Winning Team]],"YES","NO"))</f>
        <v>-</v>
      </c>
      <c r="N673" t="str">
        <f ca="1">IF(Table4[[#This Row],[Adjusted Correct]]="-", "",IF(Table4[[#This Row],[Adjusted Correct]]="YES",(Table4[[#This Row],[Strength of Win]]-1)^2,(Table4[[#This Row],[Strength of Win]]-0)^2))</f>
        <v/>
      </c>
      <c r="P673" s="11"/>
    </row>
    <row r="674" spans="4:16" x14ac:dyDescent="0.2">
      <c r="D674" s="1">
        <v>46028</v>
      </c>
      <c r="E674" s="2">
        <v>0.91666666666666663</v>
      </c>
      <c r="F674" t="s">
        <v>33</v>
      </c>
      <c r="G674">
        <f>VLOOKUP(Table4[[#This Row],[Home]],'NHL Model'!$A$6:$B$38,2,FALSE)</f>
        <v>-0.39418177254008485</v>
      </c>
      <c r="H674" t="s">
        <v>28</v>
      </c>
      <c r="I674">
        <f>VLOOKUP(Table4[[#This Row],[Visitor]],'NHL Model'!$A$6:$B$38,2,FALSE)</f>
        <v>-0.40822279081308277</v>
      </c>
      <c r="J674">
        <f ca="1">($B$1+Table4[[#This Row],[Home Differential]])-Table4[[#This Row],[Away Differential]]</f>
        <v>0.17661332793531631</v>
      </c>
      <c r="K674" t="str">
        <f ca="1">IF(Table4[[#This Row],[HomeIce Differential]]&gt;0,Table4[[#This Row],[Home]],Table4[[#This Row],[Visitor]])</f>
        <v>San Jose Sharks</v>
      </c>
      <c r="L674" s="11">
        <f ca="1"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0.5437020760098521</v>
      </c>
      <c r="M674" t="str">
        <f ca="1">IF(OR((NHL2025_26Results[[#This Row],[Winning Team]]="")),"-",IF(Table4[[#This Row],[Predicted Winner]]=NHL2025_26Results[[#This Row],[Winning Team]],"YES","NO"))</f>
        <v>-</v>
      </c>
      <c r="N674" t="str">
        <f ca="1">IF(Table4[[#This Row],[Adjusted Correct]]="-", "",IF(Table4[[#This Row],[Adjusted Correct]]="YES",(Table4[[#This Row],[Strength of Win]]-1)^2,(Table4[[#This Row],[Strength of Win]]-0)^2))</f>
        <v/>
      </c>
      <c r="P674" s="11"/>
    </row>
    <row r="675" spans="4:16" x14ac:dyDescent="0.2">
      <c r="D675" s="1">
        <v>46028</v>
      </c>
      <c r="E675" s="2">
        <v>0.79166666666666663</v>
      </c>
      <c r="F675" t="s">
        <v>37</v>
      </c>
      <c r="G675">
        <f>VLOOKUP(Table4[[#This Row],[Home]],'NHL Model'!$A$6:$B$38,2,FALSE)</f>
        <v>-0.11309445867623392</v>
      </c>
      <c r="H675" t="s">
        <v>12</v>
      </c>
      <c r="I675">
        <f>VLOOKUP(Table4[[#This Row],[Visitor]],'NHL Model'!$A$6:$B$38,2,FALSE)</f>
        <v>1.5475013591489768</v>
      </c>
      <c r="J675">
        <f ca="1">($B$1+Table4[[#This Row],[Home Differential]])-Table4[[#This Row],[Away Differential]]</f>
        <v>-1.4980235081628923</v>
      </c>
      <c r="K675" t="str">
        <f ca="1">IF(Table4[[#This Row],[HomeIce Differential]]&gt;0,Table4[[#This Row],[Home]],Table4[[#This Row],[Visitor]])</f>
        <v>Colorado Avalanche</v>
      </c>
      <c r="L675" s="11">
        <f ca="1"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0.73387992553910086</v>
      </c>
      <c r="M675" t="str">
        <f ca="1">IF(OR((NHL2025_26Results[[#This Row],[Winning Team]]="")),"-",IF(Table4[[#This Row],[Predicted Winner]]=NHL2025_26Results[[#This Row],[Winning Team]],"YES","NO"))</f>
        <v>-</v>
      </c>
      <c r="N675" t="str">
        <f ca="1">IF(Table4[[#This Row],[Adjusted Correct]]="-", "",IF(Table4[[#This Row],[Adjusted Correct]]="YES",(Table4[[#This Row],[Strength of Win]]-1)^2,(Table4[[#This Row],[Strength of Win]]-0)^2))</f>
        <v/>
      </c>
      <c r="P675" s="11"/>
    </row>
    <row r="676" spans="4:16" x14ac:dyDescent="0.2">
      <c r="D676" s="1">
        <v>46028</v>
      </c>
      <c r="E676" s="2">
        <v>0.8125</v>
      </c>
      <c r="F676" t="s">
        <v>19</v>
      </c>
      <c r="G676">
        <f>VLOOKUP(Table4[[#This Row],[Home]],'NHL Model'!$A$6:$B$38,2,FALSE)</f>
        <v>-0.635565543477981</v>
      </c>
      <c r="H676" t="s">
        <v>11</v>
      </c>
      <c r="I676">
        <f>VLOOKUP(Table4[[#This Row],[Visitor]],'NHL Model'!$A$6:$B$38,2,FALSE)</f>
        <v>-0.28105923893144158</v>
      </c>
      <c r="J676">
        <f ca="1">($B$1+Table4[[#This Row],[Home Differential]])-Table4[[#This Row],[Away Differential]]</f>
        <v>-0.19193399488422103</v>
      </c>
      <c r="K676" t="str">
        <f ca="1">IF(Table4[[#This Row],[HomeIce Differential]]&gt;0,Table4[[#This Row],[Home]],Table4[[#This Row],[Visitor]])</f>
        <v>Florida Panthers</v>
      </c>
      <c r="L676" s="11">
        <f ca="1"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0.48659411792448021</v>
      </c>
      <c r="M676" t="str">
        <f ca="1">IF(OR((NHL2025_26Results[[#This Row],[Winning Team]]="")),"-",IF(Table4[[#This Row],[Predicted Winner]]=NHL2025_26Results[[#This Row],[Winning Team]],"YES","NO"))</f>
        <v>-</v>
      </c>
      <c r="N676" t="str">
        <f ca="1">IF(Table4[[#This Row],[Adjusted Correct]]="-", "",IF(Table4[[#This Row],[Adjusted Correct]]="YES",(Table4[[#This Row],[Strength of Win]]-1)^2,(Table4[[#This Row],[Strength of Win]]-0)^2))</f>
        <v/>
      </c>
      <c r="P676" s="11"/>
    </row>
    <row r="677" spans="4:16" x14ac:dyDescent="0.2">
      <c r="D677" s="1">
        <v>46028</v>
      </c>
      <c r="E677" s="2">
        <v>0.83333333333333337</v>
      </c>
      <c r="F677" t="s">
        <v>40</v>
      </c>
      <c r="G677">
        <f>VLOOKUP(Table4[[#This Row],[Home]],'NHL Model'!$A$6:$B$38,2,FALSE)</f>
        <v>0.105105258369765</v>
      </c>
      <c r="H677" t="s">
        <v>20</v>
      </c>
      <c r="I677">
        <f>VLOOKUP(Table4[[#This Row],[Visitor]],'NHL Model'!$A$6:$B$38,2,FALSE)</f>
        <v>-6.3745791019188943E-4</v>
      </c>
      <c r="J677">
        <f ca="1">($B$1+Table4[[#This Row],[Home Differential]])-Table4[[#This Row],[Away Differential]]</f>
        <v>0.2683150259422753</v>
      </c>
      <c r="K677" t="str">
        <f ca="1">IF(Table4[[#This Row],[HomeIce Differential]]&gt;0,Table4[[#This Row],[Home]],Table4[[#This Row],[Visitor]])</f>
        <v>Winnipeg Jets</v>
      </c>
      <c r="L677" s="11">
        <f ca="1"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0.59273292710520309</v>
      </c>
      <c r="M677" t="str">
        <f ca="1">IF(OR((NHL2025_26Results[[#This Row],[Winning Team]]="")),"-",IF(Table4[[#This Row],[Predicted Winner]]=NHL2025_26Results[[#This Row],[Winning Team]],"YES","NO"))</f>
        <v>-</v>
      </c>
      <c r="N677" t="str">
        <f ca="1">IF(Table4[[#This Row],[Adjusted Correct]]="-", "",IF(Table4[[#This Row],[Adjusted Correct]]="YES",(Table4[[#This Row],[Strength of Win]]-1)^2,(Table4[[#This Row],[Strength of Win]]-0)^2))</f>
        <v/>
      </c>
      <c r="P677" s="11"/>
    </row>
    <row r="678" spans="4:16" x14ac:dyDescent="0.2">
      <c r="D678" s="1">
        <v>46029</v>
      </c>
      <c r="E678" s="2">
        <v>0.89583333333333337</v>
      </c>
      <c r="F678" t="s">
        <v>10</v>
      </c>
      <c r="G678">
        <f>VLOOKUP(Table4[[#This Row],[Home]],'NHL Model'!$A$6:$B$38,2,FALSE)</f>
        <v>0.30570968833820172</v>
      </c>
      <c r="H678" t="s">
        <v>35</v>
      </c>
      <c r="I678">
        <f>VLOOKUP(Table4[[#This Row],[Visitor]],'NHL Model'!$A$6:$B$38,2,FALSE)</f>
        <v>-1.6211574240381006</v>
      </c>
      <c r="J678">
        <f ca="1">($B$1+Table4[[#This Row],[Home Differential]])-Table4[[#This Row],[Away Differential]]</f>
        <v>2.0894394220386205</v>
      </c>
      <c r="K678" t="str">
        <f ca="1">IF(Table4[[#This Row],[HomeIce Differential]]&gt;0,Table4[[#This Row],[Home]],Table4[[#This Row],[Visitor]])</f>
        <v>Chicago Blackhawks</v>
      </c>
      <c r="L678" s="11">
        <f ca="1"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0.82950993501319004</v>
      </c>
      <c r="M678" t="str">
        <f ca="1">IF(OR((NHL2025_26Results[[#This Row],[Winning Team]]="")),"-",IF(Table4[[#This Row],[Predicted Winner]]=NHL2025_26Results[[#This Row],[Winning Team]],"YES","NO"))</f>
        <v>-</v>
      </c>
      <c r="N678" t="str">
        <f ca="1">IF(Table4[[#This Row],[Adjusted Correct]]="-", "",IF(Table4[[#This Row],[Adjusted Correct]]="YES",(Table4[[#This Row],[Strength of Win]]-1)^2,(Table4[[#This Row],[Strength of Win]]-0)^2))</f>
        <v/>
      </c>
      <c r="P678" s="11"/>
    </row>
    <row r="679" spans="4:16" x14ac:dyDescent="0.2">
      <c r="D679" s="1">
        <v>46029</v>
      </c>
      <c r="E679" s="2">
        <v>0.9375</v>
      </c>
      <c r="F679" t="s">
        <v>13</v>
      </c>
      <c r="G679">
        <f>VLOOKUP(Table4[[#This Row],[Home]],'NHL Model'!$A$6:$B$38,2,FALSE)</f>
        <v>-7.5459708298993802E-2</v>
      </c>
      <c r="H679" t="s">
        <v>33</v>
      </c>
      <c r="I679">
        <f>VLOOKUP(Table4[[#This Row],[Visitor]],'NHL Model'!$A$6:$B$38,2,FALSE)</f>
        <v>-0.39418177254008485</v>
      </c>
      <c r="J679">
        <f ca="1">($B$1+Table4[[#This Row],[Home Differential]])-Table4[[#This Row],[Away Differential]]</f>
        <v>0.48129437390340946</v>
      </c>
      <c r="K679" t="str">
        <f ca="1">IF(Table4[[#This Row],[HomeIce Differential]]&gt;0,Table4[[#This Row],[Home]],Table4[[#This Row],[Visitor]])</f>
        <v>Los Angeles Kings</v>
      </c>
      <c r="L679" s="11">
        <f ca="1"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0.60668750548175243</v>
      </c>
      <c r="M679" t="str">
        <f ca="1">IF(OR((NHL2025_26Results[[#This Row],[Winning Team]]="")),"-",IF(Table4[[#This Row],[Predicted Winner]]=NHL2025_26Results[[#This Row],[Winning Team]],"YES","NO"))</f>
        <v>-</v>
      </c>
      <c r="N679" t="str">
        <f ca="1">IF(Table4[[#This Row],[Adjusted Correct]]="-", "",IF(Table4[[#This Row],[Adjusted Correct]]="YES",(Table4[[#This Row],[Strength of Win]]-1)^2,(Table4[[#This Row],[Strength of Win]]-0)^2))</f>
        <v/>
      </c>
      <c r="P679" s="11"/>
    </row>
    <row r="680" spans="4:16" x14ac:dyDescent="0.2">
      <c r="D680" s="1">
        <v>46029</v>
      </c>
      <c r="E680" s="2">
        <v>0.8125</v>
      </c>
      <c r="F680" t="s">
        <v>18</v>
      </c>
      <c r="G680">
        <f>VLOOKUP(Table4[[#This Row],[Home]],'NHL Model'!$A$6:$B$38,2,FALSE)</f>
        <v>-0.52437726201848234</v>
      </c>
      <c r="H680" t="s">
        <v>16</v>
      </c>
      <c r="I680">
        <f>VLOOKUP(Table4[[#This Row],[Visitor]],'NHL Model'!$A$6:$B$38,2,FALSE)</f>
        <v>-1.3903684122795328</v>
      </c>
      <c r="J680">
        <f ca="1">($B$1+Table4[[#This Row],[Home Differential]])-Table4[[#This Row],[Away Differential]]</f>
        <v>1.0285634599233688</v>
      </c>
      <c r="K680" t="str">
        <f ca="1">IF(Table4[[#This Row],[HomeIce Differential]]&gt;0,Table4[[#This Row],[Home]],Table4[[#This Row],[Visitor]])</f>
        <v>Montreal Canadiens</v>
      </c>
      <c r="L680" s="11">
        <f ca="1"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0.68251637893805017</v>
      </c>
      <c r="M680" t="str">
        <f ca="1">IF(OR((NHL2025_26Results[[#This Row],[Winning Team]]="")),"-",IF(Table4[[#This Row],[Predicted Winner]]=NHL2025_26Results[[#This Row],[Winning Team]],"YES","NO"))</f>
        <v>-</v>
      </c>
      <c r="N680" t="str">
        <f ca="1">IF(Table4[[#This Row],[Adjusted Correct]]="-", "",IF(Table4[[#This Row],[Adjusted Correct]]="YES",(Table4[[#This Row],[Strength of Win]]-1)^2,(Table4[[#This Row],[Strength of Win]]-0)^2))</f>
        <v/>
      </c>
      <c r="P680" s="11"/>
    </row>
    <row r="681" spans="4:16" x14ac:dyDescent="0.2">
      <c r="D681" s="1">
        <v>46029</v>
      </c>
      <c r="E681" s="2">
        <v>0.89583333333333337</v>
      </c>
      <c r="F681" t="s">
        <v>55</v>
      </c>
      <c r="G681">
        <f>VLOOKUP(Table4[[#This Row],[Home]],'NHL Model'!$A$6:$B$38,2,FALSE)</f>
        <v>-0.12212311954851815</v>
      </c>
      <c r="H681" t="s">
        <v>36</v>
      </c>
      <c r="I681">
        <f>VLOOKUP(Table4[[#This Row],[Visitor]],'NHL Model'!$A$6:$B$38,2,FALSE)</f>
        <v>-0.40651947573390851</v>
      </c>
      <c r="J681">
        <f ca="1">($B$1+Table4[[#This Row],[Home Differential]])-Table4[[#This Row],[Away Differential]]</f>
        <v>0.44696866584770878</v>
      </c>
      <c r="K681" t="str">
        <f ca="1">IF(Table4[[#This Row],[HomeIce Differential]]&gt;0,Table4[[#This Row],[Home]],Table4[[#This Row],[Visitor]])</f>
        <v>Utah Mammoth</v>
      </c>
      <c r="L681" s="11">
        <f ca="1"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0.67020388731236014</v>
      </c>
      <c r="M681" t="str">
        <f ca="1">IF(OR((NHL2025_26Results[[#This Row],[Winning Team]]="")),"-",IF(Table4[[#This Row],[Predicted Winner]]=NHL2025_26Results[[#This Row],[Winning Team]],"YES","NO"))</f>
        <v>-</v>
      </c>
      <c r="N681" t="str">
        <f ca="1">IF(Table4[[#This Row],[Adjusted Correct]]="-", "",IF(Table4[[#This Row],[Adjusted Correct]]="YES",(Table4[[#This Row],[Strength of Win]]-1)^2,(Table4[[#This Row],[Strength of Win]]-0)^2))</f>
        <v/>
      </c>
      <c r="P681" s="11"/>
    </row>
    <row r="682" spans="4:16" x14ac:dyDescent="0.2">
      <c r="D682" s="1">
        <v>46029</v>
      </c>
      <c r="E682" s="2">
        <v>0.79166666666666663</v>
      </c>
      <c r="F682" t="s">
        <v>22</v>
      </c>
      <c r="G682">
        <f>VLOOKUP(Table4[[#This Row],[Home]],'NHL Model'!$A$6:$B$38,2,FALSE)</f>
        <v>-6.1308839486784707E-2</v>
      </c>
      <c r="H682" t="s">
        <v>39</v>
      </c>
      <c r="I682">
        <f>VLOOKUP(Table4[[#This Row],[Visitor]],'NHL Model'!$A$6:$B$38,2,FALSE)</f>
        <v>0.19809534061227302</v>
      </c>
      <c r="J682">
        <f ca="1">($B$1+Table4[[#This Row],[Home Differential]])-Table4[[#This Row],[Away Differential]]</f>
        <v>-9.6831870436739326E-2</v>
      </c>
      <c r="K682" t="str">
        <f ca="1">IF(Table4[[#This Row],[HomeIce Differential]]&gt;0,Table4[[#This Row],[Home]],Table4[[#This Row],[Visitor]])</f>
        <v>Dallas Stars</v>
      </c>
      <c r="L682" s="11">
        <f ca="1"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0.56590308245428667</v>
      </c>
      <c r="M682" t="str">
        <f ca="1">IF(OR((NHL2025_26Results[[#This Row],[Winning Team]]="")),"-",IF(Table4[[#This Row],[Predicted Winner]]=NHL2025_26Results[[#This Row],[Winning Team]],"YES","NO"))</f>
        <v>-</v>
      </c>
      <c r="N682" t="str">
        <f ca="1">IF(Table4[[#This Row],[Adjusted Correct]]="-", "",IF(Table4[[#This Row],[Adjusted Correct]]="YES",(Table4[[#This Row],[Strength of Win]]-1)^2,(Table4[[#This Row],[Strength of Win]]-0)^2))</f>
        <v/>
      </c>
      <c r="P682" s="11"/>
    </row>
    <row r="683" spans="4:16" x14ac:dyDescent="0.2">
      <c r="D683" s="1">
        <v>46030</v>
      </c>
      <c r="E683" s="2">
        <v>0.79166666666666663</v>
      </c>
      <c r="F683" t="s">
        <v>21</v>
      </c>
      <c r="G683">
        <f>VLOOKUP(Table4[[#This Row],[Home]],'NHL Model'!$A$6:$B$38,2,FALSE)</f>
        <v>4.029141914856392E-2</v>
      </c>
      <c r="H683" t="s">
        <v>16</v>
      </c>
      <c r="I683">
        <f>VLOOKUP(Table4[[#This Row],[Visitor]],'NHL Model'!$A$6:$B$38,2,FALSE)</f>
        <v>-1.3903684122795328</v>
      </c>
      <c r="J683">
        <f ca="1">($B$1+Table4[[#This Row],[Home Differential]])-Table4[[#This Row],[Away Differential]]</f>
        <v>1.5932321410904151</v>
      </c>
      <c r="K683" t="str">
        <f ca="1">IF(Table4[[#This Row],[HomeIce Differential]]&gt;0,Table4[[#This Row],[Home]],Table4[[#This Row],[Visitor]])</f>
        <v>Boston Bruins</v>
      </c>
      <c r="L683" s="11">
        <f ca="1"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0.83331354431242843</v>
      </c>
      <c r="M683" t="str">
        <f ca="1">IF(OR((NHL2025_26Results[[#This Row],[Winning Team]]="")),"-",IF(Table4[[#This Row],[Predicted Winner]]=NHL2025_26Results[[#This Row],[Winning Team]],"YES","NO"))</f>
        <v>-</v>
      </c>
      <c r="N683" t="str">
        <f ca="1">IF(Table4[[#This Row],[Adjusted Correct]]="-", "",IF(Table4[[#This Row],[Adjusted Correct]]="YES",(Table4[[#This Row],[Strength of Win]]-1)^2,(Table4[[#This Row],[Strength of Win]]-0)^2))</f>
        <v/>
      </c>
      <c r="P683" s="11"/>
    </row>
    <row r="684" spans="4:16" x14ac:dyDescent="0.2">
      <c r="D684" s="1">
        <v>46030</v>
      </c>
      <c r="E684" s="2">
        <v>0.79166666666666663</v>
      </c>
      <c r="F684" t="s">
        <v>25</v>
      </c>
      <c r="G684">
        <f>VLOOKUP(Table4[[#This Row],[Home]],'NHL Model'!$A$6:$B$38,2,FALSE)</f>
        <v>0.67193921242367816</v>
      </c>
      <c r="H684" t="s">
        <v>31</v>
      </c>
      <c r="I684">
        <f>VLOOKUP(Table4[[#This Row],[Visitor]],'NHL Model'!$A$6:$B$38,2,FALSE)</f>
        <v>0.51775546328552802</v>
      </c>
      <c r="J684">
        <f ca="1">($B$1+Table4[[#This Row],[Home Differential]])-Table4[[#This Row],[Away Differential]]</f>
        <v>0.31675605880046853</v>
      </c>
      <c r="K684" t="str">
        <f ca="1">IF(Table4[[#This Row],[HomeIce Differential]]&gt;0,Table4[[#This Row],[Home]],Table4[[#This Row],[Visitor]])</f>
        <v>Carolina Hurricanes</v>
      </c>
      <c r="L684" s="11">
        <f ca="1"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0.61531786777815611</v>
      </c>
      <c r="M684" t="str">
        <f ca="1">IF(OR((NHL2025_26Results[[#This Row],[Winning Team]]="")),"-",IF(Table4[[#This Row],[Predicted Winner]]=NHL2025_26Results[[#This Row],[Winning Team]],"YES","NO"))</f>
        <v>-</v>
      </c>
      <c r="N684" t="str">
        <f ca="1">IF(Table4[[#This Row],[Adjusted Correct]]="-", "",IF(Table4[[#This Row],[Adjusted Correct]]="YES",(Table4[[#This Row],[Strength of Win]]-1)^2,(Table4[[#This Row],[Strength of Win]]-0)^2))</f>
        <v/>
      </c>
      <c r="P684" s="11"/>
    </row>
    <row r="685" spans="4:16" x14ac:dyDescent="0.2">
      <c r="D685" s="1">
        <v>46030</v>
      </c>
      <c r="E685" s="2">
        <v>0.875</v>
      </c>
      <c r="F685" t="s">
        <v>12</v>
      </c>
      <c r="G685">
        <f>VLOOKUP(Table4[[#This Row],[Home]],'NHL Model'!$A$6:$B$38,2,FALSE)</f>
        <v>1.5475013591489768</v>
      </c>
      <c r="H685" t="s">
        <v>36</v>
      </c>
      <c r="I685">
        <f>VLOOKUP(Table4[[#This Row],[Visitor]],'NHL Model'!$A$6:$B$38,2,FALSE)</f>
        <v>-0.40651947573390851</v>
      </c>
      <c r="J685">
        <f ca="1">($B$1+Table4[[#This Row],[Home Differential]])-Table4[[#This Row],[Away Differential]]</f>
        <v>2.1165931445452038</v>
      </c>
      <c r="K685" t="str">
        <f ca="1">IF(Table4[[#This Row],[HomeIce Differential]]&gt;0,Table4[[#This Row],[Home]],Table4[[#This Row],[Visitor]])</f>
        <v>Colorado Avalanche</v>
      </c>
      <c r="L685" s="11">
        <f ca="1"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0.92163856628458851</v>
      </c>
      <c r="M685" t="str">
        <f ca="1">IF(OR((NHL2025_26Results[[#This Row],[Winning Team]]="")),"-",IF(Table4[[#This Row],[Predicted Winner]]=NHL2025_26Results[[#This Row],[Winning Team]],"YES","NO"))</f>
        <v>-</v>
      </c>
      <c r="N685" t="str">
        <f ca="1">IF(Table4[[#This Row],[Adjusted Correct]]="-", "",IF(Table4[[#This Row],[Adjusted Correct]]="YES",(Table4[[#This Row],[Strength of Win]]-1)^2,(Table4[[#This Row],[Strength of Win]]-0)^2))</f>
        <v/>
      </c>
      <c r="P685" s="11"/>
    </row>
    <row r="686" spans="4:16" x14ac:dyDescent="0.2">
      <c r="D686" s="1">
        <v>46030</v>
      </c>
      <c r="E686" s="2">
        <v>0.79166666666666663</v>
      </c>
      <c r="F686" t="s">
        <v>26</v>
      </c>
      <c r="G686">
        <f>VLOOKUP(Table4[[#This Row],[Home]],'NHL Model'!$A$6:$B$38,2,FALSE)</f>
        <v>-0.513643833119658</v>
      </c>
      <c r="H686" t="s">
        <v>38</v>
      </c>
      <c r="I686">
        <f>VLOOKUP(Table4[[#This Row],[Visitor]],'NHL Model'!$A$6:$B$38,2,FALSE)</f>
        <v>-0.6902088310934803</v>
      </c>
      <c r="J686">
        <f ca="1">($B$1+Table4[[#This Row],[Home Differential]])-Table4[[#This Row],[Away Differential]]</f>
        <v>0.33913730763614069</v>
      </c>
      <c r="K686" t="str">
        <f ca="1">IF(Table4[[#This Row],[HomeIce Differential]]&gt;0,Table4[[#This Row],[Home]],Table4[[#This Row],[Visitor]])</f>
        <v>Detroit Red Wings</v>
      </c>
      <c r="L686" s="11">
        <f ca="1"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0.57079993609842927</v>
      </c>
      <c r="M686" t="str">
        <f ca="1">IF(OR((NHL2025_26Results[[#This Row],[Winning Team]]="")),"-",IF(Table4[[#This Row],[Predicted Winner]]=NHL2025_26Results[[#This Row],[Winning Team]],"YES","NO"))</f>
        <v>-</v>
      </c>
      <c r="N686" t="str">
        <f ca="1">IF(Table4[[#This Row],[Adjusted Correct]]="-", "",IF(Table4[[#This Row],[Adjusted Correct]]="YES",(Table4[[#This Row],[Strength of Win]]-1)^2,(Table4[[#This Row],[Strength of Win]]-0)^2))</f>
        <v/>
      </c>
      <c r="P686" s="11"/>
    </row>
    <row r="687" spans="4:16" x14ac:dyDescent="0.2">
      <c r="D687" s="1">
        <v>46030</v>
      </c>
      <c r="E687" s="2">
        <v>0.79166666666666663</v>
      </c>
      <c r="F687" t="s">
        <v>18</v>
      </c>
      <c r="G687">
        <f>VLOOKUP(Table4[[#This Row],[Home]],'NHL Model'!$A$6:$B$38,2,FALSE)</f>
        <v>-0.52437726201848234</v>
      </c>
      <c r="H687" t="s">
        <v>11</v>
      </c>
      <c r="I687">
        <f>VLOOKUP(Table4[[#This Row],[Visitor]],'NHL Model'!$A$6:$B$38,2,FALSE)</f>
        <v>-0.28105923893144158</v>
      </c>
      <c r="J687">
        <f ca="1">($B$1+Table4[[#This Row],[Home Differential]])-Table4[[#This Row],[Away Differential]]</f>
        <v>-8.0745713424722365E-2</v>
      </c>
      <c r="K687" t="str">
        <f ca="1">IF(Table4[[#This Row],[HomeIce Differential]]&gt;0,Table4[[#This Row],[Home]],Table4[[#This Row],[Visitor]])</f>
        <v>Florida Panthers</v>
      </c>
      <c r="L687" s="11">
        <f ca="1"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0.47118801818306699</v>
      </c>
      <c r="M687" t="str">
        <f ca="1">IF(OR((NHL2025_26Results[[#This Row],[Winning Team]]="")),"-",IF(Table4[[#This Row],[Predicted Winner]]=NHL2025_26Results[[#This Row],[Winning Team]],"YES","NO"))</f>
        <v>-</v>
      </c>
      <c r="N687" t="str">
        <f ca="1">IF(Table4[[#This Row],[Adjusted Correct]]="-", "",IF(Table4[[#This Row],[Adjusted Correct]]="YES",(Table4[[#This Row],[Strength of Win]]-1)^2,(Table4[[#This Row],[Strength of Win]]-0)^2))</f>
        <v/>
      </c>
      <c r="P687" s="11"/>
    </row>
    <row r="688" spans="4:16" x14ac:dyDescent="0.2">
      <c r="D688" s="1">
        <v>46030</v>
      </c>
      <c r="E688" s="2">
        <v>0.83333333333333337</v>
      </c>
      <c r="F688" t="s">
        <v>29</v>
      </c>
      <c r="G688">
        <f>VLOOKUP(Table4[[#This Row],[Home]],'NHL Model'!$A$6:$B$38,2,FALSE)</f>
        <v>-1.3516250707060606</v>
      </c>
      <c r="H688" t="s">
        <v>30</v>
      </c>
      <c r="I688">
        <f>VLOOKUP(Table4[[#This Row],[Visitor]],'NHL Model'!$A$6:$B$38,2,FALSE)</f>
        <v>-6.4729560818359025E-2</v>
      </c>
      <c r="J688">
        <f ca="1">($B$1+Table4[[#This Row],[Home Differential]])-Table4[[#This Row],[Away Differential]]</f>
        <v>-1.1243232002253831</v>
      </c>
      <c r="K688" t="str">
        <f ca="1">IF(Table4[[#This Row],[HomeIce Differential]]&gt;0,Table4[[#This Row],[Home]],Table4[[#This Row],[Visitor]])</f>
        <v>New York Islanders</v>
      </c>
      <c r="L688" s="11">
        <f ca="1"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0.65829728344190575</v>
      </c>
      <c r="M688" t="str">
        <f ca="1">IF(OR((NHL2025_26Results[[#This Row],[Winning Team]]="")),"-",IF(Table4[[#This Row],[Predicted Winner]]=NHL2025_26Results[[#This Row],[Winning Team]],"YES","NO"))</f>
        <v>-</v>
      </c>
      <c r="N688" t="str">
        <f ca="1">IF(Table4[[#This Row],[Adjusted Correct]]="-", "",IF(Table4[[#This Row],[Adjusted Correct]]="YES",(Table4[[#This Row],[Strength of Win]]-1)^2,(Table4[[#This Row],[Strength of Win]]-0)^2))</f>
        <v/>
      </c>
      <c r="P688" s="11"/>
    </row>
    <row r="689" spans="4:16" x14ac:dyDescent="0.2">
      <c r="D689" s="1">
        <v>46030</v>
      </c>
      <c r="E689" s="2">
        <v>0.79166666666666663</v>
      </c>
      <c r="F689" t="s">
        <v>15</v>
      </c>
      <c r="G689">
        <f>VLOOKUP(Table4[[#This Row],[Home]],'NHL Model'!$A$6:$B$38,2,FALSE)</f>
        <v>-0.30719665303039001</v>
      </c>
      <c r="H689" t="s">
        <v>23</v>
      </c>
      <c r="I689">
        <f>VLOOKUP(Table4[[#This Row],[Visitor]],'NHL Model'!$A$6:$B$38,2,FALSE)</f>
        <v>-0.8683412362501769</v>
      </c>
      <c r="J689">
        <f ca="1">($B$1+Table4[[#This Row],[Home Differential]])-Table4[[#This Row],[Away Differential]]</f>
        <v>0.72371689288210528</v>
      </c>
      <c r="K689" t="str">
        <f ca="1">IF(Table4[[#This Row],[HomeIce Differential]]&gt;0,Table4[[#This Row],[Home]],Table4[[#This Row],[Visitor]])</f>
        <v>New York Rangers</v>
      </c>
      <c r="L689" s="11">
        <f ca="1"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0.64027724585660351</v>
      </c>
      <c r="M689" t="str">
        <f ca="1">IF(OR((NHL2025_26Results[[#This Row],[Winning Team]]="")),"-",IF(Table4[[#This Row],[Predicted Winner]]=NHL2025_26Results[[#This Row],[Winning Team]],"YES","NO"))</f>
        <v>-</v>
      </c>
      <c r="N689" t="str">
        <f ca="1">IF(Table4[[#This Row],[Adjusted Correct]]="-", "",IF(Table4[[#This Row],[Adjusted Correct]]="YES",(Table4[[#This Row],[Strength of Win]]-1)^2,(Table4[[#This Row],[Strength of Win]]-0)^2))</f>
        <v/>
      </c>
      <c r="P689" s="11"/>
    </row>
    <row r="690" spans="4:16" x14ac:dyDescent="0.2">
      <c r="D690" s="1">
        <v>46030</v>
      </c>
      <c r="E690" s="2">
        <v>0.79166666666666663</v>
      </c>
      <c r="F690" t="s">
        <v>27</v>
      </c>
      <c r="G690">
        <f>VLOOKUP(Table4[[#This Row],[Home]],'NHL Model'!$A$6:$B$38,2,FALSE)</f>
        <v>-0.51358590497437617</v>
      </c>
      <c r="H690" t="s">
        <v>19</v>
      </c>
      <c r="I690">
        <f>VLOOKUP(Table4[[#This Row],[Visitor]],'NHL Model'!$A$6:$B$38,2,FALSE)</f>
        <v>-0.635565543477981</v>
      </c>
      <c r="J690">
        <f ca="1">($B$1+Table4[[#This Row],[Home Differential]])-Table4[[#This Row],[Away Differential]]</f>
        <v>0.28455194816592322</v>
      </c>
      <c r="K690" t="str">
        <f ca="1">IF(Table4[[#This Row],[HomeIce Differential]]&gt;0,Table4[[#This Row],[Home]],Table4[[#This Row],[Visitor]])</f>
        <v>Philadelphia Flyers</v>
      </c>
      <c r="L690" s="11">
        <f ca="1"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0.58192261700621795</v>
      </c>
      <c r="M690" t="str">
        <f ca="1">IF(OR((NHL2025_26Results[[#This Row],[Winning Team]]="")),"-",IF(Table4[[#This Row],[Predicted Winner]]=NHL2025_26Results[[#This Row],[Winning Team]],"YES","NO"))</f>
        <v>-</v>
      </c>
      <c r="N690" t="str">
        <f ca="1">IF(Table4[[#This Row],[Adjusted Correct]]="-", "",IF(Table4[[#This Row],[Adjusted Correct]]="YES",(Table4[[#This Row],[Strength of Win]]-1)^2,(Table4[[#This Row],[Strength of Win]]-0)^2))</f>
        <v/>
      </c>
      <c r="P690" s="11"/>
    </row>
    <row r="691" spans="4:16" x14ac:dyDescent="0.2">
      <c r="D691" s="1">
        <v>46030</v>
      </c>
      <c r="E691" s="2">
        <v>0.79166666666666663</v>
      </c>
      <c r="F691" t="s">
        <v>14</v>
      </c>
      <c r="G691">
        <f>VLOOKUP(Table4[[#This Row],[Home]],'NHL Model'!$A$6:$B$38,2,FALSE)</f>
        <v>0.26289091192875702</v>
      </c>
      <c r="H691" t="s">
        <v>24</v>
      </c>
      <c r="I691">
        <f>VLOOKUP(Table4[[#This Row],[Visitor]],'NHL Model'!$A$6:$B$38,2,FALSE)</f>
        <v>0.559441163373953</v>
      </c>
      <c r="J691">
        <f ca="1">($B$1+Table4[[#This Row],[Home Differential]])-Table4[[#This Row],[Away Differential]]</f>
        <v>-0.13397794178287759</v>
      </c>
      <c r="K691" t="str">
        <f ca="1">IF(Table4[[#This Row],[HomeIce Differential]]&gt;0,Table4[[#This Row],[Home]],Table4[[#This Row],[Visitor]])</f>
        <v>New Jersey Devils</v>
      </c>
      <c r="L691" s="11">
        <f ca="1"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0.50835972299821641</v>
      </c>
      <c r="M691" t="str">
        <f ca="1">IF(OR((NHL2025_26Results[[#This Row],[Winning Team]]="")),"-",IF(Table4[[#This Row],[Predicted Winner]]=NHL2025_26Results[[#This Row],[Winning Team]],"YES","NO"))</f>
        <v>-</v>
      </c>
      <c r="N691" t="str">
        <f ca="1">IF(Table4[[#This Row],[Adjusted Correct]]="-", "",IF(Table4[[#This Row],[Adjusted Correct]]="YES",(Table4[[#This Row],[Strength of Win]]-1)^2,(Table4[[#This Row],[Strength of Win]]-0)^2))</f>
        <v/>
      </c>
      <c r="P691" s="11"/>
    </row>
    <row r="692" spans="4:16" x14ac:dyDescent="0.2">
      <c r="D692" s="1">
        <v>46030</v>
      </c>
      <c r="E692" s="2">
        <v>0.91666666666666663</v>
      </c>
      <c r="F692" t="s">
        <v>32</v>
      </c>
      <c r="G692">
        <f>VLOOKUP(Table4[[#This Row],[Home]],'NHL Model'!$A$6:$B$38,2,FALSE)</f>
        <v>-0.361361309178443</v>
      </c>
      <c r="H692" t="s">
        <v>34</v>
      </c>
      <c r="I692">
        <f>VLOOKUP(Table4[[#This Row],[Visitor]],'NHL Model'!$A$6:$B$38,2,FALSE)</f>
        <v>-0.53650300840565446</v>
      </c>
      <c r="J692">
        <f ca="1">($B$1+Table4[[#This Row],[Home Differential]])-Table4[[#This Row],[Away Differential]]</f>
        <v>0.33771400888952985</v>
      </c>
      <c r="K692" t="str">
        <f ca="1">IF(Table4[[#This Row],[HomeIce Differential]]&gt;0,Table4[[#This Row],[Home]],Table4[[#This Row],[Visitor]])</f>
        <v>Seattle Kraken</v>
      </c>
      <c r="L692" s="11">
        <f ca="1"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0.61283093776503172</v>
      </c>
      <c r="M692" t="str">
        <f ca="1">IF(OR((NHL2025_26Results[[#This Row],[Winning Team]]="")),"-",IF(Table4[[#This Row],[Predicted Winner]]=NHL2025_26Results[[#This Row],[Winning Team]],"YES","NO"))</f>
        <v>-</v>
      </c>
      <c r="N692" t="str">
        <f ca="1">IF(Table4[[#This Row],[Adjusted Correct]]="-", "",IF(Table4[[#This Row],[Adjusted Correct]]="YES",(Table4[[#This Row],[Strength of Win]]-1)^2,(Table4[[#This Row],[Strength of Win]]-0)^2))</f>
        <v/>
      </c>
      <c r="P692" s="11"/>
    </row>
    <row r="693" spans="4:16" x14ac:dyDescent="0.2">
      <c r="D693" s="1">
        <v>46030</v>
      </c>
      <c r="E693" s="2">
        <v>0.91666666666666663</v>
      </c>
      <c r="F693" t="s">
        <v>20</v>
      </c>
      <c r="G693">
        <f>VLOOKUP(Table4[[#This Row],[Home]],'NHL Model'!$A$6:$B$38,2,FALSE)</f>
        <v>-6.3745791019188943E-4</v>
      </c>
      <c r="H693" t="s">
        <v>28</v>
      </c>
      <c r="I693">
        <f>VLOOKUP(Table4[[#This Row],[Visitor]],'NHL Model'!$A$6:$B$38,2,FALSE)</f>
        <v>-0.40822279081308277</v>
      </c>
      <c r="J693">
        <f ca="1">($B$1+Table4[[#This Row],[Home Differential]])-Table4[[#This Row],[Away Differential]]</f>
        <v>0.57015764256520929</v>
      </c>
      <c r="K693" t="str">
        <f ca="1">IF(Table4[[#This Row],[HomeIce Differential]]&gt;0,Table4[[#This Row],[Home]],Table4[[#This Row],[Visitor]])</f>
        <v>Vegas Golden Knights</v>
      </c>
      <c r="L693" s="11">
        <f ca="1"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0.59823105050490921</v>
      </c>
      <c r="M693" t="str">
        <f ca="1">IF(OR((NHL2025_26Results[[#This Row],[Winning Team]]="")),"-",IF(Table4[[#This Row],[Predicted Winner]]=NHL2025_26Results[[#This Row],[Winning Team]],"YES","NO"))</f>
        <v>-</v>
      </c>
      <c r="N693" t="str">
        <f ca="1">IF(Table4[[#This Row],[Adjusted Correct]]="-", "",IF(Table4[[#This Row],[Adjusted Correct]]="YES",(Table4[[#This Row],[Strength of Win]]-1)^2,(Table4[[#This Row],[Strength of Win]]-0)^2))</f>
        <v/>
      </c>
      <c r="P693" s="11"/>
    </row>
    <row r="694" spans="4:16" x14ac:dyDescent="0.2">
      <c r="D694" s="1">
        <v>46030</v>
      </c>
      <c r="E694" s="2">
        <v>0.83333333333333337</v>
      </c>
      <c r="F694" t="s">
        <v>40</v>
      </c>
      <c r="G694">
        <f>VLOOKUP(Table4[[#This Row],[Home]],'NHL Model'!$A$6:$B$38,2,FALSE)</f>
        <v>0.105105258369765</v>
      </c>
      <c r="H694" t="s">
        <v>17</v>
      </c>
      <c r="I694">
        <f>VLOOKUP(Table4[[#This Row],[Visitor]],'NHL Model'!$A$6:$B$38,2,FALSE)</f>
        <v>-0.61980804137564283</v>
      </c>
      <c r="J694">
        <f ca="1">($B$1+Table4[[#This Row],[Home Differential]])-Table4[[#This Row],[Away Differential]]</f>
        <v>0.88748560940772625</v>
      </c>
      <c r="K694" t="str">
        <f ca="1">IF(Table4[[#This Row],[HomeIce Differential]]&gt;0,Table4[[#This Row],[Home]],Table4[[#This Row],[Visitor]])</f>
        <v>Winnipeg Jets</v>
      </c>
      <c r="L694" s="11">
        <f ca="1"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0.69900568679745978</v>
      </c>
      <c r="M694" t="str">
        <f ca="1">IF(OR((NHL2025_26Results[[#This Row],[Winning Team]]="")),"-",IF(Table4[[#This Row],[Predicted Winner]]=NHL2025_26Results[[#This Row],[Winning Team]],"YES","NO"))</f>
        <v>-</v>
      </c>
      <c r="N694" t="str">
        <f ca="1">IF(Table4[[#This Row],[Adjusted Correct]]="-", "",IF(Table4[[#This Row],[Adjusted Correct]]="YES",(Table4[[#This Row],[Strength of Win]]-1)^2,(Table4[[#This Row],[Strength of Win]]-0)^2))</f>
        <v/>
      </c>
      <c r="P694" s="11"/>
    </row>
    <row r="695" spans="4:16" x14ac:dyDescent="0.2">
      <c r="D695" s="1">
        <v>46031</v>
      </c>
      <c r="E695" s="2">
        <v>0.83333333333333337</v>
      </c>
      <c r="F695" t="s">
        <v>10</v>
      </c>
      <c r="G695">
        <f>VLOOKUP(Table4[[#This Row],[Home]],'NHL Model'!$A$6:$B$38,2,FALSE)</f>
        <v>0.30570968833820172</v>
      </c>
      <c r="H695" t="s">
        <v>22</v>
      </c>
      <c r="I695">
        <f>VLOOKUP(Table4[[#This Row],[Visitor]],'NHL Model'!$A$6:$B$38,2,FALSE)</f>
        <v>-6.1308839486784707E-2</v>
      </c>
      <c r="J695">
        <f ca="1">($B$1+Table4[[#This Row],[Home Differential]])-Table4[[#This Row],[Away Differential]]</f>
        <v>0.52959083748730484</v>
      </c>
      <c r="K695" t="str">
        <f ca="1">IF(Table4[[#This Row],[HomeIce Differential]]&gt;0,Table4[[#This Row],[Home]],Table4[[#This Row],[Visitor]])</f>
        <v>Chicago Blackhawks</v>
      </c>
      <c r="L695" s="11">
        <f ca="1"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0.61337939895617444</v>
      </c>
      <c r="M695" t="str">
        <f ca="1">IF(OR((NHL2025_26Results[[#This Row],[Winning Team]]="")),"-",IF(Table4[[#This Row],[Predicted Winner]]=NHL2025_26Results[[#This Row],[Winning Team]],"YES","NO"))</f>
        <v>-</v>
      </c>
      <c r="N695" t="str">
        <f ca="1">IF(Table4[[#This Row],[Adjusted Correct]]="-", "",IF(Table4[[#This Row],[Adjusted Correct]]="YES",(Table4[[#This Row],[Strength of Win]]-1)^2,(Table4[[#This Row],[Strength of Win]]-0)^2))</f>
        <v/>
      </c>
      <c r="P695" s="11"/>
    </row>
    <row r="696" spans="4:16" x14ac:dyDescent="0.2">
      <c r="D696" s="1">
        <v>46031</v>
      </c>
      <c r="E696" s="2">
        <v>0.875</v>
      </c>
      <c r="F696" t="s">
        <v>55</v>
      </c>
      <c r="G696">
        <f>VLOOKUP(Table4[[#This Row],[Home]],'NHL Model'!$A$6:$B$38,2,FALSE)</f>
        <v>-0.12212311954851815</v>
      </c>
      <c r="H696" t="s">
        <v>35</v>
      </c>
      <c r="I696">
        <f>VLOOKUP(Table4[[#This Row],[Visitor]],'NHL Model'!$A$6:$B$38,2,FALSE)</f>
        <v>-1.6211574240381006</v>
      </c>
      <c r="J696">
        <f ca="1">($B$1+Table4[[#This Row],[Home Differential]])-Table4[[#This Row],[Away Differential]]</f>
        <v>1.6616066141519008</v>
      </c>
      <c r="K696" t="str">
        <f ca="1">IF(Table4[[#This Row],[HomeIce Differential]]&gt;0,Table4[[#This Row],[Home]],Table4[[#This Row],[Visitor]])</f>
        <v>Utah Mammoth</v>
      </c>
      <c r="L696" s="11">
        <f ca="1"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0.83850249878155703</v>
      </c>
      <c r="M696" t="str">
        <f ca="1">IF(OR((NHL2025_26Results[[#This Row],[Winning Team]]="")),"-",IF(Table4[[#This Row],[Predicted Winner]]=NHL2025_26Results[[#This Row],[Winning Team]],"YES","NO"))</f>
        <v>-</v>
      </c>
      <c r="N696" t="str">
        <f ca="1">IF(Table4[[#This Row],[Adjusted Correct]]="-", "",IF(Table4[[#This Row],[Adjusted Correct]]="YES",(Table4[[#This Row],[Strength of Win]]-1)^2,(Table4[[#This Row],[Strength of Win]]-0)^2))</f>
        <v/>
      </c>
      <c r="P696" s="11"/>
    </row>
    <row r="697" spans="4:16" x14ac:dyDescent="0.2">
      <c r="D697" s="1">
        <v>46031</v>
      </c>
      <c r="E697" s="2">
        <v>0.83333333333333337</v>
      </c>
      <c r="F697" t="s">
        <v>40</v>
      </c>
      <c r="G697">
        <f>VLOOKUP(Table4[[#This Row],[Home]],'NHL Model'!$A$6:$B$38,2,FALSE)</f>
        <v>0.105105258369765</v>
      </c>
      <c r="H697" t="s">
        <v>13</v>
      </c>
      <c r="I697">
        <f>VLOOKUP(Table4[[#This Row],[Visitor]],'NHL Model'!$A$6:$B$38,2,FALSE)</f>
        <v>-7.5459708298993802E-2</v>
      </c>
      <c r="J697">
        <f ca="1">($B$1+Table4[[#This Row],[Home Differential]])-Table4[[#This Row],[Away Differential]]</f>
        <v>0.34313727633107721</v>
      </c>
      <c r="K697" t="str">
        <f ca="1">IF(Table4[[#This Row],[HomeIce Differential]]&gt;0,Table4[[#This Row],[Home]],Table4[[#This Row],[Visitor]])</f>
        <v>Winnipeg Jets</v>
      </c>
      <c r="L697" s="11">
        <f ca="1"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0.50209009715312947</v>
      </c>
      <c r="M697" t="str">
        <f ca="1">IF(OR((NHL2025_26Results[[#This Row],[Winning Team]]="")),"-",IF(Table4[[#This Row],[Predicted Winner]]=NHL2025_26Results[[#This Row],[Winning Team]],"YES","NO"))</f>
        <v>-</v>
      </c>
      <c r="N697" t="str">
        <f ca="1">IF(Table4[[#This Row],[Adjusted Correct]]="-", "",IF(Table4[[#This Row],[Adjusted Correct]]="YES",(Table4[[#This Row],[Strength of Win]]-1)^2,(Table4[[#This Row],[Strength of Win]]-0)^2))</f>
        <v/>
      </c>
      <c r="P697" s="11"/>
    </row>
    <row r="698" spans="4:16" x14ac:dyDescent="0.2">
      <c r="D698" s="1">
        <v>46032</v>
      </c>
      <c r="E698" s="2">
        <v>0.54166666666666663</v>
      </c>
      <c r="F698" t="s">
        <v>21</v>
      </c>
      <c r="G698">
        <f>VLOOKUP(Table4[[#This Row],[Home]],'NHL Model'!$A$6:$B$38,2,FALSE)</f>
        <v>4.029141914856392E-2</v>
      </c>
      <c r="H698" t="s">
        <v>15</v>
      </c>
      <c r="I698">
        <f>VLOOKUP(Table4[[#This Row],[Visitor]],'NHL Model'!$A$6:$B$38,2,FALSE)</f>
        <v>-0.30719665303039001</v>
      </c>
      <c r="J698">
        <f ca="1">($B$1+Table4[[#This Row],[Home Differential]])-Table4[[#This Row],[Away Differential]]</f>
        <v>0.51006038184127234</v>
      </c>
      <c r="K698" t="str">
        <f ca="1">IF(Table4[[#This Row],[HomeIce Differential]]&gt;0,Table4[[#This Row],[Home]],Table4[[#This Row],[Visitor]])</f>
        <v>Boston Bruins</v>
      </c>
      <c r="L698" s="11">
        <f ca="1"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0.54126152040692255</v>
      </c>
      <c r="M698" t="str">
        <f ca="1">IF(OR((NHL2025_26Results[[#This Row],[Winning Team]]="")),"-",IF(Table4[[#This Row],[Predicted Winner]]=NHL2025_26Results[[#This Row],[Winning Team]],"YES","NO"))</f>
        <v>-</v>
      </c>
      <c r="N698" t="str">
        <f ca="1">IF(Table4[[#This Row],[Adjusted Correct]]="-", "",IF(Table4[[#This Row],[Adjusted Correct]]="YES",(Table4[[#This Row],[Strength of Win]]-1)^2,(Table4[[#This Row],[Strength of Win]]-0)^2))</f>
        <v/>
      </c>
      <c r="P698" s="11"/>
    </row>
    <row r="699" spans="4:16" x14ac:dyDescent="0.2">
      <c r="D699" s="1">
        <v>46032</v>
      </c>
      <c r="E699" s="2">
        <v>0.79166666666666663</v>
      </c>
      <c r="F699" t="s">
        <v>23</v>
      </c>
      <c r="G699">
        <f>VLOOKUP(Table4[[#This Row],[Home]],'NHL Model'!$A$6:$B$38,2,FALSE)</f>
        <v>-0.8683412362501769</v>
      </c>
      <c r="H699" t="s">
        <v>31</v>
      </c>
      <c r="I699">
        <f>VLOOKUP(Table4[[#This Row],[Visitor]],'NHL Model'!$A$6:$B$38,2,FALSE)</f>
        <v>0.51775546328552802</v>
      </c>
      <c r="J699">
        <f ca="1">($B$1+Table4[[#This Row],[Home Differential]])-Table4[[#This Row],[Away Differential]]</f>
        <v>-1.2235243898733865</v>
      </c>
      <c r="K699" t="str">
        <f ca="1">IF(Table4[[#This Row],[HomeIce Differential]]&gt;0,Table4[[#This Row],[Home]],Table4[[#This Row],[Visitor]])</f>
        <v>Anaheim Ducks</v>
      </c>
      <c r="L699" s="11">
        <f ca="1"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0.65029913571076281</v>
      </c>
      <c r="M699" t="str">
        <f ca="1">IF(OR((NHL2025_26Results[[#This Row],[Winning Team]]="")),"-",IF(Table4[[#This Row],[Predicted Winner]]=NHL2025_26Results[[#This Row],[Winning Team]],"YES","NO"))</f>
        <v>-</v>
      </c>
      <c r="N699" t="str">
        <f ca="1">IF(Table4[[#This Row],[Adjusted Correct]]="-", "",IF(Table4[[#This Row],[Adjusted Correct]]="YES",(Table4[[#This Row],[Strength of Win]]-1)^2,(Table4[[#This Row],[Strength of Win]]-0)^2))</f>
        <v/>
      </c>
      <c r="P699" s="11"/>
    </row>
    <row r="700" spans="4:16" x14ac:dyDescent="0.2">
      <c r="D700" s="1">
        <v>46032</v>
      </c>
      <c r="E700" s="2">
        <v>0.79166666666666663</v>
      </c>
      <c r="F700" t="s">
        <v>25</v>
      </c>
      <c r="G700">
        <f>VLOOKUP(Table4[[#This Row],[Home]],'NHL Model'!$A$6:$B$38,2,FALSE)</f>
        <v>0.67193921242367816</v>
      </c>
      <c r="H700" t="s">
        <v>32</v>
      </c>
      <c r="I700">
        <f>VLOOKUP(Table4[[#This Row],[Visitor]],'NHL Model'!$A$6:$B$38,2,FALSE)</f>
        <v>-0.361361309178443</v>
      </c>
      <c r="J700">
        <f ca="1">($B$1+Table4[[#This Row],[Home Differential]])-Table4[[#This Row],[Away Differential]]</f>
        <v>1.1958728312644396</v>
      </c>
      <c r="K700" t="str">
        <f ca="1">IF(Table4[[#This Row],[HomeIce Differential]]&gt;0,Table4[[#This Row],[Home]],Table4[[#This Row],[Visitor]])</f>
        <v>Carolina Hurricanes</v>
      </c>
      <c r="L700" s="11">
        <f ca="1"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0.75741451825205031</v>
      </c>
      <c r="M700" t="str">
        <f ca="1">IF(OR((NHL2025_26Results[[#This Row],[Winning Team]]="")),"-",IF(Table4[[#This Row],[Predicted Winner]]=NHL2025_26Results[[#This Row],[Winning Team]],"YES","NO"))</f>
        <v>-</v>
      </c>
      <c r="N700" t="str">
        <f ca="1">IF(Table4[[#This Row],[Adjusted Correct]]="-", "",IF(Table4[[#This Row],[Adjusted Correct]]="YES",(Table4[[#This Row],[Strength of Win]]-1)^2,(Table4[[#This Row],[Strength of Win]]-0)^2))</f>
        <v/>
      </c>
      <c r="P700" s="11"/>
    </row>
    <row r="701" spans="4:16" x14ac:dyDescent="0.2">
      <c r="D701" s="1">
        <v>46032</v>
      </c>
      <c r="E701" s="2">
        <v>0.66666666666666663</v>
      </c>
      <c r="F701" t="s">
        <v>12</v>
      </c>
      <c r="G701">
        <f>VLOOKUP(Table4[[#This Row],[Home]],'NHL Model'!$A$6:$B$38,2,FALSE)</f>
        <v>1.5475013591489768</v>
      </c>
      <c r="H701" t="s">
        <v>28</v>
      </c>
      <c r="I701">
        <f>VLOOKUP(Table4[[#This Row],[Visitor]],'NHL Model'!$A$6:$B$38,2,FALSE)</f>
        <v>-0.40822279081308277</v>
      </c>
      <c r="J701">
        <f ca="1">($B$1+Table4[[#This Row],[Home Differential]])-Table4[[#This Row],[Away Differential]]</f>
        <v>2.1182964596243781</v>
      </c>
      <c r="K701" t="str">
        <f ca="1">IF(Table4[[#This Row],[HomeIce Differential]]&gt;0,Table4[[#This Row],[Home]],Table4[[#This Row],[Visitor]])</f>
        <v>Colorado Avalanche</v>
      </c>
      <c r="L701" s="11">
        <f ca="1"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0.90220397976456046</v>
      </c>
      <c r="M701" t="str">
        <f ca="1">IF(OR((NHL2025_26Results[[#This Row],[Winning Team]]="")),"-",IF(Table4[[#This Row],[Predicted Winner]]=NHL2025_26Results[[#This Row],[Winning Team]],"YES","NO"))</f>
        <v>-</v>
      </c>
      <c r="N701" t="str">
        <f ca="1">IF(Table4[[#This Row],[Adjusted Correct]]="-", "",IF(Table4[[#This Row],[Adjusted Correct]]="YES",(Table4[[#This Row],[Strength of Win]]-1)^2,(Table4[[#This Row],[Strength of Win]]-0)^2))</f>
        <v/>
      </c>
      <c r="P701" s="11"/>
    </row>
    <row r="702" spans="4:16" x14ac:dyDescent="0.2">
      <c r="D702" s="1">
        <v>46032</v>
      </c>
      <c r="E702" s="2">
        <v>0.91666666666666663</v>
      </c>
      <c r="F702" t="s">
        <v>17</v>
      </c>
      <c r="G702">
        <f>VLOOKUP(Table4[[#This Row],[Home]],'NHL Model'!$A$6:$B$38,2,FALSE)</f>
        <v>-0.61980804137564283</v>
      </c>
      <c r="H702" t="s">
        <v>13</v>
      </c>
      <c r="I702">
        <f>VLOOKUP(Table4[[#This Row],[Visitor]],'NHL Model'!$A$6:$B$38,2,FALSE)</f>
        <v>-7.5459708298993802E-2</v>
      </c>
      <c r="J702">
        <f ca="1">($B$1+Table4[[#This Row],[Home Differential]])-Table4[[#This Row],[Away Differential]]</f>
        <v>-0.38177602341433065</v>
      </c>
      <c r="K702" t="str">
        <f ca="1">IF(Table4[[#This Row],[HomeIce Differential]]&gt;0,Table4[[#This Row],[Home]],Table4[[#This Row],[Visitor]])</f>
        <v>Los Angeles Kings</v>
      </c>
      <c r="L702" s="11">
        <f ca="1"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0.59835292124016037</v>
      </c>
      <c r="M702" t="str">
        <f ca="1">IF(OR((NHL2025_26Results[[#This Row],[Winning Team]]="")),"-",IF(Table4[[#This Row],[Predicted Winner]]=NHL2025_26Results[[#This Row],[Winning Team]],"YES","NO"))</f>
        <v>-</v>
      </c>
      <c r="N702" t="str">
        <f ca="1">IF(Table4[[#This Row],[Adjusted Correct]]="-", "",IF(Table4[[#This Row],[Adjusted Correct]]="YES",(Table4[[#This Row],[Strength of Win]]-1)^2,(Table4[[#This Row],[Strength of Win]]-0)^2))</f>
        <v/>
      </c>
      <c r="P702" s="11"/>
    </row>
    <row r="703" spans="4:16" x14ac:dyDescent="0.2">
      <c r="D703" s="1">
        <v>46032</v>
      </c>
      <c r="E703" s="2">
        <v>0.83333333333333337</v>
      </c>
      <c r="F703" t="s">
        <v>34</v>
      </c>
      <c r="G703">
        <f>VLOOKUP(Table4[[#This Row],[Home]],'NHL Model'!$A$6:$B$38,2,FALSE)</f>
        <v>-0.53650300840565446</v>
      </c>
      <c r="H703" t="s">
        <v>30</v>
      </c>
      <c r="I703">
        <f>VLOOKUP(Table4[[#This Row],[Visitor]],'NHL Model'!$A$6:$B$38,2,FALSE)</f>
        <v>-6.4729560818359025E-2</v>
      </c>
      <c r="J703">
        <f ca="1">($B$1+Table4[[#This Row],[Home Differential]])-Table4[[#This Row],[Away Differential]]</f>
        <v>-0.30920113792497705</v>
      </c>
      <c r="K703" t="str">
        <f ca="1">IF(Table4[[#This Row],[HomeIce Differential]]&gt;0,Table4[[#This Row],[Home]],Table4[[#This Row],[Visitor]])</f>
        <v>New York Islanders</v>
      </c>
      <c r="L703" s="11">
        <f ca="1"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0.54535505941984652</v>
      </c>
      <c r="M703" t="str">
        <f ca="1">IF(OR((NHL2025_26Results[[#This Row],[Winning Team]]="")),"-",IF(Table4[[#This Row],[Predicted Winner]]=NHL2025_26Results[[#This Row],[Winning Team]],"YES","NO"))</f>
        <v>-</v>
      </c>
      <c r="N703" t="str">
        <f ca="1">IF(Table4[[#This Row],[Adjusted Correct]]="-", "",IF(Table4[[#This Row],[Adjusted Correct]]="YES",(Table4[[#This Row],[Strength of Win]]-1)^2,(Table4[[#This Row],[Strength of Win]]-0)^2))</f>
        <v/>
      </c>
      <c r="P703" s="11"/>
    </row>
    <row r="704" spans="4:16" x14ac:dyDescent="0.2">
      <c r="D704" s="1">
        <v>46032</v>
      </c>
      <c r="E704" s="2">
        <v>0.79166666666666663</v>
      </c>
      <c r="F704" t="s">
        <v>18</v>
      </c>
      <c r="G704">
        <f>VLOOKUP(Table4[[#This Row],[Home]],'NHL Model'!$A$6:$B$38,2,FALSE)</f>
        <v>-0.52437726201848234</v>
      </c>
      <c r="H704" t="s">
        <v>26</v>
      </c>
      <c r="I704">
        <f>VLOOKUP(Table4[[#This Row],[Visitor]],'NHL Model'!$A$6:$B$38,2,FALSE)</f>
        <v>-0.513643833119658</v>
      </c>
      <c r="J704">
        <f ca="1">($B$1+Table4[[#This Row],[Home Differential]])-Table4[[#This Row],[Away Differential]]</f>
        <v>0.15183888076349406</v>
      </c>
      <c r="K704" t="str">
        <f ca="1">IF(Table4[[#This Row],[HomeIce Differential]]&gt;0,Table4[[#This Row],[Home]],Table4[[#This Row],[Visitor]])</f>
        <v>Montreal Canadiens</v>
      </c>
      <c r="L704" s="11">
        <f ca="1"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0.51393920099467394</v>
      </c>
      <c r="M704" t="str">
        <f ca="1">IF(OR((NHL2025_26Results[[#This Row],[Winning Team]]="")),"-",IF(Table4[[#This Row],[Predicted Winner]]=NHL2025_26Results[[#This Row],[Winning Team]],"YES","NO"))</f>
        <v>-</v>
      </c>
      <c r="N704" t="str">
        <f ca="1">IF(Table4[[#This Row],[Adjusted Correct]]="-", "",IF(Table4[[#This Row],[Adjusted Correct]]="YES",(Table4[[#This Row],[Strength of Win]]-1)^2,(Table4[[#This Row],[Strength of Win]]-0)^2))</f>
        <v/>
      </c>
      <c r="P704" s="11"/>
    </row>
    <row r="705" spans="4:16" x14ac:dyDescent="0.2">
      <c r="D705" s="1">
        <v>46032</v>
      </c>
      <c r="E705" s="2">
        <v>0.83333333333333337</v>
      </c>
      <c r="F705" t="s">
        <v>29</v>
      </c>
      <c r="G705">
        <f>VLOOKUP(Table4[[#This Row],[Home]],'NHL Model'!$A$6:$B$38,2,FALSE)</f>
        <v>-1.3516250707060606</v>
      </c>
      <c r="H705" t="s">
        <v>10</v>
      </c>
      <c r="I705">
        <f>VLOOKUP(Table4[[#This Row],[Visitor]],'NHL Model'!$A$6:$B$38,2,FALSE)</f>
        <v>0.30570968833820172</v>
      </c>
      <c r="J705">
        <f ca="1">($B$1+Table4[[#This Row],[Home Differential]])-Table4[[#This Row],[Away Differential]]</f>
        <v>-1.494762449381944</v>
      </c>
      <c r="K705" t="str">
        <f ca="1">IF(Table4[[#This Row],[HomeIce Differential]]&gt;0,Table4[[#This Row],[Home]],Table4[[#This Row],[Visitor]])</f>
        <v>Chicago Blackhawks</v>
      </c>
      <c r="L705" s="11">
        <f ca="1"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0.68788151888644256</v>
      </c>
      <c r="M705" t="str">
        <f ca="1">IF(OR((NHL2025_26Results[[#This Row],[Winning Team]]="")),"-",IF(Table4[[#This Row],[Predicted Winner]]=NHL2025_26Results[[#This Row],[Winning Team]],"YES","NO"))</f>
        <v>-</v>
      </c>
      <c r="N705" t="str">
        <f ca="1">IF(Table4[[#This Row],[Adjusted Correct]]="-", "",IF(Table4[[#This Row],[Adjusted Correct]]="YES",(Table4[[#This Row],[Strength of Win]]-1)^2,(Table4[[#This Row],[Strength of Win]]-0)^2))</f>
        <v/>
      </c>
      <c r="P705" s="11"/>
    </row>
    <row r="706" spans="4:16" x14ac:dyDescent="0.2">
      <c r="D706" s="1">
        <v>46032</v>
      </c>
      <c r="E706" s="2">
        <v>0.79166666666666663</v>
      </c>
      <c r="F706" t="s">
        <v>36</v>
      </c>
      <c r="G706">
        <f>VLOOKUP(Table4[[#This Row],[Home]],'NHL Model'!$A$6:$B$38,2,FALSE)</f>
        <v>-0.40651947573390851</v>
      </c>
      <c r="H706" t="s">
        <v>11</v>
      </c>
      <c r="I706">
        <f>VLOOKUP(Table4[[#This Row],[Visitor]],'NHL Model'!$A$6:$B$38,2,FALSE)</f>
        <v>-0.28105923893144158</v>
      </c>
      <c r="J706">
        <f ca="1">($B$1+Table4[[#This Row],[Home Differential]])-Table4[[#This Row],[Away Differential]]</f>
        <v>3.7112072859851464E-2</v>
      </c>
      <c r="K706" t="str">
        <f ca="1">IF(Table4[[#This Row],[HomeIce Differential]]&gt;0,Table4[[#This Row],[Home]],Table4[[#This Row],[Visitor]])</f>
        <v>Ottawa Senators</v>
      </c>
      <c r="L706" s="11">
        <f ca="1"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0.54763767844138567</v>
      </c>
      <c r="M706" t="str">
        <f ca="1">IF(OR((NHL2025_26Results[[#This Row],[Winning Team]]="")),"-",IF(Table4[[#This Row],[Predicted Winner]]=NHL2025_26Results[[#This Row],[Winning Team]],"YES","NO"))</f>
        <v>-</v>
      </c>
      <c r="N706" t="str">
        <f ca="1">IF(Table4[[#This Row],[Adjusted Correct]]="-", "",IF(Table4[[#This Row],[Adjusted Correct]]="YES",(Table4[[#This Row],[Strength of Win]]-1)^2,(Table4[[#This Row],[Strength of Win]]-0)^2))</f>
        <v/>
      </c>
      <c r="P706" s="11"/>
    </row>
    <row r="707" spans="4:16" x14ac:dyDescent="0.2">
      <c r="D707" s="1">
        <v>46032</v>
      </c>
      <c r="E707" s="2">
        <v>0.79166666666666663</v>
      </c>
      <c r="F707" t="s">
        <v>27</v>
      </c>
      <c r="G707">
        <f>VLOOKUP(Table4[[#This Row],[Home]],'NHL Model'!$A$6:$B$38,2,FALSE)</f>
        <v>-0.51358590497437617</v>
      </c>
      <c r="H707" t="s">
        <v>37</v>
      </c>
      <c r="I707">
        <f>VLOOKUP(Table4[[#This Row],[Visitor]],'NHL Model'!$A$6:$B$38,2,FALSE)</f>
        <v>-0.11309445867623392</v>
      </c>
      <c r="J707">
        <f ca="1">($B$1+Table4[[#This Row],[Home Differential]])-Table4[[#This Row],[Away Differential]]</f>
        <v>-0.23791913663582387</v>
      </c>
      <c r="K707" t="str">
        <f ca="1">IF(Table4[[#This Row],[HomeIce Differential]]&gt;0,Table4[[#This Row],[Home]],Table4[[#This Row],[Visitor]])</f>
        <v>Tampa Bay Lightning</v>
      </c>
      <c r="L707" s="11">
        <f ca="1"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0.53755291369684222</v>
      </c>
      <c r="M707" t="str">
        <f ca="1">IF(OR((NHL2025_26Results[[#This Row],[Winning Team]]="")),"-",IF(Table4[[#This Row],[Predicted Winner]]=NHL2025_26Results[[#This Row],[Winning Team]],"YES","NO"))</f>
        <v>-</v>
      </c>
      <c r="N707" t="str">
        <f ca="1">IF(Table4[[#This Row],[Adjusted Correct]]="-", "",IF(Table4[[#This Row],[Adjusted Correct]]="YES",(Table4[[#This Row],[Strength of Win]]-1)^2,(Table4[[#This Row],[Strength of Win]]-0)^2))</f>
        <v/>
      </c>
      <c r="P707" s="11"/>
    </row>
    <row r="708" spans="4:16" x14ac:dyDescent="0.2">
      <c r="D708" s="1">
        <v>46032</v>
      </c>
      <c r="E708" s="2">
        <v>0.64583333333333337</v>
      </c>
      <c r="F708" t="s">
        <v>14</v>
      </c>
      <c r="G708">
        <f>VLOOKUP(Table4[[#This Row],[Home]],'NHL Model'!$A$6:$B$38,2,FALSE)</f>
        <v>0.26289091192875702</v>
      </c>
      <c r="H708" t="s">
        <v>16</v>
      </c>
      <c r="I708">
        <f>VLOOKUP(Table4[[#This Row],[Visitor]],'NHL Model'!$A$6:$B$38,2,FALSE)</f>
        <v>-1.3903684122795328</v>
      </c>
      <c r="J708">
        <f ca="1">($B$1+Table4[[#This Row],[Home Differential]])-Table4[[#This Row],[Away Differential]]</f>
        <v>1.8158316338706082</v>
      </c>
      <c r="K708" t="str">
        <f ca="1">IF(Table4[[#This Row],[HomeIce Differential]]&gt;0,Table4[[#This Row],[Home]],Table4[[#This Row],[Visitor]])</f>
        <v>Pittsburgh Penguins</v>
      </c>
      <c r="L708" s="11">
        <f ca="1"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0.82763607175964915</v>
      </c>
      <c r="M708" t="str">
        <f ca="1">IF(OR((NHL2025_26Results[[#This Row],[Winning Team]]="")),"-",IF(Table4[[#This Row],[Predicted Winner]]=NHL2025_26Results[[#This Row],[Winning Team]],"YES","NO"))</f>
        <v>-</v>
      </c>
      <c r="N708" t="str">
        <f ca="1">IF(Table4[[#This Row],[Adjusted Correct]]="-", "",IF(Table4[[#This Row],[Adjusted Correct]]="YES",(Table4[[#This Row],[Strength of Win]]-1)^2,(Table4[[#This Row],[Strength of Win]]-0)^2))</f>
        <v/>
      </c>
      <c r="P708" s="11"/>
    </row>
    <row r="709" spans="4:16" x14ac:dyDescent="0.2">
      <c r="D709" s="1">
        <v>46032</v>
      </c>
      <c r="E709" s="2">
        <v>0.66666666666666663</v>
      </c>
      <c r="F709" t="s">
        <v>33</v>
      </c>
      <c r="G709">
        <f>VLOOKUP(Table4[[#This Row],[Home]],'NHL Model'!$A$6:$B$38,2,FALSE)</f>
        <v>-0.39418177254008485</v>
      </c>
      <c r="H709" t="s">
        <v>39</v>
      </c>
      <c r="I709">
        <f>VLOOKUP(Table4[[#This Row],[Visitor]],'NHL Model'!$A$6:$B$38,2,FALSE)</f>
        <v>0.19809534061227302</v>
      </c>
      <c r="J709">
        <f ca="1">($B$1+Table4[[#This Row],[Home Differential]])-Table4[[#This Row],[Away Differential]]</f>
        <v>-0.42970480349003948</v>
      </c>
      <c r="K709" t="str">
        <f ca="1">IF(Table4[[#This Row],[HomeIce Differential]]&gt;0,Table4[[#This Row],[Home]],Table4[[#This Row],[Visitor]])</f>
        <v>Dallas Stars</v>
      </c>
      <c r="L709" s="11">
        <f ca="1"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0.6120255113696389</v>
      </c>
      <c r="M709" t="str">
        <f ca="1">IF(OR((NHL2025_26Results[[#This Row],[Winning Team]]="")),"-",IF(Table4[[#This Row],[Predicted Winner]]=NHL2025_26Results[[#This Row],[Winning Team]],"YES","NO"))</f>
        <v>-</v>
      </c>
      <c r="N709" t="str">
        <f ca="1">IF(Table4[[#This Row],[Adjusted Correct]]="-", "",IF(Table4[[#This Row],[Adjusted Correct]]="YES",(Table4[[#This Row],[Strength of Win]]-1)^2,(Table4[[#This Row],[Strength of Win]]-0)^2))</f>
        <v/>
      </c>
      <c r="P709" s="11"/>
    </row>
    <row r="710" spans="4:16" x14ac:dyDescent="0.2">
      <c r="D710" s="1">
        <v>46032</v>
      </c>
      <c r="E710" s="2">
        <v>0.79166666666666663</v>
      </c>
      <c r="F710" t="s">
        <v>19</v>
      </c>
      <c r="G710">
        <f>VLOOKUP(Table4[[#This Row],[Home]],'NHL Model'!$A$6:$B$38,2,FALSE)</f>
        <v>-0.635565543477981</v>
      </c>
      <c r="H710" t="s">
        <v>38</v>
      </c>
      <c r="I710">
        <f>VLOOKUP(Table4[[#This Row],[Visitor]],'NHL Model'!$A$6:$B$38,2,FALSE)</f>
        <v>-0.6902088310934803</v>
      </c>
      <c r="J710">
        <f ca="1">($B$1+Table4[[#This Row],[Home Differential]])-Table4[[#This Row],[Away Differential]]</f>
        <v>0.2172155972778177</v>
      </c>
      <c r="K710" t="str">
        <f ca="1">IF(Table4[[#This Row],[HomeIce Differential]]&gt;0,Table4[[#This Row],[Home]],Table4[[#This Row],[Visitor]])</f>
        <v>Toronto Maple Leafs</v>
      </c>
      <c r="L710" s="11">
        <f ca="1"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0.5275845401641035</v>
      </c>
      <c r="M710" t="str">
        <f ca="1">IF(OR((NHL2025_26Results[[#This Row],[Winning Team]]="")),"-",IF(Table4[[#This Row],[Predicted Winner]]=NHL2025_26Results[[#This Row],[Winning Team]],"YES","NO"))</f>
        <v>-</v>
      </c>
      <c r="N710" t="str">
        <f ca="1">IF(Table4[[#This Row],[Adjusted Correct]]="-", "",IF(Table4[[#This Row],[Adjusted Correct]]="YES",(Table4[[#This Row],[Strength of Win]]-1)^2,(Table4[[#This Row],[Strength of Win]]-0)^2))</f>
        <v/>
      </c>
      <c r="P710" s="11"/>
    </row>
    <row r="711" spans="4:16" x14ac:dyDescent="0.2">
      <c r="D711" s="1">
        <v>46032</v>
      </c>
      <c r="E711" s="2">
        <v>0.91666666666666663</v>
      </c>
      <c r="F711" t="s">
        <v>20</v>
      </c>
      <c r="G711">
        <f>VLOOKUP(Table4[[#This Row],[Home]],'NHL Model'!$A$6:$B$38,2,FALSE)</f>
        <v>-6.3745791019188943E-4</v>
      </c>
      <c r="H711" t="s">
        <v>35</v>
      </c>
      <c r="I711">
        <f>VLOOKUP(Table4[[#This Row],[Visitor]],'NHL Model'!$A$6:$B$38,2,FALSE)</f>
        <v>-1.6211574240381006</v>
      </c>
      <c r="J711">
        <f ca="1">($B$1+Table4[[#This Row],[Home Differential]])-Table4[[#This Row],[Away Differential]]</f>
        <v>1.783092275790227</v>
      </c>
      <c r="K711" t="str">
        <f ca="1">IF(Table4[[#This Row],[HomeIce Differential]]&gt;0,Table4[[#This Row],[Home]],Table4[[#This Row],[Visitor]])</f>
        <v>Vegas Golden Knights</v>
      </c>
      <c r="L711" s="11">
        <f ca="1"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0.78706288368144328</v>
      </c>
      <c r="M711" t="str">
        <f ca="1">IF(OR((NHL2025_26Results[[#This Row],[Winning Team]]="")),"-",IF(Table4[[#This Row],[Predicted Winner]]=NHL2025_26Results[[#This Row],[Winning Team]],"YES","NO"))</f>
        <v>-</v>
      </c>
      <c r="N711" t="str">
        <f ca="1">IF(Table4[[#This Row],[Adjusted Correct]]="-", "",IF(Table4[[#This Row],[Adjusted Correct]]="YES",(Table4[[#This Row],[Strength of Win]]-1)^2,(Table4[[#This Row],[Strength of Win]]-0)^2))</f>
        <v/>
      </c>
      <c r="P711" s="11"/>
    </row>
    <row r="712" spans="4:16" x14ac:dyDescent="0.2">
      <c r="D712" s="1">
        <v>46033</v>
      </c>
      <c r="E712" s="2">
        <v>0.70833333333333337</v>
      </c>
      <c r="F712" t="s">
        <v>21</v>
      </c>
      <c r="G712">
        <f>VLOOKUP(Table4[[#This Row],[Home]],'NHL Model'!$A$6:$B$38,2,FALSE)</f>
        <v>4.029141914856392E-2</v>
      </c>
      <c r="H712" t="s">
        <v>14</v>
      </c>
      <c r="I712">
        <f>VLOOKUP(Table4[[#This Row],[Visitor]],'NHL Model'!$A$6:$B$38,2,FALSE)</f>
        <v>0.26289091192875702</v>
      </c>
      <c r="J712">
        <f ca="1">($B$1+Table4[[#This Row],[Home Differential]])-Table4[[#This Row],[Away Differential]]</f>
        <v>-6.0027183117874694E-2</v>
      </c>
      <c r="K712" t="str">
        <f ca="1">IF(Table4[[#This Row],[HomeIce Differential]]&gt;0,Table4[[#This Row],[Home]],Table4[[#This Row],[Visitor]])</f>
        <v>Pittsburgh Penguins</v>
      </c>
      <c r="L712" s="11">
        <f ca="1"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0.395759859043051</v>
      </c>
      <c r="M712" t="str">
        <f ca="1">IF(OR((NHL2025_26Results[[#This Row],[Winning Team]]="")),"-",IF(Table4[[#This Row],[Predicted Winner]]=NHL2025_26Results[[#This Row],[Winning Team]],"YES","NO"))</f>
        <v>-</v>
      </c>
      <c r="N712" t="str">
        <f ca="1">IF(Table4[[#This Row],[Adjusted Correct]]="-", "",IF(Table4[[#This Row],[Adjusted Correct]]="YES",(Table4[[#This Row],[Strength of Win]]-1)^2,(Table4[[#This Row],[Strength of Win]]-0)^2))</f>
        <v/>
      </c>
      <c r="P712" s="11"/>
    </row>
    <row r="713" spans="4:16" x14ac:dyDescent="0.2">
      <c r="D713" s="1">
        <v>46033</v>
      </c>
      <c r="E713" s="2">
        <v>0.79166666666666663</v>
      </c>
      <c r="F713" t="s">
        <v>29</v>
      </c>
      <c r="G713">
        <f>VLOOKUP(Table4[[#This Row],[Home]],'NHL Model'!$A$6:$B$38,2,FALSE)</f>
        <v>-1.3516250707060606</v>
      </c>
      <c r="H713" t="s">
        <v>22</v>
      </c>
      <c r="I713">
        <f>VLOOKUP(Table4[[#This Row],[Visitor]],'NHL Model'!$A$6:$B$38,2,FALSE)</f>
        <v>-6.1308839486784707E-2</v>
      </c>
      <c r="J713">
        <f ca="1">($B$1+Table4[[#This Row],[Home Differential]])-Table4[[#This Row],[Away Differential]]</f>
        <v>-1.1277439215569576</v>
      </c>
      <c r="K713" t="str">
        <f ca="1">IF(Table4[[#This Row],[HomeIce Differential]]&gt;0,Table4[[#This Row],[Home]],Table4[[#This Row],[Visitor]])</f>
        <v>Washington Capitals</v>
      </c>
      <c r="L713" s="11">
        <f ca="1"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0.61625869120576016</v>
      </c>
      <c r="M713" t="str">
        <f ca="1">IF(OR((NHL2025_26Results[[#This Row],[Winning Team]]="")),"-",IF(Table4[[#This Row],[Predicted Winner]]=NHL2025_26Results[[#This Row],[Winning Team]],"YES","NO"))</f>
        <v>-</v>
      </c>
      <c r="N713" t="str">
        <f ca="1">IF(Table4[[#This Row],[Adjusted Correct]]="-", "",IF(Table4[[#This Row],[Adjusted Correct]]="YES",(Table4[[#This Row],[Strength of Win]]-1)^2,(Table4[[#This Row],[Strength of Win]]-0)^2))</f>
        <v/>
      </c>
      <c r="P713" s="11"/>
    </row>
    <row r="714" spans="4:16" x14ac:dyDescent="0.2">
      <c r="D714" s="1">
        <v>46033</v>
      </c>
      <c r="E714" s="2">
        <v>0.83333333333333337</v>
      </c>
      <c r="F714" t="s">
        <v>33</v>
      </c>
      <c r="G714">
        <f>VLOOKUP(Table4[[#This Row],[Home]],'NHL Model'!$A$6:$B$38,2,FALSE)</f>
        <v>-0.39418177254008485</v>
      </c>
      <c r="H714" t="s">
        <v>20</v>
      </c>
      <c r="I714">
        <f>VLOOKUP(Table4[[#This Row],[Visitor]],'NHL Model'!$A$6:$B$38,2,FALSE)</f>
        <v>-6.3745791019188943E-4</v>
      </c>
      <c r="J714">
        <f ca="1">($B$1+Table4[[#This Row],[Home Differential]])-Table4[[#This Row],[Away Differential]]</f>
        <v>-0.23097200496757456</v>
      </c>
      <c r="K714" t="str">
        <f ca="1">IF(Table4[[#This Row],[HomeIce Differential]]&gt;0,Table4[[#This Row],[Home]],Table4[[#This Row],[Visitor]])</f>
        <v>Vegas Golden Knights</v>
      </c>
      <c r="L714" s="11">
        <f ca="1"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0.51277240321956497</v>
      </c>
      <c r="M714" t="str">
        <f ca="1">IF(OR((NHL2025_26Results[[#This Row],[Winning Team]]="")),"-",IF(Table4[[#This Row],[Predicted Winner]]=NHL2025_26Results[[#This Row],[Winning Team]],"YES","NO"))</f>
        <v>-</v>
      </c>
      <c r="N714" t="str">
        <f ca="1">IF(Table4[[#This Row],[Adjusted Correct]]="-", "",IF(Table4[[#This Row],[Adjusted Correct]]="YES",(Table4[[#This Row],[Strength of Win]]-1)^2,(Table4[[#This Row],[Strength of Win]]-0)^2))</f>
        <v/>
      </c>
      <c r="P714" s="11"/>
    </row>
    <row r="715" spans="4:16" x14ac:dyDescent="0.2">
      <c r="D715" s="1">
        <v>46033</v>
      </c>
      <c r="E715" s="2">
        <v>0.79166666666666663</v>
      </c>
      <c r="F715" t="s">
        <v>55</v>
      </c>
      <c r="G715">
        <f>VLOOKUP(Table4[[#This Row],[Home]],'NHL Model'!$A$6:$B$38,2,FALSE)</f>
        <v>-0.12212311954851815</v>
      </c>
      <c r="H715" t="s">
        <v>28</v>
      </c>
      <c r="I715">
        <f>VLOOKUP(Table4[[#This Row],[Visitor]],'NHL Model'!$A$6:$B$38,2,FALSE)</f>
        <v>-0.40822279081308277</v>
      </c>
      <c r="J715">
        <f ca="1">($B$1+Table4[[#This Row],[Home Differential]])-Table4[[#This Row],[Away Differential]]</f>
        <v>0.44867198092688299</v>
      </c>
      <c r="K715" t="str">
        <f ca="1">IF(Table4[[#This Row],[HomeIce Differential]]&gt;0,Table4[[#This Row],[Home]],Table4[[#This Row],[Visitor]])</f>
        <v>Utah Mammoth</v>
      </c>
      <c r="L715" s="11">
        <f ca="1"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0.6504026844091757</v>
      </c>
      <c r="M715" t="str">
        <f ca="1">IF(OR((NHL2025_26Results[[#This Row],[Winning Team]]="")),"-",IF(Table4[[#This Row],[Predicted Winner]]=NHL2025_26Results[[#This Row],[Winning Team]],"YES","NO"))</f>
        <v>-</v>
      </c>
      <c r="N715" t="str">
        <f ca="1">IF(Table4[[#This Row],[Adjusted Correct]]="-", "",IF(Table4[[#This Row],[Adjusted Correct]]="YES",(Table4[[#This Row],[Strength of Win]]-1)^2,(Table4[[#This Row],[Strength of Win]]-0)^2))</f>
        <v/>
      </c>
      <c r="P715" s="11"/>
    </row>
    <row r="716" spans="4:16" x14ac:dyDescent="0.2">
      <c r="D716" s="1">
        <v>46033</v>
      </c>
      <c r="E716" s="2">
        <v>0.58333333333333337</v>
      </c>
      <c r="F716" t="s">
        <v>40</v>
      </c>
      <c r="G716">
        <f>VLOOKUP(Table4[[#This Row],[Home]],'NHL Model'!$A$6:$B$38,2,FALSE)</f>
        <v>0.105105258369765</v>
      </c>
      <c r="H716" t="s">
        <v>24</v>
      </c>
      <c r="I716">
        <f>VLOOKUP(Table4[[#This Row],[Visitor]],'NHL Model'!$A$6:$B$38,2,FALSE)</f>
        <v>0.559441163373953</v>
      </c>
      <c r="J716">
        <f ca="1">($B$1+Table4[[#This Row],[Home Differential]])-Table4[[#This Row],[Away Differential]]</f>
        <v>-0.29176359534186957</v>
      </c>
      <c r="K716" t="str">
        <f ca="1">IF(Table4[[#This Row],[HomeIce Differential]]&gt;0,Table4[[#This Row],[Home]],Table4[[#This Row],[Visitor]])</f>
        <v>New Jersey Devils</v>
      </c>
      <c r="L716" s="11">
        <f ca="1"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0.53022229236780738</v>
      </c>
      <c r="M716" t="str">
        <f ca="1">IF(OR((NHL2025_26Results[[#This Row],[Winning Team]]="")),"-",IF(Table4[[#This Row],[Predicted Winner]]=NHL2025_26Results[[#This Row],[Winning Team]],"YES","NO"))</f>
        <v>-</v>
      </c>
      <c r="N716" t="str">
        <f ca="1">IF(Table4[[#This Row],[Adjusted Correct]]="-", "",IF(Table4[[#This Row],[Adjusted Correct]]="YES",(Table4[[#This Row],[Strength of Win]]-1)^2,(Table4[[#This Row],[Strength of Win]]-0)^2))</f>
        <v/>
      </c>
      <c r="P716" s="11"/>
    </row>
    <row r="717" spans="4:16" x14ac:dyDescent="0.2">
      <c r="D717" s="1">
        <v>46034</v>
      </c>
      <c r="E717" s="2">
        <v>0.79166666666666663</v>
      </c>
      <c r="F717" t="s">
        <v>23</v>
      </c>
      <c r="G717">
        <f>VLOOKUP(Table4[[#This Row],[Home]],'NHL Model'!$A$6:$B$38,2,FALSE)</f>
        <v>-0.8683412362501769</v>
      </c>
      <c r="H717" t="s">
        <v>11</v>
      </c>
      <c r="I717">
        <f>VLOOKUP(Table4[[#This Row],[Visitor]],'NHL Model'!$A$6:$B$38,2,FALSE)</f>
        <v>-0.28105923893144158</v>
      </c>
      <c r="J717">
        <f ca="1">($B$1+Table4[[#This Row],[Home Differential]])-Table4[[#This Row],[Away Differential]]</f>
        <v>-0.42470968765641692</v>
      </c>
      <c r="K717" t="str">
        <f ca="1">IF(Table4[[#This Row],[HomeIce Differential]]&gt;0,Table4[[#This Row],[Home]],Table4[[#This Row],[Visitor]])</f>
        <v>Florida Panthers</v>
      </c>
      <c r="L717" s="11">
        <f ca="1"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0.51884720694745701</v>
      </c>
      <c r="M717" t="str">
        <f ca="1">IF(OR((NHL2025_26Results[[#This Row],[Winning Team]]="")),"-",IF(Table4[[#This Row],[Predicted Winner]]=NHL2025_26Results[[#This Row],[Winning Team]],"YES","NO"))</f>
        <v>-</v>
      </c>
      <c r="N717" t="str">
        <f ca="1">IF(Table4[[#This Row],[Adjusted Correct]]="-", "",IF(Table4[[#This Row],[Adjusted Correct]]="YES",(Table4[[#This Row],[Strength of Win]]-1)^2,(Table4[[#This Row],[Strength of Win]]-0)^2))</f>
        <v/>
      </c>
      <c r="P717" s="11"/>
    </row>
    <row r="718" spans="4:16" x14ac:dyDescent="0.2">
      <c r="D718" s="1">
        <v>46034</v>
      </c>
      <c r="E718" s="2">
        <v>0.85416666666666663</v>
      </c>
      <c r="F718" t="s">
        <v>10</v>
      </c>
      <c r="G718">
        <f>VLOOKUP(Table4[[#This Row],[Home]],'NHL Model'!$A$6:$B$38,2,FALSE)</f>
        <v>0.30570968833820172</v>
      </c>
      <c r="H718" t="s">
        <v>17</v>
      </c>
      <c r="I718">
        <f>VLOOKUP(Table4[[#This Row],[Visitor]],'NHL Model'!$A$6:$B$38,2,FALSE)</f>
        <v>-0.61980804137564283</v>
      </c>
      <c r="J718">
        <f ca="1">($B$1+Table4[[#This Row],[Home Differential]])-Table4[[#This Row],[Away Differential]]</f>
        <v>1.088090039376163</v>
      </c>
      <c r="K718" t="str">
        <f ca="1">IF(Table4[[#This Row],[HomeIce Differential]]&gt;0,Table4[[#This Row],[Home]],Table4[[#This Row],[Visitor]])</f>
        <v>Chicago Blackhawks</v>
      </c>
      <c r="L718" s="11">
        <f ca="1"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0.69076430226483487</v>
      </c>
      <c r="M718" t="str">
        <f ca="1">IF(OR((NHL2025_26Results[[#This Row],[Winning Team]]="")),"-",IF(Table4[[#This Row],[Predicted Winner]]=NHL2025_26Results[[#This Row],[Winning Team]],"YES","NO"))</f>
        <v>-</v>
      </c>
      <c r="N718" t="str">
        <f ca="1">IF(Table4[[#This Row],[Adjusted Correct]]="-", "",IF(Table4[[#This Row],[Adjusted Correct]]="YES",(Table4[[#This Row],[Strength of Win]]-1)^2,(Table4[[#This Row],[Strength of Win]]-0)^2))</f>
        <v/>
      </c>
      <c r="P718" s="11"/>
    </row>
    <row r="719" spans="4:16" x14ac:dyDescent="0.2">
      <c r="D719" s="1">
        <v>46034</v>
      </c>
      <c r="E719" s="2">
        <v>0.91666666666666663</v>
      </c>
      <c r="F719" t="s">
        <v>12</v>
      </c>
      <c r="G719">
        <f>VLOOKUP(Table4[[#This Row],[Home]],'NHL Model'!$A$6:$B$38,2,FALSE)</f>
        <v>1.5475013591489768</v>
      </c>
      <c r="H719" t="s">
        <v>19</v>
      </c>
      <c r="I719">
        <f>VLOOKUP(Table4[[#This Row],[Visitor]],'NHL Model'!$A$6:$B$38,2,FALSE)</f>
        <v>-0.635565543477981</v>
      </c>
      <c r="J719">
        <f ca="1">($B$1+Table4[[#This Row],[Home Differential]])-Table4[[#This Row],[Away Differential]]</f>
        <v>2.3456392122892762</v>
      </c>
      <c r="K719" t="str">
        <f ca="1">IF(Table4[[#This Row],[HomeIce Differential]]&gt;0,Table4[[#This Row],[Home]],Table4[[#This Row],[Visitor]])</f>
        <v>Colorado Avalanche</v>
      </c>
      <c r="L719" s="11">
        <f ca="1"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0.95337488344611454</v>
      </c>
      <c r="M719" t="str">
        <f ca="1">IF(OR((NHL2025_26Results[[#This Row],[Winning Team]]="")),"-",IF(Table4[[#This Row],[Predicted Winner]]=NHL2025_26Results[[#This Row],[Winning Team]],"YES","NO"))</f>
        <v>-</v>
      </c>
      <c r="N719" t="str">
        <f ca="1">IF(Table4[[#This Row],[Adjusted Correct]]="-", "",IF(Table4[[#This Row],[Adjusted Correct]]="YES",(Table4[[#This Row],[Strength of Win]]-1)^2,(Table4[[#This Row],[Strength of Win]]-0)^2))</f>
        <v/>
      </c>
      <c r="P719" s="11"/>
    </row>
    <row r="720" spans="4:16" x14ac:dyDescent="0.2">
      <c r="D720" s="1">
        <v>46034</v>
      </c>
      <c r="E720" s="2">
        <v>0.79166666666666663</v>
      </c>
      <c r="F720" t="s">
        <v>26</v>
      </c>
      <c r="G720">
        <f>VLOOKUP(Table4[[#This Row],[Home]],'NHL Model'!$A$6:$B$38,2,FALSE)</f>
        <v>-0.513643833119658</v>
      </c>
      <c r="H720" t="s">
        <v>25</v>
      </c>
      <c r="I720">
        <f>VLOOKUP(Table4[[#This Row],[Visitor]],'NHL Model'!$A$6:$B$38,2,FALSE)</f>
        <v>0.67193921242367816</v>
      </c>
      <c r="J720">
        <f ca="1">($B$1+Table4[[#This Row],[Home Differential]])-Table4[[#This Row],[Away Differential]]</f>
        <v>-1.0230107358810177</v>
      </c>
      <c r="K720" t="str">
        <f ca="1">IF(Table4[[#This Row],[HomeIce Differential]]&gt;0,Table4[[#This Row],[Home]],Table4[[#This Row],[Visitor]])</f>
        <v>Carolina Hurricanes</v>
      </c>
      <c r="L720" s="11">
        <f ca="1"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0.66806279038636951</v>
      </c>
      <c r="M720" t="str">
        <f ca="1">IF(OR((NHL2025_26Results[[#This Row],[Winning Team]]="")),"-",IF(Table4[[#This Row],[Predicted Winner]]=NHL2025_26Results[[#This Row],[Winning Team]],"YES","NO"))</f>
        <v>-</v>
      </c>
      <c r="N720" t="str">
        <f ca="1">IF(Table4[[#This Row],[Adjusted Correct]]="-", "",IF(Table4[[#This Row],[Adjusted Correct]]="YES",(Table4[[#This Row],[Strength of Win]]-1)^2,(Table4[[#This Row],[Strength of Win]]-0)^2))</f>
        <v/>
      </c>
      <c r="P720" s="11"/>
    </row>
    <row r="721" spans="4:16" x14ac:dyDescent="0.2">
      <c r="D721" s="1">
        <v>46034</v>
      </c>
      <c r="E721" s="2">
        <v>0.91666666666666663</v>
      </c>
      <c r="F721" t="s">
        <v>13</v>
      </c>
      <c r="G721">
        <f>VLOOKUP(Table4[[#This Row],[Home]],'NHL Model'!$A$6:$B$38,2,FALSE)</f>
        <v>-7.5459708298993802E-2</v>
      </c>
      <c r="H721" t="s">
        <v>39</v>
      </c>
      <c r="I721">
        <f>VLOOKUP(Table4[[#This Row],[Visitor]],'NHL Model'!$A$6:$B$38,2,FALSE)</f>
        <v>0.19809534061227302</v>
      </c>
      <c r="J721">
        <f ca="1">($B$1+Table4[[#This Row],[Home Differential]])-Table4[[#This Row],[Away Differential]]</f>
        <v>-0.11098273924894843</v>
      </c>
      <c r="K721" t="str">
        <f ca="1">IF(Table4[[#This Row],[HomeIce Differential]]&gt;0,Table4[[#This Row],[Home]],Table4[[#This Row],[Visitor]])</f>
        <v>Dallas Stars</v>
      </c>
      <c r="L721" s="11">
        <f ca="1"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0.56786380793260927</v>
      </c>
      <c r="M721" t="str">
        <f ca="1">IF(OR((NHL2025_26Results[[#This Row],[Winning Team]]="")),"-",IF(Table4[[#This Row],[Predicted Winner]]=NHL2025_26Results[[#This Row],[Winning Team]],"YES","NO"))</f>
        <v>-</v>
      </c>
      <c r="N721" t="str">
        <f ca="1">IF(Table4[[#This Row],[Adjusted Correct]]="-", "",IF(Table4[[#This Row],[Adjusted Correct]]="YES",(Table4[[#This Row],[Strength of Win]]-1)^2,(Table4[[#This Row],[Strength of Win]]-0)^2))</f>
        <v/>
      </c>
      <c r="P721" s="11"/>
    </row>
    <row r="722" spans="4:16" x14ac:dyDescent="0.2">
      <c r="D722" s="1">
        <v>46034</v>
      </c>
      <c r="E722" s="2">
        <v>0.83333333333333337</v>
      </c>
      <c r="F722" t="s">
        <v>34</v>
      </c>
      <c r="G722">
        <f>VLOOKUP(Table4[[#This Row],[Home]],'NHL Model'!$A$6:$B$38,2,FALSE)</f>
        <v>-0.53650300840565446</v>
      </c>
      <c r="H722" t="s">
        <v>24</v>
      </c>
      <c r="I722">
        <f>VLOOKUP(Table4[[#This Row],[Visitor]],'NHL Model'!$A$6:$B$38,2,FALSE)</f>
        <v>0.559441163373953</v>
      </c>
      <c r="J722">
        <f ca="1">($B$1+Table4[[#This Row],[Home Differential]])-Table4[[#This Row],[Away Differential]]</f>
        <v>-0.93337186211728906</v>
      </c>
      <c r="K722" t="str">
        <f ca="1">IF(Table4[[#This Row],[HomeIce Differential]]&gt;0,Table4[[#This Row],[Home]],Table4[[#This Row],[Visitor]])</f>
        <v>New Jersey Devils</v>
      </c>
      <c r="L722" s="11">
        <f ca="1"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0.65564254778719788</v>
      </c>
      <c r="M722" t="str">
        <f ca="1">IF(OR((NHL2025_26Results[[#This Row],[Winning Team]]="")),"-",IF(Table4[[#This Row],[Predicted Winner]]=NHL2025_26Results[[#This Row],[Winning Team]],"YES","NO"))</f>
        <v>-</v>
      </c>
      <c r="N722" t="str">
        <f ca="1">IF(Table4[[#This Row],[Adjusted Correct]]="-", "",IF(Table4[[#This Row],[Adjusted Correct]]="YES",(Table4[[#This Row],[Strength of Win]]-1)^2,(Table4[[#This Row],[Strength of Win]]-0)^2))</f>
        <v/>
      </c>
      <c r="P722" s="11"/>
    </row>
    <row r="723" spans="4:16" x14ac:dyDescent="0.2">
      <c r="D723" s="1">
        <v>46034</v>
      </c>
      <c r="E723" s="2">
        <v>0.8125</v>
      </c>
      <c r="F723" t="s">
        <v>18</v>
      </c>
      <c r="G723">
        <f>VLOOKUP(Table4[[#This Row],[Home]],'NHL Model'!$A$6:$B$38,2,FALSE)</f>
        <v>-0.52437726201848234</v>
      </c>
      <c r="H723" t="s">
        <v>38</v>
      </c>
      <c r="I723">
        <f>VLOOKUP(Table4[[#This Row],[Visitor]],'NHL Model'!$A$6:$B$38,2,FALSE)</f>
        <v>-0.6902088310934803</v>
      </c>
      <c r="J723">
        <f ca="1">($B$1+Table4[[#This Row],[Home Differential]])-Table4[[#This Row],[Away Differential]]</f>
        <v>0.32840387873731636</v>
      </c>
      <c r="K723" t="str">
        <f ca="1">IF(Table4[[#This Row],[HomeIce Differential]]&gt;0,Table4[[#This Row],[Home]],Table4[[#This Row],[Visitor]])</f>
        <v>Montreal Canadiens</v>
      </c>
      <c r="L723" s="11">
        <f ca="1"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0.54299063990551666</v>
      </c>
      <c r="M723" t="str">
        <f ca="1">IF(OR((NHL2025_26Results[[#This Row],[Winning Team]]="")),"-",IF(Table4[[#This Row],[Predicted Winner]]=NHL2025_26Results[[#This Row],[Winning Team]],"YES","NO"))</f>
        <v>-</v>
      </c>
      <c r="N723" t="str">
        <f ca="1">IF(Table4[[#This Row],[Adjusted Correct]]="-", "",IF(Table4[[#This Row],[Adjusted Correct]]="YES",(Table4[[#This Row],[Strength of Win]]-1)^2,(Table4[[#This Row],[Strength of Win]]-0)^2))</f>
        <v/>
      </c>
      <c r="P723" s="11"/>
    </row>
    <row r="724" spans="4:16" x14ac:dyDescent="0.2">
      <c r="D724" s="1">
        <v>46034</v>
      </c>
      <c r="E724" s="2">
        <v>0.79166666666666663</v>
      </c>
      <c r="F724" t="s">
        <v>15</v>
      </c>
      <c r="G724">
        <f>VLOOKUP(Table4[[#This Row],[Home]],'NHL Model'!$A$6:$B$38,2,FALSE)</f>
        <v>-0.30719665303039001</v>
      </c>
      <c r="H724" t="s">
        <v>32</v>
      </c>
      <c r="I724">
        <f>VLOOKUP(Table4[[#This Row],[Visitor]],'NHL Model'!$A$6:$B$38,2,FALSE)</f>
        <v>-0.361361309178443</v>
      </c>
      <c r="J724">
        <f ca="1">($B$1+Table4[[#This Row],[Home Differential]])-Table4[[#This Row],[Away Differential]]</f>
        <v>0.21673696581037138</v>
      </c>
      <c r="K724" t="str">
        <f ca="1">IF(Table4[[#This Row],[HomeIce Differential]]&gt;0,Table4[[#This Row],[Home]],Table4[[#This Row],[Visitor]])</f>
        <v>New York Rangers</v>
      </c>
      <c r="L724" s="11">
        <f ca="1"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0.57003078444145339</v>
      </c>
      <c r="M724" t="str">
        <f ca="1">IF(OR((NHL2025_26Results[[#This Row],[Winning Team]]="")),"-",IF(Table4[[#This Row],[Predicted Winner]]=NHL2025_26Results[[#This Row],[Winning Team]],"YES","NO"))</f>
        <v>-</v>
      </c>
      <c r="N724" t="str">
        <f ca="1">IF(Table4[[#This Row],[Adjusted Correct]]="-", "",IF(Table4[[#This Row],[Adjusted Correct]]="YES",(Table4[[#This Row],[Strength of Win]]-1)^2,(Table4[[#This Row],[Strength of Win]]-0)^2))</f>
        <v/>
      </c>
      <c r="P724" s="11"/>
    </row>
    <row r="725" spans="4:16" x14ac:dyDescent="0.2">
      <c r="D725" s="1">
        <v>46034</v>
      </c>
      <c r="E725" s="2">
        <v>0.79166666666666663</v>
      </c>
      <c r="F725" t="s">
        <v>27</v>
      </c>
      <c r="G725">
        <f>VLOOKUP(Table4[[#This Row],[Home]],'NHL Model'!$A$6:$B$38,2,FALSE)</f>
        <v>-0.51358590497437617</v>
      </c>
      <c r="H725" t="s">
        <v>37</v>
      </c>
      <c r="I725">
        <f>VLOOKUP(Table4[[#This Row],[Visitor]],'NHL Model'!$A$6:$B$38,2,FALSE)</f>
        <v>-0.11309445867623392</v>
      </c>
      <c r="J725">
        <f ca="1">($B$1+Table4[[#This Row],[Home Differential]])-Table4[[#This Row],[Away Differential]]</f>
        <v>-0.23791913663582387</v>
      </c>
      <c r="K725" t="str">
        <f ca="1">IF(Table4[[#This Row],[HomeIce Differential]]&gt;0,Table4[[#This Row],[Home]],Table4[[#This Row],[Visitor]])</f>
        <v>Tampa Bay Lightning</v>
      </c>
      <c r="L725" s="11">
        <f ca="1"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0.53755291369684222</v>
      </c>
      <c r="M725" t="str">
        <f ca="1">IF(OR((NHL2025_26Results[[#This Row],[Winning Team]]="")),"-",IF(Table4[[#This Row],[Predicted Winner]]=NHL2025_26Results[[#This Row],[Winning Team]],"YES","NO"))</f>
        <v>-</v>
      </c>
      <c r="N725" t="str">
        <f ca="1">IF(Table4[[#This Row],[Adjusted Correct]]="-", "",IF(Table4[[#This Row],[Adjusted Correct]]="YES",(Table4[[#This Row],[Strength of Win]]-1)^2,(Table4[[#This Row],[Strength of Win]]-0)^2))</f>
        <v/>
      </c>
      <c r="P725" s="11"/>
    </row>
    <row r="726" spans="4:16" x14ac:dyDescent="0.2">
      <c r="D726" s="1">
        <v>46035</v>
      </c>
      <c r="E726" s="2">
        <v>0.91666666666666663</v>
      </c>
      <c r="F726" t="s">
        <v>31</v>
      </c>
      <c r="G726">
        <f>VLOOKUP(Table4[[#This Row],[Home]],'NHL Model'!$A$6:$B$38,2,FALSE)</f>
        <v>0.51775546328552802</v>
      </c>
      <c r="H726" t="s">
        <v>39</v>
      </c>
      <c r="I726">
        <f>VLOOKUP(Table4[[#This Row],[Visitor]],'NHL Model'!$A$6:$B$38,2,FALSE)</f>
        <v>0.19809534061227302</v>
      </c>
      <c r="J726">
        <f ca="1">($B$1+Table4[[#This Row],[Home Differential]])-Table4[[#This Row],[Away Differential]]</f>
        <v>0.48223243233557339</v>
      </c>
      <c r="K726" t="str">
        <f ca="1">IF(Table4[[#This Row],[HomeIce Differential]]&gt;0,Table4[[#This Row],[Home]],Table4[[#This Row],[Visitor]])</f>
        <v>Anaheim Ducks</v>
      </c>
      <c r="L726" s="11">
        <f ca="1"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0.62237303716050629</v>
      </c>
      <c r="M726" t="str">
        <f ca="1">IF(OR((NHL2025_26Results[[#This Row],[Winning Team]]="")),"-",IF(Table4[[#This Row],[Predicted Winner]]=NHL2025_26Results[[#This Row],[Winning Team]],"YES","NO"))</f>
        <v>-</v>
      </c>
      <c r="N726" t="str">
        <f ca="1">IF(Table4[[#This Row],[Adjusted Correct]]="-", "",IF(Table4[[#This Row],[Adjusted Correct]]="YES",(Table4[[#This Row],[Strength of Win]]-1)^2,(Table4[[#This Row],[Strength of Win]]-0)^2))</f>
        <v/>
      </c>
      <c r="P726" s="11"/>
    </row>
    <row r="727" spans="4:16" x14ac:dyDescent="0.2">
      <c r="D727" s="1">
        <v>46035</v>
      </c>
      <c r="E727" s="2">
        <v>0.8125</v>
      </c>
      <c r="F727" t="s">
        <v>21</v>
      </c>
      <c r="G727">
        <f>VLOOKUP(Table4[[#This Row],[Home]],'NHL Model'!$A$6:$B$38,2,FALSE)</f>
        <v>4.029141914856392E-2</v>
      </c>
      <c r="H727" t="s">
        <v>26</v>
      </c>
      <c r="I727">
        <f>VLOOKUP(Table4[[#This Row],[Visitor]],'NHL Model'!$A$6:$B$38,2,FALSE)</f>
        <v>-0.513643833119658</v>
      </c>
      <c r="J727">
        <f ca="1">($B$1+Table4[[#This Row],[Home Differential]])-Table4[[#This Row],[Away Differential]]</f>
        <v>0.71650756193054033</v>
      </c>
      <c r="K727" t="str">
        <f ca="1">IF(Table4[[#This Row],[HomeIce Differential]]&gt;0,Table4[[#This Row],[Home]],Table4[[#This Row],[Visitor]])</f>
        <v>Boston Bruins</v>
      </c>
      <c r="L727" s="11">
        <f ca="1"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0.66620746444924461</v>
      </c>
      <c r="M727" t="str">
        <f ca="1">IF(OR((NHL2025_26Results[[#This Row],[Winning Team]]="")),"-",IF(Table4[[#This Row],[Predicted Winner]]=NHL2025_26Results[[#This Row],[Winning Team]],"YES","NO"))</f>
        <v>-</v>
      </c>
      <c r="N727" t="str">
        <f ca="1">IF(Table4[[#This Row],[Adjusted Correct]]="-", "",IF(Table4[[#This Row],[Adjusted Correct]]="YES",(Table4[[#This Row],[Strength of Win]]-1)^2,(Table4[[#This Row],[Strength of Win]]-0)^2))</f>
        <v/>
      </c>
      <c r="P727" s="11"/>
    </row>
    <row r="728" spans="4:16" x14ac:dyDescent="0.2">
      <c r="D728" s="1">
        <v>46035</v>
      </c>
      <c r="E728" s="2">
        <v>0.79166666666666663</v>
      </c>
      <c r="F728" t="s">
        <v>28</v>
      </c>
      <c r="G728">
        <f>VLOOKUP(Table4[[#This Row],[Home]],'NHL Model'!$A$6:$B$38,2,FALSE)</f>
        <v>-0.40822279081308277</v>
      </c>
      <c r="H728" t="s">
        <v>16</v>
      </c>
      <c r="I728">
        <f>VLOOKUP(Table4[[#This Row],[Visitor]],'NHL Model'!$A$6:$B$38,2,FALSE)</f>
        <v>-1.3903684122795328</v>
      </c>
      <c r="J728">
        <f ca="1">($B$1+Table4[[#This Row],[Home Differential]])-Table4[[#This Row],[Away Differential]]</f>
        <v>1.1447179311287683</v>
      </c>
      <c r="K728" t="str">
        <f ca="1">IF(Table4[[#This Row],[HomeIce Differential]]&gt;0,Table4[[#This Row],[Home]],Table4[[#This Row],[Visitor]])</f>
        <v>Columbus Blue Jackets</v>
      </c>
      <c r="L728" s="11">
        <f ca="1"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0.69861058729626935</v>
      </c>
      <c r="M728" t="str">
        <f ca="1">IF(OR((NHL2025_26Results[[#This Row],[Winning Team]]="")),"-",IF(Table4[[#This Row],[Predicted Winner]]=NHL2025_26Results[[#This Row],[Winning Team]],"YES","NO"))</f>
        <v>-</v>
      </c>
      <c r="N728" t="str">
        <f ca="1">IF(Table4[[#This Row],[Adjusted Correct]]="-", "",IF(Table4[[#This Row],[Adjusted Correct]]="YES",(Table4[[#This Row],[Strength of Win]]-1)^2,(Table4[[#This Row],[Strength of Win]]-0)^2))</f>
        <v/>
      </c>
      <c r="P728" s="11"/>
    </row>
    <row r="729" spans="4:16" x14ac:dyDescent="0.2">
      <c r="D729" s="1">
        <v>46035</v>
      </c>
      <c r="E729" s="2">
        <v>0.83333333333333337</v>
      </c>
      <c r="F729" t="s">
        <v>29</v>
      </c>
      <c r="G729">
        <f>VLOOKUP(Table4[[#This Row],[Home]],'NHL Model'!$A$6:$B$38,2,FALSE)</f>
        <v>-1.3516250707060606</v>
      </c>
      <c r="H729" t="s">
        <v>17</v>
      </c>
      <c r="I729">
        <f>VLOOKUP(Table4[[#This Row],[Visitor]],'NHL Model'!$A$6:$B$38,2,FALSE)</f>
        <v>-0.61980804137564283</v>
      </c>
      <c r="J729">
        <f ca="1">($B$1+Table4[[#This Row],[Home Differential]])-Table4[[#This Row],[Away Differential]]</f>
        <v>-0.56924471966809942</v>
      </c>
      <c r="K729" t="str">
        <f ca="1">IF(Table4[[#This Row],[HomeIce Differential]]&gt;0,Table4[[#This Row],[Home]],Table4[[#This Row],[Visitor]])</f>
        <v>Edmonton Oilers</v>
      </c>
      <c r="L729" s="11">
        <f ca="1"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0.53887378789709983</v>
      </c>
      <c r="M729" t="str">
        <f ca="1">IF(OR((NHL2025_26Results[[#This Row],[Winning Team]]="")),"-",IF(Table4[[#This Row],[Predicted Winner]]=NHL2025_26Results[[#This Row],[Winning Team]],"YES","NO"))</f>
        <v>-</v>
      </c>
      <c r="N729" t="str">
        <f ca="1">IF(Table4[[#This Row],[Adjusted Correct]]="-", "",IF(Table4[[#This Row],[Adjusted Correct]]="YES",(Table4[[#This Row],[Strength of Win]]-1)^2,(Table4[[#This Row],[Strength of Win]]-0)^2))</f>
        <v/>
      </c>
      <c r="P729" s="11"/>
    </row>
    <row r="730" spans="4:16" x14ac:dyDescent="0.2">
      <c r="D730" s="1">
        <v>46035</v>
      </c>
      <c r="E730" s="2">
        <v>0.79166666666666663</v>
      </c>
      <c r="F730" t="s">
        <v>36</v>
      </c>
      <c r="G730">
        <f>VLOOKUP(Table4[[#This Row],[Home]],'NHL Model'!$A$6:$B$38,2,FALSE)</f>
        <v>-0.40651947573390851</v>
      </c>
      <c r="H730" t="s">
        <v>38</v>
      </c>
      <c r="I730">
        <f>VLOOKUP(Table4[[#This Row],[Visitor]],'NHL Model'!$A$6:$B$38,2,FALSE)</f>
        <v>-0.6902088310934803</v>
      </c>
      <c r="J730">
        <f ca="1">($B$1+Table4[[#This Row],[Home Differential]])-Table4[[#This Row],[Away Differential]]</f>
        <v>0.44626166502189019</v>
      </c>
      <c r="K730" t="str">
        <f ca="1">IF(Table4[[#This Row],[HomeIce Differential]]&gt;0,Table4[[#This Row],[Home]],Table4[[#This Row],[Visitor]])</f>
        <v>Ottawa Senators</v>
      </c>
      <c r="L730" s="11">
        <f ca="1"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0.56183342013969972</v>
      </c>
      <c r="M730" t="str">
        <f ca="1">IF(OR((NHL2025_26Results[[#This Row],[Winning Team]]="")),"-",IF(Table4[[#This Row],[Predicted Winner]]=NHL2025_26Results[[#This Row],[Winning Team]],"YES","NO"))</f>
        <v>-</v>
      </c>
      <c r="N730" t="str">
        <f ca="1">IF(Table4[[#This Row],[Adjusted Correct]]="-", "",IF(Table4[[#This Row],[Adjusted Correct]]="YES",(Table4[[#This Row],[Strength of Win]]-1)^2,(Table4[[#This Row],[Strength of Win]]-0)^2))</f>
        <v/>
      </c>
      <c r="P730" s="11"/>
    </row>
    <row r="731" spans="4:16" x14ac:dyDescent="0.2">
      <c r="D731" s="1">
        <v>46035</v>
      </c>
      <c r="E731" s="2">
        <v>0.79166666666666663</v>
      </c>
      <c r="F731" t="s">
        <v>14</v>
      </c>
      <c r="G731">
        <f>VLOOKUP(Table4[[#This Row],[Home]],'NHL Model'!$A$6:$B$38,2,FALSE)</f>
        <v>0.26289091192875702</v>
      </c>
      <c r="H731" t="s">
        <v>37</v>
      </c>
      <c r="I731">
        <f>VLOOKUP(Table4[[#This Row],[Visitor]],'NHL Model'!$A$6:$B$38,2,FALSE)</f>
        <v>-0.11309445867623392</v>
      </c>
      <c r="J731">
        <f ca="1">($B$1+Table4[[#This Row],[Home Differential]])-Table4[[#This Row],[Away Differential]]</f>
        <v>0.53855768026730932</v>
      </c>
      <c r="K731" t="str">
        <f ca="1">IF(Table4[[#This Row],[HomeIce Differential]]&gt;0,Table4[[#This Row],[Home]],Table4[[#This Row],[Visitor]])</f>
        <v>Pittsburgh Penguins</v>
      </c>
      <c r="L731" s="11">
        <f ca="1"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0.60403359741875307</v>
      </c>
      <c r="M731" t="str">
        <f ca="1">IF(OR((NHL2025_26Results[[#This Row],[Winning Team]]="")),"-",IF(Table4[[#This Row],[Predicted Winner]]=NHL2025_26Results[[#This Row],[Winning Team]],"YES","NO"))</f>
        <v>-</v>
      </c>
      <c r="N731" t="str">
        <f ca="1">IF(Table4[[#This Row],[Adjusted Correct]]="-", "",IF(Table4[[#This Row],[Adjusted Correct]]="YES",(Table4[[#This Row],[Strength of Win]]-1)^2,(Table4[[#This Row],[Strength of Win]]-0)^2))</f>
        <v/>
      </c>
      <c r="P731" s="11"/>
    </row>
    <row r="732" spans="4:16" x14ac:dyDescent="0.2">
      <c r="D732" s="1">
        <v>46035</v>
      </c>
      <c r="E732" s="2">
        <v>0.8125</v>
      </c>
      <c r="F732" t="s">
        <v>35</v>
      </c>
      <c r="G732">
        <f>VLOOKUP(Table4[[#This Row],[Home]],'NHL Model'!$A$6:$B$38,2,FALSE)</f>
        <v>-1.6211574240381006</v>
      </c>
      <c r="H732" t="s">
        <v>25</v>
      </c>
      <c r="I732">
        <f>VLOOKUP(Table4[[#This Row],[Visitor]],'NHL Model'!$A$6:$B$38,2,FALSE)</f>
        <v>0.67193921242367816</v>
      </c>
      <c r="J732">
        <f ca="1">($B$1+Table4[[#This Row],[Home Differential]])-Table4[[#This Row],[Away Differential]]</f>
        <v>-2.1305243267994602</v>
      </c>
      <c r="K732" t="str">
        <f ca="1">IF(Table4[[#This Row],[HomeIce Differential]]&gt;0,Table4[[#This Row],[Home]],Table4[[#This Row],[Visitor]])</f>
        <v>Carolina Hurricanes</v>
      </c>
      <c r="L732" s="11">
        <f ca="1"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0.84768879237639205</v>
      </c>
      <c r="M732" t="str">
        <f ca="1">IF(OR((NHL2025_26Results[[#This Row],[Winning Team]]="")),"-",IF(Table4[[#This Row],[Predicted Winner]]=NHL2025_26Results[[#This Row],[Winning Team]],"YES","NO"))</f>
        <v>-</v>
      </c>
      <c r="N732" t="str">
        <f ca="1">IF(Table4[[#This Row],[Adjusted Correct]]="-", "",IF(Table4[[#This Row],[Adjusted Correct]]="YES",(Table4[[#This Row],[Strength of Win]]-1)^2,(Table4[[#This Row],[Strength of Win]]-0)^2))</f>
        <v/>
      </c>
      <c r="P732" s="11"/>
    </row>
    <row r="733" spans="4:16" x14ac:dyDescent="0.2">
      <c r="D733" s="1">
        <v>46035</v>
      </c>
      <c r="E733" s="2">
        <v>0.91666666666666663</v>
      </c>
      <c r="F733" t="s">
        <v>55</v>
      </c>
      <c r="G733">
        <f>VLOOKUP(Table4[[#This Row],[Home]],'NHL Model'!$A$6:$B$38,2,FALSE)</f>
        <v>-0.12212311954851815</v>
      </c>
      <c r="H733" t="s">
        <v>19</v>
      </c>
      <c r="I733">
        <f>VLOOKUP(Table4[[#This Row],[Visitor]],'NHL Model'!$A$6:$B$38,2,FALSE)</f>
        <v>-0.635565543477981</v>
      </c>
      <c r="J733">
        <f ca="1">($B$1+Table4[[#This Row],[Home Differential]])-Table4[[#This Row],[Away Differential]]</f>
        <v>0.67601473359178121</v>
      </c>
      <c r="K733" t="str">
        <f ca="1">IF(Table4[[#This Row],[HomeIce Differential]]&gt;0,Table4[[#This Row],[Home]],Table4[[#This Row],[Visitor]])</f>
        <v>Utah Mammoth</v>
      </c>
      <c r="L733" s="11">
        <f ca="1"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0.70194020447388616</v>
      </c>
      <c r="M733" t="str">
        <f ca="1">IF(OR((NHL2025_26Results[[#This Row],[Winning Team]]="")),"-",IF(Table4[[#This Row],[Predicted Winner]]=NHL2025_26Results[[#This Row],[Winning Team]],"YES","NO"))</f>
        <v>-</v>
      </c>
      <c r="N733" t="str">
        <f ca="1">IF(Table4[[#This Row],[Adjusted Correct]]="-", "",IF(Table4[[#This Row],[Adjusted Correct]]="YES",(Table4[[#This Row],[Strength of Win]]-1)^2,(Table4[[#This Row],[Strength of Win]]-0)^2))</f>
        <v/>
      </c>
      <c r="P733" s="11"/>
    </row>
    <row r="734" spans="4:16" x14ac:dyDescent="0.2">
      <c r="D734" s="1">
        <v>46035</v>
      </c>
      <c r="E734" s="2">
        <v>0.83333333333333337</v>
      </c>
      <c r="F734" t="s">
        <v>40</v>
      </c>
      <c r="G734">
        <f>VLOOKUP(Table4[[#This Row],[Home]],'NHL Model'!$A$6:$B$38,2,FALSE)</f>
        <v>0.105105258369765</v>
      </c>
      <c r="H734" t="s">
        <v>30</v>
      </c>
      <c r="I734">
        <f>VLOOKUP(Table4[[#This Row],[Visitor]],'NHL Model'!$A$6:$B$38,2,FALSE)</f>
        <v>-6.4729560818359025E-2</v>
      </c>
      <c r="J734">
        <f ca="1">($B$1+Table4[[#This Row],[Home Differential]])-Table4[[#This Row],[Away Differential]]</f>
        <v>0.33240712885044243</v>
      </c>
      <c r="K734" t="str">
        <f ca="1">IF(Table4[[#This Row],[HomeIce Differential]]&gt;0,Table4[[#This Row],[Home]],Table4[[#This Row],[Visitor]])</f>
        <v>Winnipeg Jets</v>
      </c>
      <c r="L734" s="11">
        <f ca="1"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0.58003847023154886</v>
      </c>
      <c r="M734" t="str">
        <f ca="1">IF(OR((NHL2025_26Results[[#This Row],[Winning Team]]="")),"-",IF(Table4[[#This Row],[Predicted Winner]]=NHL2025_26Results[[#This Row],[Winning Team]],"YES","NO"))</f>
        <v>-</v>
      </c>
      <c r="N734" t="str">
        <f ca="1">IF(Table4[[#This Row],[Adjusted Correct]]="-", "",IF(Table4[[#This Row],[Adjusted Correct]]="YES",(Table4[[#This Row],[Strength of Win]]-1)^2,(Table4[[#This Row],[Strength of Win]]-0)^2))</f>
        <v/>
      </c>
      <c r="P734" s="11"/>
    </row>
    <row r="735" spans="4:16" x14ac:dyDescent="0.2">
      <c r="D735" s="1">
        <v>46035</v>
      </c>
      <c r="E735" s="2">
        <v>0.79166666666666663</v>
      </c>
      <c r="F735" t="s">
        <v>22</v>
      </c>
      <c r="G735">
        <f>VLOOKUP(Table4[[#This Row],[Home]],'NHL Model'!$A$6:$B$38,2,FALSE)</f>
        <v>-6.1308839486784707E-2</v>
      </c>
      <c r="H735" t="s">
        <v>18</v>
      </c>
      <c r="I735">
        <f>VLOOKUP(Table4[[#This Row],[Visitor]],'NHL Model'!$A$6:$B$38,2,FALSE)</f>
        <v>-0.52437726201848234</v>
      </c>
      <c r="J735">
        <f ca="1">($B$1+Table4[[#This Row],[Home Differential]])-Table4[[#This Row],[Away Differential]]</f>
        <v>0.62564073219401606</v>
      </c>
      <c r="K735" t="str">
        <f ca="1">IF(Table4[[#This Row],[HomeIce Differential]]&gt;0,Table4[[#This Row],[Home]],Table4[[#This Row],[Visitor]])</f>
        <v>Washington Capitals</v>
      </c>
      <c r="L735" s="11">
        <f ca="1"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0.5502072573573753</v>
      </c>
      <c r="M735" t="str">
        <f ca="1">IF(OR((NHL2025_26Results[[#This Row],[Winning Team]]="")),"-",IF(Table4[[#This Row],[Predicted Winner]]=NHL2025_26Results[[#This Row],[Winning Team]],"YES","NO"))</f>
        <v>-</v>
      </c>
      <c r="N735" t="str">
        <f ca="1">IF(Table4[[#This Row],[Adjusted Correct]]="-", "",IF(Table4[[#This Row],[Adjusted Correct]]="YES",(Table4[[#This Row],[Strength of Win]]-1)^2,(Table4[[#This Row],[Strength of Win]]-0)^2))</f>
        <v/>
      </c>
      <c r="P735" s="11"/>
    </row>
    <row r="736" spans="4:16" x14ac:dyDescent="0.2">
      <c r="D736" s="1">
        <v>46036</v>
      </c>
      <c r="E736" s="2">
        <v>0.8125</v>
      </c>
      <c r="F736" t="s">
        <v>23</v>
      </c>
      <c r="G736">
        <f>VLOOKUP(Table4[[#This Row],[Home]],'NHL Model'!$A$6:$B$38,2,FALSE)</f>
        <v>-0.8683412362501769</v>
      </c>
      <c r="H736" t="s">
        <v>27</v>
      </c>
      <c r="I736">
        <f>VLOOKUP(Table4[[#This Row],[Visitor]],'NHL Model'!$A$6:$B$38,2,FALSE)</f>
        <v>-0.51358590497437617</v>
      </c>
      <c r="J736">
        <f ca="1">($B$1+Table4[[#This Row],[Home Differential]])-Table4[[#This Row],[Away Differential]]</f>
        <v>-0.19218302161348233</v>
      </c>
      <c r="K736" t="str">
        <f ca="1">IF(Table4[[#This Row],[HomeIce Differential]]&gt;0,Table4[[#This Row],[Home]],Table4[[#This Row],[Visitor]])</f>
        <v>Philadelphia Flyers</v>
      </c>
      <c r="L736" s="11">
        <f ca="1"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0.48662862273540919</v>
      </c>
      <c r="M736" t="str">
        <f ca="1">IF(OR((NHL2025_26Results[[#This Row],[Winning Team]]="")),"-",IF(Table4[[#This Row],[Predicted Winner]]=NHL2025_26Results[[#This Row],[Winning Team]],"YES","NO"))</f>
        <v>-</v>
      </c>
      <c r="N736" t="str">
        <f ca="1">IF(Table4[[#This Row],[Adjusted Correct]]="-", "",IF(Table4[[#This Row],[Adjusted Correct]]="YES",(Table4[[#This Row],[Strength of Win]]-1)^2,(Table4[[#This Row],[Strength of Win]]-0)^2))</f>
        <v/>
      </c>
      <c r="P736" s="11"/>
    </row>
    <row r="737" spans="4:16" x14ac:dyDescent="0.2">
      <c r="D737" s="1">
        <v>46036</v>
      </c>
      <c r="E737" s="2">
        <v>0.91666666666666663</v>
      </c>
      <c r="F737" t="s">
        <v>13</v>
      </c>
      <c r="G737">
        <f>VLOOKUP(Table4[[#This Row],[Home]],'NHL Model'!$A$6:$B$38,2,FALSE)</f>
        <v>-7.5459708298993802E-2</v>
      </c>
      <c r="H737" t="s">
        <v>20</v>
      </c>
      <c r="I737">
        <f>VLOOKUP(Table4[[#This Row],[Visitor]],'NHL Model'!$A$6:$B$38,2,FALSE)</f>
        <v>-6.3745791019188943E-4</v>
      </c>
      <c r="J737">
        <f ca="1">($B$1+Table4[[#This Row],[Home Differential]])-Table4[[#This Row],[Away Differential]]</f>
        <v>8.7750059273516479E-2</v>
      </c>
      <c r="K737" t="str">
        <f ca="1">IF(Table4[[#This Row],[HomeIce Differential]]&gt;0,Table4[[#This Row],[Home]],Table4[[#This Row],[Visitor]])</f>
        <v>Los Angeles Kings</v>
      </c>
      <c r="L737" s="11">
        <f ca="1"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0.53138930021746456</v>
      </c>
      <c r="M737" t="str">
        <f ca="1">IF(OR((NHL2025_26Results[[#This Row],[Winning Team]]="")),"-",IF(Table4[[#This Row],[Predicted Winner]]=NHL2025_26Results[[#This Row],[Winning Team]],"YES","NO"))</f>
        <v>-</v>
      </c>
      <c r="N737" t="str">
        <f ca="1">IF(Table4[[#This Row],[Adjusted Correct]]="-", "",IF(Table4[[#This Row],[Adjusted Correct]]="YES",(Table4[[#This Row],[Strength of Win]]-1)^2,(Table4[[#This Row],[Strength of Win]]-0)^2))</f>
        <v/>
      </c>
      <c r="P737" s="11"/>
    </row>
    <row r="738" spans="4:16" x14ac:dyDescent="0.2">
      <c r="D738" s="1">
        <v>46036</v>
      </c>
      <c r="E738" s="2">
        <v>0.79166666666666663</v>
      </c>
      <c r="F738" t="s">
        <v>24</v>
      </c>
      <c r="G738">
        <f>VLOOKUP(Table4[[#This Row],[Home]],'NHL Model'!$A$6:$B$38,2,FALSE)</f>
        <v>0.559441163373953</v>
      </c>
      <c r="H738" t="s">
        <v>32</v>
      </c>
      <c r="I738">
        <f>VLOOKUP(Table4[[#This Row],[Visitor]],'NHL Model'!$A$6:$B$38,2,FALSE)</f>
        <v>-0.361361309178443</v>
      </c>
      <c r="J738">
        <f ca="1">($B$1+Table4[[#This Row],[Home Differential]])-Table4[[#This Row],[Away Differential]]</f>
        <v>1.0833747822147144</v>
      </c>
      <c r="K738" t="str">
        <f ca="1">IF(Table4[[#This Row],[HomeIce Differential]]&gt;0,Table4[[#This Row],[Home]],Table4[[#This Row],[Visitor]])</f>
        <v>New Jersey Devils</v>
      </c>
      <c r="L738" s="11">
        <f ca="1"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0.80554167414219391</v>
      </c>
      <c r="M738" t="str">
        <f ca="1">IF(OR((NHL2025_26Results[[#This Row],[Winning Team]]="")),"-",IF(Table4[[#This Row],[Predicted Winner]]=NHL2025_26Results[[#This Row],[Winning Team]],"YES","NO"))</f>
        <v>-</v>
      </c>
      <c r="N738" t="str">
        <f ca="1">IF(Table4[[#This Row],[Adjusted Correct]]="-", "",IF(Table4[[#This Row],[Adjusted Correct]]="YES",(Table4[[#This Row],[Strength of Win]]-1)^2,(Table4[[#This Row],[Strength of Win]]-0)^2))</f>
        <v/>
      </c>
      <c r="P738" s="11"/>
    </row>
    <row r="739" spans="4:16" x14ac:dyDescent="0.2">
      <c r="D739" s="1">
        <v>46036</v>
      </c>
      <c r="E739" s="2">
        <v>0.8125</v>
      </c>
      <c r="F739" t="s">
        <v>15</v>
      </c>
      <c r="G739">
        <f>VLOOKUP(Table4[[#This Row],[Home]],'NHL Model'!$A$6:$B$38,2,FALSE)</f>
        <v>-0.30719665303039001</v>
      </c>
      <c r="H739" t="s">
        <v>36</v>
      </c>
      <c r="I739">
        <f>VLOOKUP(Table4[[#This Row],[Visitor]],'NHL Model'!$A$6:$B$38,2,FALSE)</f>
        <v>-0.40651947573390851</v>
      </c>
      <c r="J739">
        <f ca="1">($B$1+Table4[[#This Row],[Home Differential]])-Table4[[#This Row],[Away Differential]]</f>
        <v>0.26189513236583689</v>
      </c>
      <c r="K739" t="str">
        <f ca="1">IF(Table4[[#This Row],[HomeIce Differential]]&gt;0,Table4[[#This Row],[Home]],Table4[[#This Row],[Visitor]])</f>
        <v>New York Rangers</v>
      </c>
      <c r="L739" s="11">
        <f ca="1"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0.57628783967210073</v>
      </c>
      <c r="M739" t="str">
        <f ca="1">IF(OR((NHL2025_26Results[[#This Row],[Winning Team]]="")),"-",IF(Table4[[#This Row],[Predicted Winner]]=NHL2025_26Results[[#This Row],[Winning Team]],"YES","NO"))</f>
        <v>-</v>
      </c>
      <c r="N739" t="str">
        <f ca="1">IF(Table4[[#This Row],[Adjusted Correct]]="-", "",IF(Table4[[#This Row],[Adjusted Correct]]="YES",(Table4[[#This Row],[Strength of Win]]-1)^2,(Table4[[#This Row],[Strength of Win]]-0)^2))</f>
        <v/>
      </c>
      <c r="P739" s="11"/>
    </row>
    <row r="740" spans="4:16" x14ac:dyDescent="0.2">
      <c r="D740" s="1">
        <v>46037</v>
      </c>
      <c r="E740" s="2">
        <v>0.79166666666666663</v>
      </c>
      <c r="F740" t="s">
        <v>21</v>
      </c>
      <c r="G740">
        <f>VLOOKUP(Table4[[#This Row],[Home]],'NHL Model'!$A$6:$B$38,2,FALSE)</f>
        <v>4.029141914856392E-2</v>
      </c>
      <c r="H740" t="s">
        <v>32</v>
      </c>
      <c r="I740">
        <f>VLOOKUP(Table4[[#This Row],[Visitor]],'NHL Model'!$A$6:$B$38,2,FALSE)</f>
        <v>-0.361361309178443</v>
      </c>
      <c r="J740">
        <f ca="1">($B$1+Table4[[#This Row],[Home Differential]])-Table4[[#This Row],[Away Differential]]</f>
        <v>0.56422503798932533</v>
      </c>
      <c r="K740" t="str">
        <f ca="1">IF(Table4[[#This Row],[HomeIce Differential]]&gt;0,Table4[[#This Row],[Home]],Table4[[#This Row],[Visitor]])</f>
        <v>Boston Bruins</v>
      </c>
      <c r="L740" s="11">
        <f ca="1"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0.69073569476834096</v>
      </c>
      <c r="M740" t="str">
        <f ca="1">IF(OR((NHL2025_26Results[[#This Row],[Winning Team]]="")),"-",IF(Table4[[#This Row],[Predicted Winner]]=NHL2025_26Results[[#This Row],[Winning Team]],"YES","NO"))</f>
        <v>-</v>
      </c>
      <c r="N740" t="str">
        <f ca="1">IF(Table4[[#This Row],[Adjusted Correct]]="-", "",IF(Table4[[#This Row],[Adjusted Correct]]="YES",(Table4[[#This Row],[Strength of Win]]-1)^2,(Table4[[#This Row],[Strength of Win]]-0)^2))</f>
        <v/>
      </c>
      <c r="P740" s="11"/>
    </row>
    <row r="741" spans="4:16" x14ac:dyDescent="0.2">
      <c r="D741" s="1">
        <v>46037</v>
      </c>
      <c r="E741" s="2">
        <v>0.79166666666666663</v>
      </c>
      <c r="F741" t="s">
        <v>23</v>
      </c>
      <c r="G741">
        <f>VLOOKUP(Table4[[#This Row],[Home]],'NHL Model'!$A$6:$B$38,2,FALSE)</f>
        <v>-0.8683412362501769</v>
      </c>
      <c r="H741" t="s">
        <v>18</v>
      </c>
      <c r="I741">
        <f>VLOOKUP(Table4[[#This Row],[Visitor]],'NHL Model'!$A$6:$B$38,2,FALSE)</f>
        <v>-0.52437726201848234</v>
      </c>
      <c r="J741">
        <f ca="1">($B$1+Table4[[#This Row],[Home Differential]])-Table4[[#This Row],[Away Differential]]</f>
        <v>-0.18139166456937617</v>
      </c>
      <c r="K741" t="str">
        <f ca="1">IF(Table4[[#This Row],[HomeIce Differential]]&gt;0,Table4[[#This Row],[Home]],Table4[[#This Row],[Visitor]])</f>
        <v>Montreal Canadiens</v>
      </c>
      <c r="L741" s="11">
        <f ca="1"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0.56161407341494607</v>
      </c>
      <c r="M741" t="str">
        <f ca="1">IF(OR((NHL2025_26Results[[#This Row],[Winning Team]]="")),"-",IF(Table4[[#This Row],[Predicted Winner]]=NHL2025_26Results[[#This Row],[Winning Team]],"YES","NO"))</f>
        <v>-</v>
      </c>
      <c r="N741" t="str">
        <f ca="1">IF(Table4[[#This Row],[Adjusted Correct]]="-", "",IF(Table4[[#This Row],[Adjusted Correct]]="YES",(Table4[[#This Row],[Strength of Win]]-1)^2,(Table4[[#This Row],[Strength of Win]]-0)^2))</f>
        <v/>
      </c>
      <c r="P741" s="11"/>
    </row>
    <row r="742" spans="4:16" x14ac:dyDescent="0.2">
      <c r="D742" s="1">
        <v>46037</v>
      </c>
      <c r="E742" s="2">
        <v>0.79166666666666663</v>
      </c>
      <c r="F742" t="s">
        <v>28</v>
      </c>
      <c r="G742">
        <f>VLOOKUP(Table4[[#This Row],[Home]],'NHL Model'!$A$6:$B$38,2,FALSE)</f>
        <v>-0.40822279081308277</v>
      </c>
      <c r="H742" t="s">
        <v>38</v>
      </c>
      <c r="I742">
        <f>VLOOKUP(Table4[[#This Row],[Visitor]],'NHL Model'!$A$6:$B$38,2,FALSE)</f>
        <v>-0.6902088310934803</v>
      </c>
      <c r="J742">
        <f ca="1">($B$1+Table4[[#This Row],[Home Differential]])-Table4[[#This Row],[Away Differential]]</f>
        <v>0.44455834994271592</v>
      </c>
      <c r="K742" t="str">
        <f ca="1">IF(Table4[[#This Row],[HomeIce Differential]]&gt;0,Table4[[#This Row],[Home]],Table4[[#This Row],[Visitor]])</f>
        <v>Columbus Blue Jackets</v>
      </c>
      <c r="L742" s="11">
        <f ca="1"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0.55908484826373583</v>
      </c>
      <c r="M742" t="str">
        <f ca="1">IF(OR((NHL2025_26Results[[#This Row],[Winning Team]]="")),"-",IF(Table4[[#This Row],[Predicted Winner]]=NHL2025_26Results[[#This Row],[Winning Team]],"YES","NO"))</f>
        <v>-</v>
      </c>
      <c r="N742" t="str">
        <f ca="1">IF(Table4[[#This Row],[Adjusted Correct]]="-", "",IF(Table4[[#This Row],[Adjusted Correct]]="YES",(Table4[[#This Row],[Strength of Win]]-1)^2,(Table4[[#This Row],[Strength of Win]]-0)^2))</f>
        <v/>
      </c>
      <c r="P742" s="11"/>
    </row>
    <row r="743" spans="4:16" x14ac:dyDescent="0.2">
      <c r="D743" s="1">
        <v>46037</v>
      </c>
      <c r="E743" s="2">
        <v>0.85416666666666663</v>
      </c>
      <c r="F743" t="s">
        <v>10</v>
      </c>
      <c r="G743">
        <f>VLOOKUP(Table4[[#This Row],[Home]],'NHL Model'!$A$6:$B$38,2,FALSE)</f>
        <v>0.30570968833820172</v>
      </c>
      <c r="H743" t="s">
        <v>16</v>
      </c>
      <c r="I743">
        <f>VLOOKUP(Table4[[#This Row],[Visitor]],'NHL Model'!$A$6:$B$38,2,FALSE)</f>
        <v>-1.3903684122795328</v>
      </c>
      <c r="J743">
        <f ca="1">($B$1+Table4[[#This Row],[Home Differential]])-Table4[[#This Row],[Away Differential]]</f>
        <v>1.858650410280053</v>
      </c>
      <c r="K743" t="str">
        <f ca="1">IF(Table4[[#This Row],[HomeIce Differential]]&gt;0,Table4[[#This Row],[Home]],Table4[[#This Row],[Visitor]])</f>
        <v>Chicago Blackhawks</v>
      </c>
      <c r="L743" s="11">
        <f ca="1"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0.79753211785743328</v>
      </c>
      <c r="M743" t="str">
        <f ca="1">IF(OR((NHL2025_26Results[[#This Row],[Winning Team]]="")),"-",IF(Table4[[#This Row],[Predicted Winner]]=NHL2025_26Results[[#This Row],[Winning Team]],"YES","NO"))</f>
        <v>-</v>
      </c>
      <c r="N743" t="str">
        <f ca="1">IF(Table4[[#This Row],[Adjusted Correct]]="-", "",IF(Table4[[#This Row],[Adjusted Correct]]="YES",(Table4[[#This Row],[Strength of Win]]-1)^2,(Table4[[#This Row],[Strength of Win]]-0)^2))</f>
        <v/>
      </c>
      <c r="P743" s="11"/>
    </row>
    <row r="744" spans="4:16" x14ac:dyDescent="0.2">
      <c r="D744" s="1">
        <v>46037</v>
      </c>
      <c r="E744" s="2">
        <v>0.875</v>
      </c>
      <c r="F744" t="s">
        <v>17</v>
      </c>
      <c r="G744">
        <f>VLOOKUP(Table4[[#This Row],[Home]],'NHL Model'!$A$6:$B$38,2,FALSE)</f>
        <v>-0.61980804137564283</v>
      </c>
      <c r="H744" t="s">
        <v>30</v>
      </c>
      <c r="I744">
        <f>VLOOKUP(Table4[[#This Row],[Visitor]],'NHL Model'!$A$6:$B$38,2,FALSE)</f>
        <v>-6.4729560818359025E-2</v>
      </c>
      <c r="J744">
        <f ca="1">($B$1+Table4[[#This Row],[Home Differential]])-Table4[[#This Row],[Away Differential]]</f>
        <v>-0.39250617089496542</v>
      </c>
      <c r="K744" t="str">
        <f ca="1">IF(Table4[[#This Row],[HomeIce Differential]]&gt;0,Table4[[#This Row],[Home]],Table4[[#This Row],[Visitor]])</f>
        <v>New York Islanders</v>
      </c>
      <c r="L744" s="11">
        <f ca="1"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0.52040454816174098</v>
      </c>
      <c r="M744" t="str">
        <f ca="1">IF(OR((NHL2025_26Results[[#This Row],[Winning Team]]="")),"-",IF(Table4[[#This Row],[Predicted Winner]]=NHL2025_26Results[[#This Row],[Winning Team]],"YES","NO"))</f>
        <v>-</v>
      </c>
      <c r="N744" t="str">
        <f ca="1">IF(Table4[[#This Row],[Adjusted Correct]]="-", "",IF(Table4[[#This Row],[Adjusted Correct]]="YES",(Table4[[#This Row],[Strength of Win]]-1)^2,(Table4[[#This Row],[Strength of Win]]-0)^2))</f>
        <v/>
      </c>
      <c r="P744" s="11"/>
    </row>
    <row r="745" spans="4:16" x14ac:dyDescent="0.2">
      <c r="D745" s="1">
        <v>46037</v>
      </c>
      <c r="E745" s="2">
        <v>0.83333333333333337</v>
      </c>
      <c r="F745" t="s">
        <v>34</v>
      </c>
      <c r="G745">
        <f>VLOOKUP(Table4[[#This Row],[Home]],'NHL Model'!$A$6:$B$38,2,FALSE)</f>
        <v>-0.53650300840565446</v>
      </c>
      <c r="H745" t="s">
        <v>40</v>
      </c>
      <c r="I745">
        <f>VLOOKUP(Table4[[#This Row],[Visitor]],'NHL Model'!$A$6:$B$38,2,FALSE)</f>
        <v>0.105105258369765</v>
      </c>
      <c r="J745">
        <f ca="1">($B$1+Table4[[#This Row],[Home Differential]])-Table4[[#This Row],[Away Differential]]</f>
        <v>-0.4790359571131011</v>
      </c>
      <c r="K745" t="str">
        <f ca="1">IF(Table4[[#This Row],[HomeIce Differential]]&gt;0,Table4[[#This Row],[Home]],Table4[[#This Row],[Visitor]])</f>
        <v>Winnipeg Jets</v>
      </c>
      <c r="L745" s="11">
        <f ca="1"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0.59269037174201455</v>
      </c>
      <c r="M745" t="str">
        <f ca="1">IF(OR((NHL2025_26Results[[#This Row],[Winning Team]]="")),"-",IF(Table4[[#This Row],[Predicted Winner]]=NHL2025_26Results[[#This Row],[Winning Team]],"YES","NO"))</f>
        <v>-</v>
      </c>
      <c r="N745" t="str">
        <f ca="1">IF(Table4[[#This Row],[Adjusted Correct]]="-", "",IF(Table4[[#This Row],[Adjusted Correct]]="YES",(Table4[[#This Row],[Strength of Win]]-1)^2,(Table4[[#This Row],[Strength of Win]]-0)^2))</f>
        <v/>
      </c>
      <c r="P745" s="11"/>
    </row>
    <row r="746" spans="4:16" x14ac:dyDescent="0.2">
      <c r="D746" s="1">
        <v>46037</v>
      </c>
      <c r="E746" s="2">
        <v>0.79166666666666663</v>
      </c>
      <c r="F746" t="s">
        <v>14</v>
      </c>
      <c r="G746">
        <f>VLOOKUP(Table4[[#This Row],[Home]],'NHL Model'!$A$6:$B$38,2,FALSE)</f>
        <v>0.26289091192875702</v>
      </c>
      <c r="H746" t="s">
        <v>27</v>
      </c>
      <c r="I746">
        <f>VLOOKUP(Table4[[#This Row],[Visitor]],'NHL Model'!$A$6:$B$38,2,FALSE)</f>
        <v>-0.51358590497437617</v>
      </c>
      <c r="J746">
        <f ca="1">($B$1+Table4[[#This Row],[Home Differential]])-Table4[[#This Row],[Away Differential]]</f>
        <v>0.93904912656545159</v>
      </c>
      <c r="K746" t="str">
        <f ca="1">IF(Table4[[#This Row],[HomeIce Differential]]&gt;0,Table4[[#This Row],[Home]],Table4[[#This Row],[Visitor]])</f>
        <v>Pittsburgh Penguins</v>
      </c>
      <c r="L746" s="11">
        <f ca="1"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0.70615025885057991</v>
      </c>
      <c r="M746" t="str">
        <f ca="1">IF(OR((NHL2025_26Results[[#This Row],[Winning Team]]="")),"-",IF(Table4[[#This Row],[Predicted Winner]]=NHL2025_26Results[[#This Row],[Winning Team]],"YES","NO"))</f>
        <v>-</v>
      </c>
      <c r="N746" t="str">
        <f ca="1">IF(Table4[[#This Row],[Adjusted Correct]]="-", "",IF(Table4[[#This Row],[Adjusted Correct]]="YES",(Table4[[#This Row],[Strength of Win]]-1)^2,(Table4[[#This Row],[Strength of Win]]-0)^2))</f>
        <v/>
      </c>
      <c r="P746" s="11"/>
    </row>
    <row r="747" spans="4:16" x14ac:dyDescent="0.2">
      <c r="D747" s="1">
        <v>46037</v>
      </c>
      <c r="E747" s="2">
        <v>0.875</v>
      </c>
      <c r="F747" t="s">
        <v>55</v>
      </c>
      <c r="G747">
        <f>VLOOKUP(Table4[[#This Row],[Home]],'NHL Model'!$A$6:$B$38,2,FALSE)</f>
        <v>-0.12212311954851815</v>
      </c>
      <c r="H747" t="s">
        <v>39</v>
      </c>
      <c r="I747">
        <f>VLOOKUP(Table4[[#This Row],[Visitor]],'NHL Model'!$A$6:$B$38,2,FALSE)</f>
        <v>0.19809534061227302</v>
      </c>
      <c r="J747">
        <f ca="1">($B$1+Table4[[#This Row],[Home Differential]])-Table4[[#This Row],[Away Differential]]</f>
        <v>-0.15764615049847278</v>
      </c>
      <c r="K747" t="str">
        <f ca="1">IF(Table4[[#This Row],[HomeIce Differential]]&gt;0,Table4[[#This Row],[Home]],Table4[[#This Row],[Visitor]])</f>
        <v>Dallas Stars</v>
      </c>
      <c r="L747" s="11">
        <f ca="1"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0.50460186070154422</v>
      </c>
      <c r="M747" t="str">
        <f ca="1">IF(OR((NHL2025_26Results[[#This Row],[Winning Team]]="")),"-",IF(Table4[[#This Row],[Predicted Winner]]=NHL2025_26Results[[#This Row],[Winning Team]],"YES","NO"))</f>
        <v>-</v>
      </c>
      <c r="N747" t="str">
        <f ca="1">IF(Table4[[#This Row],[Adjusted Correct]]="-", "",IF(Table4[[#This Row],[Adjusted Correct]]="YES",(Table4[[#This Row],[Strength of Win]]-1)^2,(Table4[[#This Row],[Strength of Win]]-0)^2))</f>
        <v/>
      </c>
      <c r="P747" s="11"/>
    </row>
    <row r="748" spans="4:16" x14ac:dyDescent="0.2">
      <c r="D748" s="1">
        <v>46037</v>
      </c>
      <c r="E748" s="2">
        <v>0.89583333333333337</v>
      </c>
      <c r="F748" t="s">
        <v>20</v>
      </c>
      <c r="G748">
        <f>VLOOKUP(Table4[[#This Row],[Home]],'NHL Model'!$A$6:$B$38,2,FALSE)</f>
        <v>-6.3745791019188943E-4</v>
      </c>
      <c r="H748" t="s">
        <v>19</v>
      </c>
      <c r="I748">
        <f>VLOOKUP(Table4[[#This Row],[Visitor]],'NHL Model'!$A$6:$B$38,2,FALSE)</f>
        <v>-0.635565543477981</v>
      </c>
      <c r="J748">
        <f ca="1">($B$1+Table4[[#This Row],[Home Differential]])-Table4[[#This Row],[Away Differential]]</f>
        <v>0.79750039523010752</v>
      </c>
      <c r="K748" t="str">
        <f ca="1">IF(Table4[[#This Row],[HomeIce Differential]]&gt;0,Table4[[#This Row],[Home]],Table4[[#This Row],[Visitor]])</f>
        <v>Vegas Golden Knights</v>
      </c>
      <c r="L748" s="11">
        <f ca="1"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0.65050058937377231</v>
      </c>
      <c r="M748" t="str">
        <f ca="1">IF(OR((NHL2025_26Results[[#This Row],[Winning Team]]="")),"-",IF(Table4[[#This Row],[Predicted Winner]]=NHL2025_26Results[[#This Row],[Winning Team]],"YES","NO"))</f>
        <v>-</v>
      </c>
      <c r="N748" t="str">
        <f ca="1">IF(Table4[[#This Row],[Adjusted Correct]]="-", "",IF(Table4[[#This Row],[Adjusted Correct]]="YES",(Table4[[#This Row],[Strength of Win]]-1)^2,(Table4[[#This Row],[Strength of Win]]-0)^2))</f>
        <v/>
      </c>
      <c r="P748" s="11"/>
    </row>
    <row r="749" spans="4:16" x14ac:dyDescent="0.2">
      <c r="D749" s="1">
        <v>46037</v>
      </c>
      <c r="E749" s="2">
        <v>0.79166666666666663</v>
      </c>
      <c r="F749" t="s">
        <v>22</v>
      </c>
      <c r="G749">
        <f>VLOOKUP(Table4[[#This Row],[Home]],'NHL Model'!$A$6:$B$38,2,FALSE)</f>
        <v>-6.1308839486784707E-2</v>
      </c>
      <c r="H749" t="s">
        <v>33</v>
      </c>
      <c r="I749">
        <f>VLOOKUP(Table4[[#This Row],[Visitor]],'NHL Model'!$A$6:$B$38,2,FALSE)</f>
        <v>-0.39418177254008485</v>
      </c>
      <c r="J749">
        <f ca="1">($B$1+Table4[[#This Row],[Home Differential]])-Table4[[#This Row],[Away Differential]]</f>
        <v>0.49544524271561852</v>
      </c>
      <c r="K749" t="str">
        <f ca="1">IF(Table4[[#This Row],[HomeIce Differential]]&gt;0,Table4[[#This Row],[Home]],Table4[[#This Row],[Visitor]])</f>
        <v>Washington Capitals</v>
      </c>
      <c r="L749" s="11">
        <f ca="1"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0.60864823096007503</v>
      </c>
      <c r="M749" t="str">
        <f ca="1">IF(OR((NHL2025_26Results[[#This Row],[Winning Team]]="")),"-",IF(Table4[[#This Row],[Predicted Winner]]=NHL2025_26Results[[#This Row],[Winning Team]],"YES","NO"))</f>
        <v>-</v>
      </c>
      <c r="N749" t="str">
        <f ca="1">IF(Table4[[#This Row],[Adjusted Correct]]="-", "",IF(Table4[[#This Row],[Adjusted Correct]]="YES",(Table4[[#This Row],[Strength of Win]]-1)^2,(Table4[[#This Row],[Strength of Win]]-0)^2))</f>
        <v/>
      </c>
      <c r="P749" s="11"/>
    </row>
    <row r="750" spans="4:16" x14ac:dyDescent="0.2">
      <c r="D750" s="1">
        <v>46038</v>
      </c>
      <c r="E750" s="2">
        <v>0.79166666666666663</v>
      </c>
      <c r="F750" t="s">
        <v>25</v>
      </c>
      <c r="G750">
        <f>VLOOKUP(Table4[[#This Row],[Home]],'NHL Model'!$A$6:$B$38,2,FALSE)</f>
        <v>0.67193921242367816</v>
      </c>
      <c r="H750" t="s">
        <v>11</v>
      </c>
      <c r="I750">
        <f>VLOOKUP(Table4[[#This Row],[Visitor]],'NHL Model'!$A$6:$B$38,2,FALSE)</f>
        <v>-0.28105923893144158</v>
      </c>
      <c r="J750">
        <f ca="1">($B$1+Table4[[#This Row],[Home Differential]])-Table4[[#This Row],[Away Differential]]</f>
        <v>1.1155707610174381</v>
      </c>
      <c r="K750" t="str">
        <f ca="1">IF(Table4[[#This Row],[HomeIce Differential]]&gt;0,Table4[[#This Row],[Home]],Table4[[#This Row],[Visitor]])</f>
        <v>Carolina Hurricanes</v>
      </c>
      <c r="L750" s="11">
        <f ca="1"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0.74628797067502073</v>
      </c>
      <c r="M750" t="str">
        <f ca="1">IF(OR((NHL2025_26Results[[#This Row],[Winning Team]]="")),"-",IF(Table4[[#This Row],[Predicted Winner]]=NHL2025_26Results[[#This Row],[Winning Team]],"YES","NO"))</f>
        <v>-</v>
      </c>
      <c r="N750" t="str">
        <f ca="1">IF(Table4[[#This Row],[Adjusted Correct]]="-", "",IF(Table4[[#This Row],[Adjusted Correct]]="YES",(Table4[[#This Row],[Strength of Win]]-1)^2,(Table4[[#This Row],[Strength of Win]]-0)^2))</f>
        <v/>
      </c>
      <c r="P750" s="11"/>
    </row>
    <row r="751" spans="4:16" x14ac:dyDescent="0.2">
      <c r="D751" s="1">
        <v>46038</v>
      </c>
      <c r="E751" s="2">
        <v>0.875</v>
      </c>
      <c r="F751" t="s">
        <v>12</v>
      </c>
      <c r="G751">
        <f>VLOOKUP(Table4[[#This Row],[Home]],'NHL Model'!$A$6:$B$38,2,FALSE)</f>
        <v>1.5475013591489768</v>
      </c>
      <c r="H751" t="s">
        <v>29</v>
      </c>
      <c r="I751">
        <f>VLOOKUP(Table4[[#This Row],[Visitor]],'NHL Model'!$A$6:$B$38,2,FALSE)</f>
        <v>-1.3516250707060606</v>
      </c>
      <c r="J751">
        <f ca="1">($B$1+Table4[[#This Row],[Home Differential]])-Table4[[#This Row],[Away Differential]]</f>
        <v>3.0616987395173556</v>
      </c>
      <c r="K751" t="str">
        <f ca="1">IF(Table4[[#This Row],[HomeIce Differential]]&gt;0,Table4[[#This Row],[Home]],Table4[[#This Row],[Visitor]])</f>
        <v>Colorado Avalanche</v>
      </c>
      <c r="L751" s="11">
        <f ca="1"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1</v>
      </c>
      <c r="M751" t="str">
        <f ca="1">IF(OR((NHL2025_26Results[[#This Row],[Winning Team]]="")),"-",IF(Table4[[#This Row],[Predicted Winner]]=NHL2025_26Results[[#This Row],[Winning Team]],"YES","NO"))</f>
        <v>-</v>
      </c>
      <c r="N751" t="str">
        <f ca="1">IF(Table4[[#This Row],[Adjusted Correct]]="-", "",IF(Table4[[#This Row],[Adjusted Correct]]="YES",(Table4[[#This Row],[Strength of Win]]-1)^2,(Table4[[#This Row],[Strength of Win]]-0)^2))</f>
        <v/>
      </c>
      <c r="P751" s="11"/>
    </row>
    <row r="752" spans="4:16" x14ac:dyDescent="0.2">
      <c r="D752" s="1">
        <v>46038</v>
      </c>
      <c r="E752" s="2">
        <v>0.79166666666666663</v>
      </c>
      <c r="F752" t="s">
        <v>26</v>
      </c>
      <c r="G752">
        <f>VLOOKUP(Table4[[#This Row],[Home]],'NHL Model'!$A$6:$B$38,2,FALSE)</f>
        <v>-0.513643833119658</v>
      </c>
      <c r="H752" t="s">
        <v>33</v>
      </c>
      <c r="I752">
        <f>VLOOKUP(Table4[[#This Row],[Visitor]],'NHL Model'!$A$6:$B$38,2,FALSE)</f>
        <v>-0.39418177254008485</v>
      </c>
      <c r="J752">
        <f ca="1">($B$1+Table4[[#This Row],[Home Differential]])-Table4[[#This Row],[Away Differential]]</f>
        <v>4.3110249082745244E-2</v>
      </c>
      <c r="K752" t="str">
        <f ca="1">IF(Table4[[#This Row],[HomeIce Differential]]&gt;0,Table4[[#This Row],[Home]],Table4[[#This Row],[Visitor]])</f>
        <v>Detroit Red Wings</v>
      </c>
      <c r="L752" s="11">
        <f ca="1"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0.5720110343705187</v>
      </c>
      <c r="M752" t="str">
        <f ca="1">IF(OR((NHL2025_26Results[[#This Row],[Winning Team]]="")),"-",IF(Table4[[#This Row],[Predicted Winner]]=NHL2025_26Results[[#This Row],[Winning Team]],"YES","NO"))</f>
        <v>-</v>
      </c>
      <c r="N752" t="str">
        <f ca="1">IF(Table4[[#This Row],[Adjusted Correct]]="-", "",IF(Table4[[#This Row],[Adjusted Correct]]="YES",(Table4[[#This Row],[Strength of Win]]-1)^2,(Table4[[#This Row],[Strength of Win]]-0)^2))</f>
        <v/>
      </c>
      <c r="P752" s="11"/>
    </row>
    <row r="753" spans="4:16" x14ac:dyDescent="0.2">
      <c r="D753" s="1">
        <v>46038</v>
      </c>
      <c r="E753" s="2">
        <v>0.9375</v>
      </c>
      <c r="F753" t="s">
        <v>13</v>
      </c>
      <c r="G753">
        <f>VLOOKUP(Table4[[#This Row],[Home]],'NHL Model'!$A$6:$B$38,2,FALSE)</f>
        <v>-7.5459708298993802E-2</v>
      </c>
      <c r="H753" t="s">
        <v>31</v>
      </c>
      <c r="I753">
        <f>VLOOKUP(Table4[[#This Row],[Visitor]],'NHL Model'!$A$6:$B$38,2,FALSE)</f>
        <v>0.51775546328552802</v>
      </c>
      <c r="J753">
        <f ca="1">($B$1+Table4[[#This Row],[Home Differential]])-Table4[[#This Row],[Away Differential]]</f>
        <v>-0.43064286192220341</v>
      </c>
      <c r="K753" t="str">
        <f ca="1">IF(Table4[[#This Row],[HomeIce Differential]]&gt;0,Table4[[#This Row],[Home]],Table4[[#This Row],[Visitor]])</f>
        <v>Anaheim Ducks</v>
      </c>
      <c r="L753" s="11">
        <f ca="1"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0.54043853041676404</v>
      </c>
      <c r="M753" t="str">
        <f ca="1">IF(OR((NHL2025_26Results[[#This Row],[Winning Team]]="")),"-",IF(Table4[[#This Row],[Predicted Winner]]=NHL2025_26Results[[#This Row],[Winning Team]],"YES","NO"))</f>
        <v>-</v>
      </c>
      <c r="N753" t="str">
        <f ca="1">IF(Table4[[#This Row],[Adjusted Correct]]="-", "",IF(Table4[[#This Row],[Adjusted Correct]]="YES",(Table4[[#This Row],[Strength of Win]]-1)^2,(Table4[[#This Row],[Strength of Win]]-0)^2))</f>
        <v/>
      </c>
      <c r="P753" s="11"/>
    </row>
    <row r="754" spans="4:16" x14ac:dyDescent="0.2">
      <c r="D754" s="1">
        <v>46038</v>
      </c>
      <c r="E754" s="2">
        <v>0.83333333333333337</v>
      </c>
      <c r="F754" t="s">
        <v>35</v>
      </c>
      <c r="G754">
        <f>VLOOKUP(Table4[[#This Row],[Home]],'NHL Model'!$A$6:$B$38,2,FALSE)</f>
        <v>-1.6211574240381006</v>
      </c>
      <c r="H754" t="s">
        <v>37</v>
      </c>
      <c r="I754">
        <f>VLOOKUP(Table4[[#This Row],[Visitor]],'NHL Model'!$A$6:$B$38,2,FALSE)</f>
        <v>-0.11309445867623392</v>
      </c>
      <c r="J754">
        <f ca="1">($B$1+Table4[[#This Row],[Home Differential]])-Table4[[#This Row],[Away Differential]]</f>
        <v>-1.3454906556995483</v>
      </c>
      <c r="K754" t="str">
        <f ca="1">IF(Table4[[#This Row],[HomeIce Differential]]&gt;0,Table4[[#This Row],[Home]],Table4[[#This Row],[Visitor]])</f>
        <v>Tampa Bay Lightning</v>
      </c>
      <c r="L754" s="11">
        <f ca="1"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0.69352877927909573</v>
      </c>
      <c r="M754" t="str">
        <f ca="1">IF(OR((NHL2025_26Results[[#This Row],[Winning Team]]="")),"-",IF(Table4[[#This Row],[Predicted Winner]]=NHL2025_26Results[[#This Row],[Winning Team]],"YES","NO"))</f>
        <v>-</v>
      </c>
      <c r="N754" t="str">
        <f ca="1">IF(Table4[[#This Row],[Adjusted Correct]]="-", "",IF(Table4[[#This Row],[Adjusted Correct]]="YES",(Table4[[#This Row],[Strength of Win]]-1)^2,(Table4[[#This Row],[Strength of Win]]-0)^2))</f>
        <v/>
      </c>
      <c r="P754" s="11"/>
    </row>
    <row r="755" spans="4:16" x14ac:dyDescent="0.2">
      <c r="D755" s="1">
        <v>46039</v>
      </c>
      <c r="E755" s="2">
        <v>0.91666666666666663</v>
      </c>
      <c r="F755" t="s">
        <v>31</v>
      </c>
      <c r="G755">
        <f>VLOOKUP(Table4[[#This Row],[Home]],'NHL Model'!$A$6:$B$38,2,FALSE)</f>
        <v>0.51775546328552802</v>
      </c>
      <c r="H755" t="s">
        <v>13</v>
      </c>
      <c r="I755">
        <f>VLOOKUP(Table4[[#This Row],[Visitor]],'NHL Model'!$A$6:$B$38,2,FALSE)</f>
        <v>-7.5459708298993802E-2</v>
      </c>
      <c r="J755">
        <f ca="1">($B$1+Table4[[#This Row],[Home Differential]])-Table4[[#This Row],[Away Differential]]</f>
        <v>0.75578748124684025</v>
      </c>
      <c r="K755" t="str">
        <f ca="1">IF(Table4[[#This Row],[HomeIce Differential]]&gt;0,Table4[[#This Row],[Home]],Table4[[#This Row],[Visitor]])</f>
        <v>Anaheim Ducks</v>
      </c>
      <c r="L755" s="11">
        <f ca="1"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0.63103669321066314</v>
      </c>
      <c r="M755" t="str">
        <f ca="1">IF(OR((NHL2025_26Results[[#This Row],[Winning Team]]="")),"-",IF(Table4[[#This Row],[Predicted Winner]]=NHL2025_26Results[[#This Row],[Winning Team]],"YES","NO"))</f>
        <v>-</v>
      </c>
      <c r="N755" t="str">
        <f ca="1">IF(Table4[[#This Row],[Adjusted Correct]]="-", "",IF(Table4[[#This Row],[Adjusted Correct]]="YES",(Table4[[#This Row],[Strength of Win]]-1)^2,(Table4[[#This Row],[Strength of Win]]-0)^2))</f>
        <v/>
      </c>
      <c r="P755" s="11"/>
    </row>
    <row r="756" spans="4:16" x14ac:dyDescent="0.2">
      <c r="D756" s="1">
        <v>46039</v>
      </c>
      <c r="E756" s="2">
        <v>0.52083333333333337</v>
      </c>
      <c r="F756" t="s">
        <v>23</v>
      </c>
      <c r="G756">
        <f>VLOOKUP(Table4[[#This Row],[Home]],'NHL Model'!$A$6:$B$38,2,FALSE)</f>
        <v>-0.8683412362501769</v>
      </c>
      <c r="H756" t="s">
        <v>34</v>
      </c>
      <c r="I756">
        <f>VLOOKUP(Table4[[#This Row],[Visitor]],'NHL Model'!$A$6:$B$38,2,FALSE)</f>
        <v>-0.53650300840565446</v>
      </c>
      <c r="J756">
        <f ca="1">($B$1+Table4[[#This Row],[Home Differential]])-Table4[[#This Row],[Away Differential]]</f>
        <v>-0.16926591818220404</v>
      </c>
      <c r="K756" t="str">
        <f ca="1">IF(Table4[[#This Row],[HomeIce Differential]]&gt;0,Table4[[#This Row],[Home]],Table4[[#This Row],[Visitor]])</f>
        <v>Minnesota Wild</v>
      </c>
      <c r="L756" s="11">
        <f ca="1"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0.48345325949917495</v>
      </c>
      <c r="M756" t="str">
        <f ca="1">IF(OR((NHL2025_26Results[[#This Row],[Winning Team]]="")),"-",IF(Table4[[#This Row],[Predicted Winner]]=NHL2025_26Results[[#This Row],[Winning Team]],"YES","NO"))</f>
        <v>-</v>
      </c>
      <c r="N756" t="str">
        <f ca="1">IF(Table4[[#This Row],[Adjusted Correct]]="-", "",IF(Table4[[#This Row],[Adjusted Correct]]="YES",(Table4[[#This Row],[Strength of Win]]-1)^2,(Table4[[#This Row],[Strength of Win]]-0)^2))</f>
        <v/>
      </c>
      <c r="P756" s="11"/>
    </row>
    <row r="757" spans="4:16" x14ac:dyDescent="0.2">
      <c r="D757" s="1">
        <v>46039</v>
      </c>
      <c r="E757" s="2">
        <v>0.625</v>
      </c>
      <c r="F757" t="s">
        <v>16</v>
      </c>
      <c r="G757">
        <f>VLOOKUP(Table4[[#This Row],[Home]],'NHL Model'!$A$6:$B$38,2,FALSE)</f>
        <v>-1.3903684122795328</v>
      </c>
      <c r="H757" t="s">
        <v>30</v>
      </c>
      <c r="I757">
        <f>VLOOKUP(Table4[[#This Row],[Visitor]],'NHL Model'!$A$6:$B$38,2,FALSE)</f>
        <v>-6.4729560818359025E-2</v>
      </c>
      <c r="J757">
        <f ca="1">($B$1+Table4[[#This Row],[Home Differential]])-Table4[[#This Row],[Away Differential]]</f>
        <v>-1.1630665417988553</v>
      </c>
      <c r="K757" t="str">
        <f ca="1">IF(Table4[[#This Row],[HomeIce Differential]]&gt;0,Table4[[#This Row],[Home]],Table4[[#This Row],[Visitor]])</f>
        <v>New York Islanders</v>
      </c>
      <c r="L757" s="11">
        <f ca="1"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0.66366550909268152</v>
      </c>
      <c r="M757" t="str">
        <f ca="1">IF(OR((NHL2025_26Results[[#This Row],[Winning Team]]="")),"-",IF(Table4[[#This Row],[Predicted Winner]]=NHL2025_26Results[[#This Row],[Winning Team]],"YES","NO"))</f>
        <v>-</v>
      </c>
      <c r="N757" t="str">
        <f ca="1">IF(Table4[[#This Row],[Adjusted Correct]]="-", "",IF(Table4[[#This Row],[Adjusted Correct]]="YES",(Table4[[#This Row],[Strength of Win]]-1)^2,(Table4[[#This Row],[Strength of Win]]-0)^2))</f>
        <v/>
      </c>
      <c r="P757" s="11"/>
    </row>
    <row r="758" spans="4:16" x14ac:dyDescent="0.2">
      <c r="D758" s="1">
        <v>46039</v>
      </c>
      <c r="E758" s="2">
        <v>0.83333333333333337</v>
      </c>
      <c r="F758" t="s">
        <v>10</v>
      </c>
      <c r="G758">
        <f>VLOOKUP(Table4[[#This Row],[Home]],'NHL Model'!$A$6:$B$38,2,FALSE)</f>
        <v>0.30570968833820172</v>
      </c>
      <c r="H758" t="s">
        <v>21</v>
      </c>
      <c r="I758">
        <f>VLOOKUP(Table4[[#This Row],[Visitor]],'NHL Model'!$A$6:$B$38,2,FALSE)</f>
        <v>4.029141914856392E-2</v>
      </c>
      <c r="J758">
        <f ca="1">($B$1+Table4[[#This Row],[Home Differential]])-Table4[[#This Row],[Away Differential]]</f>
        <v>0.42799057885195618</v>
      </c>
      <c r="K758" t="str">
        <f ca="1">IF(Table4[[#This Row],[HomeIce Differential]]&gt;0,Table4[[#This Row],[Home]],Table4[[#This Row],[Visitor]])</f>
        <v>Chicago Blackhawks</v>
      </c>
      <c r="L758" s="11">
        <f ca="1"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0.59930180284853318</v>
      </c>
      <c r="M758" t="str">
        <f ca="1">IF(OR((NHL2025_26Results[[#This Row],[Winning Team]]="")),"-",IF(Table4[[#This Row],[Predicted Winner]]=NHL2025_26Results[[#This Row],[Winning Team]],"YES","NO"))</f>
        <v>-</v>
      </c>
      <c r="N758" t="str">
        <f ca="1">IF(Table4[[#This Row],[Adjusted Correct]]="-", "",IF(Table4[[#This Row],[Adjusted Correct]]="YES",(Table4[[#This Row],[Strength of Win]]-1)^2,(Table4[[#This Row],[Strength of Win]]-0)^2))</f>
        <v/>
      </c>
      <c r="P758" s="11"/>
    </row>
    <row r="759" spans="4:16" x14ac:dyDescent="0.2">
      <c r="D759" s="1">
        <v>46039</v>
      </c>
      <c r="E759" s="2">
        <v>0.79166666666666663</v>
      </c>
      <c r="F759" t="s">
        <v>24</v>
      </c>
      <c r="G759">
        <f>VLOOKUP(Table4[[#This Row],[Home]],'NHL Model'!$A$6:$B$38,2,FALSE)</f>
        <v>0.559441163373953</v>
      </c>
      <c r="H759" t="s">
        <v>25</v>
      </c>
      <c r="I759">
        <f>VLOOKUP(Table4[[#This Row],[Visitor]],'NHL Model'!$A$6:$B$38,2,FALSE)</f>
        <v>0.67193921242367816</v>
      </c>
      <c r="J759">
        <f ca="1">($B$1+Table4[[#This Row],[Home Differential]])-Table4[[#This Row],[Away Differential]]</f>
        <v>5.0074260612593235E-2</v>
      </c>
      <c r="K759" t="str">
        <f ca="1">IF(Table4[[#This Row],[HomeIce Differential]]&gt;0,Table4[[#This Row],[Home]],Table4[[#This Row],[Visitor]])</f>
        <v>New Jersey Devils</v>
      </c>
      <c r="L759" s="11">
        <f ca="1"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0.57450579022330805</v>
      </c>
      <c r="M759" t="str">
        <f ca="1">IF(OR((NHL2025_26Results[[#This Row],[Winning Team]]="")),"-",IF(Table4[[#This Row],[Predicted Winner]]=NHL2025_26Results[[#This Row],[Winning Team]],"YES","NO"))</f>
        <v>-</v>
      </c>
      <c r="N759" t="str">
        <f ca="1">IF(Table4[[#This Row],[Adjusted Correct]]="-", "",IF(Table4[[#This Row],[Adjusted Correct]]="YES",(Table4[[#This Row],[Strength of Win]]-1)^2,(Table4[[#This Row],[Strength of Win]]-0)^2))</f>
        <v/>
      </c>
      <c r="P759" s="11"/>
    </row>
    <row r="760" spans="4:16" x14ac:dyDescent="0.2">
      <c r="D760" s="1">
        <v>46039</v>
      </c>
      <c r="E760" s="2">
        <v>0.79166666666666663</v>
      </c>
      <c r="F760" t="s">
        <v>36</v>
      </c>
      <c r="G760">
        <f>VLOOKUP(Table4[[#This Row],[Home]],'NHL Model'!$A$6:$B$38,2,FALSE)</f>
        <v>-0.40651947573390851</v>
      </c>
      <c r="H760" t="s">
        <v>18</v>
      </c>
      <c r="I760">
        <f>VLOOKUP(Table4[[#This Row],[Visitor]],'NHL Model'!$A$6:$B$38,2,FALSE)</f>
        <v>-0.52437726201848234</v>
      </c>
      <c r="J760">
        <f ca="1">($B$1+Table4[[#This Row],[Home Differential]])-Table4[[#This Row],[Away Differential]]</f>
        <v>0.28043009594689222</v>
      </c>
      <c r="K760" t="str">
        <f ca="1">IF(Table4[[#This Row],[HomeIce Differential]]&gt;0,Table4[[#This Row],[Home]],Table4[[#This Row],[Visitor]])</f>
        <v>Ottawa Senators</v>
      </c>
      <c r="L760" s="11">
        <f ca="1"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0.50487543694056369</v>
      </c>
      <c r="M760" t="str">
        <f ca="1">IF(OR((NHL2025_26Results[[#This Row],[Winning Team]]="")),"-",IF(Table4[[#This Row],[Predicted Winner]]=NHL2025_26Results[[#This Row],[Winning Team]],"YES","NO"))</f>
        <v>-</v>
      </c>
      <c r="N760" t="str">
        <f ca="1">IF(Table4[[#This Row],[Adjusted Correct]]="-", "",IF(Table4[[#This Row],[Adjusted Correct]]="YES",(Table4[[#This Row],[Strength of Win]]-1)^2,(Table4[[#This Row],[Strength of Win]]-0)^2))</f>
        <v/>
      </c>
      <c r="P760" s="11"/>
    </row>
    <row r="761" spans="4:16" x14ac:dyDescent="0.2">
      <c r="D761" s="1">
        <v>46039</v>
      </c>
      <c r="E761" s="2">
        <v>0.54166666666666663</v>
      </c>
      <c r="F761" t="s">
        <v>27</v>
      </c>
      <c r="G761">
        <f>VLOOKUP(Table4[[#This Row],[Home]],'NHL Model'!$A$6:$B$38,2,FALSE)</f>
        <v>-0.51358590497437617</v>
      </c>
      <c r="H761" t="s">
        <v>15</v>
      </c>
      <c r="I761">
        <f>VLOOKUP(Table4[[#This Row],[Visitor]],'NHL Model'!$A$6:$B$38,2,FALSE)</f>
        <v>-0.30719665303039001</v>
      </c>
      <c r="J761">
        <f ca="1">($B$1+Table4[[#This Row],[Home Differential]])-Table4[[#This Row],[Away Differential]]</f>
        <v>-4.381694228166777E-2</v>
      </c>
      <c r="K761" t="str">
        <f ca="1">IF(Table4[[#This Row],[HomeIce Differential]]&gt;0,Table4[[#This Row],[Home]],Table4[[#This Row],[Visitor]])</f>
        <v>New York Rangers</v>
      </c>
      <c r="L761" s="11">
        <f ca="1"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0.60607121698702582</v>
      </c>
      <c r="M761" t="str">
        <f ca="1">IF(OR((NHL2025_26Results[[#This Row],[Winning Team]]="")),"-",IF(Table4[[#This Row],[Predicted Winner]]=NHL2025_26Results[[#This Row],[Winning Team]],"YES","NO"))</f>
        <v>-</v>
      </c>
      <c r="N761" t="str">
        <f ca="1">IF(Table4[[#This Row],[Adjusted Correct]]="-", "",IF(Table4[[#This Row],[Adjusted Correct]]="YES",(Table4[[#This Row],[Strength of Win]]-1)^2,(Table4[[#This Row],[Strength of Win]]-0)^2))</f>
        <v/>
      </c>
      <c r="P761" s="11"/>
    </row>
    <row r="762" spans="4:16" x14ac:dyDescent="0.2">
      <c r="D762" s="1">
        <v>46039</v>
      </c>
      <c r="E762" s="2">
        <v>0.79166666666666663</v>
      </c>
      <c r="F762" t="s">
        <v>14</v>
      </c>
      <c r="G762">
        <f>VLOOKUP(Table4[[#This Row],[Home]],'NHL Model'!$A$6:$B$38,2,FALSE)</f>
        <v>0.26289091192875702</v>
      </c>
      <c r="H762" t="s">
        <v>28</v>
      </c>
      <c r="I762">
        <f>VLOOKUP(Table4[[#This Row],[Visitor]],'NHL Model'!$A$6:$B$38,2,FALSE)</f>
        <v>-0.40822279081308277</v>
      </c>
      <c r="J762">
        <f ca="1">($B$1+Table4[[#This Row],[Home Differential]])-Table4[[#This Row],[Away Differential]]</f>
        <v>0.83368601240415818</v>
      </c>
      <c r="K762" t="str">
        <f ca="1">IF(Table4[[#This Row],[HomeIce Differential]]&gt;0,Table4[[#This Row],[Home]],Table4[[#This Row],[Visitor]])</f>
        <v>Pittsburgh Penguins</v>
      </c>
      <c r="L762" s="11">
        <f ca="1"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0.67106997570421123</v>
      </c>
      <c r="M762" t="str">
        <f ca="1">IF(OR((NHL2025_26Results[[#This Row],[Winning Team]]="")),"-",IF(Table4[[#This Row],[Predicted Winner]]=NHL2025_26Results[[#This Row],[Winning Team]],"YES","NO"))</f>
        <v>-</v>
      </c>
      <c r="N762" t="str">
        <f ca="1">IF(Table4[[#This Row],[Adjusted Correct]]="-", "",IF(Table4[[#This Row],[Adjusted Correct]]="YES",(Table4[[#This Row],[Strength of Win]]-1)^2,(Table4[[#This Row],[Strength of Win]]-0)^2))</f>
        <v/>
      </c>
      <c r="P762" s="11"/>
    </row>
    <row r="763" spans="4:16" x14ac:dyDescent="0.2">
      <c r="D763" s="1">
        <v>46039</v>
      </c>
      <c r="E763" s="2">
        <v>0.70833333333333337</v>
      </c>
      <c r="F763" t="s">
        <v>55</v>
      </c>
      <c r="G763">
        <f>VLOOKUP(Table4[[#This Row],[Home]],'NHL Model'!$A$6:$B$38,2,FALSE)</f>
        <v>-0.12212311954851815</v>
      </c>
      <c r="H763" t="s">
        <v>32</v>
      </c>
      <c r="I763">
        <f>VLOOKUP(Table4[[#This Row],[Visitor]],'NHL Model'!$A$6:$B$38,2,FALSE)</f>
        <v>-0.361361309178443</v>
      </c>
      <c r="J763">
        <f ca="1">($B$1+Table4[[#This Row],[Home Differential]])-Table4[[#This Row],[Away Differential]]</f>
        <v>0.40181049929224322</v>
      </c>
      <c r="K763" t="str">
        <f ca="1">IF(Table4[[#This Row],[HomeIce Differential]]&gt;0,Table4[[#This Row],[Home]],Table4[[#This Row],[Visitor]])</f>
        <v>Utah Mammoth</v>
      </c>
      <c r="L763" s="11">
        <f ca="1"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0.66394683208171279</v>
      </c>
      <c r="M763" t="str">
        <f ca="1">IF(OR((NHL2025_26Results[[#This Row],[Winning Team]]="")),"-",IF(Table4[[#This Row],[Predicted Winner]]=NHL2025_26Results[[#This Row],[Winning Team]],"YES","NO"))</f>
        <v>-</v>
      </c>
      <c r="N763" t="str">
        <f ca="1">IF(Table4[[#This Row],[Adjusted Correct]]="-", "",IF(Table4[[#This Row],[Adjusted Correct]]="YES",(Table4[[#This Row],[Strength of Win]]-1)^2,(Table4[[#This Row],[Strength of Win]]-0)^2))</f>
        <v/>
      </c>
      <c r="P763" s="11"/>
    </row>
    <row r="764" spans="4:16" x14ac:dyDescent="0.2">
      <c r="D764" s="1">
        <v>46039</v>
      </c>
      <c r="E764" s="2">
        <v>0.91666666666666663</v>
      </c>
      <c r="F764" t="s">
        <v>38</v>
      </c>
      <c r="G764">
        <f>VLOOKUP(Table4[[#This Row],[Home]],'NHL Model'!$A$6:$B$38,2,FALSE)</f>
        <v>-0.6902088310934803</v>
      </c>
      <c r="H764" t="s">
        <v>17</v>
      </c>
      <c r="I764">
        <f>VLOOKUP(Table4[[#This Row],[Visitor]],'NHL Model'!$A$6:$B$38,2,FALSE)</f>
        <v>-0.61980804137564283</v>
      </c>
      <c r="J764">
        <f ca="1">($B$1+Table4[[#This Row],[Home Differential]])-Table4[[#This Row],[Away Differential]]</f>
        <v>9.2171519944480917E-2</v>
      </c>
      <c r="K764" t="str">
        <f ca="1">IF(Table4[[#This Row],[HomeIce Differential]]&gt;0,Table4[[#This Row],[Home]],Table4[[#This Row],[Visitor]])</f>
        <v>Vancouver Canucks</v>
      </c>
      <c r="L764" s="11">
        <f ca="1"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0.55277116267058757</v>
      </c>
      <c r="M764" t="str">
        <f ca="1">IF(OR((NHL2025_26Results[[#This Row],[Winning Team]]="")),"-",IF(Table4[[#This Row],[Predicted Winner]]=NHL2025_26Results[[#This Row],[Winning Team]],"YES","NO"))</f>
        <v>-</v>
      </c>
      <c r="N764" t="str">
        <f ca="1">IF(Table4[[#This Row],[Adjusted Correct]]="-", "",IF(Table4[[#This Row],[Adjusted Correct]]="YES",(Table4[[#This Row],[Strength of Win]]-1)^2,(Table4[[#This Row],[Strength of Win]]-0)^2))</f>
        <v/>
      </c>
      <c r="P764" s="11"/>
    </row>
    <row r="765" spans="4:16" x14ac:dyDescent="0.2">
      <c r="D765" s="1">
        <v>46039</v>
      </c>
      <c r="E765" s="2">
        <v>0.91666666666666663</v>
      </c>
      <c r="F765" t="s">
        <v>20</v>
      </c>
      <c r="G765">
        <f>VLOOKUP(Table4[[#This Row],[Home]],'NHL Model'!$A$6:$B$38,2,FALSE)</f>
        <v>-6.3745791019188943E-4</v>
      </c>
      <c r="H765" t="s">
        <v>29</v>
      </c>
      <c r="I765">
        <f>VLOOKUP(Table4[[#This Row],[Visitor]],'NHL Model'!$A$6:$B$38,2,FALSE)</f>
        <v>-1.3516250707060606</v>
      </c>
      <c r="J765">
        <f ca="1">($B$1+Table4[[#This Row],[Home Differential]])-Table4[[#This Row],[Away Differential]]</f>
        <v>1.513559922458187</v>
      </c>
      <c r="K765" t="str">
        <f ca="1">IF(Table4[[#This Row],[HomeIce Differential]]&gt;0,Table4[[#This Row],[Home]],Table4[[#This Row],[Visitor]])</f>
        <v>Vegas Golden Knights</v>
      </c>
      <c r="L765" s="11">
        <f ca="1"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0.74971684087491064</v>
      </c>
      <c r="M765" t="str">
        <f ca="1">IF(OR((NHL2025_26Results[[#This Row],[Winning Team]]="")),"-",IF(Table4[[#This Row],[Predicted Winner]]=NHL2025_26Results[[#This Row],[Winning Team]],"YES","NO"))</f>
        <v>-</v>
      </c>
      <c r="N765" t="str">
        <f ca="1">IF(Table4[[#This Row],[Adjusted Correct]]="-", "",IF(Table4[[#This Row],[Adjusted Correct]]="YES",(Table4[[#This Row],[Strength of Win]]-1)^2,(Table4[[#This Row],[Strength of Win]]-0)^2))</f>
        <v/>
      </c>
      <c r="P765" s="11"/>
    </row>
    <row r="766" spans="4:16" x14ac:dyDescent="0.2">
      <c r="D766" s="1">
        <v>46039</v>
      </c>
      <c r="E766" s="2">
        <v>0.79166666666666663</v>
      </c>
      <c r="F766" t="s">
        <v>40</v>
      </c>
      <c r="G766">
        <f>VLOOKUP(Table4[[#This Row],[Home]],'NHL Model'!$A$6:$B$38,2,FALSE)</f>
        <v>0.105105258369765</v>
      </c>
      <c r="H766" t="s">
        <v>19</v>
      </c>
      <c r="I766">
        <f>VLOOKUP(Table4[[#This Row],[Visitor]],'NHL Model'!$A$6:$B$38,2,FALSE)</f>
        <v>-0.635565543477981</v>
      </c>
      <c r="J766">
        <f ca="1">($B$1+Table4[[#This Row],[Home Differential]])-Table4[[#This Row],[Away Differential]]</f>
        <v>0.90324311151006442</v>
      </c>
      <c r="K766" t="str">
        <f ca="1">IF(Table4[[#This Row],[HomeIce Differential]]&gt;0,Table4[[#This Row],[Home]],Table4[[#This Row],[Visitor]])</f>
        <v>Winnipeg Jets</v>
      </c>
      <c r="L766" s="11">
        <f ca="1"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0.70118902523814408</v>
      </c>
      <c r="M766" t="str">
        <f ca="1">IF(OR((NHL2025_26Results[[#This Row],[Winning Team]]="")),"-",IF(Table4[[#This Row],[Predicted Winner]]=NHL2025_26Results[[#This Row],[Winning Team]],"YES","NO"))</f>
        <v>-</v>
      </c>
      <c r="N766" t="str">
        <f ca="1">IF(Table4[[#This Row],[Adjusted Correct]]="-", "",IF(Table4[[#This Row],[Adjusted Correct]]="YES",(Table4[[#This Row],[Strength of Win]]-1)^2,(Table4[[#This Row],[Strength of Win]]-0)^2))</f>
        <v/>
      </c>
      <c r="P766" s="11"/>
    </row>
    <row r="767" spans="4:16" x14ac:dyDescent="0.2">
      <c r="D767" s="1">
        <v>46039</v>
      </c>
      <c r="E767" s="2">
        <v>0.79166666666666663</v>
      </c>
      <c r="F767" t="s">
        <v>22</v>
      </c>
      <c r="G767">
        <f>VLOOKUP(Table4[[#This Row],[Home]],'NHL Model'!$A$6:$B$38,2,FALSE)</f>
        <v>-6.1308839486784707E-2</v>
      </c>
      <c r="H767" t="s">
        <v>11</v>
      </c>
      <c r="I767">
        <f>VLOOKUP(Table4[[#This Row],[Visitor]],'NHL Model'!$A$6:$B$38,2,FALSE)</f>
        <v>-0.28105923893144158</v>
      </c>
      <c r="J767">
        <f ca="1">($B$1+Table4[[#This Row],[Home Differential]])-Table4[[#This Row],[Away Differential]]</f>
        <v>0.3823227091069753</v>
      </c>
      <c r="K767" t="str">
        <f ca="1">IF(Table4[[#This Row],[HomeIce Differential]]&gt;0,Table4[[#This Row],[Home]],Table4[[#This Row],[Visitor]])</f>
        <v>Washington Capitals</v>
      </c>
      <c r="L767" s="11">
        <f ca="1"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0.59297412382486447</v>
      </c>
      <c r="M767" t="str">
        <f ca="1">IF(OR((NHL2025_26Results[[#This Row],[Winning Team]]="")),"-",IF(Table4[[#This Row],[Predicted Winner]]=NHL2025_26Results[[#This Row],[Winning Team]],"YES","NO"))</f>
        <v>-</v>
      </c>
      <c r="N767" t="str">
        <f ca="1">IF(Table4[[#This Row],[Adjusted Correct]]="-", "",IF(Table4[[#This Row],[Adjusted Correct]]="YES",(Table4[[#This Row],[Strength of Win]]-1)^2,(Table4[[#This Row],[Strength of Win]]-0)^2))</f>
        <v/>
      </c>
      <c r="P767" s="11"/>
    </row>
    <row r="768" spans="4:16" x14ac:dyDescent="0.2">
      <c r="D768" s="1">
        <v>46040</v>
      </c>
      <c r="E768" s="2">
        <v>0.58333333333333337</v>
      </c>
      <c r="F768" t="s">
        <v>39</v>
      </c>
      <c r="G768">
        <f>VLOOKUP(Table4[[#This Row],[Home]],'NHL Model'!$A$6:$B$38,2,FALSE)</f>
        <v>0.19809534061227302</v>
      </c>
      <c r="H768" t="s">
        <v>37</v>
      </c>
      <c r="I768">
        <f>VLOOKUP(Table4[[#This Row],[Visitor]],'NHL Model'!$A$6:$B$38,2,FALSE)</f>
        <v>-0.11309445867623392</v>
      </c>
      <c r="J768">
        <f ca="1">($B$1+Table4[[#This Row],[Home Differential]])-Table4[[#This Row],[Away Differential]]</f>
        <v>0.47376210895082532</v>
      </c>
      <c r="K768" t="str">
        <f ca="1">IF(Table4[[#This Row],[HomeIce Differential]]&gt;0,Table4[[#This Row],[Home]],Table4[[#This Row],[Visitor]])</f>
        <v>Dallas Stars</v>
      </c>
      <c r="L768" s="11">
        <f ca="1"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0.58487461414312492</v>
      </c>
      <c r="M768" t="str">
        <f ca="1">IF(OR((NHL2025_26Results[[#This Row],[Winning Team]]="")),"-",IF(Table4[[#This Row],[Predicted Winner]]=NHL2025_26Results[[#This Row],[Winning Team]],"YES","NO"))</f>
        <v>-</v>
      </c>
      <c r="N768" t="str">
        <f ca="1">IF(Table4[[#This Row],[Adjusted Correct]]="-", "",IF(Table4[[#This Row],[Adjusted Correct]]="YES",(Table4[[#This Row],[Strength of Win]]-1)^2,(Table4[[#This Row],[Strength of Win]]-0)^2))</f>
        <v/>
      </c>
      <c r="P768" s="11"/>
    </row>
    <row r="769" spans="4:16" x14ac:dyDescent="0.2">
      <c r="D769" s="1">
        <v>46040</v>
      </c>
      <c r="E769" s="2">
        <v>0.70833333333333337</v>
      </c>
      <c r="F769" t="s">
        <v>26</v>
      </c>
      <c r="G769">
        <f>VLOOKUP(Table4[[#This Row],[Home]],'NHL Model'!$A$6:$B$38,2,FALSE)</f>
        <v>-0.513643833119658</v>
      </c>
      <c r="H769" t="s">
        <v>36</v>
      </c>
      <c r="I769">
        <f>VLOOKUP(Table4[[#This Row],[Visitor]],'NHL Model'!$A$6:$B$38,2,FALSE)</f>
        <v>-0.40651947573390851</v>
      </c>
      <c r="J769">
        <f ca="1">($B$1+Table4[[#This Row],[Home Differential]])-Table4[[#This Row],[Away Differential]]</f>
        <v>5.5447952276568901E-2</v>
      </c>
      <c r="K769" t="str">
        <f ca="1">IF(Table4[[#This Row],[HomeIce Differential]]&gt;0,Table4[[#This Row],[Home]],Table4[[#This Row],[Visitor]])</f>
        <v>Detroit Red Wings</v>
      </c>
      <c r="L769" s="11">
        <f ca="1"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0.57372053004298518</v>
      </c>
      <c r="M769" t="str">
        <f ca="1">IF(OR((NHL2025_26Results[[#This Row],[Winning Team]]="")),"-",IF(Table4[[#This Row],[Predicted Winner]]=NHL2025_26Results[[#This Row],[Winning Team]],"YES","NO"))</f>
        <v>-</v>
      </c>
      <c r="N769" t="str">
        <f ca="1">IF(Table4[[#This Row],[Adjusted Correct]]="-", "",IF(Table4[[#This Row],[Adjusted Correct]]="YES",(Table4[[#This Row],[Strength of Win]]-1)^2,(Table4[[#This Row],[Strength of Win]]-0)^2))</f>
        <v/>
      </c>
      <c r="P769" s="11"/>
    </row>
    <row r="770" spans="4:16" x14ac:dyDescent="0.2">
      <c r="D770" s="1">
        <v>46040</v>
      </c>
      <c r="E770" s="2">
        <v>0.83333333333333337</v>
      </c>
      <c r="F770" t="s">
        <v>17</v>
      </c>
      <c r="G770">
        <f>VLOOKUP(Table4[[#This Row],[Home]],'NHL Model'!$A$6:$B$38,2,FALSE)</f>
        <v>-0.61980804137564283</v>
      </c>
      <c r="H770" t="s">
        <v>35</v>
      </c>
      <c r="I770">
        <f>VLOOKUP(Table4[[#This Row],[Visitor]],'NHL Model'!$A$6:$B$38,2,FALSE)</f>
        <v>-1.6211574240381006</v>
      </c>
      <c r="J770">
        <f ca="1">($B$1+Table4[[#This Row],[Home Differential]])-Table4[[#This Row],[Away Differential]]</f>
        <v>1.1639216923247762</v>
      </c>
      <c r="K770" t="str">
        <f ca="1">IF(Table4[[#This Row],[HomeIce Differential]]&gt;0,Table4[[#This Row],[Home]],Table4[[#This Row],[Visitor]])</f>
        <v>Edmonton Oilers</v>
      </c>
      <c r="L770" s="11">
        <f ca="1"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0.7373083011525251</v>
      </c>
      <c r="M770" t="str">
        <f ca="1">IF(OR((NHL2025_26Results[[#This Row],[Winning Team]]="")),"-",IF(Table4[[#This Row],[Predicted Winner]]=NHL2025_26Results[[#This Row],[Winning Team]],"YES","NO"))</f>
        <v>-</v>
      </c>
      <c r="N770" t="str">
        <f ca="1">IF(Table4[[#This Row],[Adjusted Correct]]="-", "",IF(Table4[[#This Row],[Adjusted Correct]]="YES",(Table4[[#This Row],[Strength of Win]]-1)^2,(Table4[[#This Row],[Strength of Win]]-0)^2))</f>
        <v/>
      </c>
      <c r="P770" s="11"/>
    </row>
    <row r="771" spans="4:16" x14ac:dyDescent="0.2">
      <c r="D771" s="1">
        <v>46041</v>
      </c>
      <c r="E771" s="2">
        <v>0.91666666666666663</v>
      </c>
      <c r="F771" t="s">
        <v>31</v>
      </c>
      <c r="G771">
        <f>VLOOKUP(Table4[[#This Row],[Home]],'NHL Model'!$A$6:$B$38,2,FALSE)</f>
        <v>0.51775546328552802</v>
      </c>
      <c r="H771" t="s">
        <v>15</v>
      </c>
      <c r="I771">
        <f>VLOOKUP(Table4[[#This Row],[Visitor]],'NHL Model'!$A$6:$B$38,2,FALSE)</f>
        <v>-0.30719665303039001</v>
      </c>
      <c r="J771">
        <f ca="1">($B$1+Table4[[#This Row],[Home Differential]])-Table4[[#This Row],[Away Differential]]</f>
        <v>0.98752442597823642</v>
      </c>
      <c r="K771" t="str">
        <f ca="1">IF(Table4[[#This Row],[HomeIce Differential]]&gt;0,Table4[[#This Row],[Home]],Table4[[#This Row],[Visitor]])</f>
        <v>Anaheim Ducks</v>
      </c>
      <c r="L771" s="11">
        <f ca="1"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0.64141722118239985</v>
      </c>
      <c r="M771" t="str">
        <f ca="1">IF(OR((NHL2025_26Results[[#This Row],[Winning Team]]="")),"-",IF(Table4[[#This Row],[Predicted Winner]]=NHL2025_26Results[[#This Row],[Winning Team]],"YES","NO"))</f>
        <v>-</v>
      </c>
      <c r="N771" t="str">
        <f ca="1">IF(Table4[[#This Row],[Adjusted Correct]]="-", "",IF(Table4[[#This Row],[Adjusted Correct]]="YES",(Table4[[#This Row],[Strength of Win]]-1)^2,(Table4[[#This Row],[Strength of Win]]-0)^2))</f>
        <v/>
      </c>
      <c r="P771" s="11"/>
    </row>
    <row r="772" spans="4:16" x14ac:dyDescent="0.2">
      <c r="D772" s="1">
        <v>46041</v>
      </c>
      <c r="E772" s="2">
        <v>0.5625</v>
      </c>
      <c r="F772" t="s">
        <v>25</v>
      </c>
      <c r="G772">
        <f>VLOOKUP(Table4[[#This Row],[Home]],'NHL Model'!$A$6:$B$38,2,FALSE)</f>
        <v>0.67193921242367816</v>
      </c>
      <c r="H772" t="s">
        <v>23</v>
      </c>
      <c r="I772">
        <f>VLOOKUP(Table4[[#This Row],[Visitor]],'NHL Model'!$A$6:$B$38,2,FALSE)</f>
        <v>-0.8683412362501769</v>
      </c>
      <c r="J772">
        <f ca="1">($B$1+Table4[[#This Row],[Home Differential]])-Table4[[#This Row],[Away Differential]]</f>
        <v>1.7028527583361734</v>
      </c>
      <c r="K772" t="str">
        <f ca="1">IF(Table4[[#This Row],[HomeIce Differential]]&gt;0,Table4[[#This Row],[Home]],Table4[[#This Row],[Visitor]])</f>
        <v>Carolina Hurricanes</v>
      </c>
      <c r="L772" s="11">
        <f ca="1"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0.82766097966720042</v>
      </c>
      <c r="M772" t="str">
        <f ca="1">IF(OR((NHL2025_26Results[[#This Row],[Winning Team]]="")),"-",IF(Table4[[#This Row],[Predicted Winner]]=NHL2025_26Results[[#This Row],[Winning Team]],"YES","NO"))</f>
        <v>-</v>
      </c>
      <c r="N772" t="str">
        <f ca="1">IF(Table4[[#This Row],[Adjusted Correct]]="-", "",IF(Table4[[#This Row],[Adjusted Correct]]="YES",(Table4[[#This Row],[Strength of Win]]-1)^2,(Table4[[#This Row],[Strength of Win]]-0)^2))</f>
        <v/>
      </c>
      <c r="P772" s="11"/>
    </row>
    <row r="773" spans="4:16" x14ac:dyDescent="0.2">
      <c r="D773" s="1">
        <v>46041</v>
      </c>
      <c r="E773" s="2">
        <v>0.875</v>
      </c>
      <c r="F773" t="s">
        <v>16</v>
      </c>
      <c r="G773">
        <f>VLOOKUP(Table4[[#This Row],[Home]],'NHL Model'!$A$6:$B$38,2,FALSE)</f>
        <v>-1.3903684122795328</v>
      </c>
      <c r="H773" t="s">
        <v>24</v>
      </c>
      <c r="I773">
        <f>VLOOKUP(Table4[[#This Row],[Visitor]],'NHL Model'!$A$6:$B$38,2,FALSE)</f>
        <v>0.559441163373953</v>
      </c>
      <c r="J773">
        <f ca="1">($B$1+Table4[[#This Row],[Home Differential]])-Table4[[#This Row],[Away Differential]]</f>
        <v>-1.7872372659911675</v>
      </c>
      <c r="K773" t="str">
        <f ca="1">IF(Table4[[#This Row],[HomeIce Differential]]&gt;0,Table4[[#This Row],[Home]],Table4[[#This Row],[Visitor]])</f>
        <v>New Jersey Devils</v>
      </c>
      <c r="L773" s="11">
        <f ca="1"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0.77395299746003299</v>
      </c>
      <c r="M773" t="str">
        <f ca="1">IF(OR((NHL2025_26Results[[#This Row],[Winning Team]]="")),"-",IF(Table4[[#This Row],[Predicted Winner]]=NHL2025_26Results[[#This Row],[Winning Team]],"YES","NO"))</f>
        <v>-</v>
      </c>
      <c r="N773" t="str">
        <f ca="1">IF(Table4[[#This Row],[Adjusted Correct]]="-", "",IF(Table4[[#This Row],[Adjusted Correct]]="YES",(Table4[[#This Row],[Strength of Win]]-1)^2,(Table4[[#This Row],[Strength of Win]]-0)^2))</f>
        <v/>
      </c>
      <c r="P773" s="11"/>
    </row>
    <row r="774" spans="4:16" x14ac:dyDescent="0.2">
      <c r="D774" s="1">
        <v>46041</v>
      </c>
      <c r="E774" s="2">
        <v>0.85416666666666663</v>
      </c>
      <c r="F774" t="s">
        <v>10</v>
      </c>
      <c r="G774">
        <f>VLOOKUP(Table4[[#This Row],[Home]],'NHL Model'!$A$6:$B$38,2,FALSE)</f>
        <v>0.30570968833820172</v>
      </c>
      <c r="H774" t="s">
        <v>40</v>
      </c>
      <c r="I774">
        <f>VLOOKUP(Table4[[#This Row],[Visitor]],'NHL Model'!$A$6:$B$38,2,FALSE)</f>
        <v>0.105105258369765</v>
      </c>
      <c r="J774">
        <f ca="1">($B$1+Table4[[#This Row],[Home Differential]])-Table4[[#This Row],[Away Differential]]</f>
        <v>0.36317673963075514</v>
      </c>
      <c r="K774" t="str">
        <f ca="1">IF(Table4[[#This Row],[HomeIce Differential]]&gt;0,Table4[[#This Row],[Home]],Table4[[#This Row],[Visitor]])</f>
        <v>Chicago Blackhawks</v>
      </c>
      <c r="L774" s="11">
        <f ca="1"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0.5240054943978607</v>
      </c>
      <c r="M774" t="str">
        <f ca="1">IF(OR((NHL2025_26Results[[#This Row],[Winning Team]]="")),"-",IF(Table4[[#This Row],[Predicted Winner]]=NHL2025_26Results[[#This Row],[Winning Team]],"YES","NO"))</f>
        <v>-</v>
      </c>
      <c r="N774" t="str">
        <f ca="1">IF(Table4[[#This Row],[Adjusted Correct]]="-", "",IF(Table4[[#This Row],[Adjusted Correct]]="YES",(Table4[[#This Row],[Strength of Win]]-1)^2,(Table4[[#This Row],[Strength of Win]]-0)^2))</f>
        <v/>
      </c>
      <c r="P774" s="11"/>
    </row>
    <row r="775" spans="4:16" x14ac:dyDescent="0.2">
      <c r="D775" s="1">
        <v>46041</v>
      </c>
      <c r="E775" s="2">
        <v>0.66666666666666663</v>
      </c>
      <c r="F775" t="s">
        <v>12</v>
      </c>
      <c r="G775">
        <f>VLOOKUP(Table4[[#This Row],[Home]],'NHL Model'!$A$6:$B$38,2,FALSE)</f>
        <v>1.5475013591489768</v>
      </c>
      <c r="H775" t="s">
        <v>22</v>
      </c>
      <c r="I775">
        <f>VLOOKUP(Table4[[#This Row],[Visitor]],'NHL Model'!$A$6:$B$38,2,FALSE)</f>
        <v>-6.1308839486784707E-2</v>
      </c>
      <c r="J775">
        <f ca="1">($B$1+Table4[[#This Row],[Home Differential]])-Table4[[#This Row],[Away Differential]]</f>
        <v>1.7713825082980799</v>
      </c>
      <c r="K775" t="str">
        <f ca="1">IF(Table4[[#This Row],[HomeIce Differential]]&gt;0,Table4[[#This Row],[Home]],Table4[[#This Row],[Visitor]])</f>
        <v>Colorado Avalanche</v>
      </c>
      <c r="L775" s="11">
        <f ca="1"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0.8738066416967698</v>
      </c>
      <c r="M775" t="str">
        <f ca="1">IF(OR((NHL2025_26Results[[#This Row],[Winning Team]]="")),"-",IF(Table4[[#This Row],[Predicted Winner]]=NHL2025_26Results[[#This Row],[Winning Team]],"YES","NO"))</f>
        <v>-</v>
      </c>
      <c r="N775" t="str">
        <f ca="1">IF(Table4[[#This Row],[Adjusted Correct]]="-", "",IF(Table4[[#This Row],[Adjusted Correct]]="YES",(Table4[[#This Row],[Strength of Win]]-1)^2,(Table4[[#This Row],[Strength of Win]]-0)^2))</f>
        <v/>
      </c>
      <c r="P775" s="11"/>
    </row>
    <row r="776" spans="4:16" x14ac:dyDescent="0.2">
      <c r="D776" s="1">
        <v>46041</v>
      </c>
      <c r="E776" s="2">
        <v>0.79166666666666663</v>
      </c>
      <c r="F776" t="s">
        <v>11</v>
      </c>
      <c r="G776">
        <f>VLOOKUP(Table4[[#This Row],[Home]],'NHL Model'!$A$6:$B$38,2,FALSE)</f>
        <v>-0.28105923893144158</v>
      </c>
      <c r="H776" t="s">
        <v>33</v>
      </c>
      <c r="I776">
        <f>VLOOKUP(Table4[[#This Row],[Visitor]],'NHL Model'!$A$6:$B$38,2,FALSE)</f>
        <v>-0.39418177254008485</v>
      </c>
      <c r="J776">
        <f ca="1">($B$1+Table4[[#This Row],[Home Differential]])-Table4[[#This Row],[Away Differential]]</f>
        <v>0.27569484327096166</v>
      </c>
      <c r="K776" t="str">
        <f ca="1">IF(Table4[[#This Row],[HomeIce Differential]]&gt;0,Table4[[#This Row],[Home]],Table4[[#This Row],[Visitor]])</f>
        <v>Florida Panthers</v>
      </c>
      <c r="L776" s="11">
        <f ca="1"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0.62991588551129418</v>
      </c>
      <c r="M776" t="str">
        <f ca="1">IF(OR((NHL2025_26Results[[#This Row],[Winning Team]]="")),"-",IF(Table4[[#This Row],[Predicted Winner]]=NHL2025_26Results[[#This Row],[Winning Team]],"YES","NO"))</f>
        <v>-</v>
      </c>
      <c r="N776" t="str">
        <f ca="1">IF(Table4[[#This Row],[Adjusted Correct]]="-", "",IF(Table4[[#This Row],[Adjusted Correct]]="YES",(Table4[[#This Row],[Strength of Win]]-1)^2,(Table4[[#This Row],[Strength of Win]]-0)^2))</f>
        <v/>
      </c>
      <c r="P776" s="11"/>
    </row>
    <row r="777" spans="4:16" x14ac:dyDescent="0.2">
      <c r="D777" s="1">
        <v>46041</v>
      </c>
      <c r="E777" s="2">
        <v>0.70833333333333337</v>
      </c>
      <c r="F777" t="s">
        <v>32</v>
      </c>
      <c r="G777">
        <f>VLOOKUP(Table4[[#This Row],[Home]],'NHL Model'!$A$6:$B$38,2,FALSE)</f>
        <v>-0.361361309178443</v>
      </c>
      <c r="H777" t="s">
        <v>14</v>
      </c>
      <c r="I777">
        <f>VLOOKUP(Table4[[#This Row],[Visitor]],'NHL Model'!$A$6:$B$38,2,FALSE)</f>
        <v>0.26289091192875702</v>
      </c>
      <c r="J777">
        <f ca="1">($B$1+Table4[[#This Row],[Home Differential]])-Table4[[#This Row],[Away Differential]]</f>
        <v>-0.46167991144488163</v>
      </c>
      <c r="K777" t="str">
        <f ca="1">IF(Table4[[#This Row],[HomeIce Differential]]&gt;0,Table4[[#This Row],[Home]],Table4[[#This Row],[Visitor]])</f>
        <v>Pittsburgh Penguins</v>
      </c>
      <c r="L777" s="11">
        <f ca="1"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0.49793201591761249</v>
      </c>
      <c r="M777" t="str">
        <f ca="1">IF(OR((NHL2025_26Results[[#This Row],[Winning Team]]="")),"-",IF(Table4[[#This Row],[Predicted Winner]]=NHL2025_26Results[[#This Row],[Winning Team]],"YES","NO"))</f>
        <v>-</v>
      </c>
      <c r="N777" t="str">
        <f ca="1">IF(Table4[[#This Row],[Adjusted Correct]]="-", "",IF(Table4[[#This Row],[Adjusted Correct]]="YES",(Table4[[#This Row],[Strength of Win]]-1)^2,(Table4[[#This Row],[Strength of Win]]-0)^2))</f>
        <v/>
      </c>
      <c r="P777" s="11"/>
    </row>
    <row r="778" spans="4:16" x14ac:dyDescent="0.2">
      <c r="D778" s="1">
        <v>46041</v>
      </c>
      <c r="E778" s="2">
        <v>0.8125</v>
      </c>
      <c r="F778" t="s">
        <v>19</v>
      </c>
      <c r="G778">
        <f>VLOOKUP(Table4[[#This Row],[Home]],'NHL Model'!$A$6:$B$38,2,FALSE)</f>
        <v>-0.635565543477981</v>
      </c>
      <c r="H778" t="s">
        <v>34</v>
      </c>
      <c r="I778">
        <f>VLOOKUP(Table4[[#This Row],[Visitor]],'NHL Model'!$A$6:$B$38,2,FALSE)</f>
        <v>-0.53650300840565446</v>
      </c>
      <c r="J778">
        <f ca="1">($B$1+Table4[[#This Row],[Home Differential]])-Table4[[#This Row],[Away Differential]]</f>
        <v>6.3509774589991852E-2</v>
      </c>
      <c r="K778" t="str">
        <f ca="1">IF(Table4[[#This Row],[HomeIce Differential]]&gt;0,Table4[[#This Row],[Home]],Table4[[#This Row],[Visitor]])</f>
        <v>Toronto Maple Leafs</v>
      </c>
      <c r="L778" s="11">
        <f ca="1"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0.54879982952380191</v>
      </c>
      <c r="M778" t="str">
        <f ca="1">IF(OR((NHL2025_26Results[[#This Row],[Winning Team]]="")),"-",IF(Table4[[#This Row],[Predicted Winner]]=NHL2025_26Results[[#This Row],[Winning Team]],"YES","NO"))</f>
        <v>-</v>
      </c>
      <c r="N778" t="str">
        <f ca="1">IF(Table4[[#This Row],[Adjusted Correct]]="-", "",IF(Table4[[#This Row],[Adjusted Correct]]="YES",(Table4[[#This Row],[Strength of Win]]-1)^2,(Table4[[#This Row],[Strength of Win]]-0)^2))</f>
        <v/>
      </c>
      <c r="P778" s="11"/>
    </row>
    <row r="779" spans="4:16" x14ac:dyDescent="0.2">
      <c r="D779" s="1">
        <v>46041</v>
      </c>
      <c r="E779" s="2">
        <v>0.91666666666666663</v>
      </c>
      <c r="F779" t="s">
        <v>38</v>
      </c>
      <c r="G779">
        <f>VLOOKUP(Table4[[#This Row],[Home]],'NHL Model'!$A$6:$B$38,2,FALSE)</f>
        <v>-0.6902088310934803</v>
      </c>
      <c r="H779" t="s">
        <v>30</v>
      </c>
      <c r="I779">
        <f>VLOOKUP(Table4[[#This Row],[Visitor]],'NHL Model'!$A$6:$B$38,2,FALSE)</f>
        <v>-6.4729560818359025E-2</v>
      </c>
      <c r="J779">
        <f ca="1">($B$1+Table4[[#This Row],[Home Differential]])-Table4[[#This Row],[Away Differential]]</f>
        <v>-0.4629069606128029</v>
      </c>
      <c r="K779" t="str">
        <f ca="1">IF(Table4[[#This Row],[HomeIce Differential]]&gt;0,Table4[[#This Row],[Home]],Table4[[#This Row],[Visitor]])</f>
        <v>New York Islanders</v>
      </c>
      <c r="L779" s="11">
        <f ca="1"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0.56665233287421846</v>
      </c>
      <c r="M779" t="str">
        <f ca="1">IF(OR((NHL2025_26Results[[#This Row],[Winning Team]]="")),"-",IF(Table4[[#This Row],[Predicted Winner]]=NHL2025_26Results[[#This Row],[Winning Team]],"YES","NO"))</f>
        <v>-</v>
      </c>
      <c r="N779" t="str">
        <f ca="1">IF(Table4[[#This Row],[Adjusted Correct]]="-", "",IF(Table4[[#This Row],[Adjusted Correct]]="YES",(Table4[[#This Row],[Strength of Win]]-1)^2,(Table4[[#This Row],[Strength of Win]]-0)^2))</f>
        <v/>
      </c>
      <c r="P779" s="11"/>
    </row>
    <row r="780" spans="4:16" x14ac:dyDescent="0.2">
      <c r="D780" s="1">
        <v>46041</v>
      </c>
      <c r="E780" s="2">
        <v>0.83333333333333337</v>
      </c>
      <c r="F780" t="s">
        <v>20</v>
      </c>
      <c r="G780">
        <f>VLOOKUP(Table4[[#This Row],[Home]],'NHL Model'!$A$6:$B$38,2,FALSE)</f>
        <v>-6.3745791019188943E-4</v>
      </c>
      <c r="H780" t="s">
        <v>27</v>
      </c>
      <c r="I780">
        <f>VLOOKUP(Table4[[#This Row],[Visitor]],'NHL Model'!$A$6:$B$38,2,FALSE)</f>
        <v>-0.51358590497437617</v>
      </c>
      <c r="J780">
        <f ca="1">($B$1+Table4[[#This Row],[Home Differential]])-Table4[[#This Row],[Away Differential]]</f>
        <v>0.67552075672650269</v>
      </c>
      <c r="K780" t="str">
        <f ca="1">IF(Table4[[#This Row],[HomeIce Differential]]&gt;0,Table4[[#This Row],[Home]],Table4[[#This Row],[Visitor]])</f>
        <v>Vegas Golden Knights</v>
      </c>
      <c r="L780" s="11">
        <f ca="1"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0.63359925361661718</v>
      </c>
      <c r="M780" t="str">
        <f ca="1">IF(OR((NHL2025_26Results[[#This Row],[Winning Team]]="")),"-",IF(Table4[[#This Row],[Predicted Winner]]=NHL2025_26Results[[#This Row],[Winning Team]],"YES","NO"))</f>
        <v>-</v>
      </c>
      <c r="N780" t="str">
        <f ca="1">IF(Table4[[#This Row],[Adjusted Correct]]="-", "",IF(Table4[[#This Row],[Adjusted Correct]]="YES",(Table4[[#This Row],[Strength of Win]]-1)^2,(Table4[[#This Row],[Strength of Win]]-0)^2))</f>
        <v/>
      </c>
      <c r="P780" s="11"/>
    </row>
    <row r="781" spans="4:16" x14ac:dyDescent="0.2">
      <c r="D781" s="1">
        <v>46042</v>
      </c>
      <c r="E781" s="2">
        <v>0.79166666666666663</v>
      </c>
      <c r="F781" t="s">
        <v>28</v>
      </c>
      <c r="G781">
        <f>VLOOKUP(Table4[[#This Row],[Home]],'NHL Model'!$A$6:$B$38,2,FALSE)</f>
        <v>-0.40822279081308277</v>
      </c>
      <c r="H781" t="s">
        <v>36</v>
      </c>
      <c r="I781">
        <f>VLOOKUP(Table4[[#This Row],[Visitor]],'NHL Model'!$A$6:$B$38,2,FALSE)</f>
        <v>-0.40651947573390851</v>
      </c>
      <c r="J781">
        <f ca="1">($B$1+Table4[[#This Row],[Home Differential]])-Table4[[#This Row],[Away Differential]]</f>
        <v>0.16086899458314413</v>
      </c>
      <c r="K781" t="str">
        <f ca="1">IF(Table4[[#This Row],[HomeIce Differential]]&gt;0,Table4[[#This Row],[Home]],Table4[[#This Row],[Visitor]])</f>
        <v>Columbus Blue Jackets</v>
      </c>
      <c r="L781" s="11">
        <f ca="1"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0.56228979298282933</v>
      </c>
      <c r="M781" t="str">
        <f ca="1">IF(OR((NHL2025_26Results[[#This Row],[Winning Team]]="")),"-",IF(Table4[[#This Row],[Predicted Winner]]=NHL2025_26Results[[#This Row],[Winning Team]],"YES","NO"))</f>
        <v>-</v>
      </c>
      <c r="N781" t="str">
        <f ca="1">IF(Table4[[#This Row],[Adjusted Correct]]="-", "",IF(Table4[[#This Row],[Adjusted Correct]]="YES",(Table4[[#This Row],[Strength of Win]]-1)^2,(Table4[[#This Row],[Strength of Win]]-0)^2))</f>
        <v/>
      </c>
      <c r="P781" s="11"/>
    </row>
    <row r="782" spans="4:16" x14ac:dyDescent="0.2">
      <c r="D782" s="1">
        <v>46042</v>
      </c>
      <c r="E782" s="2">
        <v>0.8125</v>
      </c>
      <c r="F782" t="s">
        <v>39</v>
      </c>
      <c r="G782">
        <f>VLOOKUP(Table4[[#This Row],[Home]],'NHL Model'!$A$6:$B$38,2,FALSE)</f>
        <v>0.19809534061227302</v>
      </c>
      <c r="H782" t="s">
        <v>21</v>
      </c>
      <c r="I782">
        <f>VLOOKUP(Table4[[#This Row],[Visitor]],'NHL Model'!$A$6:$B$38,2,FALSE)</f>
        <v>4.029141914856392E-2</v>
      </c>
      <c r="J782">
        <f ca="1">($B$1+Table4[[#This Row],[Home Differential]])-Table4[[#This Row],[Away Differential]]</f>
        <v>0.32037623112602748</v>
      </c>
      <c r="K782" t="str">
        <f ca="1">IF(Table4[[#This Row],[HomeIce Differential]]&gt;0,Table4[[#This Row],[Home]],Table4[[#This Row],[Visitor]])</f>
        <v>Dallas Stars</v>
      </c>
      <c r="L782" s="11">
        <f ca="1"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0.61042863843984374</v>
      </c>
      <c r="M782" t="str">
        <f ca="1">IF(OR((NHL2025_26Results[[#This Row],[Winning Team]]="")),"-",IF(Table4[[#This Row],[Predicted Winner]]=NHL2025_26Results[[#This Row],[Winning Team]],"YES","NO"))</f>
        <v>-</v>
      </c>
      <c r="N782" t="str">
        <f ca="1">IF(Table4[[#This Row],[Adjusted Correct]]="-", "",IF(Table4[[#This Row],[Adjusted Correct]]="YES",(Table4[[#This Row],[Strength of Win]]-1)^2,(Table4[[#This Row],[Strength of Win]]-0)^2))</f>
        <v/>
      </c>
      <c r="P782" s="11"/>
    </row>
    <row r="783" spans="4:16" x14ac:dyDescent="0.2">
      <c r="D783" s="1">
        <v>46042</v>
      </c>
      <c r="E783" s="2">
        <v>0.91666666666666663</v>
      </c>
      <c r="F783" t="s">
        <v>17</v>
      </c>
      <c r="G783">
        <f>VLOOKUP(Table4[[#This Row],[Home]],'NHL Model'!$A$6:$B$38,2,FALSE)</f>
        <v>-0.61980804137564283</v>
      </c>
      <c r="H783" t="s">
        <v>24</v>
      </c>
      <c r="I783">
        <f>VLOOKUP(Table4[[#This Row],[Visitor]],'NHL Model'!$A$6:$B$38,2,FALSE)</f>
        <v>0.559441163373953</v>
      </c>
      <c r="J783">
        <f ca="1">($B$1+Table4[[#This Row],[Home Differential]])-Table4[[#This Row],[Away Differential]]</f>
        <v>-1.0166768950872775</v>
      </c>
      <c r="K783" t="str">
        <f ca="1">IF(Table4[[#This Row],[HomeIce Differential]]&gt;0,Table4[[#This Row],[Home]],Table4[[#This Row],[Visitor]])</f>
        <v>New Jersey Devils</v>
      </c>
      <c r="L783" s="11">
        <f ca="1"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0.63066531076109733</v>
      </c>
      <c r="M783" t="str">
        <f ca="1">IF(OR((NHL2025_26Results[[#This Row],[Winning Team]]="")),"-",IF(Table4[[#This Row],[Predicted Winner]]=NHL2025_26Results[[#This Row],[Winning Team]],"YES","NO"))</f>
        <v>-</v>
      </c>
      <c r="N783" t="str">
        <f ca="1">IF(Table4[[#This Row],[Adjusted Correct]]="-", "",IF(Table4[[#This Row],[Adjusted Correct]]="YES",(Table4[[#This Row],[Strength of Win]]-1)^2,(Table4[[#This Row],[Strength of Win]]-0)^2))</f>
        <v/>
      </c>
      <c r="P783" s="11"/>
    </row>
    <row r="784" spans="4:16" x14ac:dyDescent="0.2">
      <c r="D784" s="1">
        <v>46042</v>
      </c>
      <c r="E784" s="2">
        <v>0.91666666666666663</v>
      </c>
      <c r="F784" t="s">
        <v>13</v>
      </c>
      <c r="G784">
        <f>VLOOKUP(Table4[[#This Row],[Home]],'NHL Model'!$A$6:$B$38,2,FALSE)</f>
        <v>-7.5459708298993802E-2</v>
      </c>
      <c r="H784" t="s">
        <v>15</v>
      </c>
      <c r="I784">
        <f>VLOOKUP(Table4[[#This Row],[Visitor]],'NHL Model'!$A$6:$B$38,2,FALSE)</f>
        <v>-0.30719665303039001</v>
      </c>
      <c r="J784">
        <f ca="1">($B$1+Table4[[#This Row],[Home Differential]])-Table4[[#This Row],[Away Differential]]</f>
        <v>0.39430925439371461</v>
      </c>
      <c r="K784" t="str">
        <f ca="1">IF(Table4[[#This Row],[HomeIce Differential]]&gt;0,Table4[[#This Row],[Home]],Table4[[#This Row],[Visitor]])</f>
        <v>Los Angeles Kings</v>
      </c>
      <c r="L784" s="11">
        <f ca="1"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0.45222532497262408</v>
      </c>
      <c r="M784" t="str">
        <f ca="1">IF(OR((NHL2025_26Results[[#This Row],[Winning Team]]="")),"-",IF(Table4[[#This Row],[Predicted Winner]]=NHL2025_26Results[[#This Row],[Winning Team]],"YES","NO"))</f>
        <v>-</v>
      </c>
      <c r="N784" t="str">
        <f ca="1">IF(Table4[[#This Row],[Adjusted Correct]]="-", "",IF(Table4[[#This Row],[Adjusted Correct]]="YES",(Table4[[#This Row],[Strength of Win]]-1)^2,(Table4[[#This Row],[Strength of Win]]-0)^2))</f>
        <v/>
      </c>
      <c r="P784" s="11"/>
    </row>
    <row r="785" spans="4:16" x14ac:dyDescent="0.2">
      <c r="D785" s="1">
        <v>46042</v>
      </c>
      <c r="E785" s="2">
        <v>0.79166666666666663</v>
      </c>
      <c r="F785" t="s">
        <v>18</v>
      </c>
      <c r="G785">
        <f>VLOOKUP(Table4[[#This Row],[Home]],'NHL Model'!$A$6:$B$38,2,FALSE)</f>
        <v>-0.52437726201848234</v>
      </c>
      <c r="H785" t="s">
        <v>34</v>
      </c>
      <c r="I785">
        <f>VLOOKUP(Table4[[#This Row],[Visitor]],'NHL Model'!$A$6:$B$38,2,FALSE)</f>
        <v>-0.53650300840565446</v>
      </c>
      <c r="J785">
        <f ca="1">($B$1+Table4[[#This Row],[Home Differential]])-Table4[[#This Row],[Away Differential]]</f>
        <v>0.17469805604949051</v>
      </c>
      <c r="K785" t="str">
        <f ca="1">IF(Table4[[#This Row],[HomeIce Differential]]&gt;0,Table4[[#This Row],[Home]],Table4[[#This Row],[Visitor]])</f>
        <v>Montreal Canadiens</v>
      </c>
      <c r="L785" s="11">
        <f ca="1"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0.56420592926521507</v>
      </c>
      <c r="M785" t="str">
        <f ca="1">IF(OR((NHL2025_26Results[[#This Row],[Winning Team]]="")),"-",IF(Table4[[#This Row],[Predicted Winner]]=NHL2025_26Results[[#This Row],[Winning Team]],"YES","NO"))</f>
        <v>-</v>
      </c>
      <c r="N785" t="str">
        <f ca="1">IF(Table4[[#This Row],[Adjusted Correct]]="-", "",IF(Table4[[#This Row],[Adjusted Correct]]="YES",(Table4[[#This Row],[Strength of Win]]-1)^2,(Table4[[#This Row],[Strength of Win]]-0)^2))</f>
        <v/>
      </c>
      <c r="P785" s="11"/>
    </row>
    <row r="786" spans="4:16" x14ac:dyDescent="0.2">
      <c r="D786" s="1">
        <v>46042</v>
      </c>
      <c r="E786" s="2">
        <v>0.83333333333333337</v>
      </c>
      <c r="F786" t="s">
        <v>29</v>
      </c>
      <c r="G786">
        <f>VLOOKUP(Table4[[#This Row],[Home]],'NHL Model'!$A$6:$B$38,2,FALSE)</f>
        <v>-1.3516250707060606</v>
      </c>
      <c r="H786" t="s">
        <v>23</v>
      </c>
      <c r="I786">
        <f>VLOOKUP(Table4[[#This Row],[Visitor]],'NHL Model'!$A$6:$B$38,2,FALSE)</f>
        <v>-0.8683412362501769</v>
      </c>
      <c r="J786">
        <f ca="1">($B$1+Table4[[#This Row],[Home Differential]])-Table4[[#This Row],[Away Differential]]</f>
        <v>-0.32071152479356535</v>
      </c>
      <c r="K786" t="str">
        <f ca="1">IF(Table4[[#This Row],[HomeIce Differential]]&gt;0,Table4[[#This Row],[Home]],Table4[[#This Row],[Visitor]])</f>
        <v>Buffalo Sabres</v>
      </c>
      <c r="L786" s="11">
        <f ca="1"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0.50443736043343879</v>
      </c>
      <c r="M786" t="str">
        <f ca="1">IF(OR((NHL2025_26Results[[#This Row],[Winning Team]]="")),"-",IF(Table4[[#This Row],[Predicted Winner]]=NHL2025_26Results[[#This Row],[Winning Team]],"YES","NO"))</f>
        <v>-</v>
      </c>
      <c r="N786" t="str">
        <f ca="1">IF(Table4[[#This Row],[Adjusted Correct]]="-", "",IF(Table4[[#This Row],[Adjusted Correct]]="YES",(Table4[[#This Row],[Strength of Win]]-1)^2,(Table4[[#This Row],[Strength of Win]]-0)^2))</f>
        <v/>
      </c>
      <c r="P786" s="11"/>
    </row>
    <row r="787" spans="4:16" x14ac:dyDescent="0.2">
      <c r="D787" s="1">
        <v>46042</v>
      </c>
      <c r="E787" s="2">
        <v>0.79166666666666663</v>
      </c>
      <c r="F787" t="s">
        <v>37</v>
      </c>
      <c r="G787">
        <f>VLOOKUP(Table4[[#This Row],[Home]],'NHL Model'!$A$6:$B$38,2,FALSE)</f>
        <v>-0.11309445867623392</v>
      </c>
      <c r="H787" t="s">
        <v>33</v>
      </c>
      <c r="I787">
        <f>VLOOKUP(Table4[[#This Row],[Visitor]],'NHL Model'!$A$6:$B$38,2,FALSE)</f>
        <v>-0.39418177254008485</v>
      </c>
      <c r="J787">
        <f ca="1">($B$1+Table4[[#This Row],[Home Differential]])-Table4[[#This Row],[Away Differential]]</f>
        <v>0.44365962352616933</v>
      </c>
      <c r="K787" t="str">
        <f ca="1">IF(Table4[[#This Row],[HomeIce Differential]]&gt;0,Table4[[#This Row],[Home]],Table4[[#This Row],[Visitor]])</f>
        <v>Tampa Bay Lightning</v>
      </c>
      <c r="L787" s="11">
        <f ca="1"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0.6014728847461478</v>
      </c>
      <c r="M787" t="str">
        <f ca="1">IF(OR((NHL2025_26Results[[#This Row],[Winning Team]]="")),"-",IF(Table4[[#This Row],[Predicted Winner]]=NHL2025_26Results[[#This Row],[Winning Team]],"YES","NO"))</f>
        <v>-</v>
      </c>
      <c r="N787" t="str">
        <f ca="1">IF(Table4[[#This Row],[Adjusted Correct]]="-", "",IF(Table4[[#This Row],[Adjusted Correct]]="YES",(Table4[[#This Row],[Strength of Win]]-1)^2,(Table4[[#This Row],[Strength of Win]]-0)^2))</f>
        <v/>
      </c>
      <c r="P787" s="11"/>
    </row>
    <row r="788" spans="4:16" x14ac:dyDescent="0.2">
      <c r="D788" s="1">
        <v>46042</v>
      </c>
      <c r="E788" s="2">
        <v>0.83333333333333337</v>
      </c>
      <c r="F788" t="s">
        <v>40</v>
      </c>
      <c r="G788">
        <f>VLOOKUP(Table4[[#This Row],[Home]],'NHL Model'!$A$6:$B$38,2,FALSE)</f>
        <v>0.105105258369765</v>
      </c>
      <c r="H788" t="s">
        <v>35</v>
      </c>
      <c r="I788">
        <f>VLOOKUP(Table4[[#This Row],[Visitor]],'NHL Model'!$A$6:$B$38,2,FALSE)</f>
        <v>-1.6211574240381006</v>
      </c>
      <c r="J788">
        <f ca="1">($B$1+Table4[[#This Row],[Home Differential]])-Table4[[#This Row],[Away Differential]]</f>
        <v>1.8888349920701839</v>
      </c>
      <c r="K788" t="str">
        <f ca="1">IF(Table4[[#This Row],[HomeIce Differential]]&gt;0,Table4[[#This Row],[Home]],Table4[[#This Row],[Visitor]])</f>
        <v>Winnipeg Jets</v>
      </c>
      <c r="L788" s="11">
        <f ca="1"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0.83775131954581505</v>
      </c>
      <c r="M788" t="str">
        <f ca="1">IF(OR((NHL2025_26Results[[#This Row],[Winning Team]]="")),"-",IF(Table4[[#This Row],[Predicted Winner]]=NHL2025_26Results[[#This Row],[Winning Team]],"YES","NO"))</f>
        <v>-</v>
      </c>
      <c r="N788" t="str">
        <f ca="1">IF(Table4[[#This Row],[Adjusted Correct]]="-", "",IF(Table4[[#This Row],[Adjusted Correct]]="YES",(Table4[[#This Row],[Strength of Win]]-1)^2,(Table4[[#This Row],[Strength of Win]]-0)^2))</f>
        <v/>
      </c>
      <c r="P788" s="11"/>
    </row>
    <row r="789" spans="4:16" x14ac:dyDescent="0.2">
      <c r="D789" s="1">
        <v>46043</v>
      </c>
      <c r="E789" s="2">
        <v>0.89583333333333337</v>
      </c>
      <c r="F789" t="s">
        <v>16</v>
      </c>
      <c r="G789">
        <f>VLOOKUP(Table4[[#This Row],[Home]],'NHL Model'!$A$6:$B$38,2,FALSE)</f>
        <v>-1.3903684122795328</v>
      </c>
      <c r="H789" t="s">
        <v>14</v>
      </c>
      <c r="I789">
        <f>VLOOKUP(Table4[[#This Row],[Visitor]],'NHL Model'!$A$6:$B$38,2,FALSE)</f>
        <v>0.26289091192875702</v>
      </c>
      <c r="J789">
        <f ca="1">($B$1+Table4[[#This Row],[Home Differential]])-Table4[[#This Row],[Away Differential]]</f>
        <v>-1.4906870145459714</v>
      </c>
      <c r="K789" t="str">
        <f ca="1">IF(Table4[[#This Row],[HomeIce Differential]]&gt;0,Table4[[#This Row],[Home]],Table4[[#This Row],[Visitor]])</f>
        <v>Pittsburgh Penguins</v>
      </c>
      <c r="L789" s="11">
        <f ca="1"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0.66654760131075652</v>
      </c>
      <c r="M789" t="str">
        <f ca="1">IF(OR((NHL2025_26Results[[#This Row],[Winning Team]]="")),"-",IF(Table4[[#This Row],[Predicted Winner]]=NHL2025_26Results[[#This Row],[Winning Team]],"YES","NO"))</f>
        <v>-</v>
      </c>
      <c r="N789" t="str">
        <f ca="1">IF(Table4[[#This Row],[Adjusted Correct]]="-", "",IF(Table4[[#This Row],[Adjusted Correct]]="YES",(Table4[[#This Row],[Strength of Win]]-1)^2,(Table4[[#This Row],[Strength of Win]]-0)^2))</f>
        <v/>
      </c>
      <c r="P789" s="11"/>
    </row>
    <row r="790" spans="4:16" x14ac:dyDescent="0.2">
      <c r="D790" s="1">
        <v>46043</v>
      </c>
      <c r="E790" s="2">
        <v>0.875</v>
      </c>
      <c r="F790" t="s">
        <v>12</v>
      </c>
      <c r="G790">
        <f>VLOOKUP(Table4[[#This Row],[Home]],'NHL Model'!$A$6:$B$38,2,FALSE)</f>
        <v>1.5475013591489768</v>
      </c>
      <c r="H790" t="s">
        <v>31</v>
      </c>
      <c r="I790">
        <f>VLOOKUP(Table4[[#This Row],[Visitor]],'NHL Model'!$A$6:$B$38,2,FALSE)</f>
        <v>0.51775546328552802</v>
      </c>
      <c r="J790">
        <f ca="1">($B$1+Table4[[#This Row],[Home Differential]])-Table4[[#This Row],[Away Differential]]</f>
        <v>1.1923182055257673</v>
      </c>
      <c r="K790" t="str">
        <f ca="1">IF(Table4[[#This Row],[HomeIce Differential]]&gt;0,Table4[[#This Row],[Home]],Table4[[#This Row],[Visitor]])</f>
        <v>Colorado Avalanche</v>
      </c>
      <c r="L790" s="11">
        <f ca="1"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0.77390166990091469</v>
      </c>
      <c r="M790" t="str">
        <f ca="1">IF(OR((NHL2025_26Results[[#This Row],[Winning Team]]="")),"-",IF(Table4[[#This Row],[Predicted Winner]]=NHL2025_26Results[[#This Row],[Winning Team]],"YES","NO"))</f>
        <v>-</v>
      </c>
      <c r="N790" t="str">
        <f ca="1">IF(Table4[[#This Row],[Adjusted Correct]]="-", "",IF(Table4[[#This Row],[Adjusted Correct]]="YES",(Table4[[#This Row],[Strength of Win]]-1)^2,(Table4[[#This Row],[Strength of Win]]-0)^2))</f>
        <v/>
      </c>
      <c r="P790" s="11"/>
    </row>
    <row r="791" spans="4:16" x14ac:dyDescent="0.2">
      <c r="D791" s="1">
        <v>46043</v>
      </c>
      <c r="E791" s="2">
        <v>0.89583333333333337</v>
      </c>
      <c r="F791" t="s">
        <v>32</v>
      </c>
      <c r="G791">
        <f>VLOOKUP(Table4[[#This Row],[Home]],'NHL Model'!$A$6:$B$38,2,FALSE)</f>
        <v>-0.361361309178443</v>
      </c>
      <c r="H791" t="s">
        <v>30</v>
      </c>
      <c r="I791">
        <f>VLOOKUP(Table4[[#This Row],[Visitor]],'NHL Model'!$A$6:$B$38,2,FALSE)</f>
        <v>-6.4729560818359025E-2</v>
      </c>
      <c r="J791">
        <f ca="1">($B$1+Table4[[#This Row],[Home Differential]])-Table4[[#This Row],[Away Differential]]</f>
        <v>-0.1340594386977656</v>
      </c>
      <c r="K791" t="str">
        <f ca="1">IF(Table4[[#This Row],[HomeIce Differential]]&gt;0,Table4[[#This Row],[Home]],Table4[[#This Row],[Visitor]])</f>
        <v>New York Islanders</v>
      </c>
      <c r="L791" s="11">
        <f ca="1"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0.4947655729249999</v>
      </c>
      <c r="M791" t="str">
        <f ca="1">IF(OR((NHL2025_26Results[[#This Row],[Winning Team]]="")),"-",IF(Table4[[#This Row],[Predicted Winner]]=NHL2025_26Results[[#This Row],[Winning Team]],"YES","NO"))</f>
        <v>-</v>
      </c>
      <c r="N791" t="str">
        <f ca="1">IF(Table4[[#This Row],[Adjusted Correct]]="-", "",IF(Table4[[#This Row],[Adjusted Correct]]="YES",(Table4[[#This Row],[Strength of Win]]-1)^2,(Table4[[#This Row],[Strength of Win]]-0)^2))</f>
        <v/>
      </c>
      <c r="P791" s="11"/>
    </row>
    <row r="792" spans="4:16" x14ac:dyDescent="0.2">
      <c r="D792" s="1">
        <v>46043</v>
      </c>
      <c r="E792" s="2">
        <v>0.79166666666666663</v>
      </c>
      <c r="F792" t="s">
        <v>19</v>
      </c>
      <c r="G792">
        <f>VLOOKUP(Table4[[#This Row],[Home]],'NHL Model'!$A$6:$B$38,2,FALSE)</f>
        <v>-0.635565543477981</v>
      </c>
      <c r="H792" t="s">
        <v>26</v>
      </c>
      <c r="I792">
        <f>VLOOKUP(Table4[[#This Row],[Visitor]],'NHL Model'!$A$6:$B$38,2,FALSE)</f>
        <v>-0.513643833119658</v>
      </c>
      <c r="J792">
        <f ca="1">($B$1+Table4[[#This Row],[Home Differential]])-Table4[[#This Row],[Away Differential]]</f>
        <v>4.0650599303995394E-2</v>
      </c>
      <c r="K792" t="str">
        <f ca="1">IF(Table4[[#This Row],[HomeIce Differential]]&gt;0,Table4[[#This Row],[Home]],Table4[[#This Row],[Visitor]])</f>
        <v>Toronto Maple Leafs</v>
      </c>
      <c r="L792" s="11">
        <f ca="1"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0.49853310125326078</v>
      </c>
      <c r="M792" t="str">
        <f ca="1">IF(OR((NHL2025_26Results[[#This Row],[Winning Team]]="")),"-",IF(Table4[[#This Row],[Predicted Winner]]=NHL2025_26Results[[#This Row],[Winning Team]],"YES","NO"))</f>
        <v>-</v>
      </c>
      <c r="N792" t="str">
        <f ca="1">IF(Table4[[#This Row],[Adjusted Correct]]="-", "",IF(Table4[[#This Row],[Adjusted Correct]]="YES",(Table4[[#This Row],[Strength of Win]]-1)^2,(Table4[[#This Row],[Strength of Win]]-0)^2))</f>
        <v/>
      </c>
      <c r="P792" s="11"/>
    </row>
    <row r="793" spans="4:16" x14ac:dyDescent="0.2">
      <c r="D793" s="1">
        <v>46043</v>
      </c>
      <c r="E793" s="2">
        <v>0.875</v>
      </c>
      <c r="F793" t="s">
        <v>55</v>
      </c>
      <c r="G793">
        <f>VLOOKUP(Table4[[#This Row],[Home]],'NHL Model'!$A$6:$B$38,2,FALSE)</f>
        <v>-0.12212311954851815</v>
      </c>
      <c r="H793" t="s">
        <v>27</v>
      </c>
      <c r="I793">
        <f>VLOOKUP(Table4[[#This Row],[Visitor]],'NHL Model'!$A$6:$B$38,2,FALSE)</f>
        <v>-0.51358590497437617</v>
      </c>
      <c r="J793">
        <f ca="1">($B$1+Table4[[#This Row],[Home Differential]])-Table4[[#This Row],[Away Differential]]</f>
        <v>0.55403509508817639</v>
      </c>
      <c r="K793" t="str">
        <f ca="1">IF(Table4[[#This Row],[HomeIce Differential]]&gt;0,Table4[[#This Row],[Home]],Table4[[#This Row],[Visitor]])</f>
        <v>Utah Mammoth</v>
      </c>
      <c r="L793" s="11">
        <f ca="1"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0.68503886871673092</v>
      </c>
      <c r="M793" t="str">
        <f ca="1">IF(OR((NHL2025_26Results[[#This Row],[Winning Team]]="")),"-",IF(Table4[[#This Row],[Predicted Winner]]=NHL2025_26Results[[#This Row],[Winning Team]],"YES","NO"))</f>
        <v>-</v>
      </c>
      <c r="N793" t="str">
        <f ca="1">IF(Table4[[#This Row],[Adjusted Correct]]="-", "",IF(Table4[[#This Row],[Adjusted Correct]]="YES",(Table4[[#This Row],[Strength of Win]]-1)^2,(Table4[[#This Row],[Strength of Win]]-0)^2))</f>
        <v/>
      </c>
      <c r="P793" s="11"/>
    </row>
    <row r="794" spans="4:16" x14ac:dyDescent="0.2">
      <c r="D794" s="1">
        <v>46043</v>
      </c>
      <c r="E794" s="2">
        <v>0.91666666666666663</v>
      </c>
      <c r="F794" t="s">
        <v>38</v>
      </c>
      <c r="G794">
        <f>VLOOKUP(Table4[[#This Row],[Home]],'NHL Model'!$A$6:$B$38,2,FALSE)</f>
        <v>-0.6902088310934803</v>
      </c>
      <c r="H794" t="s">
        <v>22</v>
      </c>
      <c r="I794">
        <f>VLOOKUP(Table4[[#This Row],[Visitor]],'NHL Model'!$A$6:$B$38,2,FALSE)</f>
        <v>-6.1308839486784707E-2</v>
      </c>
      <c r="J794">
        <f ca="1">($B$1+Table4[[#This Row],[Home Differential]])-Table4[[#This Row],[Away Differential]]</f>
        <v>-0.46632768194437718</v>
      </c>
      <c r="K794" t="str">
        <f ca="1">IF(Table4[[#This Row],[HomeIce Differential]]&gt;0,Table4[[#This Row],[Home]],Table4[[#This Row],[Visitor]])</f>
        <v>Washington Capitals</v>
      </c>
      <c r="L794" s="11">
        <f ca="1"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0.52461374063807287</v>
      </c>
      <c r="M794" t="str">
        <f ca="1">IF(OR((NHL2025_26Results[[#This Row],[Winning Team]]="")),"-",IF(Table4[[#This Row],[Predicted Winner]]=NHL2025_26Results[[#This Row],[Winning Team]],"YES","NO"))</f>
        <v>-</v>
      </c>
      <c r="N794" t="str">
        <f ca="1">IF(Table4[[#This Row],[Adjusted Correct]]="-", "",IF(Table4[[#This Row],[Adjusted Correct]]="YES",(Table4[[#This Row],[Strength of Win]]-1)^2,(Table4[[#This Row],[Strength of Win]]-0)^2))</f>
        <v/>
      </c>
      <c r="P794" s="11"/>
    </row>
    <row r="795" spans="4:16" x14ac:dyDescent="0.2">
      <c r="D795" s="1">
        <v>46044</v>
      </c>
      <c r="E795" s="2">
        <v>0.79166666666666663</v>
      </c>
      <c r="F795" t="s">
        <v>21</v>
      </c>
      <c r="G795">
        <f>VLOOKUP(Table4[[#This Row],[Home]],'NHL Model'!$A$6:$B$38,2,FALSE)</f>
        <v>4.029141914856392E-2</v>
      </c>
      <c r="H795" t="s">
        <v>20</v>
      </c>
      <c r="I795">
        <f>VLOOKUP(Table4[[#This Row],[Visitor]],'NHL Model'!$A$6:$B$38,2,FALSE)</f>
        <v>-6.3745791019188943E-4</v>
      </c>
      <c r="J795">
        <f ca="1">($B$1+Table4[[#This Row],[Home Differential]])-Table4[[#This Row],[Away Differential]]</f>
        <v>0.20350118672107423</v>
      </c>
      <c r="K795" t="str">
        <f ca="1">IF(Table4[[#This Row],[HomeIce Differential]]&gt;0,Table4[[#This Row],[Home]],Table4[[#This Row],[Visitor]])</f>
        <v>Boston Bruins</v>
      </c>
      <c r="L795" s="11">
        <f ca="1"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0.62078944516525181</v>
      </c>
      <c r="M795" t="str">
        <f ca="1">IF(OR((NHL2025_26Results[[#This Row],[Winning Team]]="")),"-",IF(Table4[[#This Row],[Predicted Winner]]=NHL2025_26Results[[#This Row],[Winning Team]],"YES","NO"))</f>
        <v>-</v>
      </c>
      <c r="N795" t="str">
        <f ca="1">IF(Table4[[#This Row],[Adjusted Correct]]="-", "",IF(Table4[[#This Row],[Adjusted Correct]]="YES",(Table4[[#This Row],[Strength of Win]]-1)^2,(Table4[[#This Row],[Strength of Win]]-0)^2))</f>
        <v/>
      </c>
      <c r="P795" s="11"/>
    </row>
    <row r="796" spans="4:16" x14ac:dyDescent="0.2">
      <c r="D796" s="1">
        <v>46044</v>
      </c>
      <c r="E796" s="2">
        <v>0.79166666666666663</v>
      </c>
      <c r="F796" t="s">
        <v>25</v>
      </c>
      <c r="G796">
        <f>VLOOKUP(Table4[[#This Row],[Home]],'NHL Model'!$A$6:$B$38,2,FALSE)</f>
        <v>0.67193921242367816</v>
      </c>
      <c r="H796" t="s">
        <v>10</v>
      </c>
      <c r="I796">
        <f>VLOOKUP(Table4[[#This Row],[Visitor]],'NHL Model'!$A$6:$B$38,2,FALSE)</f>
        <v>0.30570968833820172</v>
      </c>
      <c r="J796">
        <f ca="1">($B$1+Table4[[#This Row],[Home Differential]])-Table4[[#This Row],[Away Differential]]</f>
        <v>0.52880183374779488</v>
      </c>
      <c r="K796" t="str">
        <f ca="1">IF(Table4[[#This Row],[HomeIce Differential]]&gt;0,Table4[[#This Row],[Home]],Table4[[#This Row],[Visitor]])</f>
        <v>Carolina Hurricanes</v>
      </c>
      <c r="L796" s="11">
        <f ca="1"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0.64469864708063795</v>
      </c>
      <c r="M796" t="str">
        <f ca="1">IF(OR((NHL2025_26Results[[#This Row],[Winning Team]]="")),"-",IF(Table4[[#This Row],[Predicted Winner]]=NHL2025_26Results[[#This Row],[Winning Team]],"YES","NO"))</f>
        <v>-</v>
      </c>
      <c r="N796" t="str">
        <f ca="1">IF(Table4[[#This Row],[Adjusted Correct]]="-", "",IF(Table4[[#This Row],[Adjusted Correct]]="YES",(Table4[[#This Row],[Strength of Win]]-1)^2,(Table4[[#This Row],[Strength of Win]]-0)^2))</f>
        <v/>
      </c>
      <c r="P796" s="11"/>
    </row>
    <row r="797" spans="4:16" x14ac:dyDescent="0.2">
      <c r="D797" s="1">
        <v>46044</v>
      </c>
      <c r="E797" s="2">
        <v>0.79166666666666663</v>
      </c>
      <c r="F797" t="s">
        <v>28</v>
      </c>
      <c r="G797">
        <f>VLOOKUP(Table4[[#This Row],[Home]],'NHL Model'!$A$6:$B$38,2,FALSE)</f>
        <v>-0.40822279081308277</v>
      </c>
      <c r="H797" t="s">
        <v>39</v>
      </c>
      <c r="I797">
        <f>VLOOKUP(Table4[[#This Row],[Visitor]],'NHL Model'!$A$6:$B$38,2,FALSE)</f>
        <v>0.19809534061227302</v>
      </c>
      <c r="J797">
        <f ca="1">($B$1+Table4[[#This Row],[Home Differential]])-Table4[[#This Row],[Away Differential]]</f>
        <v>-0.4437458217630374</v>
      </c>
      <c r="K797" t="str">
        <f ca="1">IF(Table4[[#This Row],[HomeIce Differential]]&gt;0,Table4[[#This Row],[Home]],Table4[[#This Row],[Visitor]])</f>
        <v>Dallas Stars</v>
      </c>
      <c r="L797" s="11">
        <f ca="1"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0.61397101610399896</v>
      </c>
      <c r="M797" t="str">
        <f ca="1">IF(OR((NHL2025_26Results[[#This Row],[Winning Team]]="")),"-",IF(Table4[[#This Row],[Predicted Winner]]=NHL2025_26Results[[#This Row],[Winning Team]],"YES","NO"))</f>
        <v>-</v>
      </c>
      <c r="N797" t="str">
        <f ca="1">IF(Table4[[#This Row],[Adjusted Correct]]="-", "",IF(Table4[[#This Row],[Adjusted Correct]]="YES",(Table4[[#This Row],[Strength of Win]]-1)^2,(Table4[[#This Row],[Strength of Win]]-0)^2))</f>
        <v/>
      </c>
      <c r="P797" s="11"/>
    </row>
    <row r="798" spans="4:16" x14ac:dyDescent="0.2">
      <c r="D798" s="1">
        <v>46044</v>
      </c>
      <c r="E798" s="2">
        <v>0.875</v>
      </c>
      <c r="F798" t="s">
        <v>17</v>
      </c>
      <c r="G798">
        <f>VLOOKUP(Table4[[#This Row],[Home]],'NHL Model'!$A$6:$B$38,2,FALSE)</f>
        <v>-0.61980804137564283</v>
      </c>
      <c r="H798" t="s">
        <v>14</v>
      </c>
      <c r="I798">
        <f>VLOOKUP(Table4[[#This Row],[Visitor]],'NHL Model'!$A$6:$B$38,2,FALSE)</f>
        <v>0.26289091192875702</v>
      </c>
      <c r="J798">
        <f ca="1">($B$1+Table4[[#This Row],[Home Differential]])-Table4[[#This Row],[Away Differential]]</f>
        <v>-0.72012664364208145</v>
      </c>
      <c r="K798" t="str">
        <f ca="1">IF(Table4[[#This Row],[HomeIce Differential]]&gt;0,Table4[[#This Row],[Home]],Table4[[#This Row],[Visitor]])</f>
        <v>Pittsburgh Penguins</v>
      </c>
      <c r="L798" s="11">
        <f ca="1"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0.52374291935871109</v>
      </c>
      <c r="M798" t="str">
        <f ca="1">IF(OR((NHL2025_26Results[[#This Row],[Winning Team]]="")),"-",IF(Table4[[#This Row],[Predicted Winner]]=NHL2025_26Results[[#This Row],[Winning Team]],"YES","NO"))</f>
        <v>-</v>
      </c>
      <c r="N798" t="str">
        <f ca="1">IF(Table4[[#This Row],[Adjusted Correct]]="-", "",IF(Table4[[#This Row],[Adjusted Correct]]="YES",(Table4[[#This Row],[Strength of Win]]-1)^2,(Table4[[#This Row],[Strength of Win]]-0)^2))</f>
        <v/>
      </c>
      <c r="P798" s="11"/>
    </row>
    <row r="799" spans="4:16" x14ac:dyDescent="0.2">
      <c r="D799" s="1">
        <v>46044</v>
      </c>
      <c r="E799" s="2">
        <v>0.89583333333333337</v>
      </c>
      <c r="F799" t="s">
        <v>34</v>
      </c>
      <c r="G799">
        <f>VLOOKUP(Table4[[#This Row],[Home]],'NHL Model'!$A$6:$B$38,2,FALSE)</f>
        <v>-0.53650300840565446</v>
      </c>
      <c r="H799" t="s">
        <v>26</v>
      </c>
      <c r="I799">
        <f>VLOOKUP(Table4[[#This Row],[Visitor]],'NHL Model'!$A$6:$B$38,2,FALSE)</f>
        <v>-0.513643833119658</v>
      </c>
      <c r="J799">
        <f ca="1">($B$1+Table4[[#This Row],[Home Differential]])-Table4[[#This Row],[Away Differential]]</f>
        <v>0.13971313437632193</v>
      </c>
      <c r="K799" t="str">
        <f ca="1">IF(Table4[[#This Row],[HomeIce Differential]]&gt;0,Table4[[#This Row],[Home]],Table4[[#This Row],[Visitor]])</f>
        <v>Minnesota Wild</v>
      </c>
      <c r="L799" s="11">
        <f ca="1"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0.51225907377418178</v>
      </c>
      <c r="M799" t="str">
        <f ca="1">IF(OR((NHL2025_26Results[[#This Row],[Winning Team]]="")),"-",IF(Table4[[#This Row],[Predicted Winner]]=NHL2025_26Results[[#This Row],[Winning Team]],"YES","NO"))</f>
        <v>-</v>
      </c>
      <c r="N799" t="str">
        <f ca="1">IF(Table4[[#This Row],[Adjusted Correct]]="-", "",IF(Table4[[#This Row],[Adjusted Correct]]="YES",(Table4[[#This Row],[Strength of Win]]-1)^2,(Table4[[#This Row],[Strength of Win]]-0)^2))</f>
        <v/>
      </c>
      <c r="P799" s="11"/>
    </row>
    <row r="800" spans="4:16" x14ac:dyDescent="0.2">
      <c r="D800" s="1">
        <v>46044</v>
      </c>
      <c r="E800" s="2">
        <v>0.79166666666666663</v>
      </c>
      <c r="F800" t="s">
        <v>18</v>
      </c>
      <c r="G800">
        <f>VLOOKUP(Table4[[#This Row],[Home]],'NHL Model'!$A$6:$B$38,2,FALSE)</f>
        <v>-0.52437726201848234</v>
      </c>
      <c r="H800" t="s">
        <v>23</v>
      </c>
      <c r="I800">
        <f>VLOOKUP(Table4[[#This Row],[Visitor]],'NHL Model'!$A$6:$B$38,2,FALSE)</f>
        <v>-0.8683412362501769</v>
      </c>
      <c r="J800">
        <f ca="1">($B$1+Table4[[#This Row],[Home Differential]])-Table4[[#This Row],[Away Differential]]</f>
        <v>0.50653628389401295</v>
      </c>
      <c r="K800" t="str">
        <f ca="1">IF(Table4[[#This Row],[HomeIce Differential]]&gt;0,Table4[[#This Row],[Home]],Table4[[#This Row],[Visitor]])</f>
        <v>Montreal Canadiens</v>
      </c>
      <c r="L800" s="11">
        <f ca="1"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0.61018499080911281</v>
      </c>
      <c r="M800" t="str">
        <f ca="1">IF(OR((NHL2025_26Results[[#This Row],[Winning Team]]="")),"-",IF(Table4[[#This Row],[Predicted Winner]]=NHL2025_26Results[[#This Row],[Winning Team]],"YES","NO"))</f>
        <v>-</v>
      </c>
      <c r="N800" t="str">
        <f ca="1">IF(Table4[[#This Row],[Adjusted Correct]]="-", "",IF(Table4[[#This Row],[Adjusted Correct]]="YES",(Table4[[#This Row],[Strength of Win]]-1)^2,(Table4[[#This Row],[Strength of Win]]-0)^2))</f>
        <v/>
      </c>
      <c r="P800" s="11"/>
    </row>
    <row r="801" spans="4:16" x14ac:dyDescent="0.2">
      <c r="D801" s="1">
        <v>46044</v>
      </c>
      <c r="E801" s="2">
        <v>0.83333333333333337</v>
      </c>
      <c r="F801" t="s">
        <v>29</v>
      </c>
      <c r="G801">
        <f>VLOOKUP(Table4[[#This Row],[Home]],'NHL Model'!$A$6:$B$38,2,FALSE)</f>
        <v>-1.3516250707060606</v>
      </c>
      <c r="H801" t="s">
        <v>36</v>
      </c>
      <c r="I801">
        <f>VLOOKUP(Table4[[#This Row],[Visitor]],'NHL Model'!$A$6:$B$38,2,FALSE)</f>
        <v>-0.40651947573390851</v>
      </c>
      <c r="J801">
        <f ca="1">($B$1+Table4[[#This Row],[Home Differential]])-Table4[[#This Row],[Away Differential]]</f>
        <v>-0.78253328530983368</v>
      </c>
      <c r="K801" t="str">
        <f ca="1">IF(Table4[[#This Row],[HomeIce Differential]]&gt;0,Table4[[#This Row],[Home]],Table4[[#This Row],[Visitor]])</f>
        <v>Ottawa Senators</v>
      </c>
      <c r="L801" s="11">
        <f ca="1"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0.56842676661794145</v>
      </c>
      <c r="M801" t="str">
        <f ca="1">IF(OR((NHL2025_26Results[[#This Row],[Winning Team]]="")),"-",IF(Table4[[#This Row],[Predicted Winner]]=NHL2025_26Results[[#This Row],[Winning Team]],"YES","NO"))</f>
        <v>-</v>
      </c>
      <c r="N801" t="str">
        <f ca="1">IF(Table4[[#This Row],[Adjusted Correct]]="-", "",IF(Table4[[#This Row],[Adjusted Correct]]="YES",(Table4[[#This Row],[Strength of Win]]-1)^2,(Table4[[#This Row],[Strength of Win]]-0)^2))</f>
        <v/>
      </c>
      <c r="P801" s="11"/>
    </row>
    <row r="802" spans="4:16" x14ac:dyDescent="0.2">
      <c r="D802" s="1">
        <v>46044</v>
      </c>
      <c r="E802" s="2">
        <v>0.83333333333333337</v>
      </c>
      <c r="F802" t="s">
        <v>40</v>
      </c>
      <c r="G802">
        <f>VLOOKUP(Table4[[#This Row],[Home]],'NHL Model'!$A$6:$B$38,2,FALSE)</f>
        <v>0.105105258369765</v>
      </c>
      <c r="H802" t="s">
        <v>11</v>
      </c>
      <c r="I802">
        <f>VLOOKUP(Table4[[#This Row],[Visitor]],'NHL Model'!$A$6:$B$38,2,FALSE)</f>
        <v>-0.28105923893144158</v>
      </c>
      <c r="J802">
        <f ca="1">($B$1+Table4[[#This Row],[Home Differential]])-Table4[[#This Row],[Away Differential]]</f>
        <v>0.548736806963525</v>
      </c>
      <c r="K802" t="str">
        <f ca="1">IF(Table4[[#This Row],[HomeIce Differential]]&gt;0,Table4[[#This Row],[Home]],Table4[[#This Row],[Visitor]])</f>
        <v>Winnipeg Jets</v>
      </c>
      <c r="L802" s="11">
        <f ca="1"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0.65206910526894113</v>
      </c>
      <c r="M802" t="str">
        <f ca="1">IF(OR((NHL2025_26Results[[#This Row],[Winning Team]]="")),"-",IF(Table4[[#This Row],[Predicted Winner]]=NHL2025_26Results[[#This Row],[Winning Team]],"YES","NO"))</f>
        <v>-</v>
      </c>
      <c r="N802" t="str">
        <f ca="1">IF(Table4[[#This Row],[Adjusted Correct]]="-", "",IF(Table4[[#This Row],[Adjusted Correct]]="YES",(Table4[[#This Row],[Strength of Win]]-1)^2,(Table4[[#This Row],[Strength of Win]]-0)^2))</f>
        <v/>
      </c>
      <c r="P802" s="11"/>
    </row>
    <row r="803" spans="4:16" x14ac:dyDescent="0.2">
      <c r="D803" s="1">
        <v>46045</v>
      </c>
      <c r="E803" s="2">
        <v>0.875</v>
      </c>
      <c r="F803" t="s">
        <v>16</v>
      </c>
      <c r="G803">
        <f>VLOOKUP(Table4[[#This Row],[Home]],'NHL Model'!$A$6:$B$38,2,FALSE)</f>
        <v>-1.3903684122795328</v>
      </c>
      <c r="H803" t="s">
        <v>22</v>
      </c>
      <c r="I803">
        <f>VLOOKUP(Table4[[#This Row],[Visitor]],'NHL Model'!$A$6:$B$38,2,FALSE)</f>
        <v>-6.1308839486784707E-2</v>
      </c>
      <c r="J803">
        <f ca="1">($B$1+Table4[[#This Row],[Home Differential]])-Table4[[#This Row],[Away Differential]]</f>
        <v>-1.1664872631304297</v>
      </c>
      <c r="K803" t="str">
        <f ca="1">IF(Table4[[#This Row],[HomeIce Differential]]&gt;0,Table4[[#This Row],[Home]],Table4[[#This Row],[Visitor]])</f>
        <v>Washington Capitals</v>
      </c>
      <c r="L803" s="11">
        <f ca="1"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0.62162691685653593</v>
      </c>
      <c r="M803" t="str">
        <f ca="1">IF(OR((NHL2025_26Results[[#This Row],[Winning Team]]="")),"-",IF(Table4[[#This Row],[Predicted Winner]]=NHL2025_26Results[[#This Row],[Winning Team]],"YES","NO"))</f>
        <v>-</v>
      </c>
      <c r="N803" t="str">
        <f ca="1">IF(Table4[[#This Row],[Adjusted Correct]]="-", "",IF(Table4[[#This Row],[Adjusted Correct]]="YES",(Table4[[#This Row],[Strength of Win]]-1)^2,(Table4[[#This Row],[Strength of Win]]-0)^2))</f>
        <v/>
      </c>
      <c r="P803" s="11"/>
    </row>
    <row r="804" spans="4:16" x14ac:dyDescent="0.2">
      <c r="D804" s="1">
        <v>46045</v>
      </c>
      <c r="E804" s="2">
        <v>0.79166666666666663</v>
      </c>
      <c r="F804" t="s">
        <v>10</v>
      </c>
      <c r="G804">
        <f>VLOOKUP(Table4[[#This Row],[Home]],'NHL Model'!$A$6:$B$38,2,FALSE)</f>
        <v>0.30570968833820172</v>
      </c>
      <c r="H804" t="s">
        <v>37</v>
      </c>
      <c r="I804">
        <f>VLOOKUP(Table4[[#This Row],[Visitor]],'NHL Model'!$A$6:$B$38,2,FALSE)</f>
        <v>-0.11309445867623392</v>
      </c>
      <c r="J804">
        <f ca="1">($B$1+Table4[[#This Row],[Home Differential]])-Table4[[#This Row],[Away Differential]]</f>
        <v>0.58137645667675408</v>
      </c>
      <c r="K804" t="str">
        <f ca="1">IF(Table4[[#This Row],[HomeIce Differential]]&gt;0,Table4[[#This Row],[Home]],Table4[[#This Row],[Visitor]])</f>
        <v>Chicago Blackhawks</v>
      </c>
      <c r="L804" s="11">
        <f ca="1"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0.57345535368937151</v>
      </c>
      <c r="M804" t="str">
        <f ca="1">IF(OR((NHL2025_26Results[[#This Row],[Winning Team]]="")),"-",IF(Table4[[#This Row],[Predicted Winner]]=NHL2025_26Results[[#This Row],[Winning Team]],"YES","NO"))</f>
        <v>-</v>
      </c>
      <c r="N804" t="str">
        <f ca="1">IF(Table4[[#This Row],[Adjusted Correct]]="-", "",IF(Table4[[#This Row],[Adjusted Correct]]="YES",(Table4[[#This Row],[Strength of Win]]-1)^2,(Table4[[#This Row],[Strength of Win]]-0)^2))</f>
        <v/>
      </c>
      <c r="P804" s="11"/>
    </row>
    <row r="805" spans="4:16" x14ac:dyDescent="0.2">
      <c r="D805" s="1">
        <v>46045</v>
      </c>
      <c r="E805" s="2">
        <v>0.875</v>
      </c>
      <c r="F805" t="s">
        <v>12</v>
      </c>
      <c r="G805">
        <f>VLOOKUP(Table4[[#This Row],[Home]],'NHL Model'!$A$6:$B$38,2,FALSE)</f>
        <v>1.5475013591489768</v>
      </c>
      <c r="H805" t="s">
        <v>27</v>
      </c>
      <c r="I805">
        <f>VLOOKUP(Table4[[#This Row],[Visitor]],'NHL Model'!$A$6:$B$38,2,FALSE)</f>
        <v>-0.51358590497437617</v>
      </c>
      <c r="J805">
        <f ca="1">($B$1+Table4[[#This Row],[Home Differential]])-Table4[[#This Row],[Away Differential]]</f>
        <v>2.2236595737856715</v>
      </c>
      <c r="K805" t="str">
        <f ca="1">IF(Table4[[#This Row],[HomeIce Differential]]&gt;0,Table4[[#This Row],[Home]],Table4[[#This Row],[Visitor]])</f>
        <v>Colorado Avalanche</v>
      </c>
      <c r="L805" s="11">
        <f ca="1"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0.93647354768895941</v>
      </c>
      <c r="M805" t="str">
        <f ca="1">IF(OR((NHL2025_26Results[[#This Row],[Winning Team]]="")),"-",IF(Table4[[#This Row],[Predicted Winner]]=NHL2025_26Results[[#This Row],[Winning Team]],"YES","NO"))</f>
        <v>-</v>
      </c>
      <c r="N805" t="str">
        <f ca="1">IF(Table4[[#This Row],[Adjusted Correct]]="-", "",IF(Table4[[#This Row],[Adjusted Correct]]="YES",(Table4[[#This Row],[Strength of Win]]-1)^2,(Table4[[#This Row],[Strength of Win]]-0)^2))</f>
        <v/>
      </c>
      <c r="P805" s="11"/>
    </row>
    <row r="806" spans="4:16" x14ac:dyDescent="0.2">
      <c r="D806" s="1">
        <v>46045</v>
      </c>
      <c r="E806" s="2">
        <v>0.83333333333333337</v>
      </c>
      <c r="F806" t="s">
        <v>39</v>
      </c>
      <c r="G806">
        <f>VLOOKUP(Table4[[#This Row],[Home]],'NHL Model'!$A$6:$B$38,2,FALSE)</f>
        <v>0.19809534061227302</v>
      </c>
      <c r="H806" t="s">
        <v>35</v>
      </c>
      <c r="I806">
        <f>VLOOKUP(Table4[[#This Row],[Visitor]],'NHL Model'!$A$6:$B$38,2,FALSE)</f>
        <v>-1.6211574240381006</v>
      </c>
      <c r="J806">
        <f ca="1">($B$1+Table4[[#This Row],[Home Differential]])-Table4[[#This Row],[Away Differential]]</f>
        <v>1.9818250743126919</v>
      </c>
      <c r="K806" t="str">
        <f ca="1">IF(Table4[[#This Row],[HomeIce Differential]]&gt;0,Table4[[#This Row],[Home]],Table4[[#This Row],[Visitor]])</f>
        <v>Dallas Stars</v>
      </c>
      <c r="L806" s="11">
        <f ca="1"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0.84063677060450059</v>
      </c>
      <c r="M806" t="str">
        <f ca="1">IF(OR((NHL2025_26Results[[#This Row],[Winning Team]]="")),"-",IF(Table4[[#This Row],[Predicted Winner]]=NHL2025_26Results[[#This Row],[Winning Team]],"YES","NO"))</f>
        <v>-</v>
      </c>
      <c r="N806" t="str">
        <f ca="1">IF(Table4[[#This Row],[Adjusted Correct]]="-", "",IF(Table4[[#This Row],[Adjusted Correct]]="YES",(Table4[[#This Row],[Strength of Win]]-1)^2,(Table4[[#This Row],[Strength of Win]]-0)^2))</f>
        <v/>
      </c>
      <c r="P806" s="11"/>
    </row>
    <row r="807" spans="4:16" x14ac:dyDescent="0.2">
      <c r="D807" s="1">
        <v>46045</v>
      </c>
      <c r="E807" s="2">
        <v>0.91666666666666663</v>
      </c>
      <c r="F807" t="s">
        <v>32</v>
      </c>
      <c r="G807">
        <f>VLOOKUP(Table4[[#This Row],[Home]],'NHL Model'!$A$6:$B$38,2,FALSE)</f>
        <v>-0.361361309178443</v>
      </c>
      <c r="H807" t="s">
        <v>31</v>
      </c>
      <c r="I807">
        <f>VLOOKUP(Table4[[#This Row],[Visitor]],'NHL Model'!$A$6:$B$38,2,FALSE)</f>
        <v>0.51775546328552802</v>
      </c>
      <c r="J807">
        <f ca="1">($B$1+Table4[[#This Row],[Home Differential]])-Table4[[#This Row],[Away Differential]]</f>
        <v>-0.71654446280165263</v>
      </c>
      <c r="K807" t="str">
        <f ca="1">IF(Table4[[#This Row],[HomeIce Differential]]&gt;0,Table4[[#This Row],[Home]],Table4[[#This Row],[Visitor]])</f>
        <v>Anaheim Ducks</v>
      </c>
      <c r="L807" s="11">
        <f ca="1"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0.55382889807183655</v>
      </c>
      <c r="M807" t="str">
        <f ca="1">IF(OR((NHL2025_26Results[[#This Row],[Winning Team]]="")),"-",IF(Table4[[#This Row],[Predicted Winner]]=NHL2025_26Results[[#This Row],[Winning Team]],"YES","NO"))</f>
        <v>-</v>
      </c>
      <c r="N807" t="str">
        <f ca="1">IF(Table4[[#This Row],[Adjusted Correct]]="-", "",IF(Table4[[#This Row],[Adjusted Correct]]="YES",(Table4[[#This Row],[Strength of Win]]-1)^2,(Table4[[#This Row],[Strength of Win]]-0)^2))</f>
        <v/>
      </c>
      <c r="P807" s="11"/>
    </row>
    <row r="808" spans="4:16" x14ac:dyDescent="0.2">
      <c r="D808" s="1">
        <v>46045</v>
      </c>
      <c r="E808" s="2">
        <v>0.91666666666666663</v>
      </c>
      <c r="F808" t="s">
        <v>33</v>
      </c>
      <c r="G808">
        <f>VLOOKUP(Table4[[#This Row],[Home]],'NHL Model'!$A$6:$B$38,2,FALSE)</f>
        <v>-0.39418177254008485</v>
      </c>
      <c r="H808" t="s">
        <v>15</v>
      </c>
      <c r="I808">
        <f>VLOOKUP(Table4[[#This Row],[Visitor]],'NHL Model'!$A$6:$B$38,2,FALSE)</f>
        <v>-0.30719665303039001</v>
      </c>
      <c r="J808">
        <f ca="1">($B$1+Table4[[#This Row],[Home Differential]])-Table4[[#This Row],[Away Differential]]</f>
        <v>7.5587190152623551E-2</v>
      </c>
      <c r="K808" t="str">
        <f ca="1">IF(Table4[[#This Row],[HomeIce Differential]]&gt;0,Table4[[#This Row],[Home]],Table4[[#This Row],[Visitor]])</f>
        <v>San Jose Sharks</v>
      </c>
      <c r="L808" s="11">
        <f ca="1"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0.4080636215355945</v>
      </c>
      <c r="M808" t="str">
        <f ca="1">IF(OR((NHL2025_26Results[[#This Row],[Winning Team]]="")),"-",IF(Table4[[#This Row],[Predicted Winner]]=NHL2025_26Results[[#This Row],[Winning Team]],"YES","NO"))</f>
        <v>-</v>
      </c>
      <c r="N808" t="str">
        <f ca="1">IF(Table4[[#This Row],[Adjusted Correct]]="-", "",IF(Table4[[#This Row],[Adjusted Correct]]="YES",(Table4[[#This Row],[Strength of Win]]-1)^2,(Table4[[#This Row],[Strength of Win]]-0)^2))</f>
        <v/>
      </c>
      <c r="P808" s="11"/>
    </row>
    <row r="809" spans="4:16" x14ac:dyDescent="0.2">
      <c r="D809" s="1">
        <v>46045</v>
      </c>
      <c r="E809" s="2">
        <v>0.79166666666666663</v>
      </c>
      <c r="F809" t="s">
        <v>19</v>
      </c>
      <c r="G809">
        <f>VLOOKUP(Table4[[#This Row],[Home]],'NHL Model'!$A$6:$B$38,2,FALSE)</f>
        <v>-0.635565543477981</v>
      </c>
      <c r="H809" t="s">
        <v>20</v>
      </c>
      <c r="I809">
        <f>VLOOKUP(Table4[[#This Row],[Visitor]],'NHL Model'!$A$6:$B$38,2,FALSE)</f>
        <v>-6.3745791019188943E-4</v>
      </c>
      <c r="J809">
        <f ca="1">($B$1+Table4[[#This Row],[Home Differential]])-Table4[[#This Row],[Away Differential]]</f>
        <v>-0.47235577590547073</v>
      </c>
      <c r="K809" t="str">
        <f ca="1">IF(Table4[[#This Row],[HomeIce Differential]]&gt;0,Table4[[#This Row],[Home]],Table4[[#This Row],[Visitor]])</f>
        <v>Vegas Golden Knights</v>
      </c>
      <c r="L809" s="11">
        <f ca="1"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0.54621821605355747</v>
      </c>
      <c r="M809" t="str">
        <f ca="1">IF(OR((NHL2025_26Results[[#This Row],[Winning Team]]="")),"-",IF(Table4[[#This Row],[Predicted Winner]]=NHL2025_26Results[[#This Row],[Winning Team]],"YES","NO"))</f>
        <v>-</v>
      </c>
      <c r="N809" t="str">
        <f ca="1">IF(Table4[[#This Row],[Adjusted Correct]]="-", "",IF(Table4[[#This Row],[Adjusted Correct]]="YES",(Table4[[#This Row],[Strength of Win]]-1)^2,(Table4[[#This Row],[Strength of Win]]-0)^2))</f>
        <v/>
      </c>
      <c r="P809" s="11"/>
    </row>
    <row r="810" spans="4:16" x14ac:dyDescent="0.2">
      <c r="D810" s="1">
        <v>46045</v>
      </c>
      <c r="E810" s="2">
        <v>0.91666666666666663</v>
      </c>
      <c r="F810" t="s">
        <v>38</v>
      </c>
      <c r="G810">
        <f>VLOOKUP(Table4[[#This Row],[Home]],'NHL Model'!$A$6:$B$38,2,FALSE)</f>
        <v>-0.6902088310934803</v>
      </c>
      <c r="H810" t="s">
        <v>24</v>
      </c>
      <c r="I810">
        <f>VLOOKUP(Table4[[#This Row],[Visitor]],'NHL Model'!$A$6:$B$38,2,FALSE)</f>
        <v>0.559441163373953</v>
      </c>
      <c r="J810">
        <f ca="1">($B$1+Table4[[#This Row],[Home Differential]])-Table4[[#This Row],[Away Differential]]</f>
        <v>-1.0870776848051149</v>
      </c>
      <c r="K810" t="str">
        <f ca="1">IF(Table4[[#This Row],[HomeIce Differential]]&gt;0,Table4[[#This Row],[Home]],Table4[[#This Row],[Visitor]])</f>
        <v>New Jersey Devils</v>
      </c>
      <c r="L810" s="11">
        <f ca="1"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0.67693982124156982</v>
      </c>
      <c r="M810" t="str">
        <f ca="1">IF(OR((NHL2025_26Results[[#This Row],[Winning Team]]="")),"-",IF(Table4[[#This Row],[Predicted Winner]]=NHL2025_26Results[[#This Row],[Winning Team]],"YES","NO"))</f>
        <v>-</v>
      </c>
      <c r="N810" t="str">
        <f ca="1">IF(Table4[[#This Row],[Adjusted Correct]]="-", "",IF(Table4[[#This Row],[Adjusted Correct]]="YES",(Table4[[#This Row],[Strength of Win]]-1)^2,(Table4[[#This Row],[Strength of Win]]-0)^2))</f>
        <v/>
      </c>
      <c r="P810" s="11"/>
    </row>
    <row r="811" spans="4:16" x14ac:dyDescent="0.2">
      <c r="D811" s="1">
        <v>46046</v>
      </c>
      <c r="E811" s="2">
        <v>0.79166666666666663</v>
      </c>
      <c r="F811" t="s">
        <v>21</v>
      </c>
      <c r="G811">
        <f>VLOOKUP(Table4[[#This Row],[Home]],'NHL Model'!$A$6:$B$38,2,FALSE)</f>
        <v>4.029141914856392E-2</v>
      </c>
      <c r="H811" t="s">
        <v>18</v>
      </c>
      <c r="I811">
        <f>VLOOKUP(Table4[[#This Row],[Visitor]],'NHL Model'!$A$6:$B$38,2,FALSE)</f>
        <v>-0.52437726201848234</v>
      </c>
      <c r="J811">
        <f ca="1">($B$1+Table4[[#This Row],[Home Differential]])-Table4[[#This Row],[Away Differential]]</f>
        <v>0.72724099082936466</v>
      </c>
      <c r="K811" t="str">
        <f ca="1">IF(Table4[[#This Row],[HomeIce Differential]]&gt;0,Table4[[#This Row],[Home]],Table4[[#This Row],[Visitor]])</f>
        <v>Boston Bruins</v>
      </c>
      <c r="L811" s="11">
        <f ca="1"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0.63858066621071563</v>
      </c>
      <c r="M811" t="str">
        <f ca="1">IF(OR((NHL2025_26Results[[#This Row],[Winning Team]]="")),"-",IF(Table4[[#This Row],[Predicted Winner]]=NHL2025_26Results[[#This Row],[Winning Team]],"YES","NO"))</f>
        <v>-</v>
      </c>
      <c r="N811" t="str">
        <f ca="1">IF(Table4[[#This Row],[Adjusted Correct]]="-", "",IF(Table4[[#This Row],[Adjusted Correct]]="YES",(Table4[[#This Row],[Strength of Win]]-1)^2,(Table4[[#This Row],[Strength of Win]]-0)^2))</f>
        <v/>
      </c>
      <c r="P811" s="11"/>
    </row>
    <row r="812" spans="4:16" x14ac:dyDescent="0.2">
      <c r="D812" s="1">
        <v>46046</v>
      </c>
      <c r="E812" s="2">
        <v>0.79166666666666663</v>
      </c>
      <c r="F812" t="s">
        <v>28</v>
      </c>
      <c r="G812">
        <f>VLOOKUP(Table4[[#This Row],[Home]],'NHL Model'!$A$6:$B$38,2,FALSE)</f>
        <v>-0.40822279081308277</v>
      </c>
      <c r="H812" t="s">
        <v>37</v>
      </c>
      <c r="I812">
        <f>VLOOKUP(Table4[[#This Row],[Visitor]],'NHL Model'!$A$6:$B$38,2,FALSE)</f>
        <v>-0.11309445867623392</v>
      </c>
      <c r="J812">
        <f ca="1">($B$1+Table4[[#This Row],[Home Differential]])-Table4[[#This Row],[Away Differential]]</f>
        <v>-0.13255602247453047</v>
      </c>
      <c r="K812" t="str">
        <f ca="1">IF(Table4[[#This Row],[HomeIce Differential]]&gt;0,Table4[[#This Row],[Home]],Table4[[#This Row],[Visitor]])</f>
        <v>Tampa Bay Lightning</v>
      </c>
      <c r="L812" s="11">
        <f ca="1"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0.52546617687179242</v>
      </c>
      <c r="M812" t="str">
        <f ca="1">IF(OR((NHL2025_26Results[[#This Row],[Winning Team]]="")),"-",IF(Table4[[#This Row],[Predicted Winner]]=NHL2025_26Results[[#This Row],[Winning Team]],"YES","NO"))</f>
        <v>-</v>
      </c>
      <c r="N812" t="str">
        <f ca="1">IF(Table4[[#This Row],[Adjusted Correct]]="-", "",IF(Table4[[#This Row],[Adjusted Correct]]="YES",(Table4[[#This Row],[Strength of Win]]-1)^2,(Table4[[#This Row],[Strength of Win]]-0)^2))</f>
        <v/>
      </c>
      <c r="P812" s="11"/>
    </row>
    <row r="813" spans="4:16" x14ac:dyDescent="0.2">
      <c r="D813" s="1">
        <v>46046</v>
      </c>
      <c r="E813" s="2">
        <v>0.91666666666666663</v>
      </c>
      <c r="F813" t="s">
        <v>17</v>
      </c>
      <c r="G813">
        <f>VLOOKUP(Table4[[#This Row],[Home]],'NHL Model'!$A$6:$B$38,2,FALSE)</f>
        <v>-0.61980804137564283</v>
      </c>
      <c r="H813" t="s">
        <v>22</v>
      </c>
      <c r="I813">
        <f>VLOOKUP(Table4[[#This Row],[Visitor]],'NHL Model'!$A$6:$B$38,2,FALSE)</f>
        <v>-6.1308839486784707E-2</v>
      </c>
      <c r="J813">
        <f ca="1">($B$1+Table4[[#This Row],[Home Differential]])-Table4[[#This Row],[Away Differential]]</f>
        <v>-0.39592689222653971</v>
      </c>
      <c r="K813" t="str">
        <f ca="1">IF(Table4[[#This Row],[HomeIce Differential]]&gt;0,Table4[[#This Row],[Home]],Table4[[#This Row],[Visitor]])</f>
        <v>Washington Capitals</v>
      </c>
      <c r="L813" s="11">
        <f ca="1"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0.47882223490449061</v>
      </c>
      <c r="M813" t="str">
        <f ca="1">IF(OR((NHL2025_26Results[[#This Row],[Winning Team]]="")),"-",IF(Table4[[#This Row],[Predicted Winner]]=NHL2025_26Results[[#This Row],[Winning Team]],"YES","NO"))</f>
        <v>-</v>
      </c>
      <c r="N813" t="str">
        <f ca="1">IF(Table4[[#This Row],[Adjusted Correct]]="-", "",IF(Table4[[#This Row],[Adjusted Correct]]="YES",(Table4[[#This Row],[Strength of Win]]-1)^2,(Table4[[#This Row],[Strength of Win]]-0)^2))</f>
        <v/>
      </c>
      <c r="P813" s="11"/>
    </row>
    <row r="814" spans="4:16" x14ac:dyDescent="0.2">
      <c r="D814" s="1">
        <v>46046</v>
      </c>
      <c r="E814" s="2">
        <v>0.875</v>
      </c>
      <c r="F814" t="s">
        <v>34</v>
      </c>
      <c r="G814">
        <f>VLOOKUP(Table4[[#This Row],[Home]],'NHL Model'!$A$6:$B$38,2,FALSE)</f>
        <v>-0.53650300840565446</v>
      </c>
      <c r="H814" t="s">
        <v>11</v>
      </c>
      <c r="I814">
        <f>VLOOKUP(Table4[[#This Row],[Visitor]],'NHL Model'!$A$6:$B$38,2,FALSE)</f>
        <v>-0.28105923893144158</v>
      </c>
      <c r="J814">
        <f ca="1">($B$1+Table4[[#This Row],[Home Differential]])-Table4[[#This Row],[Away Differential]]</f>
        <v>-9.2871459811894486E-2</v>
      </c>
      <c r="K814" t="str">
        <f ca="1">IF(Table4[[#This Row],[HomeIce Differential]]&gt;0,Table4[[#This Row],[Home]],Table4[[#This Row],[Visitor]])</f>
        <v>Florida Panthers</v>
      </c>
      <c r="L814" s="11">
        <f ca="1"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0.4728681454035592</v>
      </c>
      <c r="M814" t="str">
        <f ca="1">IF(OR((NHL2025_26Results[[#This Row],[Winning Team]]="")),"-",IF(Table4[[#This Row],[Predicted Winner]]=NHL2025_26Results[[#This Row],[Winning Team]],"YES","NO"))</f>
        <v>-</v>
      </c>
      <c r="N814" t="str">
        <f ca="1">IF(Table4[[#This Row],[Adjusted Correct]]="-", "",IF(Table4[[#This Row],[Adjusted Correct]]="YES",(Table4[[#This Row],[Strength of Win]]-1)^2,(Table4[[#This Row],[Strength of Win]]-0)^2))</f>
        <v/>
      </c>
      <c r="P814" s="11"/>
    </row>
    <row r="815" spans="4:16" x14ac:dyDescent="0.2">
      <c r="D815" s="1">
        <v>46046</v>
      </c>
      <c r="E815" s="2">
        <v>0.64583333333333337</v>
      </c>
      <c r="F815" t="s">
        <v>29</v>
      </c>
      <c r="G815">
        <f>VLOOKUP(Table4[[#This Row],[Home]],'NHL Model'!$A$6:$B$38,2,FALSE)</f>
        <v>-1.3516250707060606</v>
      </c>
      <c r="H815" t="s">
        <v>55</v>
      </c>
      <c r="I815">
        <f>VLOOKUP(Table4[[#This Row],[Visitor]],'NHL Model'!$A$6:$B$38,2,FALSE)</f>
        <v>-0.12212311954851815</v>
      </c>
      <c r="J815">
        <f ca="1">($B$1+Table4[[#This Row],[Home Differential]])-Table4[[#This Row],[Away Differential]]</f>
        <v>-1.0669296414952241</v>
      </c>
      <c r="K815" t="str">
        <f ca="1">IF(Table4[[#This Row],[HomeIce Differential]]&gt;0,Table4[[#This Row],[Home]],Table4[[#This Row],[Visitor]])</f>
        <v>Utah Mammoth</v>
      </c>
      <c r="L815" s="11">
        <f ca="1"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0.60783234580285384</v>
      </c>
      <c r="M815" t="str">
        <f ca="1">IF(OR((NHL2025_26Results[[#This Row],[Winning Team]]="")),"-",IF(Table4[[#This Row],[Predicted Winner]]=NHL2025_26Results[[#This Row],[Winning Team]],"YES","NO"))</f>
        <v>-</v>
      </c>
      <c r="N815" t="str">
        <f ca="1">IF(Table4[[#This Row],[Adjusted Correct]]="-", "",IF(Table4[[#This Row],[Adjusted Correct]]="YES",(Table4[[#This Row],[Strength of Win]]-1)^2,(Table4[[#This Row],[Strength of Win]]-0)^2))</f>
        <v/>
      </c>
      <c r="P815" s="11"/>
    </row>
    <row r="816" spans="4:16" x14ac:dyDescent="0.2">
      <c r="D816" s="1">
        <v>46046</v>
      </c>
      <c r="E816" s="2">
        <v>0.54166666666666663</v>
      </c>
      <c r="F816" t="s">
        <v>30</v>
      </c>
      <c r="G816">
        <f>VLOOKUP(Table4[[#This Row],[Home]],'NHL Model'!$A$6:$B$38,2,FALSE)</f>
        <v>-6.4729560818359025E-2</v>
      </c>
      <c r="H816" t="s">
        <v>23</v>
      </c>
      <c r="I816">
        <f>VLOOKUP(Table4[[#This Row],[Visitor]],'NHL Model'!$A$6:$B$38,2,FALSE)</f>
        <v>-0.8683412362501769</v>
      </c>
      <c r="J816">
        <f ca="1">($B$1+Table4[[#This Row],[Home Differential]])-Table4[[#This Row],[Away Differential]]</f>
        <v>0.96618398509413628</v>
      </c>
      <c r="K816" t="str">
        <f ca="1">IF(Table4[[#This Row],[HomeIce Differential]]&gt;0,Table4[[#This Row],[Home]],Table4[[#This Row],[Visitor]])</f>
        <v>New York Islanders</v>
      </c>
      <c r="L816" s="11">
        <f ca="1"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0.67387316223911953</v>
      </c>
      <c r="M816" t="str">
        <f ca="1">IF(OR((NHL2025_26Results[[#This Row],[Winning Team]]="")),"-",IF(Table4[[#This Row],[Predicted Winner]]=NHL2025_26Results[[#This Row],[Winning Team]],"YES","NO"))</f>
        <v>-</v>
      </c>
      <c r="N816" t="str">
        <f ca="1">IF(Table4[[#This Row],[Adjusted Correct]]="-", "",IF(Table4[[#This Row],[Adjusted Correct]]="YES",(Table4[[#This Row],[Strength of Win]]-1)^2,(Table4[[#This Row],[Strength of Win]]-0)^2))</f>
        <v/>
      </c>
      <c r="P816" s="11"/>
    </row>
    <row r="817" spans="4:16" x14ac:dyDescent="0.2">
      <c r="D817" s="1">
        <v>46046</v>
      </c>
      <c r="E817" s="2">
        <v>0.79166666666666663</v>
      </c>
      <c r="F817" t="s">
        <v>36</v>
      </c>
      <c r="G817">
        <f>VLOOKUP(Table4[[#This Row],[Home]],'NHL Model'!$A$6:$B$38,2,FALSE)</f>
        <v>-0.40651947573390851</v>
      </c>
      <c r="H817" t="s">
        <v>25</v>
      </c>
      <c r="I817">
        <f>VLOOKUP(Table4[[#This Row],[Visitor]],'NHL Model'!$A$6:$B$38,2,FALSE)</f>
        <v>0.67193921242367816</v>
      </c>
      <c r="J817">
        <f ca="1">($B$1+Table4[[#This Row],[Home Differential]])-Table4[[#This Row],[Away Differential]]</f>
        <v>-0.91588637849526822</v>
      </c>
      <c r="K817" t="str">
        <f ca="1">IF(Table4[[#This Row],[HomeIce Differential]]&gt;0,Table4[[#This Row],[Home]],Table4[[#This Row],[Visitor]])</f>
        <v>Carolina Hurricanes</v>
      </c>
      <c r="L817" s="11">
        <f ca="1"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0.6769039930618912</v>
      </c>
      <c r="M817" t="str">
        <f ca="1">IF(OR((NHL2025_26Results[[#This Row],[Winning Team]]="")),"-",IF(Table4[[#This Row],[Predicted Winner]]=NHL2025_26Results[[#This Row],[Winning Team]],"YES","NO"))</f>
        <v>-</v>
      </c>
      <c r="N817" t="str">
        <f ca="1">IF(Table4[[#This Row],[Adjusted Correct]]="-", "",IF(Table4[[#This Row],[Adjusted Correct]]="YES",(Table4[[#This Row],[Strength of Win]]-1)^2,(Table4[[#This Row],[Strength of Win]]-0)^2))</f>
        <v/>
      </c>
      <c r="P817" s="11"/>
    </row>
    <row r="818" spans="4:16" x14ac:dyDescent="0.2">
      <c r="D818" s="1">
        <v>46046</v>
      </c>
      <c r="E818" s="2">
        <v>0.83333333333333337</v>
      </c>
      <c r="F818" t="s">
        <v>35</v>
      </c>
      <c r="G818">
        <f>VLOOKUP(Table4[[#This Row],[Home]],'NHL Model'!$A$6:$B$38,2,FALSE)</f>
        <v>-1.6211574240381006</v>
      </c>
      <c r="H818" t="s">
        <v>13</v>
      </c>
      <c r="I818">
        <f>VLOOKUP(Table4[[#This Row],[Visitor]],'NHL Model'!$A$6:$B$38,2,FALSE)</f>
        <v>-7.5459708298993802E-2</v>
      </c>
      <c r="J818">
        <f ca="1">($B$1+Table4[[#This Row],[Home Differential]])-Table4[[#This Row],[Away Differential]]</f>
        <v>-1.3831254060767884</v>
      </c>
      <c r="K818" t="str">
        <f ca="1">IF(Table4[[#This Row],[HomeIce Differential]]&gt;0,Table4[[#This Row],[Home]],Table4[[#This Row],[Visitor]])</f>
        <v>Los Angeles Kings</v>
      </c>
      <c r="L818" s="11">
        <f ca="1"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0.77303935737117946</v>
      </c>
      <c r="M818" t="str">
        <f ca="1">IF(OR((NHL2025_26Results[[#This Row],[Winning Team]]="")),"-",IF(Table4[[#This Row],[Predicted Winner]]=NHL2025_26Results[[#This Row],[Winning Team]],"YES","NO"))</f>
        <v>-</v>
      </c>
      <c r="N818" t="str">
        <f ca="1">IF(Table4[[#This Row],[Adjusted Correct]]="-", "",IF(Table4[[#This Row],[Adjusted Correct]]="YES",(Table4[[#This Row],[Strength of Win]]-1)^2,(Table4[[#This Row],[Strength of Win]]-0)^2))</f>
        <v/>
      </c>
      <c r="P818" s="11"/>
    </row>
    <row r="819" spans="4:16" x14ac:dyDescent="0.2">
      <c r="D819" s="1">
        <v>46046</v>
      </c>
      <c r="E819" s="2">
        <v>0.79166666666666663</v>
      </c>
      <c r="F819" t="s">
        <v>40</v>
      </c>
      <c r="G819">
        <f>VLOOKUP(Table4[[#This Row],[Home]],'NHL Model'!$A$6:$B$38,2,FALSE)</f>
        <v>0.105105258369765</v>
      </c>
      <c r="H819" t="s">
        <v>26</v>
      </c>
      <c r="I819">
        <f>VLOOKUP(Table4[[#This Row],[Visitor]],'NHL Model'!$A$6:$B$38,2,FALSE)</f>
        <v>-0.513643833119658</v>
      </c>
      <c r="J819">
        <f ca="1">($B$1+Table4[[#This Row],[Home Differential]])-Table4[[#This Row],[Away Differential]]</f>
        <v>0.78132140115174142</v>
      </c>
      <c r="K819" t="str">
        <f ca="1">IF(Table4[[#This Row],[HomeIce Differential]]&gt;0,Table4[[#This Row],[Home]],Table4[[#This Row],[Visitor]])</f>
        <v>Winnipeg Jets</v>
      </c>
      <c r="L819" s="11">
        <f ca="1"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0.63767061427384764</v>
      </c>
      <c r="M819" t="str">
        <f ca="1">IF(OR((NHL2025_26Results[[#This Row],[Winning Team]]="")),"-",IF(Table4[[#This Row],[Predicted Winner]]=NHL2025_26Results[[#This Row],[Winning Team]],"YES","NO"))</f>
        <v>-</v>
      </c>
      <c r="N819" t="str">
        <f ca="1">IF(Table4[[#This Row],[Adjusted Correct]]="-", "",IF(Table4[[#This Row],[Adjusted Correct]]="YES",(Table4[[#This Row],[Strength of Win]]-1)^2,(Table4[[#This Row],[Strength of Win]]-0)^2))</f>
        <v/>
      </c>
      <c r="P819" s="11"/>
    </row>
    <row r="820" spans="4:16" x14ac:dyDescent="0.2">
      <c r="D820" s="1">
        <v>46047</v>
      </c>
      <c r="E820" s="2">
        <v>0.83333333333333337</v>
      </c>
      <c r="F820" t="s">
        <v>16</v>
      </c>
      <c r="G820">
        <f>VLOOKUP(Table4[[#This Row],[Home]],'NHL Model'!$A$6:$B$38,2,FALSE)</f>
        <v>-1.3903684122795328</v>
      </c>
      <c r="H820" t="s">
        <v>31</v>
      </c>
      <c r="I820">
        <f>VLOOKUP(Table4[[#This Row],[Visitor]],'NHL Model'!$A$6:$B$38,2,FALSE)</f>
        <v>0.51775546328552802</v>
      </c>
      <c r="J820">
        <f ca="1">($B$1+Table4[[#This Row],[Home Differential]])-Table4[[#This Row],[Away Differential]]</f>
        <v>-1.7455515659027423</v>
      </c>
      <c r="K820" t="str">
        <f ca="1">IF(Table4[[#This Row],[HomeIce Differential]]&gt;0,Table4[[#This Row],[Home]],Table4[[#This Row],[Visitor]])</f>
        <v>Anaheim Ducks</v>
      </c>
      <c r="L820" s="11">
        <f ca="1"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0.72263052383970017</v>
      </c>
      <c r="M820" t="str">
        <f ca="1">IF(OR((NHL2025_26Results[[#This Row],[Winning Team]]="")),"-",IF(Table4[[#This Row],[Predicted Winner]]=NHL2025_26Results[[#This Row],[Winning Team]],"YES","NO"))</f>
        <v>-</v>
      </c>
      <c r="N820" t="str">
        <f ca="1">IF(Table4[[#This Row],[Adjusted Correct]]="-", "",IF(Table4[[#This Row],[Adjusted Correct]]="YES",(Table4[[#This Row],[Strength of Win]]-1)^2,(Table4[[#This Row],[Strength of Win]]-0)^2))</f>
        <v/>
      </c>
      <c r="P820" s="11"/>
    </row>
    <row r="821" spans="4:16" x14ac:dyDescent="0.2">
      <c r="D821" s="1">
        <v>46047</v>
      </c>
      <c r="E821" s="2">
        <v>0.79166666666666663</v>
      </c>
      <c r="F821" t="s">
        <v>10</v>
      </c>
      <c r="G821">
        <f>VLOOKUP(Table4[[#This Row],[Home]],'NHL Model'!$A$6:$B$38,2,FALSE)</f>
        <v>0.30570968833820172</v>
      </c>
      <c r="H821" t="s">
        <v>11</v>
      </c>
      <c r="I821">
        <f>VLOOKUP(Table4[[#This Row],[Visitor]],'NHL Model'!$A$6:$B$38,2,FALSE)</f>
        <v>-0.28105923893144158</v>
      </c>
      <c r="J821">
        <f ca="1">($B$1+Table4[[#This Row],[Home Differential]])-Table4[[#This Row],[Away Differential]]</f>
        <v>0.74934123693196164</v>
      </c>
      <c r="K821" t="str">
        <f ca="1">IF(Table4[[#This Row],[HomeIce Differential]]&gt;0,Table4[[#This Row],[Home]],Table4[[#This Row],[Visitor]])</f>
        <v>Chicago Blackhawks</v>
      </c>
      <c r="L821" s="11">
        <f ca="1"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0.64382772073631611</v>
      </c>
      <c r="M821" t="str">
        <f ca="1">IF(OR((NHL2025_26Results[[#This Row],[Winning Team]]="")),"-",IF(Table4[[#This Row],[Predicted Winner]]=NHL2025_26Results[[#This Row],[Winning Team]],"YES","NO"))</f>
        <v>-</v>
      </c>
      <c r="N821" t="str">
        <f ca="1">IF(Table4[[#This Row],[Adjusted Correct]]="-", "",IF(Table4[[#This Row],[Adjusted Correct]]="YES",(Table4[[#This Row],[Strength of Win]]-1)^2,(Table4[[#This Row],[Strength of Win]]-0)^2))</f>
        <v/>
      </c>
      <c r="P821" s="11"/>
    </row>
    <row r="822" spans="4:16" x14ac:dyDescent="0.2">
      <c r="D822" s="1">
        <v>46047</v>
      </c>
      <c r="E822" s="2">
        <v>0.70833333333333337</v>
      </c>
      <c r="F822" t="s">
        <v>36</v>
      </c>
      <c r="G822">
        <f>VLOOKUP(Table4[[#This Row],[Home]],'NHL Model'!$A$6:$B$38,2,FALSE)</f>
        <v>-0.40651947573390851</v>
      </c>
      <c r="H822" t="s">
        <v>20</v>
      </c>
      <c r="I822">
        <f>VLOOKUP(Table4[[#This Row],[Visitor]],'NHL Model'!$A$6:$B$38,2,FALSE)</f>
        <v>-6.3745791019188943E-4</v>
      </c>
      <c r="J822">
        <f ca="1">($B$1+Table4[[#This Row],[Home Differential]])-Table4[[#This Row],[Away Differential]]</f>
        <v>-0.24330970816139821</v>
      </c>
      <c r="K822" t="str">
        <f ca="1">IF(Table4[[#This Row],[HomeIce Differential]]&gt;0,Table4[[#This Row],[Home]],Table4[[#This Row],[Visitor]])</f>
        <v>Vegas Golden Knights</v>
      </c>
      <c r="L822" s="11">
        <f ca="1"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0.51197353768801812</v>
      </c>
      <c r="M822" t="str">
        <f ca="1">IF(OR((NHL2025_26Results[[#This Row],[Winning Team]]="")),"-",IF(Table4[[#This Row],[Predicted Winner]]=NHL2025_26Results[[#This Row],[Winning Team]],"YES","NO"))</f>
        <v>-</v>
      </c>
      <c r="N822" t="str">
        <f ca="1">IF(Table4[[#This Row],[Adjusted Correct]]="-", "",IF(Table4[[#This Row],[Adjusted Correct]]="YES",(Table4[[#This Row],[Strength of Win]]-1)^2,(Table4[[#This Row],[Strength of Win]]-0)^2))</f>
        <v/>
      </c>
      <c r="P822" s="11"/>
    </row>
    <row r="823" spans="4:16" x14ac:dyDescent="0.2">
      <c r="D823" s="1">
        <v>46047</v>
      </c>
      <c r="E823" s="2">
        <v>0.66666666666666663</v>
      </c>
      <c r="F823" t="s">
        <v>32</v>
      </c>
      <c r="G823">
        <f>VLOOKUP(Table4[[#This Row],[Home]],'NHL Model'!$A$6:$B$38,2,FALSE)</f>
        <v>-0.361361309178443</v>
      </c>
      <c r="H823" t="s">
        <v>24</v>
      </c>
      <c r="I823">
        <f>VLOOKUP(Table4[[#This Row],[Visitor]],'NHL Model'!$A$6:$B$38,2,FALSE)</f>
        <v>0.559441163373953</v>
      </c>
      <c r="J823">
        <f ca="1">($B$1+Table4[[#This Row],[Home Differential]])-Table4[[#This Row],[Away Differential]]</f>
        <v>-0.75823016289007761</v>
      </c>
      <c r="K823" t="str">
        <f ca="1">IF(Table4[[#This Row],[HomeIce Differential]]&gt;0,Table4[[#This Row],[Home]],Table4[[#This Row],[Visitor]])</f>
        <v>New Jersey Devils</v>
      </c>
      <c r="L823" s="11">
        <f ca="1"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0.60505935844226133</v>
      </c>
      <c r="M823" t="str">
        <f ca="1">IF(OR((NHL2025_26Results[[#This Row],[Winning Team]]="")),"-",IF(Table4[[#This Row],[Predicted Winner]]=NHL2025_26Results[[#This Row],[Winning Team]],"YES","NO"))</f>
        <v>-</v>
      </c>
      <c r="N823" t="str">
        <f ca="1">IF(Table4[[#This Row],[Adjusted Correct]]="-", "",IF(Table4[[#This Row],[Adjusted Correct]]="YES",(Table4[[#This Row],[Strength of Win]]-1)^2,(Table4[[#This Row],[Strength of Win]]-0)^2))</f>
        <v/>
      </c>
      <c r="P823" s="11"/>
    </row>
    <row r="824" spans="4:16" x14ac:dyDescent="0.2">
      <c r="D824" s="1">
        <v>46047</v>
      </c>
      <c r="E824" s="2">
        <v>0.5625</v>
      </c>
      <c r="F824" t="s">
        <v>19</v>
      </c>
      <c r="G824">
        <f>VLOOKUP(Table4[[#This Row],[Home]],'NHL Model'!$A$6:$B$38,2,FALSE)</f>
        <v>-0.635565543477981</v>
      </c>
      <c r="H824" t="s">
        <v>12</v>
      </c>
      <c r="I824">
        <f>VLOOKUP(Table4[[#This Row],[Visitor]],'NHL Model'!$A$6:$B$38,2,FALSE)</f>
        <v>1.5475013591489768</v>
      </c>
      <c r="J824">
        <f ca="1">($B$1+Table4[[#This Row],[Home Differential]])-Table4[[#This Row],[Away Differential]]</f>
        <v>-2.0204945929646394</v>
      </c>
      <c r="K824" t="str">
        <f ca="1">IF(Table4[[#This Row],[HomeIce Differential]]&gt;0,Table4[[#This Row],[Home]],Table4[[#This Row],[Visitor]])</f>
        <v>Colorado Avalanche</v>
      </c>
      <c r="L824" s="11">
        <f ca="1"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0.80627282107451825</v>
      </c>
      <c r="M824" t="str">
        <f ca="1">IF(OR((NHL2025_26Results[[#This Row],[Winning Team]]="")),"-",IF(Table4[[#This Row],[Predicted Winner]]=NHL2025_26Results[[#This Row],[Winning Team]],"YES","NO"))</f>
        <v>-</v>
      </c>
      <c r="N824" t="str">
        <f ca="1">IF(Table4[[#This Row],[Adjusted Correct]]="-", "",IF(Table4[[#This Row],[Adjusted Correct]]="YES",(Table4[[#This Row],[Strength of Win]]-1)^2,(Table4[[#This Row],[Strength of Win]]-0)^2))</f>
        <v/>
      </c>
      <c r="P824" s="11"/>
    </row>
    <row r="825" spans="4:16" x14ac:dyDescent="0.2">
      <c r="D825" s="1">
        <v>46047</v>
      </c>
      <c r="E825" s="2">
        <v>0.75</v>
      </c>
      <c r="F825" t="s">
        <v>38</v>
      </c>
      <c r="G825">
        <f>VLOOKUP(Table4[[#This Row],[Home]],'NHL Model'!$A$6:$B$38,2,FALSE)</f>
        <v>-0.6902088310934803</v>
      </c>
      <c r="H825" t="s">
        <v>14</v>
      </c>
      <c r="I825">
        <f>VLOOKUP(Table4[[#This Row],[Visitor]],'NHL Model'!$A$6:$B$38,2,FALSE)</f>
        <v>0.26289091192875702</v>
      </c>
      <c r="J825">
        <f ca="1">($B$1+Table4[[#This Row],[Home Differential]])-Table4[[#This Row],[Away Differential]]</f>
        <v>-0.79052743335991893</v>
      </c>
      <c r="K825" t="str">
        <f ca="1">IF(Table4[[#This Row],[HomeIce Differential]]&gt;0,Table4[[#This Row],[Home]],Table4[[#This Row],[Visitor]])</f>
        <v>Pittsburgh Penguins</v>
      </c>
      <c r="L825" s="11">
        <f ca="1"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0.56953442509229335</v>
      </c>
      <c r="M825" t="str">
        <f ca="1">IF(OR((NHL2025_26Results[[#This Row],[Winning Team]]="")),"-",IF(Table4[[#This Row],[Predicted Winner]]=NHL2025_26Results[[#This Row],[Winning Team]],"YES","NO"))</f>
        <v>-</v>
      </c>
      <c r="N825" t="str">
        <f ca="1">IF(Table4[[#This Row],[Adjusted Correct]]="-", "",IF(Table4[[#This Row],[Adjusted Correct]]="YES",(Table4[[#This Row],[Strength of Win]]-1)^2,(Table4[[#This Row],[Strength of Win]]-0)^2))</f>
        <v/>
      </c>
      <c r="P825" s="11"/>
    </row>
    <row r="826" spans="4:16" x14ac:dyDescent="0.2">
      <c r="D826" s="1">
        <v>46048</v>
      </c>
      <c r="E826" s="2">
        <v>0.79166666666666663</v>
      </c>
      <c r="F826" t="s">
        <v>28</v>
      </c>
      <c r="G826">
        <f>VLOOKUP(Table4[[#This Row],[Home]],'NHL Model'!$A$6:$B$38,2,FALSE)</f>
        <v>-0.40822279081308277</v>
      </c>
      <c r="H826" t="s">
        <v>13</v>
      </c>
      <c r="I826">
        <f>VLOOKUP(Table4[[#This Row],[Visitor]],'NHL Model'!$A$6:$B$38,2,FALSE)</f>
        <v>-7.5459708298993802E-2</v>
      </c>
      <c r="J826">
        <f ca="1">($B$1+Table4[[#This Row],[Home Differential]])-Table4[[#This Row],[Away Differential]]</f>
        <v>-0.17019077285177059</v>
      </c>
      <c r="K826" t="str">
        <f ca="1">IF(Table4[[#This Row],[HomeIce Differential]]&gt;0,Table4[[#This Row],[Home]],Table4[[#This Row],[Visitor]])</f>
        <v>Los Angeles Kings</v>
      </c>
      <c r="L826" s="11">
        <f ca="1"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0.60497675496387615</v>
      </c>
      <c r="M826" t="str">
        <f ca="1">IF(OR((NHL2025_26Results[[#This Row],[Winning Team]]="")),"-",IF(Table4[[#This Row],[Predicted Winner]]=NHL2025_26Results[[#This Row],[Winning Team]],"YES","NO"))</f>
        <v>-</v>
      </c>
      <c r="N826" t="str">
        <f ca="1">IF(Table4[[#This Row],[Adjusted Correct]]="-", "",IF(Table4[[#This Row],[Adjusted Correct]]="YES",(Table4[[#This Row],[Strength of Win]]-1)^2,(Table4[[#This Row],[Strength of Win]]-0)^2))</f>
        <v/>
      </c>
      <c r="P826" s="11"/>
    </row>
    <row r="827" spans="4:16" x14ac:dyDescent="0.2">
      <c r="D827" s="1">
        <v>46048</v>
      </c>
      <c r="E827" s="2">
        <v>0.85416666666666663</v>
      </c>
      <c r="F827" t="s">
        <v>17</v>
      </c>
      <c r="G827">
        <f>VLOOKUP(Table4[[#This Row],[Home]],'NHL Model'!$A$6:$B$38,2,FALSE)</f>
        <v>-0.61980804137564283</v>
      </c>
      <c r="H827" t="s">
        <v>31</v>
      </c>
      <c r="I827">
        <f>VLOOKUP(Table4[[#This Row],[Visitor]],'NHL Model'!$A$6:$B$38,2,FALSE)</f>
        <v>0.51775546328552802</v>
      </c>
      <c r="J827">
        <f ca="1">($B$1+Table4[[#This Row],[Home Differential]])-Table4[[#This Row],[Away Differential]]</f>
        <v>-0.97499119499885245</v>
      </c>
      <c r="K827" t="str">
        <f ca="1">IF(Table4[[#This Row],[HomeIce Differential]]&gt;0,Table4[[#This Row],[Home]],Table4[[#This Row],[Visitor]])</f>
        <v>Anaheim Ducks</v>
      </c>
      <c r="L827" s="11">
        <f ca="1"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0.57953792192231546</v>
      </c>
      <c r="M827" t="str">
        <f ca="1">IF(OR((NHL2025_26Results[[#This Row],[Winning Team]]="")),"-",IF(Table4[[#This Row],[Predicted Winner]]=NHL2025_26Results[[#This Row],[Winning Team]],"YES","NO"))</f>
        <v>-</v>
      </c>
      <c r="N827" t="str">
        <f ca="1">IF(Table4[[#This Row],[Adjusted Correct]]="-", "",IF(Table4[[#This Row],[Adjusted Correct]]="YES",(Table4[[#This Row],[Strength of Win]]-1)^2,(Table4[[#This Row],[Strength of Win]]-0)^2))</f>
        <v/>
      </c>
      <c r="P827" s="11"/>
    </row>
    <row r="828" spans="4:16" x14ac:dyDescent="0.2">
      <c r="D828" s="1">
        <v>46048</v>
      </c>
      <c r="E828" s="2">
        <v>0.79166666666666663</v>
      </c>
      <c r="F828" t="s">
        <v>15</v>
      </c>
      <c r="G828">
        <f>VLOOKUP(Table4[[#This Row],[Home]],'NHL Model'!$A$6:$B$38,2,FALSE)</f>
        <v>-0.30719665303039001</v>
      </c>
      <c r="H828" t="s">
        <v>21</v>
      </c>
      <c r="I828">
        <f>VLOOKUP(Table4[[#This Row],[Visitor]],'NHL Model'!$A$6:$B$38,2,FALSE)</f>
        <v>4.029141914856392E-2</v>
      </c>
      <c r="J828">
        <f ca="1">($B$1+Table4[[#This Row],[Home Differential]])-Table4[[#This Row],[Away Differential]]</f>
        <v>-0.18491576251663555</v>
      </c>
      <c r="K828" t="str">
        <f ca="1">IF(Table4[[#This Row],[HomeIce Differential]]&gt;0,Table4[[#This Row],[Home]],Table4[[#This Row],[Visitor]])</f>
        <v>Boston Bruins</v>
      </c>
      <c r="L828" s="11">
        <f ca="1"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0.48562168102335929</v>
      </c>
      <c r="M828" t="str">
        <f ca="1">IF(OR((NHL2025_26Results[[#This Row],[Winning Team]]="")),"-",IF(Table4[[#This Row],[Predicted Winner]]=NHL2025_26Results[[#This Row],[Winning Team]],"YES","NO"))</f>
        <v>-</v>
      </c>
      <c r="N828" t="str">
        <f ca="1">IF(Table4[[#This Row],[Adjusted Correct]]="-", "",IF(Table4[[#This Row],[Adjusted Correct]]="YES",(Table4[[#This Row],[Strength of Win]]-1)^2,(Table4[[#This Row],[Strength of Win]]-0)^2))</f>
        <v/>
      </c>
      <c r="P828" s="11"/>
    </row>
    <row r="829" spans="4:16" x14ac:dyDescent="0.2">
      <c r="D829" s="1">
        <v>46048</v>
      </c>
      <c r="E829" s="2">
        <v>0.79166666666666663</v>
      </c>
      <c r="F829" t="s">
        <v>27</v>
      </c>
      <c r="G829">
        <f>VLOOKUP(Table4[[#This Row],[Home]],'NHL Model'!$A$6:$B$38,2,FALSE)</f>
        <v>-0.51358590497437617</v>
      </c>
      <c r="H829" t="s">
        <v>30</v>
      </c>
      <c r="I829">
        <f>VLOOKUP(Table4[[#This Row],[Visitor]],'NHL Model'!$A$6:$B$38,2,FALSE)</f>
        <v>-6.4729560818359025E-2</v>
      </c>
      <c r="J829">
        <f ca="1">($B$1+Table4[[#This Row],[Home Differential]])-Table4[[#This Row],[Away Differential]]</f>
        <v>-0.28628403449369877</v>
      </c>
      <c r="K829" t="str">
        <f ca="1">IF(Table4[[#This Row],[HomeIce Differential]]&gt;0,Table4[[#This Row],[Home]],Table4[[#This Row],[Visitor]])</f>
        <v>New York Islanders</v>
      </c>
      <c r="L829" s="11">
        <f ca="1"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0.53966713336954197</v>
      </c>
      <c r="M829" t="str">
        <f ca="1">IF(OR((NHL2025_26Results[[#This Row],[Winning Team]]="")),"-",IF(Table4[[#This Row],[Predicted Winner]]=NHL2025_26Results[[#This Row],[Winning Team]],"YES","NO"))</f>
        <v>-</v>
      </c>
      <c r="N829" t="str">
        <f ca="1">IF(Table4[[#This Row],[Adjusted Correct]]="-", "",IF(Table4[[#This Row],[Adjusted Correct]]="YES",(Table4[[#This Row],[Strength of Win]]-1)^2,(Table4[[#This Row],[Strength of Win]]-0)^2))</f>
        <v/>
      </c>
      <c r="P829" s="11"/>
    </row>
    <row r="830" spans="4:16" x14ac:dyDescent="0.2">
      <c r="D830" s="1">
        <v>46048</v>
      </c>
      <c r="E830" s="2">
        <v>0.79166666666666663</v>
      </c>
      <c r="F830" t="s">
        <v>37</v>
      </c>
      <c r="G830">
        <f>VLOOKUP(Table4[[#This Row],[Home]],'NHL Model'!$A$6:$B$38,2,FALSE)</f>
        <v>-0.11309445867623392</v>
      </c>
      <c r="H830" t="s">
        <v>55</v>
      </c>
      <c r="I830">
        <f>VLOOKUP(Table4[[#This Row],[Visitor]],'NHL Model'!$A$6:$B$38,2,FALSE)</f>
        <v>-0.12212311954851815</v>
      </c>
      <c r="J830">
        <f ca="1">($B$1+Table4[[#This Row],[Home Differential]])-Table4[[#This Row],[Away Differential]]</f>
        <v>0.1716009705346026</v>
      </c>
      <c r="K830" t="str">
        <f ca="1">IF(Table4[[#This Row],[HomeIce Differential]]&gt;0,Table4[[#This Row],[Home]],Table4[[#This Row],[Visitor]])</f>
        <v>Tampa Bay Lightning</v>
      </c>
      <c r="L830" s="11">
        <f ca="1"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0.56377680123370189</v>
      </c>
      <c r="M830" t="str">
        <f ca="1">IF(OR((NHL2025_26Results[[#This Row],[Winning Team]]="")),"-",IF(Table4[[#This Row],[Predicted Winner]]=NHL2025_26Results[[#This Row],[Winning Team]],"YES","NO"))</f>
        <v>-</v>
      </c>
      <c r="N830" t="str">
        <f ca="1">IF(Table4[[#This Row],[Adjusted Correct]]="-", "",IF(Table4[[#This Row],[Adjusted Correct]]="YES",(Table4[[#This Row],[Strength of Win]]-1)^2,(Table4[[#This Row],[Strength of Win]]-0)^2))</f>
        <v/>
      </c>
      <c r="P830" s="11"/>
    </row>
    <row r="831" spans="4:16" x14ac:dyDescent="0.2">
      <c r="D831" s="1">
        <v>46049</v>
      </c>
      <c r="E831" s="2">
        <v>0.79166666666666663</v>
      </c>
      <c r="F831" t="s">
        <v>21</v>
      </c>
      <c r="G831">
        <f>VLOOKUP(Table4[[#This Row],[Home]],'NHL Model'!$A$6:$B$38,2,FALSE)</f>
        <v>4.029141914856392E-2</v>
      </c>
      <c r="H831" t="s">
        <v>29</v>
      </c>
      <c r="I831">
        <f>VLOOKUP(Table4[[#This Row],[Visitor]],'NHL Model'!$A$6:$B$38,2,FALSE)</f>
        <v>-1.3516250707060606</v>
      </c>
      <c r="J831">
        <f ca="1">($B$1+Table4[[#This Row],[Home Differential]])-Table4[[#This Row],[Away Differential]]</f>
        <v>1.554488799516943</v>
      </c>
      <c r="K831" t="str">
        <f ca="1">IF(Table4[[#This Row],[HomeIce Differential]]&gt;0,Table4[[#This Row],[Home]],Table4[[#This Row],[Visitor]])</f>
        <v>Boston Bruins</v>
      </c>
      <c r="L831" s="11">
        <f ca="1"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0.82794531866165266</v>
      </c>
      <c r="M831" t="str">
        <f ca="1">IF(OR((NHL2025_26Results[[#This Row],[Winning Team]]="")),"-",IF(Table4[[#This Row],[Predicted Winner]]=NHL2025_26Results[[#This Row],[Winning Team]],"YES","NO"))</f>
        <v>-</v>
      </c>
      <c r="N831" t="str">
        <f ca="1">IF(Table4[[#This Row],[Adjusted Correct]]="-", "",IF(Table4[[#This Row],[Adjusted Correct]]="YES",(Table4[[#This Row],[Strength of Win]]-1)^2,(Table4[[#This Row],[Strength of Win]]-0)^2))</f>
        <v/>
      </c>
      <c r="P831" s="11"/>
    </row>
    <row r="832" spans="4:16" x14ac:dyDescent="0.2">
      <c r="D832" s="1">
        <v>46049</v>
      </c>
      <c r="E832" s="2">
        <v>0.79166666666666663</v>
      </c>
      <c r="F832" t="s">
        <v>26</v>
      </c>
      <c r="G832">
        <f>VLOOKUP(Table4[[#This Row],[Home]],'NHL Model'!$A$6:$B$38,2,FALSE)</f>
        <v>-0.513643833119658</v>
      </c>
      <c r="H832" t="s">
        <v>13</v>
      </c>
      <c r="I832">
        <f>VLOOKUP(Table4[[#This Row],[Visitor]],'NHL Model'!$A$6:$B$38,2,FALSE)</f>
        <v>-7.5459708298993802E-2</v>
      </c>
      <c r="J832">
        <f ca="1">($B$1+Table4[[#This Row],[Home Differential]])-Table4[[#This Row],[Away Differential]]</f>
        <v>-0.27561181515834582</v>
      </c>
      <c r="K832" t="str">
        <f ca="1">IF(Table4[[#This Row],[HomeIce Differential]]&gt;0,Table4[[#This Row],[Home]],Table4[[#This Row],[Visitor]])</f>
        <v>Los Angeles Kings</v>
      </c>
      <c r="L832" s="11">
        <f ca="1"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0.59374396047112288</v>
      </c>
      <c r="M832" t="str">
        <f ca="1">IF(OR((NHL2025_26Results[[#This Row],[Winning Team]]="")),"-",IF(Table4[[#This Row],[Predicted Winner]]=NHL2025_26Results[[#This Row],[Winning Team]],"YES","NO"))</f>
        <v>-</v>
      </c>
      <c r="N832" t="str">
        <f ca="1">IF(Table4[[#This Row],[Adjusted Correct]]="-", "",IF(Table4[[#This Row],[Adjusted Correct]]="YES",(Table4[[#This Row],[Strength of Win]]-1)^2,(Table4[[#This Row],[Strength of Win]]-0)^2))</f>
        <v/>
      </c>
      <c r="P832" s="11"/>
    </row>
    <row r="833" spans="4:16" x14ac:dyDescent="0.2">
      <c r="D833" s="1">
        <v>46049</v>
      </c>
      <c r="E833" s="2">
        <v>0.79166666666666663</v>
      </c>
      <c r="F833" t="s">
        <v>11</v>
      </c>
      <c r="G833">
        <f>VLOOKUP(Table4[[#This Row],[Home]],'NHL Model'!$A$6:$B$38,2,FALSE)</f>
        <v>-0.28105923893144158</v>
      </c>
      <c r="H833" t="s">
        <v>55</v>
      </c>
      <c r="I833">
        <f>VLOOKUP(Table4[[#This Row],[Visitor]],'NHL Model'!$A$6:$B$38,2,FALSE)</f>
        <v>-0.12212311954851815</v>
      </c>
      <c r="J833">
        <f ca="1">($B$1+Table4[[#This Row],[Home Differential]])-Table4[[#This Row],[Away Differential]]</f>
        <v>3.636190279394963E-3</v>
      </c>
      <c r="K833" t="str">
        <f ca="1">IF(Table4[[#This Row],[HomeIce Differential]]&gt;0,Table4[[#This Row],[Home]],Table4[[#This Row],[Visitor]])</f>
        <v>Florida Panthers</v>
      </c>
      <c r="L833" s="11">
        <f ca="1"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0.59221980199884827</v>
      </c>
      <c r="M833" t="str">
        <f ca="1">IF(OR((NHL2025_26Results[[#This Row],[Winning Team]]="")),"-",IF(Table4[[#This Row],[Predicted Winner]]=NHL2025_26Results[[#This Row],[Winning Team]],"YES","NO"))</f>
        <v>-</v>
      </c>
      <c r="N833" t="str">
        <f ca="1">IF(Table4[[#This Row],[Adjusted Correct]]="-", "",IF(Table4[[#This Row],[Adjusted Correct]]="YES",(Table4[[#This Row],[Strength of Win]]-1)^2,(Table4[[#This Row],[Strength of Win]]-0)^2))</f>
        <v/>
      </c>
      <c r="P833" s="11"/>
    </row>
    <row r="834" spans="4:16" x14ac:dyDescent="0.2">
      <c r="D834" s="1">
        <v>46049</v>
      </c>
      <c r="E834" s="2">
        <v>0.83333333333333337</v>
      </c>
      <c r="F834" t="s">
        <v>34</v>
      </c>
      <c r="G834">
        <f>VLOOKUP(Table4[[#This Row],[Home]],'NHL Model'!$A$6:$B$38,2,FALSE)</f>
        <v>-0.53650300840565446</v>
      </c>
      <c r="H834" t="s">
        <v>10</v>
      </c>
      <c r="I834">
        <f>VLOOKUP(Table4[[#This Row],[Visitor]],'NHL Model'!$A$6:$B$38,2,FALSE)</f>
        <v>0.30570968833820172</v>
      </c>
      <c r="J834">
        <f ca="1">($B$1+Table4[[#This Row],[Home Differential]])-Table4[[#This Row],[Away Differential]]</f>
        <v>-0.67964038708153773</v>
      </c>
      <c r="K834" t="str">
        <f ca="1">IF(Table4[[#This Row],[HomeIce Differential]]&gt;0,Table4[[#This Row],[Home]],Table4[[#This Row],[Visitor]])</f>
        <v>Chicago Blackhawks</v>
      </c>
      <c r="L834" s="11">
        <f ca="1"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0.57493929486438322</v>
      </c>
      <c r="M834" t="str">
        <f ca="1">IF(OR((NHL2025_26Results[[#This Row],[Winning Team]]="")),"-",IF(Table4[[#This Row],[Predicted Winner]]=NHL2025_26Results[[#This Row],[Winning Team]],"YES","NO"))</f>
        <v>-</v>
      </c>
      <c r="N834" t="str">
        <f ca="1">IF(Table4[[#This Row],[Adjusted Correct]]="-", "",IF(Table4[[#This Row],[Adjusted Correct]]="YES",(Table4[[#This Row],[Strength of Win]]-1)^2,(Table4[[#This Row],[Strength of Win]]-0)^2))</f>
        <v/>
      </c>
      <c r="P834" s="11"/>
    </row>
    <row r="835" spans="4:16" x14ac:dyDescent="0.2">
      <c r="D835" s="1">
        <v>46049</v>
      </c>
      <c r="E835" s="2">
        <v>0.79166666666666663</v>
      </c>
      <c r="F835" t="s">
        <v>18</v>
      </c>
      <c r="G835">
        <f>VLOOKUP(Table4[[#This Row],[Home]],'NHL Model'!$A$6:$B$38,2,FALSE)</f>
        <v>-0.52437726201848234</v>
      </c>
      <c r="H835" t="s">
        <v>20</v>
      </c>
      <c r="I835">
        <f>VLOOKUP(Table4[[#This Row],[Visitor]],'NHL Model'!$A$6:$B$38,2,FALSE)</f>
        <v>-6.3745791019188943E-4</v>
      </c>
      <c r="J835">
        <f ca="1">($B$1+Table4[[#This Row],[Home Differential]])-Table4[[#This Row],[Away Differential]]</f>
        <v>-0.36116749444597207</v>
      </c>
      <c r="K835" t="str">
        <f ca="1">IF(Table4[[#This Row],[HomeIce Differential]]&gt;0,Table4[[#This Row],[Home]],Table4[[#This Row],[Visitor]])</f>
        <v>Vegas Golden Knights</v>
      </c>
      <c r="L835" s="11">
        <f ca="1"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0.5308121163121442</v>
      </c>
      <c r="M835" t="str">
        <f ca="1">IF(OR((NHL2025_26Results[[#This Row],[Winning Team]]="")),"-",IF(Table4[[#This Row],[Predicted Winner]]=NHL2025_26Results[[#This Row],[Winning Team]],"YES","NO"))</f>
        <v>-</v>
      </c>
      <c r="N835" t="str">
        <f ca="1">IF(Table4[[#This Row],[Adjusted Correct]]="-", "",IF(Table4[[#This Row],[Adjusted Correct]]="YES",(Table4[[#This Row],[Strength of Win]]-1)^2,(Table4[[#This Row],[Strength of Win]]-0)^2))</f>
        <v/>
      </c>
      <c r="P835" s="11"/>
    </row>
    <row r="836" spans="4:16" x14ac:dyDescent="0.2">
      <c r="D836" s="1">
        <v>46049</v>
      </c>
      <c r="E836" s="2">
        <v>0.79166666666666663</v>
      </c>
      <c r="F836" t="s">
        <v>24</v>
      </c>
      <c r="G836">
        <f>VLOOKUP(Table4[[#This Row],[Home]],'NHL Model'!$A$6:$B$38,2,FALSE)</f>
        <v>0.559441163373953</v>
      </c>
      <c r="H836" t="s">
        <v>40</v>
      </c>
      <c r="I836">
        <f>VLOOKUP(Table4[[#This Row],[Visitor]],'NHL Model'!$A$6:$B$38,2,FALSE)</f>
        <v>0.105105258369765</v>
      </c>
      <c r="J836">
        <f ca="1">($B$1+Table4[[#This Row],[Home Differential]])-Table4[[#This Row],[Away Differential]]</f>
        <v>0.61690821466650636</v>
      </c>
      <c r="K836" t="str">
        <f ca="1">IF(Table4[[#This Row],[HomeIce Differential]]&gt;0,Table4[[#This Row],[Home]],Table4[[#This Row],[Visitor]])</f>
        <v>New Jersey Devils</v>
      </c>
      <c r="L836" s="11">
        <f ca="1"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0.67869831707295691</v>
      </c>
      <c r="M836" t="str">
        <f ca="1">IF(OR((NHL2025_26Results[[#This Row],[Winning Team]]="")),"-",IF(Table4[[#This Row],[Predicted Winner]]=NHL2025_26Results[[#This Row],[Winning Team]],"YES","NO"))</f>
        <v>-</v>
      </c>
      <c r="N836" t="str">
        <f ca="1">IF(Table4[[#This Row],[Adjusted Correct]]="-", "",IF(Table4[[#This Row],[Adjusted Correct]]="YES",(Table4[[#This Row],[Strength of Win]]-1)^2,(Table4[[#This Row],[Strength of Win]]-0)^2))</f>
        <v/>
      </c>
      <c r="P836" s="11"/>
    </row>
    <row r="837" spans="4:16" x14ac:dyDescent="0.2">
      <c r="D837" s="1">
        <v>46049</v>
      </c>
      <c r="E837" s="2">
        <v>0.91666666666666663</v>
      </c>
      <c r="F837" t="s">
        <v>32</v>
      </c>
      <c r="G837">
        <f>VLOOKUP(Table4[[#This Row],[Home]],'NHL Model'!$A$6:$B$38,2,FALSE)</f>
        <v>-0.361361309178443</v>
      </c>
      <c r="H837" t="s">
        <v>22</v>
      </c>
      <c r="I837">
        <f>VLOOKUP(Table4[[#This Row],[Visitor]],'NHL Model'!$A$6:$B$38,2,FALSE)</f>
        <v>-6.1308839486784707E-2</v>
      </c>
      <c r="J837">
        <f ca="1">($B$1+Table4[[#This Row],[Home Differential]])-Table4[[#This Row],[Away Differential]]</f>
        <v>-0.13748016002933991</v>
      </c>
      <c r="K837" t="str">
        <f ca="1">IF(Table4[[#This Row],[HomeIce Differential]]&gt;0,Table4[[#This Row],[Home]],Table4[[#This Row],[Visitor]])</f>
        <v>Washington Capitals</v>
      </c>
      <c r="L837" s="11">
        <f ca="1"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0.4530113314633919</v>
      </c>
      <c r="M837" t="str">
        <f ca="1">IF(OR((NHL2025_26Results[[#This Row],[Winning Team]]="")),"-",IF(Table4[[#This Row],[Predicted Winner]]=NHL2025_26Results[[#This Row],[Winning Team]],"YES","NO"))</f>
        <v>-</v>
      </c>
      <c r="N837" t="str">
        <f ca="1">IF(Table4[[#This Row],[Adjusted Correct]]="-", "",IF(Table4[[#This Row],[Adjusted Correct]]="YES",(Table4[[#This Row],[Strength of Win]]-1)^2,(Table4[[#This Row],[Strength of Win]]-0)^2))</f>
        <v/>
      </c>
      <c r="P837" s="11"/>
    </row>
    <row r="838" spans="4:16" x14ac:dyDescent="0.2">
      <c r="D838" s="1">
        <v>46049</v>
      </c>
      <c r="E838" s="2">
        <v>0.83333333333333337</v>
      </c>
      <c r="F838" t="s">
        <v>35</v>
      </c>
      <c r="G838">
        <f>VLOOKUP(Table4[[#This Row],[Home]],'NHL Model'!$A$6:$B$38,2,FALSE)</f>
        <v>-1.6211574240381006</v>
      </c>
      <c r="H838" t="s">
        <v>39</v>
      </c>
      <c r="I838">
        <f>VLOOKUP(Table4[[#This Row],[Visitor]],'NHL Model'!$A$6:$B$38,2,FALSE)</f>
        <v>0.19809534061227302</v>
      </c>
      <c r="J838">
        <f ca="1">($B$1+Table4[[#This Row],[Home Differential]])-Table4[[#This Row],[Away Differential]]</f>
        <v>-1.6566804549880552</v>
      </c>
      <c r="K838" t="str">
        <f ca="1">IF(Table4[[#This Row],[HomeIce Differential]]&gt;0,Table4[[#This Row],[Home]],Table4[[#This Row],[Visitor]])</f>
        <v>Dallas Stars</v>
      </c>
      <c r="L838" s="11">
        <f ca="1"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0.78203361851130226</v>
      </c>
      <c r="M838" t="str">
        <f ca="1">IF(OR((NHL2025_26Results[[#This Row],[Winning Team]]="")),"-",IF(Table4[[#This Row],[Predicted Winner]]=NHL2025_26Results[[#This Row],[Winning Team]],"YES","NO"))</f>
        <v>-</v>
      </c>
      <c r="N838" t="str">
        <f ca="1">IF(Table4[[#This Row],[Adjusted Correct]]="-", "",IF(Table4[[#This Row],[Adjusted Correct]]="YES",(Table4[[#This Row],[Strength of Win]]-1)^2,(Table4[[#This Row],[Strength of Win]]-0)^2))</f>
        <v/>
      </c>
      <c r="P838" s="11"/>
    </row>
    <row r="839" spans="4:16" x14ac:dyDescent="0.2">
      <c r="D839" s="1">
        <v>46049</v>
      </c>
      <c r="E839" s="2">
        <v>0.79166666666666663</v>
      </c>
      <c r="F839" t="s">
        <v>19</v>
      </c>
      <c r="G839">
        <f>VLOOKUP(Table4[[#This Row],[Home]],'NHL Model'!$A$6:$B$38,2,FALSE)</f>
        <v>-0.635565543477981</v>
      </c>
      <c r="H839" t="s">
        <v>23</v>
      </c>
      <c r="I839">
        <f>VLOOKUP(Table4[[#This Row],[Visitor]],'NHL Model'!$A$6:$B$38,2,FALSE)</f>
        <v>-0.8683412362501769</v>
      </c>
      <c r="J839">
        <f ca="1">($B$1+Table4[[#This Row],[Home Differential]])-Table4[[#This Row],[Away Differential]]</f>
        <v>0.39534800243451429</v>
      </c>
      <c r="K839" t="str">
        <f ca="1">IF(Table4[[#This Row],[HomeIce Differential]]&gt;0,Table4[[#This Row],[Home]],Table4[[#This Row],[Visitor]])</f>
        <v>Toronto Maple Leafs</v>
      </c>
      <c r="L839" s="11">
        <f ca="1"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0.59477889106769966</v>
      </c>
      <c r="M839" t="str">
        <f ca="1">IF(OR((NHL2025_26Results[[#This Row],[Winning Team]]="")),"-",IF(Table4[[#This Row],[Predicted Winner]]=NHL2025_26Results[[#This Row],[Winning Team]],"YES","NO"))</f>
        <v>-</v>
      </c>
      <c r="N839" t="str">
        <f ca="1">IF(Table4[[#This Row],[Adjusted Correct]]="-", "",IF(Table4[[#This Row],[Adjusted Correct]]="YES",(Table4[[#This Row],[Strength of Win]]-1)^2,(Table4[[#This Row],[Strength of Win]]-0)^2))</f>
        <v/>
      </c>
      <c r="P839" s="11"/>
    </row>
    <row r="840" spans="4:16" x14ac:dyDescent="0.2">
      <c r="D840" s="1">
        <v>46049</v>
      </c>
      <c r="E840" s="2">
        <v>0.91666666666666663</v>
      </c>
      <c r="F840" t="s">
        <v>38</v>
      </c>
      <c r="G840">
        <f>VLOOKUP(Table4[[#This Row],[Home]],'NHL Model'!$A$6:$B$38,2,FALSE)</f>
        <v>-0.6902088310934803</v>
      </c>
      <c r="H840" t="s">
        <v>33</v>
      </c>
      <c r="I840">
        <f>VLOOKUP(Table4[[#This Row],[Visitor]],'NHL Model'!$A$6:$B$38,2,FALSE)</f>
        <v>-0.39418177254008485</v>
      </c>
      <c r="J840">
        <f ca="1">($B$1+Table4[[#This Row],[Home Differential]])-Table4[[#This Row],[Away Differential]]</f>
        <v>-0.13345474889107706</v>
      </c>
      <c r="K840" t="str">
        <f ca="1">IF(Table4[[#This Row],[HomeIce Differential]]&gt;0,Table4[[#This Row],[Home]],Table4[[#This Row],[Visitor]])</f>
        <v>San Jose Sharks</v>
      </c>
      <c r="L840" s="11">
        <f ca="1"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0.47849131172272064</v>
      </c>
      <c r="M840" t="str">
        <f ca="1">IF(OR((NHL2025_26Results[[#This Row],[Winning Team]]="")),"-",IF(Table4[[#This Row],[Predicted Winner]]=NHL2025_26Results[[#This Row],[Winning Team]],"YES","NO"))</f>
        <v>-</v>
      </c>
      <c r="N840" t="str">
        <f ca="1">IF(Table4[[#This Row],[Adjusted Correct]]="-", "",IF(Table4[[#This Row],[Adjusted Correct]]="YES",(Table4[[#This Row],[Strength of Win]]-1)^2,(Table4[[#This Row],[Strength of Win]]-0)^2))</f>
        <v/>
      </c>
      <c r="P840" s="11"/>
    </row>
    <row r="841" spans="4:16" x14ac:dyDescent="0.2">
      <c r="D841" s="1">
        <v>46050</v>
      </c>
      <c r="E841" s="2">
        <v>0.79166666666666663</v>
      </c>
      <c r="F841" t="s">
        <v>28</v>
      </c>
      <c r="G841">
        <f>VLOOKUP(Table4[[#This Row],[Home]],'NHL Model'!$A$6:$B$38,2,FALSE)</f>
        <v>-0.40822279081308277</v>
      </c>
      <c r="H841" t="s">
        <v>27</v>
      </c>
      <c r="I841">
        <f>VLOOKUP(Table4[[#This Row],[Visitor]],'NHL Model'!$A$6:$B$38,2,FALSE)</f>
        <v>-0.51358590497437617</v>
      </c>
      <c r="J841">
        <f ca="1">($B$1+Table4[[#This Row],[Home Differential]])-Table4[[#This Row],[Away Differential]]</f>
        <v>0.2679354238236118</v>
      </c>
      <c r="K841" t="str">
        <f ca="1">IF(Table4[[#This Row],[HomeIce Differential]]&gt;0,Table4[[#This Row],[Home]],Table4[[#This Row],[Visitor]])</f>
        <v>Columbus Blue Jackets</v>
      </c>
      <c r="L841" s="11">
        <f ca="1"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0.5771247743872</v>
      </c>
      <c r="M841" t="str">
        <f ca="1">IF(OR((NHL2025_26Results[[#This Row],[Winning Team]]="")),"-",IF(Table4[[#This Row],[Predicted Winner]]=NHL2025_26Results[[#This Row],[Winning Team]],"YES","NO"))</f>
        <v>-</v>
      </c>
      <c r="N841" t="str">
        <f ca="1">IF(Table4[[#This Row],[Adjusted Correct]]="-", "",IF(Table4[[#This Row],[Adjusted Correct]]="YES",(Table4[[#This Row],[Strength of Win]]-1)^2,(Table4[[#This Row],[Strength of Win]]-0)^2))</f>
        <v/>
      </c>
      <c r="P841" s="11"/>
    </row>
    <row r="842" spans="4:16" x14ac:dyDescent="0.2">
      <c r="D842" s="1">
        <v>46050</v>
      </c>
      <c r="E842" s="2">
        <v>0.8125</v>
      </c>
      <c r="F842" t="s">
        <v>30</v>
      </c>
      <c r="G842">
        <f>VLOOKUP(Table4[[#This Row],[Home]],'NHL Model'!$A$6:$B$38,2,FALSE)</f>
        <v>-6.4729560818359025E-2</v>
      </c>
      <c r="H842" t="s">
        <v>15</v>
      </c>
      <c r="I842">
        <f>VLOOKUP(Table4[[#This Row],[Visitor]],'NHL Model'!$A$6:$B$38,2,FALSE)</f>
        <v>-0.30719665303039001</v>
      </c>
      <c r="J842">
        <f ca="1">($B$1+Table4[[#This Row],[Home Differential]])-Table4[[#This Row],[Away Differential]]</f>
        <v>0.40503940187434939</v>
      </c>
      <c r="K842" t="str">
        <f ca="1">IF(Table4[[#This Row],[HomeIce Differential]]&gt;0,Table4[[#This Row],[Home]],Table4[[#This Row],[Visitor]])</f>
        <v>New York Islanders</v>
      </c>
      <c r="L842" s="11">
        <f ca="1"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0.45371207987302198</v>
      </c>
      <c r="M842" t="str">
        <f ca="1">IF(OR((NHL2025_26Results[[#This Row],[Winning Team]]="")),"-",IF(Table4[[#This Row],[Predicted Winner]]=NHL2025_26Results[[#This Row],[Winning Team]],"YES","NO"))</f>
        <v>-</v>
      </c>
      <c r="N842" t="str">
        <f ca="1">IF(Table4[[#This Row],[Adjusted Correct]]="-", "",IF(Table4[[#This Row],[Adjusted Correct]]="YES",(Table4[[#This Row],[Strength of Win]]-1)^2,(Table4[[#This Row],[Strength of Win]]-0)^2))</f>
        <v/>
      </c>
      <c r="P842" s="11"/>
    </row>
    <row r="843" spans="4:16" x14ac:dyDescent="0.2">
      <c r="D843" s="1">
        <v>46050</v>
      </c>
      <c r="E843" s="2">
        <v>0.8125</v>
      </c>
      <c r="F843" t="s">
        <v>36</v>
      </c>
      <c r="G843">
        <f>VLOOKUP(Table4[[#This Row],[Home]],'NHL Model'!$A$6:$B$38,2,FALSE)</f>
        <v>-0.40651947573390851</v>
      </c>
      <c r="H843" t="s">
        <v>12</v>
      </c>
      <c r="I843">
        <f>VLOOKUP(Table4[[#This Row],[Visitor]],'NHL Model'!$A$6:$B$38,2,FALSE)</f>
        <v>1.5475013591489768</v>
      </c>
      <c r="J843">
        <f ca="1">($B$1+Table4[[#This Row],[Home Differential]])-Table4[[#This Row],[Away Differential]]</f>
        <v>-1.791448525220567</v>
      </c>
      <c r="K843" t="str">
        <f ca="1">IF(Table4[[#This Row],[HomeIce Differential]]&gt;0,Table4[[#This Row],[Home]],Table4[[#This Row],[Visitor]])</f>
        <v>Colorado Avalanche</v>
      </c>
      <c r="L843" s="11">
        <f ca="1"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0.77203023824883188</v>
      </c>
      <c r="M843" t="str">
        <f ca="1">IF(OR((NHL2025_26Results[[#This Row],[Winning Team]]="")),"-",IF(Table4[[#This Row],[Predicted Winner]]=NHL2025_26Results[[#This Row],[Winning Team]],"YES","NO"))</f>
        <v>-</v>
      </c>
      <c r="N843" t="str">
        <f ca="1">IF(Table4[[#This Row],[Adjusted Correct]]="-", "",IF(Table4[[#This Row],[Adjusted Correct]]="YES",(Table4[[#This Row],[Strength of Win]]-1)^2,(Table4[[#This Row],[Strength of Win]]-0)^2))</f>
        <v/>
      </c>
      <c r="P843" s="11"/>
    </row>
    <row r="844" spans="4:16" x14ac:dyDescent="0.2">
      <c r="D844" s="1">
        <v>46051</v>
      </c>
      <c r="E844" s="2">
        <v>0.79166666666666663</v>
      </c>
      <c r="F844" t="s">
        <v>21</v>
      </c>
      <c r="G844">
        <f>VLOOKUP(Table4[[#This Row],[Home]],'NHL Model'!$A$6:$B$38,2,FALSE)</f>
        <v>4.029141914856392E-2</v>
      </c>
      <c r="H844" t="s">
        <v>27</v>
      </c>
      <c r="I844">
        <f>VLOOKUP(Table4[[#This Row],[Visitor]],'NHL Model'!$A$6:$B$38,2,FALSE)</f>
        <v>-0.51358590497437617</v>
      </c>
      <c r="J844">
        <f ca="1">($B$1+Table4[[#This Row],[Home Differential]])-Table4[[#This Row],[Away Differential]]</f>
        <v>0.7164496337852585</v>
      </c>
      <c r="K844" t="str">
        <f ca="1">IF(Table4[[#This Row],[HomeIce Differential]]&gt;0,Table4[[#This Row],[Home]],Table4[[#This Row],[Visitor]])</f>
        <v>Boston Bruins</v>
      </c>
      <c r="L844" s="11">
        <f ca="1"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0.71182773140335909</v>
      </c>
      <c r="M844" t="str">
        <f ca="1">IF(OR((NHL2025_26Results[[#This Row],[Winning Team]]="")),"-",IF(Table4[[#This Row],[Predicted Winner]]=NHL2025_26Results[[#This Row],[Winning Team]],"YES","NO"))</f>
        <v>-</v>
      </c>
      <c r="N844" t="str">
        <f ca="1">IF(Table4[[#This Row],[Adjusted Correct]]="-", "",IF(Table4[[#This Row],[Adjusted Correct]]="YES",(Table4[[#This Row],[Strength of Win]]-1)^2,(Table4[[#This Row],[Strength of Win]]-0)^2))</f>
        <v/>
      </c>
      <c r="P844" s="11"/>
    </row>
    <row r="845" spans="4:16" x14ac:dyDescent="0.2">
      <c r="D845" s="1">
        <v>46051</v>
      </c>
      <c r="E845" s="2">
        <v>0.79166666666666663</v>
      </c>
      <c r="F845" t="s">
        <v>23</v>
      </c>
      <c r="G845">
        <f>VLOOKUP(Table4[[#This Row],[Home]],'NHL Model'!$A$6:$B$38,2,FALSE)</f>
        <v>-0.8683412362501769</v>
      </c>
      <c r="H845" t="s">
        <v>13</v>
      </c>
      <c r="I845">
        <f>VLOOKUP(Table4[[#This Row],[Visitor]],'NHL Model'!$A$6:$B$38,2,FALSE)</f>
        <v>-7.5459708298993802E-2</v>
      </c>
      <c r="J845">
        <f ca="1">($B$1+Table4[[#This Row],[Home Differential]])-Table4[[#This Row],[Away Differential]]</f>
        <v>-0.63030921828886466</v>
      </c>
      <c r="K845" t="str">
        <f ca="1">IF(Table4[[#This Row],[HomeIce Differential]]&gt;0,Table4[[#This Row],[Home]],Table4[[#This Row],[Visitor]])</f>
        <v>Los Angeles Kings</v>
      </c>
      <c r="L845" s="11">
        <f ca="1"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0.66873015208648534</v>
      </c>
      <c r="M845" t="str">
        <f ca="1">IF(OR((NHL2025_26Results[[#This Row],[Winning Team]]="")),"-",IF(Table4[[#This Row],[Predicted Winner]]=NHL2025_26Results[[#This Row],[Winning Team]],"YES","NO"))</f>
        <v>-</v>
      </c>
      <c r="N845" t="str">
        <f ca="1">IF(Table4[[#This Row],[Adjusted Correct]]="-", "",IF(Table4[[#This Row],[Adjusted Correct]]="YES",(Table4[[#This Row],[Strength of Win]]-1)^2,(Table4[[#This Row],[Strength of Win]]-0)^2))</f>
        <v/>
      </c>
      <c r="P845" s="11"/>
    </row>
    <row r="846" spans="4:16" x14ac:dyDescent="0.2">
      <c r="D846" s="1">
        <v>46051</v>
      </c>
      <c r="E846" s="2">
        <v>0.79166666666666663</v>
      </c>
      <c r="F846" t="s">
        <v>25</v>
      </c>
      <c r="G846">
        <f>VLOOKUP(Table4[[#This Row],[Home]],'NHL Model'!$A$6:$B$38,2,FALSE)</f>
        <v>0.67193921242367816</v>
      </c>
      <c r="H846" t="s">
        <v>55</v>
      </c>
      <c r="I846">
        <f>VLOOKUP(Table4[[#This Row],[Visitor]],'NHL Model'!$A$6:$B$38,2,FALSE)</f>
        <v>-0.12212311954851815</v>
      </c>
      <c r="J846">
        <f ca="1">($B$1+Table4[[#This Row],[Home Differential]])-Table4[[#This Row],[Away Differential]]</f>
        <v>0.95663464163451473</v>
      </c>
      <c r="K846" t="str">
        <f ca="1">IF(Table4[[#This Row],[HomeIce Differential]]&gt;0,Table4[[#This Row],[Home]],Table4[[#This Row],[Visitor]])</f>
        <v>Carolina Hurricanes</v>
      </c>
      <c r="L846" s="11">
        <f ca="1"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0.72426599429778538</v>
      </c>
      <c r="M846" t="str">
        <f ca="1">IF(OR((NHL2025_26Results[[#This Row],[Winning Team]]="")),"-",IF(Table4[[#This Row],[Predicted Winner]]=NHL2025_26Results[[#This Row],[Winning Team]],"YES","NO"))</f>
        <v>-</v>
      </c>
      <c r="N846" t="str">
        <f ca="1">IF(Table4[[#This Row],[Adjusted Correct]]="-", "",IF(Table4[[#This Row],[Adjusted Correct]]="YES",(Table4[[#This Row],[Strength of Win]]-1)^2,(Table4[[#This Row],[Strength of Win]]-0)^2))</f>
        <v/>
      </c>
      <c r="P846" s="11"/>
    </row>
    <row r="847" spans="4:16" x14ac:dyDescent="0.2">
      <c r="D847" s="1">
        <v>46051</v>
      </c>
      <c r="E847" s="2">
        <v>0.8125</v>
      </c>
      <c r="F847" t="s">
        <v>26</v>
      </c>
      <c r="G847">
        <f>VLOOKUP(Table4[[#This Row],[Home]],'NHL Model'!$A$6:$B$38,2,FALSE)</f>
        <v>-0.513643833119658</v>
      </c>
      <c r="H847" t="s">
        <v>22</v>
      </c>
      <c r="I847">
        <f>VLOOKUP(Table4[[#This Row],[Visitor]],'NHL Model'!$A$6:$B$38,2,FALSE)</f>
        <v>-6.1308839486784707E-2</v>
      </c>
      <c r="J847">
        <f ca="1">($B$1+Table4[[#This Row],[Home Differential]])-Table4[[#This Row],[Away Differential]]</f>
        <v>-0.28976268397055488</v>
      </c>
      <c r="K847" t="str">
        <f ca="1">IF(Table4[[#This Row],[HomeIce Differential]]&gt;0,Table4[[#This Row],[Home]],Table4[[#This Row],[Visitor]])</f>
        <v>Washington Capitals</v>
      </c>
      <c r="L847" s="11">
        <f ca="1"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0.47411139454483348</v>
      </c>
      <c r="M847" t="str">
        <f ca="1">IF(OR((NHL2025_26Results[[#This Row],[Winning Team]]="")),"-",IF(Table4[[#This Row],[Predicted Winner]]=NHL2025_26Results[[#This Row],[Winning Team]],"YES","NO"))</f>
        <v>-</v>
      </c>
      <c r="N847" t="str">
        <f ca="1">IF(Table4[[#This Row],[Adjusted Correct]]="-", "",IF(Table4[[#This Row],[Adjusted Correct]]="YES",(Table4[[#This Row],[Strength of Win]]-1)^2,(Table4[[#This Row],[Strength of Win]]-0)^2))</f>
        <v/>
      </c>
      <c r="P847" s="11"/>
    </row>
    <row r="848" spans="4:16" x14ac:dyDescent="0.2">
      <c r="D848" s="1">
        <v>46051</v>
      </c>
      <c r="E848" s="2">
        <v>0.875</v>
      </c>
      <c r="F848" t="s">
        <v>17</v>
      </c>
      <c r="G848">
        <f>VLOOKUP(Table4[[#This Row],[Home]],'NHL Model'!$A$6:$B$38,2,FALSE)</f>
        <v>-0.61980804137564283</v>
      </c>
      <c r="H848" t="s">
        <v>33</v>
      </c>
      <c r="I848">
        <f>VLOOKUP(Table4[[#This Row],[Visitor]],'NHL Model'!$A$6:$B$38,2,FALSE)</f>
        <v>-0.39418177254008485</v>
      </c>
      <c r="J848">
        <f ca="1">($B$1+Table4[[#This Row],[Home Differential]])-Table4[[#This Row],[Away Differential]]</f>
        <v>-6.3053959173239582E-2</v>
      </c>
      <c r="K848" t="str">
        <f ca="1">IF(Table4[[#This Row],[HomeIce Differential]]&gt;0,Table4[[#This Row],[Home]],Table4[[#This Row],[Visitor]])</f>
        <v>San Jose Sharks</v>
      </c>
      <c r="L848" s="11">
        <f ca="1"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0.43269980598913838</v>
      </c>
      <c r="M848" t="str">
        <f ca="1">IF(OR((NHL2025_26Results[[#This Row],[Winning Team]]="")),"-",IF(Table4[[#This Row],[Predicted Winner]]=NHL2025_26Results[[#This Row],[Winning Team]],"YES","NO"))</f>
        <v>-</v>
      </c>
      <c r="N848" t="str">
        <f ca="1">IF(Table4[[#This Row],[Adjusted Correct]]="-", "",IF(Table4[[#This Row],[Adjusted Correct]]="YES",(Table4[[#This Row],[Strength of Win]]-1)^2,(Table4[[#This Row],[Strength of Win]]-0)^2))</f>
        <v/>
      </c>
      <c r="P848" s="11"/>
    </row>
    <row r="849" spans="4:16" x14ac:dyDescent="0.2">
      <c r="D849" s="1">
        <v>46051</v>
      </c>
      <c r="E849" s="2">
        <v>0.83333333333333337</v>
      </c>
      <c r="F849" t="s">
        <v>34</v>
      </c>
      <c r="G849">
        <f>VLOOKUP(Table4[[#This Row],[Home]],'NHL Model'!$A$6:$B$38,2,FALSE)</f>
        <v>-0.53650300840565446</v>
      </c>
      <c r="H849" t="s">
        <v>16</v>
      </c>
      <c r="I849">
        <f>VLOOKUP(Table4[[#This Row],[Visitor]],'NHL Model'!$A$6:$B$38,2,FALSE)</f>
        <v>-1.3903684122795328</v>
      </c>
      <c r="J849">
        <f ca="1">($B$1+Table4[[#This Row],[Home Differential]])-Table4[[#This Row],[Away Differential]]</f>
        <v>1.0164377135361966</v>
      </c>
      <c r="K849" t="str">
        <f ca="1">IF(Table4[[#This Row],[HomeIce Differential]]&gt;0,Table4[[#This Row],[Home]],Table4[[#This Row],[Visitor]])</f>
        <v>Minnesota Wild</v>
      </c>
      <c r="L849" s="11">
        <f ca="1"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0.68083625171755791</v>
      </c>
      <c r="M849" t="str">
        <f ca="1">IF(OR((NHL2025_26Results[[#This Row],[Winning Team]]="")),"-",IF(Table4[[#This Row],[Predicted Winner]]=NHL2025_26Results[[#This Row],[Winning Team]],"YES","NO"))</f>
        <v>-</v>
      </c>
      <c r="N849" t="str">
        <f ca="1">IF(Table4[[#This Row],[Adjusted Correct]]="-", "",IF(Table4[[#This Row],[Adjusted Correct]]="YES",(Table4[[#This Row],[Strength of Win]]-1)^2,(Table4[[#This Row],[Strength of Win]]-0)^2))</f>
        <v/>
      </c>
      <c r="P849" s="11"/>
    </row>
    <row r="850" spans="4:16" x14ac:dyDescent="0.2">
      <c r="D850" s="1">
        <v>46051</v>
      </c>
      <c r="E850" s="2">
        <v>0.79166666666666663</v>
      </c>
      <c r="F850" t="s">
        <v>18</v>
      </c>
      <c r="G850">
        <f>VLOOKUP(Table4[[#This Row],[Home]],'NHL Model'!$A$6:$B$38,2,FALSE)</f>
        <v>-0.52437726201848234</v>
      </c>
      <c r="H850" t="s">
        <v>12</v>
      </c>
      <c r="I850">
        <f>VLOOKUP(Table4[[#This Row],[Visitor]],'NHL Model'!$A$6:$B$38,2,FALSE)</f>
        <v>1.5475013591489768</v>
      </c>
      <c r="J850">
        <f ca="1">($B$1+Table4[[#This Row],[Home Differential]])-Table4[[#This Row],[Away Differential]]</f>
        <v>-1.9093063115051407</v>
      </c>
      <c r="K850" t="str">
        <f ca="1">IF(Table4[[#This Row],[HomeIce Differential]]&gt;0,Table4[[#This Row],[Home]],Table4[[#This Row],[Visitor]])</f>
        <v>Colorado Avalanche</v>
      </c>
      <c r="L850" s="11">
        <f ca="1"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0.79086672133310509</v>
      </c>
      <c r="M850" t="str">
        <f ca="1">IF(OR((NHL2025_26Results[[#This Row],[Winning Team]]="")),"-",IF(Table4[[#This Row],[Predicted Winner]]=NHL2025_26Results[[#This Row],[Winning Team]],"YES","NO"))</f>
        <v>-</v>
      </c>
      <c r="N850" t="str">
        <f ca="1">IF(Table4[[#This Row],[Adjusted Correct]]="-", "",IF(Table4[[#This Row],[Adjusted Correct]]="YES",(Table4[[#This Row],[Strength of Win]]-1)^2,(Table4[[#This Row],[Strength of Win]]-0)^2))</f>
        <v/>
      </c>
      <c r="P850" s="11"/>
    </row>
    <row r="851" spans="4:16" x14ac:dyDescent="0.2">
      <c r="D851" s="1">
        <v>46051</v>
      </c>
      <c r="E851" s="2">
        <v>0.79166666666666663</v>
      </c>
      <c r="F851" t="s">
        <v>24</v>
      </c>
      <c r="G851">
        <f>VLOOKUP(Table4[[#This Row],[Home]],'NHL Model'!$A$6:$B$38,2,FALSE)</f>
        <v>0.559441163373953</v>
      </c>
      <c r="H851" t="s">
        <v>29</v>
      </c>
      <c r="I851">
        <f>VLOOKUP(Table4[[#This Row],[Visitor]],'NHL Model'!$A$6:$B$38,2,FALSE)</f>
        <v>-1.3516250707060606</v>
      </c>
      <c r="J851">
        <f ca="1">($B$1+Table4[[#This Row],[Home Differential]])-Table4[[#This Row],[Away Differential]]</f>
        <v>2.0736385437423319</v>
      </c>
      <c r="K851" t="str">
        <f ca="1">IF(Table4[[#This Row],[HomeIce Differential]]&gt;0,Table4[[#This Row],[Home]],Table4[[#This Row],[Visitor]])</f>
        <v>New Jersey Devils</v>
      </c>
      <c r="L851" s="11">
        <f ca="1"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0.94275129803550561</v>
      </c>
      <c r="M851" t="str">
        <f ca="1">IF(OR((NHL2025_26Results[[#This Row],[Winning Team]]="")),"-",IF(Table4[[#This Row],[Predicted Winner]]=NHL2025_26Results[[#This Row],[Winning Team]],"YES","NO"))</f>
        <v>-</v>
      </c>
      <c r="N851" t="str">
        <f ca="1">IF(Table4[[#This Row],[Adjusted Correct]]="-", "",IF(Table4[[#This Row],[Adjusted Correct]]="YES",(Table4[[#This Row],[Strength of Win]]-1)^2,(Table4[[#This Row],[Strength of Win]]-0)^2))</f>
        <v/>
      </c>
      <c r="P851" s="11"/>
    </row>
    <row r="852" spans="4:16" x14ac:dyDescent="0.2">
      <c r="D852" s="1">
        <v>46051</v>
      </c>
      <c r="E852" s="2">
        <v>0.79166666666666663</v>
      </c>
      <c r="F852" t="s">
        <v>15</v>
      </c>
      <c r="G852">
        <f>VLOOKUP(Table4[[#This Row],[Home]],'NHL Model'!$A$6:$B$38,2,FALSE)</f>
        <v>-0.30719665303039001</v>
      </c>
      <c r="H852" t="s">
        <v>30</v>
      </c>
      <c r="I852">
        <f>VLOOKUP(Table4[[#This Row],[Visitor]],'NHL Model'!$A$6:$B$38,2,FALSE)</f>
        <v>-6.4729560818359025E-2</v>
      </c>
      <c r="J852">
        <f ca="1">($B$1+Table4[[#This Row],[Home Differential]])-Table4[[#This Row],[Away Differential]]</f>
        <v>-7.9894782549712592E-2</v>
      </c>
      <c r="K852" t="str">
        <f ca="1">IF(Table4[[#This Row],[HomeIce Differential]]&gt;0,Table4[[#This Row],[Home]],Table4[[#This Row],[Visitor]])</f>
        <v>New York Islanders</v>
      </c>
      <c r="L852" s="11">
        <f ca="1"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0.51358267715186356</v>
      </c>
      <c r="M852" t="str">
        <f ca="1">IF(OR((NHL2025_26Results[[#This Row],[Winning Team]]="")),"-",IF(Table4[[#This Row],[Predicted Winner]]=NHL2025_26Results[[#This Row],[Winning Team]],"YES","NO"))</f>
        <v>-</v>
      </c>
      <c r="N852" t="str">
        <f ca="1">IF(Table4[[#This Row],[Adjusted Correct]]="-", "",IF(Table4[[#This Row],[Adjusted Correct]]="YES",(Table4[[#This Row],[Strength of Win]]-1)^2,(Table4[[#This Row],[Strength of Win]]-0)^2))</f>
        <v/>
      </c>
      <c r="P852" s="11"/>
    </row>
    <row r="853" spans="4:16" x14ac:dyDescent="0.2">
      <c r="D853" s="1">
        <v>46051</v>
      </c>
      <c r="E853" s="2">
        <v>0.79166666666666663</v>
      </c>
      <c r="F853" t="s">
        <v>14</v>
      </c>
      <c r="G853">
        <f>VLOOKUP(Table4[[#This Row],[Home]],'NHL Model'!$A$6:$B$38,2,FALSE)</f>
        <v>0.26289091192875702</v>
      </c>
      <c r="H853" t="s">
        <v>10</v>
      </c>
      <c r="I853">
        <f>VLOOKUP(Table4[[#This Row],[Visitor]],'NHL Model'!$A$6:$B$38,2,FALSE)</f>
        <v>0.30570968833820172</v>
      </c>
      <c r="J853">
        <f ca="1">($B$1+Table4[[#This Row],[Home Differential]])-Table4[[#This Row],[Away Differential]]</f>
        <v>0.11975353325287369</v>
      </c>
      <c r="K853" t="str">
        <f ca="1">IF(Table4[[#This Row],[HomeIce Differential]]&gt;0,Table4[[#This Row],[Home]],Table4[[#This Row],[Visitor]])</f>
        <v>Pittsburgh Penguins</v>
      </c>
      <c r="L853" s="11">
        <f ca="1"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0.5721484451430473</v>
      </c>
      <c r="M853" t="str">
        <f ca="1">IF(OR((NHL2025_26Results[[#This Row],[Winning Team]]="")),"-",IF(Table4[[#This Row],[Predicted Winner]]=NHL2025_26Results[[#This Row],[Winning Team]],"YES","NO"))</f>
        <v>-</v>
      </c>
      <c r="N853" t="str">
        <f ca="1">IF(Table4[[#This Row],[Adjusted Correct]]="-", "",IF(Table4[[#This Row],[Adjusted Correct]]="YES",(Table4[[#This Row],[Strength of Win]]-1)^2,(Table4[[#This Row],[Strength of Win]]-0)^2))</f>
        <v/>
      </c>
      <c r="P853" s="11"/>
    </row>
    <row r="854" spans="4:16" x14ac:dyDescent="0.2">
      <c r="D854" s="1">
        <v>46051</v>
      </c>
      <c r="E854" s="2">
        <v>0.91666666666666663</v>
      </c>
      <c r="F854" t="s">
        <v>32</v>
      </c>
      <c r="G854">
        <f>VLOOKUP(Table4[[#This Row],[Home]],'NHL Model'!$A$6:$B$38,2,FALSE)</f>
        <v>-0.361361309178443</v>
      </c>
      <c r="H854" t="s">
        <v>19</v>
      </c>
      <c r="I854">
        <f>VLOOKUP(Table4[[#This Row],[Visitor]],'NHL Model'!$A$6:$B$38,2,FALSE)</f>
        <v>-0.635565543477981</v>
      </c>
      <c r="J854">
        <f ca="1">($B$1+Table4[[#This Row],[Home Differential]])-Table4[[#This Row],[Away Differential]]</f>
        <v>0.43677654396185639</v>
      </c>
      <c r="K854" t="str">
        <f ca="1">IF(Table4[[#This Row],[HomeIce Differential]]&gt;0,Table4[[#This Row],[Home]],Table4[[#This Row],[Visitor]])</f>
        <v>Seattle Kraken</v>
      </c>
      <c r="L854" s="11">
        <f ca="1"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0.62655691028595273</v>
      </c>
      <c r="M854" t="str">
        <f ca="1">IF(OR((NHL2025_26Results[[#This Row],[Winning Team]]="")),"-",IF(Table4[[#This Row],[Predicted Winner]]=NHL2025_26Results[[#This Row],[Winning Team]],"YES","NO"))</f>
        <v>-</v>
      </c>
      <c r="N854" t="str">
        <f ca="1">IF(Table4[[#This Row],[Adjusted Correct]]="-", "",IF(Table4[[#This Row],[Adjusted Correct]]="YES",(Table4[[#This Row],[Strength of Win]]-1)^2,(Table4[[#This Row],[Strength of Win]]-0)^2))</f>
        <v/>
      </c>
      <c r="P854" s="11"/>
    </row>
    <row r="855" spans="4:16" x14ac:dyDescent="0.2">
      <c r="D855" s="1">
        <v>46051</v>
      </c>
      <c r="E855" s="2">
        <v>0.83333333333333337</v>
      </c>
      <c r="F855" t="s">
        <v>35</v>
      </c>
      <c r="G855">
        <f>VLOOKUP(Table4[[#This Row],[Home]],'NHL Model'!$A$6:$B$38,2,FALSE)</f>
        <v>-1.6211574240381006</v>
      </c>
      <c r="H855" t="s">
        <v>11</v>
      </c>
      <c r="I855">
        <f>VLOOKUP(Table4[[#This Row],[Visitor]],'NHL Model'!$A$6:$B$38,2,FALSE)</f>
        <v>-0.28105923893144158</v>
      </c>
      <c r="J855">
        <f ca="1">($B$1+Table4[[#This Row],[Home Differential]])-Table4[[#This Row],[Away Differential]]</f>
        <v>-1.1775258754443407</v>
      </c>
      <c r="K855" t="str">
        <f ca="1">IF(Table4[[#This Row],[HomeIce Differential]]&gt;0,Table4[[#This Row],[Home]],Table4[[#This Row],[Visitor]])</f>
        <v>Florida Panthers</v>
      </c>
      <c r="L855" s="11">
        <f ca="1"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0.62315641223215112</v>
      </c>
      <c r="M855" t="str">
        <f ca="1">IF(OR((NHL2025_26Results[[#This Row],[Winning Team]]="")),"-",IF(Table4[[#This Row],[Predicted Winner]]=NHL2025_26Results[[#This Row],[Winning Team]],"YES","NO"))</f>
        <v>-</v>
      </c>
      <c r="N855" t="str">
        <f ca="1">IF(Table4[[#This Row],[Adjusted Correct]]="-", "",IF(Table4[[#This Row],[Adjusted Correct]]="YES",(Table4[[#This Row],[Strength of Win]]-1)^2,(Table4[[#This Row],[Strength of Win]]-0)^2))</f>
        <v/>
      </c>
      <c r="P855" s="11"/>
    </row>
    <row r="856" spans="4:16" x14ac:dyDescent="0.2">
      <c r="D856" s="1">
        <v>46051</v>
      </c>
      <c r="E856" s="2">
        <v>0.79166666666666663</v>
      </c>
      <c r="F856" t="s">
        <v>37</v>
      </c>
      <c r="G856">
        <f>VLOOKUP(Table4[[#This Row],[Home]],'NHL Model'!$A$6:$B$38,2,FALSE)</f>
        <v>-0.11309445867623392</v>
      </c>
      <c r="H856" t="s">
        <v>40</v>
      </c>
      <c r="I856">
        <f>VLOOKUP(Table4[[#This Row],[Visitor]],'NHL Model'!$A$6:$B$38,2,FALSE)</f>
        <v>0.105105258369765</v>
      </c>
      <c r="J856">
        <f ca="1">($B$1+Table4[[#This Row],[Home Differential]])-Table4[[#This Row],[Away Differential]]</f>
        <v>-5.5627407383680536E-2</v>
      </c>
      <c r="K856" t="str">
        <f ca="1">IF(Table4[[#This Row],[HomeIce Differential]]&gt;0,Table4[[#This Row],[Home]],Table4[[#This Row],[Visitor]])</f>
        <v>Winnipeg Jets</v>
      </c>
      <c r="L856" s="11">
        <f ca="1"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0.53402344872751817</v>
      </c>
      <c r="M856" t="str">
        <f ca="1">IF(OR((NHL2025_26Results[[#This Row],[Winning Team]]="")),"-",IF(Table4[[#This Row],[Predicted Winner]]=NHL2025_26Results[[#This Row],[Winning Team]],"YES","NO"))</f>
        <v>-</v>
      </c>
      <c r="N856" t="str">
        <f ca="1">IF(Table4[[#This Row],[Adjusted Correct]]="-", "",IF(Table4[[#This Row],[Adjusted Correct]]="YES",(Table4[[#This Row],[Strength of Win]]-1)^2,(Table4[[#This Row],[Strength of Win]]-0)^2))</f>
        <v/>
      </c>
      <c r="P856" s="11"/>
    </row>
    <row r="857" spans="4:16" x14ac:dyDescent="0.2">
      <c r="D857" s="1">
        <v>46051</v>
      </c>
      <c r="E857" s="2">
        <v>0.91666666666666663</v>
      </c>
      <c r="F857" t="s">
        <v>38</v>
      </c>
      <c r="G857">
        <f>VLOOKUP(Table4[[#This Row],[Home]],'NHL Model'!$A$6:$B$38,2,FALSE)</f>
        <v>-0.6902088310934803</v>
      </c>
      <c r="H857" t="s">
        <v>31</v>
      </c>
      <c r="I857">
        <f>VLOOKUP(Table4[[#This Row],[Visitor]],'NHL Model'!$A$6:$B$38,2,FALSE)</f>
        <v>0.51775546328552802</v>
      </c>
      <c r="J857">
        <f ca="1">($B$1+Table4[[#This Row],[Home Differential]])-Table4[[#This Row],[Away Differential]]</f>
        <v>-1.0453919847166899</v>
      </c>
      <c r="K857" t="str">
        <f ca="1">IF(Table4[[#This Row],[HomeIce Differential]]&gt;0,Table4[[#This Row],[Home]],Table4[[#This Row],[Visitor]])</f>
        <v>Anaheim Ducks</v>
      </c>
      <c r="L857" s="11">
        <f ca="1"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0.625617347621237</v>
      </c>
      <c r="M857" t="str">
        <f ca="1">IF(OR((NHL2025_26Results[[#This Row],[Winning Team]]="")),"-",IF(Table4[[#This Row],[Predicted Winner]]=NHL2025_26Results[[#This Row],[Winning Team]],"YES","NO"))</f>
        <v>-</v>
      </c>
      <c r="N857" t="str">
        <f ca="1">IF(Table4[[#This Row],[Adjusted Correct]]="-", "",IF(Table4[[#This Row],[Adjusted Correct]]="YES",(Table4[[#This Row],[Strength of Win]]-1)^2,(Table4[[#This Row],[Strength of Win]]-0)^2))</f>
        <v/>
      </c>
      <c r="P857" s="11"/>
    </row>
    <row r="858" spans="4:16" x14ac:dyDescent="0.2">
      <c r="D858" s="1">
        <v>46051</v>
      </c>
      <c r="E858" s="2">
        <v>0.91666666666666663</v>
      </c>
      <c r="F858" t="s">
        <v>20</v>
      </c>
      <c r="G858">
        <f>VLOOKUP(Table4[[#This Row],[Home]],'NHL Model'!$A$6:$B$38,2,FALSE)</f>
        <v>-6.3745791019188943E-4</v>
      </c>
      <c r="H858" t="s">
        <v>39</v>
      </c>
      <c r="I858">
        <f>VLOOKUP(Table4[[#This Row],[Visitor]],'NHL Model'!$A$6:$B$38,2,FALSE)</f>
        <v>0.19809534061227302</v>
      </c>
      <c r="J858">
        <f ca="1">($B$1+Table4[[#This Row],[Home Differential]])-Table4[[#This Row],[Away Differential]]</f>
        <v>-3.6160488860146528E-2</v>
      </c>
      <c r="K858" t="str">
        <f ca="1">IF(Table4[[#This Row],[HomeIce Differential]]&gt;0,Table4[[#This Row],[Home]],Table4[[#This Row],[Visitor]])</f>
        <v>Dallas Stars</v>
      </c>
      <c r="L858" s="11">
        <f ca="1"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0.55749653687458178</v>
      </c>
      <c r="M858" t="str">
        <f ca="1">IF(OR((NHL2025_26Results[[#This Row],[Winning Team]]="")),"-",IF(Table4[[#This Row],[Predicted Winner]]=NHL2025_26Results[[#This Row],[Winning Team]],"YES","NO"))</f>
        <v>-</v>
      </c>
      <c r="N858" t="str">
        <f ca="1">IF(Table4[[#This Row],[Adjusted Correct]]="-", "",IF(Table4[[#This Row],[Adjusted Correct]]="YES",(Table4[[#This Row],[Strength of Win]]-1)^2,(Table4[[#This Row],[Strength of Win]]-0)^2))</f>
        <v/>
      </c>
      <c r="P858" s="11"/>
    </row>
    <row r="859" spans="4:16" x14ac:dyDescent="0.2">
      <c r="D859" s="1">
        <v>46052</v>
      </c>
      <c r="E859" s="2">
        <v>0.85416666666666663</v>
      </c>
      <c r="F859" t="s">
        <v>10</v>
      </c>
      <c r="G859">
        <f>VLOOKUP(Table4[[#This Row],[Home]],'NHL Model'!$A$6:$B$38,2,FALSE)</f>
        <v>0.30570968833820172</v>
      </c>
      <c r="H859" t="s">
        <v>28</v>
      </c>
      <c r="I859">
        <f>VLOOKUP(Table4[[#This Row],[Visitor]],'NHL Model'!$A$6:$B$38,2,FALSE)</f>
        <v>-0.40822279081308277</v>
      </c>
      <c r="J859">
        <f ca="1">($B$1+Table4[[#This Row],[Home Differential]])-Table4[[#This Row],[Away Differential]]</f>
        <v>0.87650478881360283</v>
      </c>
      <c r="K859" t="str">
        <f ca="1">IF(Table4[[#This Row],[HomeIce Differential]]&gt;0,Table4[[#This Row],[Home]],Table4[[#This Row],[Visitor]])</f>
        <v>Chicago Blackhawks</v>
      </c>
      <c r="L859" s="11">
        <f ca="1"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0.64067810183665597</v>
      </c>
      <c r="M859" t="str">
        <f ca="1">IF(OR((NHL2025_26Results[[#This Row],[Winning Team]]="")),"-",IF(Table4[[#This Row],[Predicted Winner]]=NHL2025_26Results[[#This Row],[Winning Team]],"YES","NO"))</f>
        <v>-</v>
      </c>
      <c r="N859" t="str">
        <f ca="1">IF(Table4[[#This Row],[Adjusted Correct]]="-", "",IF(Table4[[#This Row],[Adjusted Correct]]="YES",(Table4[[#This Row],[Strength of Win]]-1)^2,(Table4[[#This Row],[Strength of Win]]-0)^2))</f>
        <v/>
      </c>
      <c r="P859" s="11"/>
    </row>
    <row r="860" spans="4:16" x14ac:dyDescent="0.2">
      <c r="D860" s="1">
        <v>46053</v>
      </c>
      <c r="E860" s="2">
        <v>0.79166666666666663</v>
      </c>
      <c r="F860" t="s">
        <v>23</v>
      </c>
      <c r="G860">
        <f>VLOOKUP(Table4[[#This Row],[Home]],'NHL Model'!$A$6:$B$38,2,FALSE)</f>
        <v>-0.8683412362501769</v>
      </c>
      <c r="H860" t="s">
        <v>18</v>
      </c>
      <c r="I860">
        <f>VLOOKUP(Table4[[#This Row],[Visitor]],'NHL Model'!$A$6:$B$38,2,FALSE)</f>
        <v>-0.52437726201848234</v>
      </c>
      <c r="J860">
        <f ca="1">($B$1+Table4[[#This Row],[Home Differential]])-Table4[[#This Row],[Away Differential]]</f>
        <v>-0.18139166456937617</v>
      </c>
      <c r="K860" t="str">
        <f ca="1">IF(Table4[[#This Row],[HomeIce Differential]]&gt;0,Table4[[#This Row],[Home]],Table4[[#This Row],[Visitor]])</f>
        <v>Montreal Canadiens</v>
      </c>
      <c r="L860" s="11">
        <f ca="1"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0.56161407341494607</v>
      </c>
      <c r="M860" t="str">
        <f ca="1">IF(OR((NHL2025_26Results[[#This Row],[Winning Team]]="")),"-",IF(Table4[[#This Row],[Predicted Winner]]=NHL2025_26Results[[#This Row],[Winning Team]],"YES","NO"))</f>
        <v>-</v>
      </c>
      <c r="N860" t="str">
        <f ca="1">IF(Table4[[#This Row],[Adjusted Correct]]="-", "",IF(Table4[[#This Row],[Adjusted Correct]]="YES",(Table4[[#This Row],[Strength of Win]]-1)^2,(Table4[[#This Row],[Strength of Win]]-0)^2))</f>
        <v/>
      </c>
      <c r="P860" s="11"/>
    </row>
    <row r="861" spans="4:16" x14ac:dyDescent="0.2">
      <c r="D861" s="1">
        <v>46053</v>
      </c>
      <c r="E861" s="2">
        <v>0.66666666666666663</v>
      </c>
      <c r="F861" t="s">
        <v>16</v>
      </c>
      <c r="G861">
        <f>VLOOKUP(Table4[[#This Row],[Home]],'NHL Model'!$A$6:$B$38,2,FALSE)</f>
        <v>-1.3903684122795328</v>
      </c>
      <c r="H861" t="s">
        <v>33</v>
      </c>
      <c r="I861">
        <f>VLOOKUP(Table4[[#This Row],[Visitor]],'NHL Model'!$A$6:$B$38,2,FALSE)</f>
        <v>-0.39418177254008485</v>
      </c>
      <c r="J861">
        <f ca="1">($B$1+Table4[[#This Row],[Home Differential]])-Table4[[#This Row],[Away Differential]]</f>
        <v>-0.83361433007712948</v>
      </c>
      <c r="K861" t="str">
        <f ca="1">IF(Table4[[#This Row],[HomeIce Differential]]&gt;0,Table4[[#This Row],[Home]],Table4[[#This Row],[Visitor]])</f>
        <v>San Jose Sharks</v>
      </c>
      <c r="L861" s="11">
        <f ca="1"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0.5755044879411837</v>
      </c>
      <c r="M861" t="str">
        <f ca="1">IF(OR((NHL2025_26Results[[#This Row],[Winning Team]]="")),"-",IF(Table4[[#This Row],[Predicted Winner]]=NHL2025_26Results[[#This Row],[Winning Team]],"YES","NO"))</f>
        <v>-</v>
      </c>
      <c r="N861" t="str">
        <f ca="1">IF(Table4[[#This Row],[Adjusted Correct]]="-", "",IF(Table4[[#This Row],[Adjusted Correct]]="YES",(Table4[[#This Row],[Strength of Win]]-1)^2,(Table4[[#This Row],[Strength of Win]]-0)^2))</f>
        <v/>
      </c>
      <c r="P861" s="11"/>
    </row>
    <row r="862" spans="4:16" x14ac:dyDescent="0.2">
      <c r="D862" s="1">
        <v>46053</v>
      </c>
      <c r="E862" s="2">
        <v>0.54166666666666663</v>
      </c>
      <c r="F862" t="s">
        <v>26</v>
      </c>
      <c r="G862">
        <f>VLOOKUP(Table4[[#This Row],[Home]],'NHL Model'!$A$6:$B$38,2,FALSE)</f>
        <v>-0.513643833119658</v>
      </c>
      <c r="H862" t="s">
        <v>12</v>
      </c>
      <c r="I862">
        <f>VLOOKUP(Table4[[#This Row],[Visitor]],'NHL Model'!$A$6:$B$38,2,FALSE)</f>
        <v>1.5475013591489768</v>
      </c>
      <c r="J862">
        <f ca="1">($B$1+Table4[[#This Row],[Home Differential]])-Table4[[#This Row],[Away Differential]]</f>
        <v>-1.8985728826063164</v>
      </c>
      <c r="K862" t="str">
        <f ca="1">IF(Table4[[#This Row],[HomeIce Differential]]&gt;0,Table4[[#This Row],[Home]],Table4[[#This Row],[Visitor]])</f>
        <v>Colorado Avalanche</v>
      </c>
      <c r="L862" s="11">
        <f ca="1"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0.76306372229010222</v>
      </c>
      <c r="M862" t="str">
        <f ca="1">IF(OR((NHL2025_26Results[[#This Row],[Winning Team]]="")),"-",IF(Table4[[#This Row],[Predicted Winner]]=NHL2025_26Results[[#This Row],[Winning Team]],"YES","NO"))</f>
        <v>-</v>
      </c>
      <c r="N862" t="str">
        <f ca="1">IF(Table4[[#This Row],[Adjusted Correct]]="-", "",IF(Table4[[#This Row],[Adjusted Correct]]="YES",(Table4[[#This Row],[Strength of Win]]-1)^2,(Table4[[#This Row],[Strength of Win]]-0)^2))</f>
        <v/>
      </c>
      <c r="P862" s="11"/>
    </row>
    <row r="863" spans="4:16" x14ac:dyDescent="0.2">
      <c r="D863" s="1">
        <v>46053</v>
      </c>
      <c r="E863" s="2">
        <v>0.91666666666666663</v>
      </c>
      <c r="F863" t="s">
        <v>17</v>
      </c>
      <c r="G863">
        <f>VLOOKUP(Table4[[#This Row],[Home]],'NHL Model'!$A$6:$B$38,2,FALSE)</f>
        <v>-0.61980804137564283</v>
      </c>
      <c r="H863" t="s">
        <v>34</v>
      </c>
      <c r="I863">
        <f>VLOOKUP(Table4[[#This Row],[Visitor]],'NHL Model'!$A$6:$B$38,2,FALSE)</f>
        <v>-0.53650300840565446</v>
      </c>
      <c r="J863">
        <f ca="1">($B$1+Table4[[#This Row],[Home Differential]])-Table4[[#This Row],[Away Differential]]</f>
        <v>7.9267276692330024E-2</v>
      </c>
      <c r="K863" t="str">
        <f ca="1">IF(Table4[[#This Row],[HomeIce Differential]]&gt;0,Table4[[#This Row],[Home]],Table4[[#This Row],[Visitor]])</f>
        <v>Edmonton Oilers</v>
      </c>
      <c r="L863" s="11">
        <f ca="1"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0.58702003432393324</v>
      </c>
      <c r="M863" t="str">
        <f ca="1">IF(OR((NHL2025_26Results[[#This Row],[Winning Team]]="")),"-",IF(Table4[[#This Row],[Predicted Winner]]=NHL2025_26Results[[#This Row],[Winning Team]],"YES","NO"))</f>
        <v>-</v>
      </c>
      <c r="N863" t="str">
        <f ca="1">IF(Table4[[#This Row],[Adjusted Correct]]="-", "",IF(Table4[[#This Row],[Adjusted Correct]]="YES",(Table4[[#This Row],[Strength of Win]]-1)^2,(Table4[[#This Row],[Strength of Win]]-0)^2))</f>
        <v/>
      </c>
      <c r="P863" s="11"/>
    </row>
    <row r="864" spans="4:16" x14ac:dyDescent="0.2">
      <c r="D864" s="1">
        <v>46053</v>
      </c>
      <c r="E864" s="2">
        <v>0.66666666666666663</v>
      </c>
      <c r="F864" t="s">
        <v>11</v>
      </c>
      <c r="G864">
        <f>VLOOKUP(Table4[[#This Row],[Home]],'NHL Model'!$A$6:$B$38,2,FALSE)</f>
        <v>-0.28105923893144158</v>
      </c>
      <c r="H864" t="s">
        <v>40</v>
      </c>
      <c r="I864">
        <f>VLOOKUP(Table4[[#This Row],[Visitor]],'NHL Model'!$A$6:$B$38,2,FALSE)</f>
        <v>0.105105258369765</v>
      </c>
      <c r="J864">
        <f ca="1">($B$1+Table4[[#This Row],[Home Differential]])-Table4[[#This Row],[Away Differential]]</f>
        <v>-0.22359218763888819</v>
      </c>
      <c r="K864" t="str">
        <f ca="1">IF(Table4[[#This Row],[HomeIce Differential]]&gt;0,Table4[[#This Row],[Home]],Table4[[#This Row],[Visitor]])</f>
        <v>Winnipeg Jets</v>
      </c>
      <c r="L864" s="11">
        <f ca="1"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0.50466484534636424</v>
      </c>
      <c r="M864" t="str">
        <f ca="1">IF(OR((NHL2025_26Results[[#This Row],[Winning Team]]="")),"-",IF(Table4[[#This Row],[Predicted Winner]]=NHL2025_26Results[[#This Row],[Winning Team]],"YES","NO"))</f>
        <v>-</v>
      </c>
      <c r="N864" t="str">
        <f ca="1">IF(Table4[[#This Row],[Adjusted Correct]]="-", "",IF(Table4[[#This Row],[Adjusted Correct]]="YES",(Table4[[#This Row],[Strength of Win]]-1)^2,(Table4[[#This Row],[Strength of Win]]-0)^2))</f>
        <v/>
      </c>
      <c r="P864" s="11"/>
    </row>
    <row r="865" spans="4:16" x14ac:dyDescent="0.2">
      <c r="D865" s="1">
        <v>46053</v>
      </c>
      <c r="E865" s="2">
        <v>0.79166666666666663</v>
      </c>
      <c r="F865" t="s">
        <v>30</v>
      </c>
      <c r="G865">
        <f>VLOOKUP(Table4[[#This Row],[Home]],'NHL Model'!$A$6:$B$38,2,FALSE)</f>
        <v>-6.4729560818359025E-2</v>
      </c>
      <c r="H865" t="s">
        <v>29</v>
      </c>
      <c r="I865">
        <f>VLOOKUP(Table4[[#This Row],[Visitor]],'NHL Model'!$A$6:$B$38,2,FALSE)</f>
        <v>-1.3516250707060606</v>
      </c>
      <c r="J865">
        <f ca="1">($B$1+Table4[[#This Row],[Home Differential]])-Table4[[#This Row],[Away Differential]]</f>
        <v>1.4494678195500199</v>
      </c>
      <c r="K865" t="str">
        <f ca="1">IF(Table4[[#This Row],[HomeIce Differential]]&gt;0,Table4[[#This Row],[Home]],Table4[[#This Row],[Visitor]])</f>
        <v>New York Islanders</v>
      </c>
      <c r="L865" s="11">
        <f ca="1"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0.74083632471728111</v>
      </c>
      <c r="M865" t="str">
        <f ca="1">IF(OR((NHL2025_26Results[[#This Row],[Winning Team]]="")),"-",IF(Table4[[#This Row],[Predicted Winner]]=NHL2025_26Results[[#This Row],[Winning Team]],"YES","NO"))</f>
        <v>-</v>
      </c>
      <c r="N865" t="str">
        <f ca="1">IF(Table4[[#This Row],[Adjusted Correct]]="-", "",IF(Table4[[#This Row],[Adjusted Correct]]="YES",(Table4[[#This Row],[Strength of Win]]-1)^2,(Table4[[#This Row],[Strength of Win]]-0)^2))</f>
        <v/>
      </c>
      <c r="P865" s="11"/>
    </row>
    <row r="866" spans="4:16" x14ac:dyDescent="0.2">
      <c r="D866" s="1">
        <v>46053</v>
      </c>
      <c r="E866" s="2">
        <v>0.79166666666666663</v>
      </c>
      <c r="F866" t="s">
        <v>36</v>
      </c>
      <c r="G866">
        <f>VLOOKUP(Table4[[#This Row],[Home]],'NHL Model'!$A$6:$B$38,2,FALSE)</f>
        <v>-0.40651947573390851</v>
      </c>
      <c r="H866" t="s">
        <v>24</v>
      </c>
      <c r="I866">
        <f>VLOOKUP(Table4[[#This Row],[Visitor]],'NHL Model'!$A$6:$B$38,2,FALSE)</f>
        <v>0.559441163373953</v>
      </c>
      <c r="J866">
        <f ca="1">($B$1+Table4[[#This Row],[Home Differential]])-Table4[[#This Row],[Away Differential]]</f>
        <v>-0.80338832944554306</v>
      </c>
      <c r="K866" t="str">
        <f ca="1">IF(Table4[[#This Row],[HomeIce Differential]]&gt;0,Table4[[#This Row],[Home]],Table4[[#This Row],[Visitor]])</f>
        <v>New Jersey Devils</v>
      </c>
      <c r="L866" s="11">
        <f ca="1"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0.63512593748243251</v>
      </c>
      <c r="M866" t="str">
        <f ca="1">IF(OR((NHL2025_26Results[[#This Row],[Winning Team]]="")),"-",IF(Table4[[#This Row],[Predicted Winner]]=NHL2025_26Results[[#This Row],[Winning Team]],"YES","NO"))</f>
        <v>-</v>
      </c>
      <c r="N866" t="str">
        <f ca="1">IF(Table4[[#This Row],[Adjusted Correct]]="-", "",IF(Table4[[#This Row],[Adjusted Correct]]="YES",(Table4[[#This Row],[Strength of Win]]-1)^2,(Table4[[#This Row],[Strength of Win]]-0)^2))</f>
        <v/>
      </c>
      <c r="P866" s="11"/>
    </row>
    <row r="867" spans="4:16" x14ac:dyDescent="0.2">
      <c r="D867" s="1">
        <v>46053</v>
      </c>
      <c r="E867" s="2">
        <v>0.52083333333333337</v>
      </c>
      <c r="F867" t="s">
        <v>27</v>
      </c>
      <c r="G867">
        <f>VLOOKUP(Table4[[#This Row],[Home]],'NHL Model'!$A$6:$B$38,2,FALSE)</f>
        <v>-0.51358590497437617</v>
      </c>
      <c r="H867" t="s">
        <v>13</v>
      </c>
      <c r="I867">
        <f>VLOOKUP(Table4[[#This Row],[Visitor]],'NHL Model'!$A$6:$B$38,2,FALSE)</f>
        <v>-7.5459708298993802E-2</v>
      </c>
      <c r="J867">
        <f ca="1">($B$1+Table4[[#This Row],[Home Differential]])-Table4[[#This Row],[Away Differential]]</f>
        <v>-0.27555388701306399</v>
      </c>
      <c r="K867" t="str">
        <f ca="1">IF(Table4[[#This Row],[HomeIce Differential]]&gt;0,Table4[[#This Row],[Home]],Table4[[#This Row],[Visitor]])</f>
        <v>Los Angeles Kings</v>
      </c>
      <c r="L867" s="11">
        <f ca="1"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0.61712774689019667</v>
      </c>
      <c r="M867" t="str">
        <f ca="1">IF(OR((NHL2025_26Results[[#This Row],[Winning Team]]="")),"-",IF(Table4[[#This Row],[Predicted Winner]]=NHL2025_26Results[[#This Row],[Winning Team]],"YES","NO"))</f>
        <v>-</v>
      </c>
      <c r="N867" t="str">
        <f ca="1">IF(Table4[[#This Row],[Adjusted Correct]]="-", "",IF(Table4[[#This Row],[Adjusted Correct]]="YES",(Table4[[#This Row],[Strength of Win]]-1)^2,(Table4[[#This Row],[Strength of Win]]-0)^2))</f>
        <v/>
      </c>
      <c r="P867" s="11"/>
    </row>
    <row r="868" spans="4:16" x14ac:dyDescent="0.2">
      <c r="D868" s="1">
        <v>46053</v>
      </c>
      <c r="E868" s="2">
        <v>0.64583333333333337</v>
      </c>
      <c r="F868" t="s">
        <v>14</v>
      </c>
      <c r="G868">
        <f>VLOOKUP(Table4[[#This Row],[Home]],'NHL Model'!$A$6:$B$38,2,FALSE)</f>
        <v>0.26289091192875702</v>
      </c>
      <c r="H868" t="s">
        <v>15</v>
      </c>
      <c r="I868">
        <f>VLOOKUP(Table4[[#This Row],[Visitor]],'NHL Model'!$A$6:$B$38,2,FALSE)</f>
        <v>-0.30719665303039001</v>
      </c>
      <c r="J868">
        <f ca="1">($B$1+Table4[[#This Row],[Home Differential]])-Table4[[#This Row],[Away Differential]]</f>
        <v>0.73265987462146542</v>
      </c>
      <c r="K868" t="str">
        <f ca="1">IF(Table4[[#This Row],[HomeIce Differential]]&gt;0,Table4[[#This Row],[Home]],Table4[[#This Row],[Visitor]])</f>
        <v>Pittsburgh Penguins</v>
      </c>
      <c r="L868" s="11">
        <f ca="1"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0.53458723960111643</v>
      </c>
      <c r="M868" t="str">
        <f ca="1">IF(OR((NHL2025_26Results[[#This Row],[Winning Team]]="")),"-",IF(Table4[[#This Row],[Predicted Winner]]=NHL2025_26Results[[#This Row],[Winning Team]],"YES","NO"))</f>
        <v>-</v>
      </c>
      <c r="N868" t="str">
        <f ca="1">IF(Table4[[#This Row],[Adjusted Correct]]="-", "",IF(Table4[[#This Row],[Adjusted Correct]]="YES",(Table4[[#This Row],[Strength of Win]]-1)^2,(Table4[[#This Row],[Strength of Win]]-0)^2))</f>
        <v/>
      </c>
      <c r="P868" s="11"/>
    </row>
    <row r="869" spans="4:16" x14ac:dyDescent="0.2">
      <c r="D869" s="1">
        <v>46053</v>
      </c>
      <c r="E869" s="2">
        <v>0.79166666666666663</v>
      </c>
      <c r="F869" t="s">
        <v>35</v>
      </c>
      <c r="G869">
        <f>VLOOKUP(Table4[[#This Row],[Home]],'NHL Model'!$A$6:$B$38,2,FALSE)</f>
        <v>-1.6211574240381006</v>
      </c>
      <c r="H869" t="s">
        <v>28</v>
      </c>
      <c r="I869">
        <f>VLOOKUP(Table4[[#This Row],[Visitor]],'NHL Model'!$A$6:$B$38,2,FALSE)</f>
        <v>-0.40822279081308277</v>
      </c>
      <c r="J869">
        <f ca="1">($B$1+Table4[[#This Row],[Home Differential]])-Table4[[#This Row],[Away Differential]]</f>
        <v>-1.0503623235626995</v>
      </c>
      <c r="K869" t="str">
        <f ca="1">IF(Table4[[#This Row],[HomeIce Differential]]&gt;0,Table4[[#This Row],[Home]],Table4[[#This Row],[Visitor]])</f>
        <v>Columbus Blue Jackets</v>
      </c>
      <c r="L869" s="11">
        <f ca="1"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0.62630603113181127</v>
      </c>
      <c r="M869" t="str">
        <f ca="1">IF(OR((NHL2025_26Results[[#This Row],[Winning Team]]="")),"-",IF(Table4[[#This Row],[Predicted Winner]]=NHL2025_26Results[[#This Row],[Winning Team]],"YES","NO"))</f>
        <v>-</v>
      </c>
      <c r="N869" t="str">
        <f ca="1">IF(Table4[[#This Row],[Adjusted Correct]]="-", "",IF(Table4[[#This Row],[Adjusted Correct]]="YES",(Table4[[#This Row],[Strength of Win]]-1)^2,(Table4[[#This Row],[Strength of Win]]-0)^2))</f>
        <v/>
      </c>
      <c r="P869" s="11"/>
    </row>
    <row r="870" spans="4:16" x14ac:dyDescent="0.2">
      <c r="D870" s="1">
        <v>46053</v>
      </c>
      <c r="E870" s="2">
        <v>0.875</v>
      </c>
      <c r="F870" t="s">
        <v>55</v>
      </c>
      <c r="G870">
        <f>VLOOKUP(Table4[[#This Row],[Home]],'NHL Model'!$A$6:$B$38,2,FALSE)</f>
        <v>-0.12212311954851815</v>
      </c>
      <c r="H870" t="s">
        <v>39</v>
      </c>
      <c r="I870">
        <f>VLOOKUP(Table4[[#This Row],[Visitor]],'NHL Model'!$A$6:$B$38,2,FALSE)</f>
        <v>0.19809534061227302</v>
      </c>
      <c r="J870">
        <f ca="1">($B$1+Table4[[#This Row],[Home Differential]])-Table4[[#This Row],[Away Differential]]</f>
        <v>-0.15764615049847278</v>
      </c>
      <c r="K870" t="str">
        <f ca="1">IF(Table4[[#This Row],[HomeIce Differential]]&gt;0,Table4[[#This Row],[Home]],Table4[[#This Row],[Visitor]])</f>
        <v>Dallas Stars</v>
      </c>
      <c r="L870" s="11">
        <f ca="1"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0.50460186070154422</v>
      </c>
      <c r="M870" t="str">
        <f ca="1">IF(OR((NHL2025_26Results[[#This Row],[Winning Team]]="")),"-",IF(Table4[[#This Row],[Predicted Winner]]=NHL2025_26Results[[#This Row],[Winning Team]],"YES","NO"))</f>
        <v>-</v>
      </c>
      <c r="N870" t="str">
        <f ca="1">IF(Table4[[#This Row],[Adjusted Correct]]="-", "",IF(Table4[[#This Row],[Adjusted Correct]]="YES",(Table4[[#This Row],[Strength of Win]]-1)^2,(Table4[[#This Row],[Strength of Win]]-0)^2))</f>
        <v/>
      </c>
      <c r="P870" s="11"/>
    </row>
    <row r="871" spans="4:16" x14ac:dyDescent="0.2">
      <c r="D871" s="1">
        <v>46053</v>
      </c>
      <c r="E871" s="2">
        <v>0.79166666666666663</v>
      </c>
      <c r="F871" t="s">
        <v>38</v>
      </c>
      <c r="G871">
        <f>VLOOKUP(Table4[[#This Row],[Home]],'NHL Model'!$A$6:$B$38,2,FALSE)</f>
        <v>-0.6902088310934803</v>
      </c>
      <c r="H871" t="s">
        <v>19</v>
      </c>
      <c r="I871">
        <f>VLOOKUP(Table4[[#This Row],[Visitor]],'NHL Model'!$A$6:$B$38,2,FALSE)</f>
        <v>-0.635565543477981</v>
      </c>
      <c r="J871">
        <f ca="1">($B$1+Table4[[#This Row],[Home Differential]])-Table4[[#This Row],[Away Differential]]</f>
        <v>0.10792902204681909</v>
      </c>
      <c r="K871" t="str">
        <f ca="1">IF(Table4[[#This Row],[HomeIce Differential]]&gt;0,Table4[[#This Row],[Home]],Table4[[#This Row],[Visitor]])</f>
        <v>Vancouver Canucks</v>
      </c>
      <c r="L871" s="11">
        <f ca="1"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0.55495450111127187</v>
      </c>
      <c r="M871" t="str">
        <f ca="1">IF(OR((NHL2025_26Results[[#This Row],[Winning Team]]="")),"-",IF(Table4[[#This Row],[Predicted Winner]]=NHL2025_26Results[[#This Row],[Winning Team]],"YES","NO"))</f>
        <v>-</v>
      </c>
      <c r="N871" t="str">
        <f ca="1">IF(Table4[[#This Row],[Adjusted Correct]]="-", "",IF(Table4[[#This Row],[Adjusted Correct]]="YES",(Table4[[#This Row],[Strength of Win]]-1)^2,(Table4[[#This Row],[Strength of Win]]-0)^2))</f>
        <v/>
      </c>
      <c r="P871" s="11"/>
    </row>
    <row r="872" spans="4:16" x14ac:dyDescent="0.2">
      <c r="D872" s="1">
        <v>46053</v>
      </c>
      <c r="E872" s="2">
        <v>0.91666666666666663</v>
      </c>
      <c r="F872" t="s">
        <v>20</v>
      </c>
      <c r="G872">
        <f>VLOOKUP(Table4[[#This Row],[Home]],'NHL Model'!$A$6:$B$38,2,FALSE)</f>
        <v>-6.3745791019188943E-4</v>
      </c>
      <c r="H872" t="s">
        <v>32</v>
      </c>
      <c r="I872">
        <f>VLOOKUP(Table4[[#This Row],[Visitor]],'NHL Model'!$A$6:$B$38,2,FALSE)</f>
        <v>-0.361361309178443</v>
      </c>
      <c r="J872">
        <f ca="1">($B$1+Table4[[#This Row],[Home Differential]])-Table4[[#This Row],[Away Differential]]</f>
        <v>0.52329616093056952</v>
      </c>
      <c r="K872" t="str">
        <f ca="1">IF(Table4[[#This Row],[HomeIce Differential]]&gt;0,Table4[[#This Row],[Home]],Table4[[#This Row],[Visitor]])</f>
        <v>Vegas Golden Knights</v>
      </c>
      <c r="L872" s="11">
        <f ca="1"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0.61250721698159905</v>
      </c>
      <c r="M872" t="str">
        <f ca="1">IF(OR((NHL2025_26Results[[#This Row],[Winning Team]]="")),"-",IF(Table4[[#This Row],[Predicted Winner]]=NHL2025_26Results[[#This Row],[Winning Team]],"YES","NO"))</f>
        <v>-</v>
      </c>
      <c r="N872" t="str">
        <f ca="1">IF(Table4[[#This Row],[Adjusted Correct]]="-", "",IF(Table4[[#This Row],[Adjusted Correct]]="YES",(Table4[[#This Row],[Strength of Win]]-1)^2,(Table4[[#This Row],[Strength of Win]]-0)^2))</f>
        <v/>
      </c>
      <c r="P872" s="11"/>
    </row>
    <row r="873" spans="4:16" x14ac:dyDescent="0.2">
      <c r="D873" s="1">
        <v>46053</v>
      </c>
      <c r="E873" s="2">
        <v>0.70833333333333337</v>
      </c>
      <c r="F873" t="s">
        <v>22</v>
      </c>
      <c r="G873">
        <f>VLOOKUP(Table4[[#This Row],[Home]],'NHL Model'!$A$6:$B$38,2,FALSE)</f>
        <v>-6.1308839486784707E-2</v>
      </c>
      <c r="H873" t="s">
        <v>25</v>
      </c>
      <c r="I873">
        <f>VLOOKUP(Table4[[#This Row],[Visitor]],'NHL Model'!$A$6:$B$38,2,FALSE)</f>
        <v>0.67193921242367816</v>
      </c>
      <c r="J873">
        <f ca="1">($B$1+Table4[[#This Row],[Home Differential]])-Table4[[#This Row],[Away Differential]]</f>
        <v>-0.57067574224814444</v>
      </c>
      <c r="K873" t="str">
        <f ca="1">IF(Table4[[#This Row],[HomeIce Differential]]&gt;0,Table4[[#This Row],[Home]],Table4[[#This Row],[Visitor]])</f>
        <v>Carolina Hurricanes</v>
      </c>
      <c r="L873" s="11">
        <f ca="1"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0.63155825631937645</v>
      </c>
      <c r="M873" t="str">
        <f ca="1">IF(OR((NHL2025_26Results[[#This Row],[Winning Team]]="")),"-",IF(Table4[[#This Row],[Predicted Winner]]=NHL2025_26Results[[#This Row],[Winning Team]],"YES","NO"))</f>
        <v>-</v>
      </c>
      <c r="N873" t="str">
        <f ca="1">IF(Table4[[#This Row],[Adjusted Correct]]="-", "",IF(Table4[[#This Row],[Adjusted Correct]]="YES",(Table4[[#This Row],[Strength of Win]]-1)^2,(Table4[[#This Row],[Strength of Win]]-0)^2))</f>
        <v/>
      </c>
      <c r="P873" s="11"/>
    </row>
    <row r="874" spans="4:16" x14ac:dyDescent="0.2">
      <c r="D874" s="1">
        <v>46054</v>
      </c>
      <c r="E874" s="2">
        <v>0.89583333333333337</v>
      </c>
      <c r="F874" t="s">
        <v>31</v>
      </c>
      <c r="G874">
        <f>VLOOKUP(Table4[[#This Row],[Home]],'NHL Model'!$A$6:$B$38,2,FALSE)</f>
        <v>0.51775546328552802</v>
      </c>
      <c r="H874" t="s">
        <v>20</v>
      </c>
      <c r="I874">
        <f>VLOOKUP(Table4[[#This Row],[Visitor]],'NHL Model'!$A$6:$B$38,2,FALSE)</f>
        <v>-6.3745791019188943E-4</v>
      </c>
      <c r="J874">
        <f ca="1">($B$1+Table4[[#This Row],[Home Differential]])-Table4[[#This Row],[Away Differential]]</f>
        <v>0.68096523085803828</v>
      </c>
      <c r="K874" t="str">
        <f ca="1">IF(Table4[[#This Row],[HomeIce Differential]]&gt;0,Table4[[#This Row],[Home]],Table4[[#This Row],[Visitor]])</f>
        <v>Anaheim Ducks</v>
      </c>
      <c r="L874" s="11">
        <f ca="1"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0.71935363267895147</v>
      </c>
      <c r="M874" t="str">
        <f ca="1">IF(OR((NHL2025_26Results[[#This Row],[Winning Team]]="")),"-",IF(Table4[[#This Row],[Predicted Winner]]=NHL2025_26Results[[#This Row],[Winning Team]],"YES","NO"))</f>
        <v>-</v>
      </c>
      <c r="N874" t="str">
        <f ca="1">IF(Table4[[#This Row],[Adjusted Correct]]="-", "",IF(Table4[[#This Row],[Adjusted Correct]]="YES",(Table4[[#This Row],[Strength of Win]]-1)^2,(Table4[[#This Row],[Strength of Win]]-0)^2))</f>
        <v/>
      </c>
      <c r="P874" s="11"/>
    </row>
    <row r="875" spans="4:16" x14ac:dyDescent="0.2">
      <c r="D875" s="1">
        <v>46054</v>
      </c>
      <c r="E875" s="2">
        <v>0.625</v>
      </c>
      <c r="F875" t="s">
        <v>25</v>
      </c>
      <c r="G875">
        <f>VLOOKUP(Table4[[#This Row],[Home]],'NHL Model'!$A$6:$B$38,2,FALSE)</f>
        <v>0.67193921242367816</v>
      </c>
      <c r="H875" t="s">
        <v>13</v>
      </c>
      <c r="I875">
        <f>VLOOKUP(Table4[[#This Row],[Visitor]],'NHL Model'!$A$6:$B$38,2,FALSE)</f>
        <v>-7.5459708298993802E-2</v>
      </c>
      <c r="J875">
        <f ca="1">($B$1+Table4[[#This Row],[Home Differential]])-Table4[[#This Row],[Away Differential]]</f>
        <v>0.90997123038499039</v>
      </c>
      <c r="K875" t="str">
        <f ca="1">IF(Table4[[#This Row],[HomeIce Differential]]&gt;0,Table4[[#This Row],[Home]],Table4[[#This Row],[Visitor]])</f>
        <v>Carolina Hurricanes</v>
      </c>
      <c r="L875" s="11">
        <f ca="1"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0.59667263333595844</v>
      </c>
      <c r="M875" t="str">
        <f ca="1">IF(OR((NHL2025_26Results[[#This Row],[Winning Team]]="")),"-",IF(Table4[[#This Row],[Predicted Winner]]=NHL2025_26Results[[#This Row],[Winning Team]],"YES","NO"))</f>
        <v>-</v>
      </c>
      <c r="N875" t="str">
        <f ca="1">IF(Table4[[#This Row],[Adjusted Correct]]="-", "",IF(Table4[[#This Row],[Adjusted Correct]]="YES",(Table4[[#This Row],[Strength of Win]]-1)^2,(Table4[[#This Row],[Strength of Win]]-0)^2))</f>
        <v/>
      </c>
      <c r="P875" s="11"/>
    </row>
    <row r="876" spans="4:16" x14ac:dyDescent="0.2">
      <c r="D876" s="1">
        <v>46054</v>
      </c>
      <c r="E876" s="2">
        <v>0.54166666666666663</v>
      </c>
      <c r="F876" t="s">
        <v>37</v>
      </c>
      <c r="G876">
        <f>VLOOKUP(Table4[[#This Row],[Home]],'NHL Model'!$A$6:$B$38,2,FALSE)</f>
        <v>-0.11309445867623392</v>
      </c>
      <c r="H876" t="s">
        <v>21</v>
      </c>
      <c r="I876">
        <f>VLOOKUP(Table4[[#This Row],[Visitor]],'NHL Model'!$A$6:$B$38,2,FALSE)</f>
        <v>4.029141914856392E-2</v>
      </c>
      <c r="J876">
        <f ca="1">($B$1+Table4[[#This Row],[Home Differential]])-Table4[[#This Row],[Away Differential]]</f>
        <v>9.1864318375205478E-3</v>
      </c>
      <c r="K876" t="str">
        <f ca="1">IF(Table4[[#This Row],[HomeIce Differential]]&gt;0,Table4[[#This Row],[Home]],Table4[[#This Row],[Visitor]])</f>
        <v>Tampa Bay Lightning</v>
      </c>
      <c r="L876" s="11">
        <f ca="1"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0.54127285972315431</v>
      </c>
      <c r="M876" t="str">
        <f ca="1">IF(OR((NHL2025_26Results[[#This Row],[Winning Team]]="")),"-",IF(Table4[[#This Row],[Predicted Winner]]=NHL2025_26Results[[#This Row],[Winning Team]],"YES","NO"))</f>
        <v>-</v>
      </c>
      <c r="N876" t="str">
        <f ca="1">IF(Table4[[#This Row],[Adjusted Correct]]="-", "",IF(Table4[[#This Row],[Adjusted Correct]]="YES",(Table4[[#This Row],[Strength of Win]]-1)^2,(Table4[[#This Row],[Strength of Win]]-0)^2))</f>
        <v/>
      </c>
      <c r="P876" s="11"/>
    </row>
    <row r="877" spans="4:16" x14ac:dyDescent="0.2">
      <c r="D877" s="1">
        <v>46055</v>
      </c>
      <c r="E877" s="2">
        <v>0.91666666666666663</v>
      </c>
      <c r="F877" t="s">
        <v>16</v>
      </c>
      <c r="G877">
        <f>VLOOKUP(Table4[[#This Row],[Home]],'NHL Model'!$A$6:$B$38,2,FALSE)</f>
        <v>-1.3903684122795328</v>
      </c>
      <c r="H877" t="s">
        <v>19</v>
      </c>
      <c r="I877">
        <f>VLOOKUP(Table4[[#This Row],[Visitor]],'NHL Model'!$A$6:$B$38,2,FALSE)</f>
        <v>-0.635565543477981</v>
      </c>
      <c r="J877">
        <f ca="1">($B$1+Table4[[#This Row],[Home Differential]])-Table4[[#This Row],[Away Differential]]</f>
        <v>-0.59223055913923339</v>
      </c>
      <c r="K877" t="str">
        <f ca="1">IF(Table4[[#This Row],[HomeIce Differential]]&gt;0,Table4[[#This Row],[Home]],Table4[[#This Row],[Visitor]])</f>
        <v>Toronto Maple Leafs</v>
      </c>
      <c r="L877" s="11">
        <f ca="1"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0.5420586751071913</v>
      </c>
      <c r="M877" t="str">
        <f ca="1">IF(OR((NHL2025_26Results[[#This Row],[Winning Team]]="")),"-",IF(Table4[[#This Row],[Predicted Winner]]=NHL2025_26Results[[#This Row],[Winning Team]],"YES","NO"))</f>
        <v>-</v>
      </c>
      <c r="N877" t="str">
        <f ca="1">IF(Table4[[#This Row],[Adjusted Correct]]="-", "",IF(Table4[[#This Row],[Adjusted Correct]]="YES",(Table4[[#This Row],[Strength of Win]]-1)^2,(Table4[[#This Row],[Strength of Win]]-0)^2))</f>
        <v/>
      </c>
      <c r="P877" s="11"/>
    </row>
    <row r="878" spans="4:16" x14ac:dyDescent="0.2">
      <c r="D878" s="1">
        <v>46055</v>
      </c>
      <c r="E878" s="2">
        <v>0.85416666666666663</v>
      </c>
      <c r="F878" t="s">
        <v>10</v>
      </c>
      <c r="G878">
        <f>VLOOKUP(Table4[[#This Row],[Home]],'NHL Model'!$A$6:$B$38,2,FALSE)</f>
        <v>0.30570968833820172</v>
      </c>
      <c r="H878" t="s">
        <v>33</v>
      </c>
      <c r="I878">
        <f>VLOOKUP(Table4[[#This Row],[Visitor]],'NHL Model'!$A$6:$B$38,2,FALSE)</f>
        <v>-0.39418177254008485</v>
      </c>
      <c r="J878">
        <f ca="1">($B$1+Table4[[#This Row],[Home Differential]])-Table4[[#This Row],[Away Differential]]</f>
        <v>0.86246377054060497</v>
      </c>
      <c r="K878" t="str">
        <f ca="1">IF(Table4[[#This Row],[HomeIce Differential]]&gt;0,Table4[[#This Row],[Home]],Table4[[#This Row],[Visitor]])</f>
        <v>Chicago Blackhawks</v>
      </c>
      <c r="L878" s="11">
        <f ca="1"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0.65950182787152667</v>
      </c>
      <c r="M878" t="str">
        <f ca="1">IF(OR((NHL2025_26Results[[#This Row],[Winning Team]]="")),"-",IF(Table4[[#This Row],[Predicted Winner]]=NHL2025_26Results[[#This Row],[Winning Team]],"YES","NO"))</f>
        <v>-</v>
      </c>
      <c r="N878" t="str">
        <f ca="1">IF(Table4[[#This Row],[Adjusted Correct]]="-", "",IF(Table4[[#This Row],[Adjusted Correct]]="YES",(Table4[[#This Row],[Strength of Win]]-1)^2,(Table4[[#This Row],[Strength of Win]]-0)^2))</f>
        <v/>
      </c>
      <c r="P878" s="11"/>
    </row>
    <row r="879" spans="4:16" x14ac:dyDescent="0.2">
      <c r="D879" s="1">
        <v>46055</v>
      </c>
      <c r="E879" s="2">
        <v>0.875</v>
      </c>
      <c r="F879" t="s">
        <v>12</v>
      </c>
      <c r="G879">
        <f>VLOOKUP(Table4[[#This Row],[Home]],'NHL Model'!$A$6:$B$38,2,FALSE)</f>
        <v>1.5475013591489768</v>
      </c>
      <c r="H879" t="s">
        <v>26</v>
      </c>
      <c r="I879">
        <f>VLOOKUP(Table4[[#This Row],[Visitor]],'NHL Model'!$A$6:$B$38,2,FALSE)</f>
        <v>-0.513643833119658</v>
      </c>
      <c r="J879">
        <f ca="1">($B$1+Table4[[#This Row],[Home Differential]])-Table4[[#This Row],[Away Differential]]</f>
        <v>2.2237175019309534</v>
      </c>
      <c r="K879" t="str">
        <f ca="1">IF(Table4[[#This Row],[HomeIce Differential]]&gt;0,Table4[[#This Row],[Home]],Table4[[#This Row],[Visitor]])</f>
        <v>Colorado Avalanche</v>
      </c>
      <c r="L879" s="11">
        <f ca="1"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0.89144865971288123</v>
      </c>
      <c r="M879" t="str">
        <f ca="1">IF(OR((NHL2025_26Results[[#This Row],[Winning Team]]="")),"-",IF(Table4[[#This Row],[Predicted Winner]]=NHL2025_26Results[[#This Row],[Winning Team]],"YES","NO"))</f>
        <v>-</v>
      </c>
      <c r="N879" t="str">
        <f ca="1">IF(Table4[[#This Row],[Adjusted Correct]]="-", "",IF(Table4[[#This Row],[Adjusted Correct]]="YES",(Table4[[#This Row],[Strength of Win]]-1)^2,(Table4[[#This Row],[Strength of Win]]-0)^2))</f>
        <v/>
      </c>
      <c r="P879" s="11"/>
    </row>
    <row r="880" spans="4:16" x14ac:dyDescent="0.2">
      <c r="D880" s="1">
        <v>46055</v>
      </c>
      <c r="E880" s="2">
        <v>0.85416666666666663</v>
      </c>
      <c r="F880" t="s">
        <v>39</v>
      </c>
      <c r="G880">
        <f>VLOOKUP(Table4[[#This Row],[Home]],'NHL Model'!$A$6:$B$38,2,FALSE)</f>
        <v>0.19809534061227302</v>
      </c>
      <c r="H880" t="s">
        <v>40</v>
      </c>
      <c r="I880">
        <f>VLOOKUP(Table4[[#This Row],[Visitor]],'NHL Model'!$A$6:$B$38,2,FALSE)</f>
        <v>0.105105258369765</v>
      </c>
      <c r="J880">
        <f ca="1">($B$1+Table4[[#This Row],[Home Differential]])-Table4[[#This Row],[Away Differential]]</f>
        <v>0.25556239190482644</v>
      </c>
      <c r="K880" t="str">
        <f ca="1">IF(Table4[[#This Row],[HomeIce Differential]]&gt;0,Table4[[#This Row],[Home]],Table4[[#This Row],[Visitor]])</f>
        <v>Dallas Stars</v>
      </c>
      <c r="L880" s="11">
        <f ca="1"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0.53541038361379889</v>
      </c>
      <c r="M880" t="str">
        <f ca="1">IF(OR((NHL2025_26Results[[#This Row],[Winning Team]]="")),"-",IF(Table4[[#This Row],[Predicted Winner]]=NHL2025_26Results[[#This Row],[Winning Team]],"YES","NO"))</f>
        <v>-</v>
      </c>
      <c r="N880" t="str">
        <f ca="1">IF(Table4[[#This Row],[Adjusted Correct]]="-", "",IF(Table4[[#This Row],[Adjusted Correct]]="YES",(Table4[[#This Row],[Strength of Win]]-1)^2,(Table4[[#This Row],[Strength of Win]]-0)^2))</f>
        <v/>
      </c>
      <c r="P880" s="11"/>
    </row>
    <row r="881" spans="4:16" x14ac:dyDescent="0.2">
      <c r="D881" s="1">
        <v>46055</v>
      </c>
      <c r="E881" s="2">
        <v>0.79166666666666663</v>
      </c>
      <c r="F881" t="s">
        <v>11</v>
      </c>
      <c r="G881">
        <f>VLOOKUP(Table4[[#This Row],[Home]],'NHL Model'!$A$6:$B$38,2,FALSE)</f>
        <v>-0.28105923893144158</v>
      </c>
      <c r="H881" t="s">
        <v>23</v>
      </c>
      <c r="I881">
        <f>VLOOKUP(Table4[[#This Row],[Visitor]],'NHL Model'!$A$6:$B$38,2,FALSE)</f>
        <v>-0.8683412362501769</v>
      </c>
      <c r="J881">
        <f ca="1">($B$1+Table4[[#This Row],[Home Differential]])-Table4[[#This Row],[Away Differential]]</f>
        <v>0.74985430698105371</v>
      </c>
      <c r="K881" t="str">
        <f ca="1">IF(Table4[[#This Row],[HomeIce Differential]]&gt;0,Table4[[#This Row],[Home]],Table4[[#This Row],[Visitor]])</f>
        <v>Florida Panthers</v>
      </c>
      <c r="L881" s="11">
        <f ca="1"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0.69561478736826343</v>
      </c>
      <c r="M881" t="str">
        <f ca="1">IF(OR((NHL2025_26Results[[#This Row],[Winning Team]]="")),"-",IF(Table4[[#This Row],[Predicted Winner]]=NHL2025_26Results[[#This Row],[Winning Team]],"YES","NO"))</f>
        <v>-</v>
      </c>
      <c r="N881" t="str">
        <f ca="1">IF(Table4[[#This Row],[Adjusted Correct]]="-", "",IF(Table4[[#This Row],[Adjusted Correct]]="YES",(Table4[[#This Row],[Strength of Win]]-1)^2,(Table4[[#This Row],[Strength of Win]]-0)^2))</f>
        <v/>
      </c>
      <c r="P881" s="11"/>
    </row>
    <row r="882" spans="4:16" x14ac:dyDescent="0.2">
      <c r="D882" s="1">
        <v>46055</v>
      </c>
      <c r="E882" s="2">
        <v>0.8125</v>
      </c>
      <c r="F882" t="s">
        <v>34</v>
      </c>
      <c r="G882">
        <f>VLOOKUP(Table4[[#This Row],[Home]],'NHL Model'!$A$6:$B$38,2,FALSE)</f>
        <v>-0.53650300840565446</v>
      </c>
      <c r="H882" t="s">
        <v>18</v>
      </c>
      <c r="I882">
        <f>VLOOKUP(Table4[[#This Row],[Visitor]],'NHL Model'!$A$6:$B$38,2,FALSE)</f>
        <v>-0.52437726201848234</v>
      </c>
      <c r="J882">
        <f ca="1">($B$1+Table4[[#This Row],[Home Differential]])-Table4[[#This Row],[Away Differential]]</f>
        <v>0.15044656327514627</v>
      </c>
      <c r="K882" t="str">
        <f ca="1">IF(Table4[[#This Row],[HomeIce Differential]]&gt;0,Table4[[#This Row],[Home]],Table4[[#This Row],[Visitor]])</f>
        <v>Minnesota Wild</v>
      </c>
      <c r="L882" s="11">
        <f ca="1"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0.48436498812895168</v>
      </c>
      <c r="M882" t="str">
        <f ca="1">IF(OR((NHL2025_26Results[[#This Row],[Winning Team]]="")),"-",IF(Table4[[#This Row],[Predicted Winner]]=NHL2025_26Results[[#This Row],[Winning Team]],"YES","NO"))</f>
        <v>-</v>
      </c>
      <c r="N882" t="str">
        <f ca="1">IF(Table4[[#This Row],[Adjusted Correct]]="-", "",IF(Table4[[#This Row],[Adjusted Correct]]="YES",(Table4[[#This Row],[Strength of Win]]-1)^2,(Table4[[#This Row],[Strength of Win]]-0)^2))</f>
        <v/>
      </c>
      <c r="P882" s="11"/>
    </row>
    <row r="883" spans="4:16" x14ac:dyDescent="0.2">
      <c r="D883" s="1">
        <v>46055</v>
      </c>
      <c r="E883" s="2">
        <v>0.83333333333333337</v>
      </c>
      <c r="F883" t="s">
        <v>29</v>
      </c>
      <c r="G883">
        <f>VLOOKUP(Table4[[#This Row],[Home]],'NHL Model'!$A$6:$B$38,2,FALSE)</f>
        <v>-1.3516250707060606</v>
      </c>
      <c r="H883" t="s">
        <v>35</v>
      </c>
      <c r="I883">
        <f>VLOOKUP(Table4[[#This Row],[Visitor]],'NHL Model'!$A$6:$B$38,2,FALSE)</f>
        <v>-1.6211574240381006</v>
      </c>
      <c r="J883">
        <f ca="1">($B$1+Table4[[#This Row],[Home Differential]])-Table4[[#This Row],[Away Differential]]</f>
        <v>0.43210466299435835</v>
      </c>
      <c r="K883" t="str">
        <f ca="1">IF(Table4[[#This Row],[HomeIce Differential]]&gt;0,Table4[[#This Row],[Home]],Table4[[#This Row],[Visitor]])</f>
        <v>Nashville Predators</v>
      </c>
      <c r="L883" s="11">
        <f ca="1"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0.59987184485125544</v>
      </c>
      <c r="M883" t="str">
        <f ca="1">IF(OR((NHL2025_26Results[[#This Row],[Winning Team]]="")),"-",IF(Table4[[#This Row],[Predicted Winner]]=NHL2025_26Results[[#This Row],[Winning Team]],"YES","NO"))</f>
        <v>-</v>
      </c>
      <c r="N883" t="str">
        <f ca="1">IF(Table4[[#This Row],[Adjusted Correct]]="-", "",IF(Table4[[#This Row],[Adjusted Correct]]="YES",(Table4[[#This Row],[Strength of Win]]-1)^2,(Table4[[#This Row],[Strength of Win]]-0)^2))</f>
        <v/>
      </c>
      <c r="P883" s="11"/>
    </row>
    <row r="884" spans="4:16" x14ac:dyDescent="0.2">
      <c r="D884" s="1">
        <v>46055</v>
      </c>
      <c r="E884" s="2">
        <v>0.79166666666666663</v>
      </c>
      <c r="F884" t="s">
        <v>14</v>
      </c>
      <c r="G884">
        <f>VLOOKUP(Table4[[#This Row],[Home]],'NHL Model'!$A$6:$B$38,2,FALSE)</f>
        <v>0.26289091192875702</v>
      </c>
      <c r="H884" t="s">
        <v>36</v>
      </c>
      <c r="I884">
        <f>VLOOKUP(Table4[[#This Row],[Visitor]],'NHL Model'!$A$6:$B$38,2,FALSE)</f>
        <v>-0.40651947573390851</v>
      </c>
      <c r="J884">
        <f ca="1">($B$1+Table4[[#This Row],[Home Differential]])-Table4[[#This Row],[Away Differential]]</f>
        <v>0.83198269732498398</v>
      </c>
      <c r="K884" t="str">
        <f ca="1">IF(Table4[[#This Row],[HomeIce Differential]]&gt;0,Table4[[#This Row],[Home]],Table4[[#This Row],[Visitor]])</f>
        <v>Pittsburgh Penguins</v>
      </c>
      <c r="L884" s="11">
        <f ca="1"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0.69131527744620913</v>
      </c>
      <c r="M884" t="str">
        <f ca="1">IF(OR((NHL2025_26Results[[#This Row],[Winning Team]]="")),"-",IF(Table4[[#This Row],[Predicted Winner]]=NHL2025_26Results[[#This Row],[Winning Team]],"YES","NO"))</f>
        <v>-</v>
      </c>
      <c r="N884" t="str">
        <f ca="1">IF(Table4[[#This Row],[Adjusted Correct]]="-", "",IF(Table4[[#This Row],[Adjusted Correct]]="YES",(Table4[[#This Row],[Strength of Win]]-1)^2,(Table4[[#This Row],[Strength of Win]]-0)^2))</f>
        <v/>
      </c>
      <c r="P884" s="11"/>
    </row>
    <row r="885" spans="4:16" x14ac:dyDescent="0.2">
      <c r="D885" s="1">
        <v>46055</v>
      </c>
      <c r="E885" s="2">
        <v>0.89583333333333337</v>
      </c>
      <c r="F885" t="s">
        <v>55</v>
      </c>
      <c r="G885">
        <f>VLOOKUP(Table4[[#This Row],[Home]],'NHL Model'!$A$6:$B$38,2,FALSE)</f>
        <v>-0.12212311954851815</v>
      </c>
      <c r="H885" t="s">
        <v>38</v>
      </c>
      <c r="I885">
        <f>VLOOKUP(Table4[[#This Row],[Visitor]],'NHL Model'!$A$6:$B$38,2,FALSE)</f>
        <v>-0.6902088310934803</v>
      </c>
      <c r="J885">
        <f ca="1">($B$1+Table4[[#This Row],[Home Differential]])-Table4[[#This Row],[Away Differential]]</f>
        <v>0.73065802120728052</v>
      </c>
      <c r="K885" t="str">
        <f ca="1">IF(Table4[[#This Row],[HomeIce Differential]]&gt;0,Table4[[#This Row],[Home]],Table4[[#This Row],[Visitor]])</f>
        <v>Utah Mammoth</v>
      </c>
      <c r="L885" s="11">
        <f ca="1"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0.66824930860296261</v>
      </c>
      <c r="M885" t="str">
        <f ca="1">IF(OR((NHL2025_26Results[[#This Row],[Winning Team]]="")),"-",IF(Table4[[#This Row],[Predicted Winner]]=NHL2025_26Results[[#This Row],[Winning Team]],"YES","NO"))</f>
        <v>-</v>
      </c>
      <c r="N885" t="str">
        <f ca="1">IF(Table4[[#This Row],[Adjusted Correct]]="-", "",IF(Table4[[#This Row],[Adjusted Correct]]="YES",(Table4[[#This Row],[Strength of Win]]-1)^2,(Table4[[#This Row],[Strength of Win]]-0)^2))</f>
        <v/>
      </c>
      <c r="P885" s="11"/>
    </row>
    <row r="886" spans="4:16" x14ac:dyDescent="0.2">
      <c r="D886" s="1">
        <v>46055</v>
      </c>
      <c r="E886" s="2">
        <v>0.79166666666666663</v>
      </c>
      <c r="F886" t="s">
        <v>22</v>
      </c>
      <c r="G886">
        <f>VLOOKUP(Table4[[#This Row],[Home]],'NHL Model'!$A$6:$B$38,2,FALSE)</f>
        <v>-6.1308839486784707E-2</v>
      </c>
      <c r="H886" t="s">
        <v>30</v>
      </c>
      <c r="I886">
        <f>VLOOKUP(Table4[[#This Row],[Visitor]],'NHL Model'!$A$6:$B$38,2,FALSE)</f>
        <v>-6.4729560818359025E-2</v>
      </c>
      <c r="J886">
        <f ca="1">($B$1+Table4[[#This Row],[Home Differential]])-Table4[[#This Row],[Away Differential]]</f>
        <v>0.16599303099389273</v>
      </c>
      <c r="K886" t="str">
        <f ca="1">IF(Table4[[#This Row],[HomeIce Differential]]&gt;0,Table4[[#This Row],[Home]],Table4[[#This Row],[Visitor]])</f>
        <v>Washington Capitals</v>
      </c>
      <c r="L886" s="11">
        <f ca="1"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0.52048720980857721</v>
      </c>
      <c r="M886" t="str">
        <f ca="1">IF(OR((NHL2025_26Results[[#This Row],[Winning Team]]="")),"-",IF(Table4[[#This Row],[Predicted Winner]]=NHL2025_26Results[[#This Row],[Winning Team]],"YES","NO"))</f>
        <v>-</v>
      </c>
      <c r="N886" t="str">
        <f ca="1">IF(Table4[[#This Row],[Adjusted Correct]]="-", "",IF(Table4[[#This Row],[Adjusted Correct]]="YES",(Table4[[#This Row],[Strength of Win]]-1)^2,(Table4[[#This Row],[Strength of Win]]-0)^2))</f>
        <v/>
      </c>
      <c r="P886" s="11"/>
    </row>
    <row r="887" spans="4:16" x14ac:dyDescent="0.2">
      <c r="D887" s="1">
        <v>46056</v>
      </c>
      <c r="E887" s="2">
        <v>0.91666666666666663</v>
      </c>
      <c r="F887" t="s">
        <v>31</v>
      </c>
      <c r="G887">
        <f>VLOOKUP(Table4[[#This Row],[Home]],'NHL Model'!$A$6:$B$38,2,FALSE)</f>
        <v>0.51775546328552802</v>
      </c>
      <c r="H887" t="s">
        <v>32</v>
      </c>
      <c r="I887">
        <f>VLOOKUP(Table4[[#This Row],[Visitor]],'NHL Model'!$A$6:$B$38,2,FALSE)</f>
        <v>-0.361361309178443</v>
      </c>
      <c r="J887">
        <f ca="1">($B$1+Table4[[#This Row],[Home Differential]])-Table4[[#This Row],[Away Differential]]</f>
        <v>1.0416890821262894</v>
      </c>
      <c r="K887" t="str">
        <f ca="1">IF(Table4[[#This Row],[HomeIce Differential]]&gt;0,Table4[[#This Row],[Home]],Table4[[#This Row],[Visitor]])</f>
        <v>Anaheim Ducks</v>
      </c>
      <c r="L887" s="11">
        <f ca="1"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0.78866494452304403</v>
      </c>
      <c r="M887" t="str">
        <f ca="1">IF(OR((NHL2025_26Results[[#This Row],[Winning Team]]="")),"-",IF(Table4[[#This Row],[Predicted Winner]]=NHL2025_26Results[[#This Row],[Winning Team]],"YES","NO"))</f>
        <v>-</v>
      </c>
      <c r="N887" t="str">
        <f ca="1">IF(Table4[[#This Row],[Adjusted Correct]]="-", "",IF(Table4[[#This Row],[Adjusted Correct]]="YES",(Table4[[#This Row],[Strength of Win]]-1)^2,(Table4[[#This Row],[Strength of Win]]-0)^2))</f>
        <v/>
      </c>
      <c r="P887" s="11"/>
    </row>
    <row r="888" spans="4:16" x14ac:dyDescent="0.2">
      <c r="D888" s="1">
        <v>46056</v>
      </c>
      <c r="E888" s="2">
        <v>0.79166666666666663</v>
      </c>
      <c r="F888" t="s">
        <v>25</v>
      </c>
      <c r="G888">
        <f>VLOOKUP(Table4[[#This Row],[Home]],'NHL Model'!$A$6:$B$38,2,FALSE)</f>
        <v>0.67193921242367816</v>
      </c>
      <c r="H888" t="s">
        <v>36</v>
      </c>
      <c r="I888">
        <f>VLOOKUP(Table4[[#This Row],[Visitor]],'NHL Model'!$A$6:$B$38,2,FALSE)</f>
        <v>-0.40651947573390851</v>
      </c>
      <c r="J888">
        <f ca="1">($B$1+Table4[[#This Row],[Home Differential]])-Table4[[#This Row],[Away Differential]]</f>
        <v>1.241030997819905</v>
      </c>
      <c r="K888" t="str">
        <f ca="1">IF(Table4[[#This Row],[HomeIce Differential]]&gt;0,Table4[[#This Row],[Home]],Table4[[#This Row],[Visitor]])</f>
        <v>Carolina Hurricanes</v>
      </c>
      <c r="L888" s="11">
        <f ca="1"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0.76367157348269765</v>
      </c>
      <c r="M888" t="str">
        <f ca="1">IF(OR((NHL2025_26Results[[#This Row],[Winning Team]]="")),"-",IF(Table4[[#This Row],[Predicted Winner]]=NHL2025_26Results[[#This Row],[Winning Team]],"YES","NO"))</f>
        <v>-</v>
      </c>
      <c r="N888" t="str">
        <f ca="1">IF(Table4[[#This Row],[Adjusted Correct]]="-", "",IF(Table4[[#This Row],[Adjusted Correct]]="YES",(Table4[[#This Row],[Strength of Win]]-1)^2,(Table4[[#This Row],[Strength of Win]]-0)^2))</f>
        <v/>
      </c>
      <c r="P888" s="11"/>
    </row>
    <row r="889" spans="4:16" x14ac:dyDescent="0.2">
      <c r="D889" s="1">
        <v>46056</v>
      </c>
      <c r="E889" s="2">
        <v>0.85416666666666663</v>
      </c>
      <c r="F889" t="s">
        <v>17</v>
      </c>
      <c r="G889">
        <f>VLOOKUP(Table4[[#This Row],[Home]],'NHL Model'!$A$6:$B$38,2,FALSE)</f>
        <v>-0.61980804137564283</v>
      </c>
      <c r="H889" t="s">
        <v>19</v>
      </c>
      <c r="I889">
        <f>VLOOKUP(Table4[[#This Row],[Visitor]],'NHL Model'!$A$6:$B$38,2,FALSE)</f>
        <v>-0.635565543477981</v>
      </c>
      <c r="J889">
        <f ca="1">($B$1+Table4[[#This Row],[Home Differential]])-Table4[[#This Row],[Away Differential]]</f>
        <v>0.17832981176465657</v>
      </c>
      <c r="K889" t="str">
        <f ca="1">IF(Table4[[#This Row],[HomeIce Differential]]&gt;0,Table4[[#This Row],[Home]],Table4[[#This Row],[Visitor]])</f>
        <v>Edmonton Oilers</v>
      </c>
      <c r="L889" s="11">
        <f ca="1"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0.60074600684485424</v>
      </c>
      <c r="M889" t="str">
        <f ca="1">IF(OR((NHL2025_26Results[[#This Row],[Winning Team]]="")),"-",IF(Table4[[#This Row],[Predicted Winner]]=NHL2025_26Results[[#This Row],[Winning Team]],"YES","NO"))</f>
        <v>-</v>
      </c>
      <c r="N889" t="str">
        <f ca="1">IF(Table4[[#This Row],[Adjusted Correct]]="-", "",IF(Table4[[#This Row],[Adjusted Correct]]="YES",(Table4[[#This Row],[Strength of Win]]-1)^2,(Table4[[#This Row],[Strength of Win]]-0)^2))</f>
        <v/>
      </c>
      <c r="P889" s="11"/>
    </row>
    <row r="890" spans="4:16" x14ac:dyDescent="0.2">
      <c r="D890" s="1">
        <v>46056</v>
      </c>
      <c r="E890" s="2">
        <v>0.79166666666666663</v>
      </c>
      <c r="F890" t="s">
        <v>24</v>
      </c>
      <c r="G890">
        <f>VLOOKUP(Table4[[#This Row],[Home]],'NHL Model'!$A$6:$B$38,2,FALSE)</f>
        <v>0.559441163373953</v>
      </c>
      <c r="H890" t="s">
        <v>28</v>
      </c>
      <c r="I890">
        <f>VLOOKUP(Table4[[#This Row],[Visitor]],'NHL Model'!$A$6:$B$38,2,FALSE)</f>
        <v>-0.40822279081308277</v>
      </c>
      <c r="J890">
        <f ca="1">($B$1+Table4[[#This Row],[Home Differential]])-Table4[[#This Row],[Away Differential]]</f>
        <v>1.1302362638493542</v>
      </c>
      <c r="K890" t="str">
        <f ca="1">IF(Table4[[#This Row],[HomeIce Differential]]&gt;0,Table4[[#This Row],[Home]],Table4[[#This Row],[Visitor]])</f>
        <v>New Jersey Devils</v>
      </c>
      <c r="L890" s="11">
        <f ca="1"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0.79296766318788425</v>
      </c>
      <c r="M890" t="str">
        <f ca="1">IF(OR((NHL2025_26Results[[#This Row],[Winning Team]]="")),"-",IF(Table4[[#This Row],[Predicted Winner]]=NHL2025_26Results[[#This Row],[Winning Team]],"YES","NO"))</f>
        <v>-</v>
      </c>
      <c r="N890" t="str">
        <f ca="1">IF(Table4[[#This Row],[Adjusted Correct]]="-", "",IF(Table4[[#This Row],[Adjusted Correct]]="YES",(Table4[[#This Row],[Strength of Win]]-1)^2,(Table4[[#This Row],[Strength of Win]]-0)^2))</f>
        <v/>
      </c>
      <c r="P890" s="11"/>
    </row>
    <row r="891" spans="4:16" x14ac:dyDescent="0.2">
      <c r="D891" s="1">
        <v>46056</v>
      </c>
      <c r="E891" s="2">
        <v>0.8125</v>
      </c>
      <c r="F891" t="s">
        <v>30</v>
      </c>
      <c r="G891">
        <f>VLOOKUP(Table4[[#This Row],[Home]],'NHL Model'!$A$6:$B$38,2,FALSE)</f>
        <v>-6.4729560818359025E-2</v>
      </c>
      <c r="H891" t="s">
        <v>14</v>
      </c>
      <c r="I891">
        <f>VLOOKUP(Table4[[#This Row],[Visitor]],'NHL Model'!$A$6:$B$38,2,FALSE)</f>
        <v>0.26289091192875702</v>
      </c>
      <c r="J891">
        <f ca="1">($B$1+Table4[[#This Row],[Home Differential]])-Table4[[#This Row],[Away Differential]]</f>
        <v>-0.16504816308479764</v>
      </c>
      <c r="K891" t="str">
        <f ca="1">IF(Table4[[#This Row],[HomeIce Differential]]&gt;0,Table4[[#This Row],[Home]],Table4[[#This Row],[Visitor]])</f>
        <v>Pittsburgh Penguins</v>
      </c>
      <c r="L891" s="11">
        <f ca="1"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0.48286885298742249</v>
      </c>
      <c r="M891" t="str">
        <f ca="1">IF(OR((NHL2025_26Results[[#This Row],[Winning Team]]="")),"-",IF(Table4[[#This Row],[Predicted Winner]]=NHL2025_26Results[[#This Row],[Winning Team]],"YES","NO"))</f>
        <v>-</v>
      </c>
      <c r="N891" t="str">
        <f ca="1">IF(Table4[[#This Row],[Adjusted Correct]]="-", "",IF(Table4[[#This Row],[Adjusted Correct]]="YES",(Table4[[#This Row],[Strength of Win]]-1)^2,(Table4[[#This Row],[Strength of Win]]-0)^2))</f>
        <v/>
      </c>
      <c r="P891" s="11"/>
    </row>
    <row r="892" spans="4:16" x14ac:dyDescent="0.2">
      <c r="D892" s="1">
        <v>46056</v>
      </c>
      <c r="E892" s="2">
        <v>0.79166666666666663</v>
      </c>
      <c r="F892" t="s">
        <v>27</v>
      </c>
      <c r="G892">
        <f>VLOOKUP(Table4[[#This Row],[Home]],'NHL Model'!$A$6:$B$38,2,FALSE)</f>
        <v>-0.51358590497437617</v>
      </c>
      <c r="H892" t="s">
        <v>22</v>
      </c>
      <c r="I892">
        <f>VLOOKUP(Table4[[#This Row],[Visitor]],'NHL Model'!$A$6:$B$38,2,FALSE)</f>
        <v>-6.1308839486784707E-2</v>
      </c>
      <c r="J892">
        <f ca="1">($B$1+Table4[[#This Row],[Home Differential]])-Table4[[#This Row],[Away Differential]]</f>
        <v>-0.28970475582527305</v>
      </c>
      <c r="K892" t="str">
        <f ca="1">IF(Table4[[#This Row],[HomeIce Differential]]&gt;0,Table4[[#This Row],[Home]],Table4[[#This Row],[Visitor]])</f>
        <v>Washington Capitals</v>
      </c>
      <c r="L892" s="11">
        <f ca="1"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0.49764562474312668</v>
      </c>
      <c r="M892" t="str">
        <f ca="1">IF(OR((NHL2025_26Results[[#This Row],[Winning Team]]="")),"-",IF(Table4[[#This Row],[Predicted Winner]]=NHL2025_26Results[[#This Row],[Winning Team]],"YES","NO"))</f>
        <v>-</v>
      </c>
      <c r="N892" t="str">
        <f ca="1">IF(Table4[[#This Row],[Adjusted Correct]]="-", "",IF(Table4[[#This Row],[Adjusted Correct]]="YES",(Table4[[#This Row],[Strength of Win]]-1)^2,(Table4[[#This Row],[Strength of Win]]-0)^2))</f>
        <v/>
      </c>
      <c r="P892" s="11"/>
    </row>
    <row r="893" spans="4:16" x14ac:dyDescent="0.2">
      <c r="D893" s="1">
        <v>46056</v>
      </c>
      <c r="E893" s="2">
        <v>0.8125</v>
      </c>
      <c r="F893" t="s">
        <v>37</v>
      </c>
      <c r="G893">
        <f>VLOOKUP(Table4[[#This Row],[Home]],'NHL Model'!$A$6:$B$38,2,FALSE)</f>
        <v>-0.11309445867623392</v>
      </c>
      <c r="H893" t="s">
        <v>23</v>
      </c>
      <c r="I893">
        <f>VLOOKUP(Table4[[#This Row],[Visitor]],'NHL Model'!$A$6:$B$38,2,FALSE)</f>
        <v>-0.8683412362501769</v>
      </c>
      <c r="J893">
        <f ca="1">($B$1+Table4[[#This Row],[Home Differential]])-Table4[[#This Row],[Away Differential]]</f>
        <v>0.91781908723626138</v>
      </c>
      <c r="K893" t="str">
        <f ca="1">IF(Table4[[#This Row],[HomeIce Differential]]&gt;0,Table4[[#This Row],[Home]],Table4[[#This Row],[Visitor]])</f>
        <v>Tampa Bay Lightning</v>
      </c>
      <c r="L893" s="11">
        <f ca="1"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0.66717178660311693</v>
      </c>
      <c r="M893" t="str">
        <f ca="1">IF(OR((NHL2025_26Results[[#This Row],[Winning Team]]="")),"-",IF(Table4[[#This Row],[Predicted Winner]]=NHL2025_26Results[[#This Row],[Winning Team]],"YES","NO"))</f>
        <v>-</v>
      </c>
      <c r="N893" t="str">
        <f ca="1">IF(Table4[[#This Row],[Adjusted Correct]]="-", "",IF(Table4[[#This Row],[Adjusted Correct]]="YES",(Table4[[#This Row],[Strength of Win]]-1)^2,(Table4[[#This Row],[Strength of Win]]-0)^2))</f>
        <v/>
      </c>
      <c r="P893" s="11"/>
    </row>
    <row r="894" spans="4:16" x14ac:dyDescent="0.2">
      <c r="D894" s="1">
        <v>46057</v>
      </c>
      <c r="E894" s="2">
        <v>0.79166666666666663</v>
      </c>
      <c r="F894" t="s">
        <v>28</v>
      </c>
      <c r="G894">
        <f>VLOOKUP(Table4[[#This Row],[Home]],'NHL Model'!$A$6:$B$38,2,FALSE)</f>
        <v>-0.40822279081308277</v>
      </c>
      <c r="H894" t="s">
        <v>10</v>
      </c>
      <c r="I894">
        <f>VLOOKUP(Table4[[#This Row],[Visitor]],'NHL Model'!$A$6:$B$38,2,FALSE)</f>
        <v>0.30570968833820172</v>
      </c>
      <c r="J894">
        <f ca="1">($B$1+Table4[[#This Row],[Home Differential]])-Table4[[#This Row],[Away Differential]]</f>
        <v>-0.55136016948896605</v>
      </c>
      <c r="K894" t="str">
        <f ca="1">IF(Table4[[#This Row],[HomeIce Differential]]&gt;0,Table4[[#This Row],[Home]],Table4[[#This Row],[Visitor]])</f>
        <v>Chicago Blackhawks</v>
      </c>
      <c r="L894" s="11">
        <f ca="1"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0.55716495928567178</v>
      </c>
      <c r="M894" t="str">
        <f ca="1">IF(OR((NHL2025_26Results[[#This Row],[Winning Team]]="")),"-",IF(Table4[[#This Row],[Predicted Winner]]=NHL2025_26Results[[#This Row],[Winning Team]],"YES","NO"))</f>
        <v>-</v>
      </c>
      <c r="N894" t="str">
        <f ca="1">IF(Table4[[#This Row],[Adjusted Correct]]="-", "",IF(Table4[[#This Row],[Adjusted Correct]]="YES",(Table4[[#This Row],[Strength of Win]]-1)^2,(Table4[[#This Row],[Strength of Win]]-0)^2))</f>
        <v/>
      </c>
      <c r="P894" s="11"/>
    </row>
    <row r="895" spans="4:16" x14ac:dyDescent="0.2">
      <c r="D895" s="1">
        <v>46057</v>
      </c>
      <c r="E895" s="2">
        <v>0.91666666666666663</v>
      </c>
      <c r="F895" t="s">
        <v>16</v>
      </c>
      <c r="G895">
        <f>VLOOKUP(Table4[[#This Row],[Home]],'NHL Model'!$A$6:$B$38,2,FALSE)</f>
        <v>-1.3903684122795328</v>
      </c>
      <c r="H895" t="s">
        <v>17</v>
      </c>
      <c r="I895">
        <f>VLOOKUP(Table4[[#This Row],[Visitor]],'NHL Model'!$A$6:$B$38,2,FALSE)</f>
        <v>-0.61980804137564283</v>
      </c>
      <c r="J895">
        <f ca="1">($B$1+Table4[[#This Row],[Home Differential]])-Table4[[#This Row],[Away Differential]]</f>
        <v>-0.60798806124157156</v>
      </c>
      <c r="K895" t="str">
        <f ca="1">IF(Table4[[#This Row],[HomeIce Differential]]&gt;0,Table4[[#This Row],[Home]],Table4[[#This Row],[Visitor]])</f>
        <v>Edmonton Oilers</v>
      </c>
      <c r="L895" s="11">
        <f ca="1"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0.5442420135478756</v>
      </c>
      <c r="M895" t="str">
        <f ca="1">IF(OR((NHL2025_26Results[[#This Row],[Winning Team]]="")),"-",IF(Table4[[#This Row],[Predicted Winner]]=NHL2025_26Results[[#This Row],[Winning Team]],"YES","NO"))</f>
        <v>-</v>
      </c>
      <c r="N895" t="str">
        <f ca="1">IF(Table4[[#This Row],[Adjusted Correct]]="-", "",IF(Table4[[#This Row],[Adjusted Correct]]="YES",(Table4[[#This Row],[Strength of Win]]-1)^2,(Table4[[#This Row],[Strength of Win]]-0)^2))</f>
        <v/>
      </c>
      <c r="P895" s="11"/>
    </row>
    <row r="896" spans="4:16" x14ac:dyDescent="0.2">
      <c r="D896" s="1">
        <v>46057</v>
      </c>
      <c r="E896" s="2">
        <v>0.875</v>
      </c>
      <c r="F896" t="s">
        <v>12</v>
      </c>
      <c r="G896">
        <f>VLOOKUP(Table4[[#This Row],[Home]],'NHL Model'!$A$6:$B$38,2,FALSE)</f>
        <v>1.5475013591489768</v>
      </c>
      <c r="H896" t="s">
        <v>33</v>
      </c>
      <c r="I896">
        <f>VLOOKUP(Table4[[#This Row],[Visitor]],'NHL Model'!$A$6:$B$38,2,FALSE)</f>
        <v>-0.39418177254008485</v>
      </c>
      <c r="J896">
        <f ca="1">($B$1+Table4[[#This Row],[Home Differential]])-Table4[[#This Row],[Away Differential]]</f>
        <v>2.1042554413513801</v>
      </c>
      <c r="K896" t="str">
        <f ca="1">IF(Table4[[#This Row],[HomeIce Differential]]&gt;0,Table4[[#This Row],[Home]],Table4[[#This Row],[Visitor]])</f>
        <v>Colorado Avalanche</v>
      </c>
      <c r="L896" s="11">
        <f ca="1"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0.91992907061212215</v>
      </c>
      <c r="M896" t="str">
        <f ca="1">IF(OR((NHL2025_26Results[[#This Row],[Winning Team]]="")),"-",IF(Table4[[#This Row],[Predicted Winner]]=NHL2025_26Results[[#This Row],[Winning Team]],"YES","NO"))</f>
        <v>-</v>
      </c>
      <c r="N896" t="str">
        <f ca="1">IF(Table4[[#This Row],[Adjusted Correct]]="-", "",IF(Table4[[#This Row],[Adjusted Correct]]="YES",(Table4[[#This Row],[Strength of Win]]-1)^2,(Table4[[#This Row],[Strength of Win]]-0)^2))</f>
        <v/>
      </c>
      <c r="P896" s="11"/>
    </row>
    <row r="897" spans="4:16" x14ac:dyDescent="0.2">
      <c r="D897" s="1">
        <v>46057</v>
      </c>
      <c r="E897" s="2">
        <v>0.89583333333333337</v>
      </c>
      <c r="F897" t="s">
        <v>39</v>
      </c>
      <c r="G897">
        <f>VLOOKUP(Table4[[#This Row],[Home]],'NHL Model'!$A$6:$B$38,2,FALSE)</f>
        <v>0.19809534061227302</v>
      </c>
      <c r="H897" t="s">
        <v>35</v>
      </c>
      <c r="I897">
        <f>VLOOKUP(Table4[[#This Row],[Visitor]],'NHL Model'!$A$6:$B$38,2,FALSE)</f>
        <v>-1.6211574240381006</v>
      </c>
      <c r="J897">
        <f ca="1">($B$1+Table4[[#This Row],[Home Differential]])-Table4[[#This Row],[Away Differential]]</f>
        <v>1.9818250743126919</v>
      </c>
      <c r="K897" t="str">
        <f ca="1">IF(Table4[[#This Row],[HomeIce Differential]]&gt;0,Table4[[#This Row],[Home]],Table4[[#This Row],[Visitor]])</f>
        <v>Dallas Stars</v>
      </c>
      <c r="L897" s="11">
        <f ca="1"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0.84063677060450059</v>
      </c>
      <c r="M897" t="str">
        <f ca="1">IF(OR((NHL2025_26Results[[#This Row],[Winning Team]]="")),"-",IF(Table4[[#This Row],[Predicted Winner]]=NHL2025_26Results[[#This Row],[Winning Team]],"YES","NO"))</f>
        <v>-</v>
      </c>
      <c r="N897" t="str">
        <f ca="1">IF(Table4[[#This Row],[Adjusted Correct]]="-", "",IF(Table4[[#This Row],[Adjusted Correct]]="YES",(Table4[[#This Row],[Strength of Win]]-1)^2,(Table4[[#This Row],[Strength of Win]]-0)^2))</f>
        <v/>
      </c>
      <c r="P897" s="11"/>
    </row>
    <row r="898" spans="4:16" x14ac:dyDescent="0.2">
      <c r="D898" s="1">
        <v>46057</v>
      </c>
      <c r="E898" s="2">
        <v>0.79166666666666663</v>
      </c>
      <c r="F898" t="s">
        <v>11</v>
      </c>
      <c r="G898">
        <f>VLOOKUP(Table4[[#This Row],[Home]],'NHL Model'!$A$6:$B$38,2,FALSE)</f>
        <v>-0.28105923893144158</v>
      </c>
      <c r="H898" t="s">
        <v>21</v>
      </c>
      <c r="I898">
        <f>VLOOKUP(Table4[[#This Row],[Visitor]],'NHL Model'!$A$6:$B$38,2,FALSE)</f>
        <v>4.029141914856392E-2</v>
      </c>
      <c r="J898">
        <f ca="1">($B$1+Table4[[#This Row],[Home Differential]])-Table4[[#This Row],[Away Differential]]</f>
        <v>-0.15877834841768712</v>
      </c>
      <c r="K898" t="str">
        <f ca="1">IF(Table4[[#This Row],[HomeIce Differential]]&gt;0,Table4[[#This Row],[Home]],Table4[[#This Row],[Visitor]])</f>
        <v>Boston Bruins</v>
      </c>
      <c r="L898" s="11">
        <f ca="1"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0.43028413951169919</v>
      </c>
      <c r="M898" t="str">
        <f ca="1">IF(OR((NHL2025_26Results[[#This Row],[Winning Team]]="")),"-",IF(Table4[[#This Row],[Predicted Winner]]=NHL2025_26Results[[#This Row],[Winning Team]],"YES","NO"))</f>
        <v>-</v>
      </c>
      <c r="N898" t="str">
        <f ca="1">IF(Table4[[#This Row],[Adjusted Correct]]="-", "",IF(Table4[[#This Row],[Adjusted Correct]]="YES",(Table4[[#This Row],[Strength of Win]]-1)^2,(Table4[[#This Row],[Strength of Win]]-0)^2))</f>
        <v/>
      </c>
      <c r="P898" s="11"/>
    </row>
    <row r="899" spans="4:16" x14ac:dyDescent="0.2">
      <c r="D899" s="1">
        <v>46057</v>
      </c>
      <c r="E899" s="2">
        <v>0.91666666666666663</v>
      </c>
      <c r="F899" t="s">
        <v>13</v>
      </c>
      <c r="G899">
        <f>VLOOKUP(Table4[[#This Row],[Home]],'NHL Model'!$A$6:$B$38,2,FALSE)</f>
        <v>-7.5459708298993802E-2</v>
      </c>
      <c r="H899" t="s">
        <v>32</v>
      </c>
      <c r="I899">
        <f>VLOOKUP(Table4[[#This Row],[Visitor]],'NHL Model'!$A$6:$B$38,2,FALSE)</f>
        <v>-0.361361309178443</v>
      </c>
      <c r="J899">
        <f ca="1">($B$1+Table4[[#This Row],[Home Differential]])-Table4[[#This Row],[Away Differential]]</f>
        <v>0.44847391054176761</v>
      </c>
      <c r="K899" t="str">
        <f ca="1">IF(Table4[[#This Row],[HomeIce Differential]]&gt;0,Table4[[#This Row],[Home]],Table4[[#This Row],[Visitor]])</f>
        <v>Los Angeles Kings</v>
      </c>
      <c r="L899" s="11">
        <f ca="1"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0.60213994592357156</v>
      </c>
      <c r="M899" t="str">
        <f ca="1">IF(OR((NHL2025_26Results[[#This Row],[Winning Team]]="")),"-",IF(Table4[[#This Row],[Predicted Winner]]=NHL2025_26Results[[#This Row],[Winning Team]],"YES","NO"))</f>
        <v>-</v>
      </c>
      <c r="N899" t="str">
        <f ca="1">IF(Table4[[#This Row],[Adjusted Correct]]="-", "",IF(Table4[[#This Row],[Adjusted Correct]]="YES",(Table4[[#This Row],[Strength of Win]]-1)^2,(Table4[[#This Row],[Strength of Win]]-0)^2))</f>
        <v/>
      </c>
      <c r="P899" s="11"/>
    </row>
    <row r="900" spans="4:16" x14ac:dyDescent="0.2">
      <c r="D900" s="1">
        <v>46057</v>
      </c>
      <c r="E900" s="2">
        <v>0.83333333333333337</v>
      </c>
      <c r="F900" t="s">
        <v>29</v>
      </c>
      <c r="G900">
        <f>VLOOKUP(Table4[[#This Row],[Home]],'NHL Model'!$A$6:$B$38,2,FALSE)</f>
        <v>-1.3516250707060606</v>
      </c>
      <c r="H900" t="s">
        <v>34</v>
      </c>
      <c r="I900">
        <f>VLOOKUP(Table4[[#This Row],[Visitor]],'NHL Model'!$A$6:$B$38,2,FALSE)</f>
        <v>-0.53650300840565446</v>
      </c>
      <c r="J900">
        <f ca="1">($B$1+Table4[[#This Row],[Home Differential]])-Table4[[#This Row],[Away Differential]]</f>
        <v>-0.65254975263808779</v>
      </c>
      <c r="K900" t="str">
        <f ca="1">IF(Table4[[#This Row],[HomeIce Differential]]&gt;0,Table4[[#This Row],[Home]],Table4[[#This Row],[Visitor]])</f>
        <v>Minnesota Wild</v>
      </c>
      <c r="L900" s="11">
        <f ca="1"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0.55041642197733653</v>
      </c>
      <c r="M900" t="str">
        <f ca="1">IF(OR((NHL2025_26Results[[#This Row],[Winning Team]]="")),"-",IF(Table4[[#This Row],[Predicted Winner]]=NHL2025_26Results[[#This Row],[Winning Team]],"YES","NO"))</f>
        <v>-</v>
      </c>
      <c r="N900" t="str">
        <f ca="1">IF(Table4[[#This Row],[Adjusted Correct]]="-", "",IF(Table4[[#This Row],[Adjusted Correct]]="YES",(Table4[[#This Row],[Strength of Win]]-1)^2,(Table4[[#This Row],[Strength of Win]]-0)^2))</f>
        <v/>
      </c>
      <c r="P900" s="11"/>
    </row>
    <row r="901" spans="4:16" x14ac:dyDescent="0.2">
      <c r="D901" s="1">
        <v>46057</v>
      </c>
      <c r="E901" s="2">
        <v>0.875</v>
      </c>
      <c r="F901" t="s">
        <v>55</v>
      </c>
      <c r="G901">
        <f>VLOOKUP(Table4[[#This Row],[Home]],'NHL Model'!$A$6:$B$38,2,FALSE)</f>
        <v>-0.12212311954851815</v>
      </c>
      <c r="H901" t="s">
        <v>26</v>
      </c>
      <c r="I901">
        <f>VLOOKUP(Table4[[#This Row],[Visitor]],'NHL Model'!$A$6:$B$38,2,FALSE)</f>
        <v>-0.513643833119658</v>
      </c>
      <c r="J901">
        <f ca="1">($B$1+Table4[[#This Row],[Home Differential]])-Table4[[#This Row],[Away Differential]]</f>
        <v>0.55409302323345822</v>
      </c>
      <c r="K901" t="str">
        <f ca="1">IF(Table4[[#This Row],[HomeIce Differential]]&gt;0,Table4[[#This Row],[Home]],Table4[[#This Row],[Visitor]])</f>
        <v>Utah Mammoth</v>
      </c>
      <c r="L901" s="11">
        <f ca="1"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0.63927438908042933</v>
      </c>
      <c r="M901" t="str">
        <f ca="1">IF(OR((NHL2025_26Results[[#This Row],[Winning Team]]="")),"-",IF(Table4[[#This Row],[Predicted Winner]]=NHL2025_26Results[[#This Row],[Winning Team]],"YES","NO"))</f>
        <v>-</v>
      </c>
      <c r="N901" t="str">
        <f ca="1">IF(Table4[[#This Row],[Adjusted Correct]]="-", "",IF(Table4[[#This Row],[Adjusted Correct]]="YES",(Table4[[#This Row],[Strength of Win]]-1)^2,(Table4[[#This Row],[Strength of Win]]-0)^2))</f>
        <v/>
      </c>
      <c r="P901" s="11"/>
    </row>
    <row r="902" spans="4:16" x14ac:dyDescent="0.2">
      <c r="D902" s="1">
        <v>46057</v>
      </c>
      <c r="E902" s="2">
        <v>0.91666666666666663</v>
      </c>
      <c r="F902" t="s">
        <v>20</v>
      </c>
      <c r="G902">
        <f>VLOOKUP(Table4[[#This Row],[Home]],'NHL Model'!$A$6:$B$38,2,FALSE)</f>
        <v>-6.3745791019188943E-4</v>
      </c>
      <c r="H902" t="s">
        <v>38</v>
      </c>
      <c r="I902">
        <f>VLOOKUP(Table4[[#This Row],[Visitor]],'NHL Model'!$A$6:$B$38,2,FALSE)</f>
        <v>-0.6902088310934803</v>
      </c>
      <c r="J902">
        <f ca="1">($B$1+Table4[[#This Row],[Home Differential]])-Table4[[#This Row],[Away Differential]]</f>
        <v>0.85214368284560682</v>
      </c>
      <c r="K902" t="str">
        <f ca="1">IF(Table4[[#This Row],[HomeIce Differential]]&gt;0,Table4[[#This Row],[Home]],Table4[[#This Row],[Visitor]])</f>
        <v>Vegas Golden Knights</v>
      </c>
      <c r="L902" s="11">
        <f ca="1"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0.61555932749315301</v>
      </c>
      <c r="M902" t="str">
        <f ca="1">IF(OR((NHL2025_26Results[[#This Row],[Winning Team]]="")),"-",IF(Table4[[#This Row],[Predicted Winner]]=NHL2025_26Results[[#This Row],[Winning Team]],"YES","NO"))</f>
        <v>-</v>
      </c>
      <c r="N902" t="str">
        <f ca="1">IF(Table4[[#This Row],[Adjusted Correct]]="-", "",IF(Table4[[#This Row],[Adjusted Correct]]="YES",(Table4[[#This Row],[Strength of Win]]-1)^2,(Table4[[#This Row],[Strength of Win]]-0)^2))</f>
        <v/>
      </c>
      <c r="P902" s="11"/>
    </row>
    <row r="903" spans="4:16" x14ac:dyDescent="0.2">
      <c r="D903" s="1">
        <v>46057</v>
      </c>
      <c r="E903" s="2">
        <v>0.79166666666666663</v>
      </c>
      <c r="F903" t="s">
        <v>40</v>
      </c>
      <c r="G903">
        <f>VLOOKUP(Table4[[#This Row],[Home]],'NHL Model'!$A$6:$B$38,2,FALSE)</f>
        <v>0.105105258369765</v>
      </c>
      <c r="H903" t="s">
        <v>18</v>
      </c>
      <c r="I903">
        <f>VLOOKUP(Table4[[#This Row],[Visitor]],'NHL Model'!$A$6:$B$38,2,FALSE)</f>
        <v>-0.52437726201848234</v>
      </c>
      <c r="J903">
        <f ca="1">($B$1+Table4[[#This Row],[Home Differential]])-Table4[[#This Row],[Away Differential]]</f>
        <v>0.79205483005056576</v>
      </c>
      <c r="K903" t="str">
        <f ca="1">IF(Table4[[#This Row],[HomeIce Differential]]&gt;0,Table4[[#This Row],[Home]],Table4[[#This Row],[Visitor]])</f>
        <v>Winnipeg Jets</v>
      </c>
      <c r="L903" s="11">
        <f ca="1"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0.60974605913728386</v>
      </c>
      <c r="M903" t="str">
        <f ca="1">IF(OR((NHL2025_26Results[[#This Row],[Winning Team]]="")),"-",IF(Table4[[#This Row],[Predicted Winner]]=NHL2025_26Results[[#This Row],[Winning Team]],"YES","NO"))</f>
        <v>-</v>
      </c>
      <c r="N903" t="str">
        <f ca="1">IF(Table4[[#This Row],[Adjusted Correct]]="-", "",IF(Table4[[#This Row],[Adjusted Correct]]="YES",(Table4[[#This Row],[Strength of Win]]-1)^2,(Table4[[#This Row],[Strength of Win]]-0)^2))</f>
        <v/>
      </c>
      <c r="P903" s="11"/>
    </row>
    <row r="904" spans="4:16" x14ac:dyDescent="0.2">
      <c r="D904" s="1">
        <v>46058</v>
      </c>
      <c r="E904" s="2">
        <v>0.79166666666666663</v>
      </c>
      <c r="F904" t="s">
        <v>23</v>
      </c>
      <c r="G904">
        <f>VLOOKUP(Table4[[#This Row],[Home]],'NHL Model'!$A$6:$B$38,2,FALSE)</f>
        <v>-0.8683412362501769</v>
      </c>
      <c r="H904" t="s">
        <v>14</v>
      </c>
      <c r="I904">
        <f>VLOOKUP(Table4[[#This Row],[Visitor]],'NHL Model'!$A$6:$B$38,2,FALSE)</f>
        <v>0.26289091192875702</v>
      </c>
      <c r="J904">
        <f ca="1">($B$1+Table4[[#This Row],[Home Differential]])-Table4[[#This Row],[Away Differential]]</f>
        <v>-0.96865983851661552</v>
      </c>
      <c r="K904" t="str">
        <f ca="1">IF(Table4[[#This Row],[HomeIce Differential]]&gt;0,Table4[[#This Row],[Home]],Table4[[#This Row],[Visitor]])</f>
        <v>Pittsburgh Penguins</v>
      </c>
      <c r="L904" s="11">
        <f ca="1"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0.59421621318181916</v>
      </c>
      <c r="M904" t="str">
        <f ca="1">IF(OR((NHL2025_26Results[[#This Row],[Winning Team]]="")),"-",IF(Table4[[#This Row],[Predicted Winner]]=NHL2025_26Results[[#This Row],[Winning Team]],"YES","NO"))</f>
        <v>-</v>
      </c>
      <c r="N904" t="str">
        <f ca="1">IF(Table4[[#This Row],[Adjusted Correct]]="-", "",IF(Table4[[#This Row],[Adjusted Correct]]="YES",(Table4[[#This Row],[Strength of Win]]-1)^2,(Table4[[#This Row],[Strength of Win]]-0)^2))</f>
        <v/>
      </c>
      <c r="P904" s="11"/>
    </row>
    <row r="905" spans="4:16" x14ac:dyDescent="0.2">
      <c r="D905" s="1">
        <v>46058</v>
      </c>
      <c r="E905" s="2">
        <v>0.79166666666666663</v>
      </c>
      <c r="F905" t="s">
        <v>24</v>
      </c>
      <c r="G905">
        <f>VLOOKUP(Table4[[#This Row],[Home]],'NHL Model'!$A$6:$B$38,2,FALSE)</f>
        <v>0.559441163373953</v>
      </c>
      <c r="H905" t="s">
        <v>30</v>
      </c>
      <c r="I905">
        <f>VLOOKUP(Table4[[#This Row],[Visitor]],'NHL Model'!$A$6:$B$38,2,FALSE)</f>
        <v>-6.4729560818359025E-2</v>
      </c>
      <c r="J905">
        <f ca="1">($B$1+Table4[[#This Row],[Home Differential]])-Table4[[#This Row],[Away Differential]]</f>
        <v>0.7867430338546304</v>
      </c>
      <c r="K905" t="str">
        <f ca="1">IF(Table4[[#This Row],[HomeIce Differential]]&gt;0,Table4[[#This Row],[Home]],Table4[[#This Row],[Visitor]])</f>
        <v>New Jersey Devils</v>
      </c>
      <c r="L905" s="11">
        <f ca="1"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0.72501006375246035</v>
      </c>
      <c r="M905" t="str">
        <f ca="1">IF(OR((NHL2025_26Results[[#This Row],[Winning Team]]="")),"-",IF(Table4[[#This Row],[Predicted Winner]]=NHL2025_26Results[[#This Row],[Winning Team]],"YES","NO"))</f>
        <v>-</v>
      </c>
      <c r="N905" t="str">
        <f ca="1">IF(Table4[[#This Row],[Adjusted Correct]]="-", "",IF(Table4[[#This Row],[Adjusted Correct]]="YES",(Table4[[#This Row],[Strength of Win]]-1)^2,(Table4[[#This Row],[Strength of Win]]-0)^2))</f>
        <v/>
      </c>
      <c r="P905" s="11"/>
    </row>
    <row r="906" spans="4:16" x14ac:dyDescent="0.2">
      <c r="D906" s="1">
        <v>46058</v>
      </c>
      <c r="E906" s="2">
        <v>0.79166666666666663</v>
      </c>
      <c r="F906" t="s">
        <v>15</v>
      </c>
      <c r="G906">
        <f>VLOOKUP(Table4[[#This Row],[Home]],'NHL Model'!$A$6:$B$38,2,FALSE)</f>
        <v>-0.30719665303039001</v>
      </c>
      <c r="H906" t="s">
        <v>25</v>
      </c>
      <c r="I906">
        <f>VLOOKUP(Table4[[#This Row],[Visitor]],'NHL Model'!$A$6:$B$38,2,FALSE)</f>
        <v>0.67193921242367816</v>
      </c>
      <c r="J906">
        <f ca="1">($B$1+Table4[[#This Row],[Home Differential]])-Table4[[#This Row],[Away Differential]]</f>
        <v>-0.81656355579174977</v>
      </c>
      <c r="K906" t="str">
        <f ca="1">IF(Table4[[#This Row],[HomeIce Differential]]&gt;0,Table4[[#This Row],[Home]],Table4[[#This Row],[Visitor]])</f>
        <v>Carolina Hurricanes</v>
      </c>
      <c r="L906" s="11">
        <f ca="1"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0.66562814327981723</v>
      </c>
      <c r="M906" t="str">
        <f ca="1">IF(OR((NHL2025_26Results[[#This Row],[Winning Team]]="")),"-",IF(Table4[[#This Row],[Predicted Winner]]=NHL2025_26Results[[#This Row],[Winning Team]],"YES","NO"))</f>
        <v>-</v>
      </c>
      <c r="N906" t="str">
        <f ca="1">IF(Table4[[#This Row],[Adjusted Correct]]="-", "",IF(Table4[[#This Row],[Adjusted Correct]]="YES",(Table4[[#This Row],[Strength of Win]]-1)^2,(Table4[[#This Row],[Strength of Win]]-0)^2))</f>
        <v/>
      </c>
      <c r="P906" s="11"/>
    </row>
    <row r="907" spans="4:16" x14ac:dyDescent="0.2">
      <c r="D907" s="1">
        <v>46058</v>
      </c>
      <c r="E907" s="2">
        <v>0.79166666666666663</v>
      </c>
      <c r="F907" t="s">
        <v>27</v>
      </c>
      <c r="G907">
        <f>VLOOKUP(Table4[[#This Row],[Home]],'NHL Model'!$A$6:$B$38,2,FALSE)</f>
        <v>-0.51358590497437617</v>
      </c>
      <c r="H907" t="s">
        <v>36</v>
      </c>
      <c r="I907">
        <f>VLOOKUP(Table4[[#This Row],[Visitor]],'NHL Model'!$A$6:$B$38,2,FALSE)</f>
        <v>-0.40651947573390851</v>
      </c>
      <c r="J907">
        <f ca="1">($B$1+Table4[[#This Row],[Home Differential]])-Table4[[#This Row],[Away Differential]]</f>
        <v>5.5505880421850728E-2</v>
      </c>
      <c r="K907" t="str">
        <f ca="1">IF(Table4[[#This Row],[HomeIce Differential]]&gt;0,Table4[[#This Row],[Home]],Table4[[#This Row],[Visitor]])</f>
        <v>Philadelphia Flyers</v>
      </c>
      <c r="L907" s="11">
        <f ca="1"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0.55018629984469203</v>
      </c>
      <c r="M907" t="str">
        <f ca="1">IF(OR((NHL2025_26Results[[#This Row],[Winning Team]]="")),"-",IF(Table4[[#This Row],[Predicted Winner]]=NHL2025_26Results[[#This Row],[Winning Team]],"YES","NO"))</f>
        <v>-</v>
      </c>
      <c r="N907" t="str">
        <f ca="1">IF(Table4[[#This Row],[Adjusted Correct]]="-", "",IF(Table4[[#This Row],[Adjusted Correct]]="YES",(Table4[[#This Row],[Strength of Win]]-1)^2,(Table4[[#This Row],[Strength of Win]]-0)^2))</f>
        <v/>
      </c>
      <c r="P907" s="11"/>
    </row>
    <row r="908" spans="4:16" x14ac:dyDescent="0.2">
      <c r="D908" s="1">
        <v>46058</v>
      </c>
      <c r="E908" s="2">
        <v>0.8125</v>
      </c>
      <c r="F908" t="s">
        <v>37</v>
      </c>
      <c r="G908">
        <f>VLOOKUP(Table4[[#This Row],[Home]],'NHL Model'!$A$6:$B$38,2,FALSE)</f>
        <v>-0.11309445867623392</v>
      </c>
      <c r="H908" t="s">
        <v>11</v>
      </c>
      <c r="I908">
        <f>VLOOKUP(Table4[[#This Row],[Visitor]],'NHL Model'!$A$6:$B$38,2,FALSE)</f>
        <v>-0.28105923893144158</v>
      </c>
      <c r="J908">
        <f ca="1">($B$1+Table4[[#This Row],[Home Differential]])-Table4[[#This Row],[Away Differential]]</f>
        <v>0.33053708991752606</v>
      </c>
      <c r="K908" t="str">
        <f ca="1">IF(Table4[[#This Row],[HomeIce Differential]]&gt;0,Table4[[#This Row],[Home]],Table4[[#This Row],[Visitor]])</f>
        <v>Tampa Bay Lightning</v>
      </c>
      <c r="L908" s="11">
        <f ca="1"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0.58579877761093724</v>
      </c>
      <c r="M908" t="str">
        <f ca="1">IF(OR((NHL2025_26Results[[#This Row],[Winning Team]]="")),"-",IF(Table4[[#This Row],[Predicted Winner]]=NHL2025_26Results[[#This Row],[Winning Team]],"YES","NO"))</f>
        <v>-</v>
      </c>
      <c r="N908" t="str">
        <f ca="1">IF(Table4[[#This Row],[Adjusted Correct]]="-", "",IF(Table4[[#This Row],[Adjusted Correct]]="YES",(Table4[[#This Row],[Strength of Win]]-1)^2,(Table4[[#This Row],[Strength of Win]]-0)^2))</f>
        <v/>
      </c>
      <c r="P908" s="11"/>
    </row>
    <row r="909" spans="4:16" x14ac:dyDescent="0.2">
      <c r="D909" s="1">
        <v>46058</v>
      </c>
      <c r="E909" s="2">
        <v>0.91666666666666663</v>
      </c>
      <c r="F909" t="s">
        <v>20</v>
      </c>
      <c r="G909">
        <f>VLOOKUP(Table4[[#This Row],[Home]],'NHL Model'!$A$6:$B$38,2,FALSE)</f>
        <v>-6.3745791019188943E-4</v>
      </c>
      <c r="H909" t="s">
        <v>13</v>
      </c>
      <c r="I909">
        <f>VLOOKUP(Table4[[#This Row],[Visitor]],'NHL Model'!$A$6:$B$38,2,FALSE)</f>
        <v>-7.5459708298993802E-2</v>
      </c>
      <c r="J909">
        <f ca="1">($B$1+Table4[[#This Row],[Home Differential]])-Table4[[#This Row],[Away Differential]]</f>
        <v>0.23739456005112031</v>
      </c>
      <c r="K909" t="str">
        <f ca="1">IF(Table4[[#This Row],[HomeIce Differential]]&gt;0,Table4[[#This Row],[Home]],Table4[[#This Row],[Visitor]])</f>
        <v>Vegas Golden Knights</v>
      </c>
      <c r="L909" s="11">
        <f ca="1"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0.45149772426554102</v>
      </c>
      <c r="M909" t="str">
        <f ca="1">IF(OR((NHL2025_26Results[[#This Row],[Winning Team]]="")),"-",IF(Table4[[#This Row],[Predicted Winner]]=NHL2025_26Results[[#This Row],[Winning Team]],"YES","NO"))</f>
        <v>-</v>
      </c>
      <c r="N909" t="str">
        <f ca="1">IF(Table4[[#This Row],[Adjusted Correct]]="-", "",IF(Table4[[#This Row],[Adjusted Correct]]="YES",(Table4[[#This Row],[Strength of Win]]-1)^2,(Table4[[#This Row],[Strength of Win]]-0)^2))</f>
        <v/>
      </c>
      <c r="P909" s="11"/>
    </row>
    <row r="910" spans="4:16" x14ac:dyDescent="0.2">
      <c r="D910" s="1">
        <v>46058</v>
      </c>
      <c r="E910" s="2">
        <v>0.79166666666666663</v>
      </c>
      <c r="F910" t="s">
        <v>22</v>
      </c>
      <c r="G910">
        <f>VLOOKUP(Table4[[#This Row],[Home]],'NHL Model'!$A$6:$B$38,2,FALSE)</f>
        <v>-6.1308839486784707E-2</v>
      </c>
      <c r="H910" t="s">
        <v>29</v>
      </c>
      <c r="I910">
        <f>VLOOKUP(Table4[[#This Row],[Visitor]],'NHL Model'!$A$6:$B$38,2,FALSE)</f>
        <v>-1.3516250707060606</v>
      </c>
      <c r="J910">
        <f ca="1">($B$1+Table4[[#This Row],[Home Differential]])-Table4[[#This Row],[Away Differential]]</f>
        <v>1.4528885408815944</v>
      </c>
      <c r="K910" t="str">
        <f ca="1">IF(Table4[[#This Row],[HomeIce Differential]]&gt;0,Table4[[#This Row],[Home]],Table4[[#This Row],[Visitor]])</f>
        <v>Washington Capitals</v>
      </c>
      <c r="L910" s="11">
        <f ca="1"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0.74131029529520587</v>
      </c>
      <c r="M910" t="str">
        <f ca="1">IF(OR((NHL2025_26Results[[#This Row],[Winning Team]]="")),"-",IF(Table4[[#This Row],[Predicted Winner]]=NHL2025_26Results[[#This Row],[Winning Team]],"YES","NO"))</f>
        <v>-</v>
      </c>
      <c r="N910" t="str">
        <f ca="1">IF(Table4[[#This Row],[Adjusted Correct]]="-", "",IF(Table4[[#This Row],[Adjusted Correct]]="YES",(Table4[[#This Row],[Strength of Win]]-1)^2,(Table4[[#This Row],[Strength of Win]]-0)^2))</f>
        <v/>
      </c>
      <c r="P910" s="11"/>
    </row>
    <row r="911" spans="4:16" x14ac:dyDescent="0.2">
      <c r="D911" s="1">
        <v>46078</v>
      </c>
      <c r="E911" s="2">
        <v>0.9375</v>
      </c>
      <c r="F911" t="s">
        <v>31</v>
      </c>
      <c r="G911">
        <f>VLOOKUP(Table4[[#This Row],[Home]],'NHL Model'!$A$6:$B$38,2,FALSE)</f>
        <v>0.51775546328552802</v>
      </c>
      <c r="H911" t="s">
        <v>17</v>
      </c>
      <c r="I911">
        <f>VLOOKUP(Table4[[#This Row],[Visitor]],'NHL Model'!$A$6:$B$38,2,FALSE)</f>
        <v>-0.61980804137564283</v>
      </c>
      <c r="J911">
        <f ca="1">($B$1+Table4[[#This Row],[Home Differential]])-Table4[[#This Row],[Away Differential]]</f>
        <v>1.3001358143234891</v>
      </c>
      <c r="K911" t="str">
        <f ca="1">IF(Table4[[#This Row],[HomeIce Differential]]&gt;0,Table4[[#This Row],[Home]],Table4[[#This Row],[Visitor]])</f>
        <v>Anaheim Ducks</v>
      </c>
      <c r="L911" s="11">
        <f ca="1"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0.8244749784745331</v>
      </c>
      <c r="M911" t="str">
        <f ca="1">IF(OR((NHL2025_26Results[[#This Row],[Winning Team]]="")),"-",IF(Table4[[#This Row],[Predicted Winner]]=NHL2025_26Results[[#This Row],[Winning Team]],"YES","NO"))</f>
        <v>-</v>
      </c>
      <c r="N911" t="str">
        <f ca="1">IF(Table4[[#This Row],[Adjusted Correct]]="-", "",IF(Table4[[#This Row],[Adjusted Correct]]="YES",(Table4[[#This Row],[Strength of Win]]-1)^2,(Table4[[#This Row],[Strength of Win]]-0)^2))</f>
        <v/>
      </c>
      <c r="P911" s="11"/>
    </row>
    <row r="912" spans="4:16" x14ac:dyDescent="0.2">
      <c r="D912" s="1">
        <v>46078</v>
      </c>
      <c r="E912" s="2">
        <v>0.83333333333333337</v>
      </c>
      <c r="F912" t="s">
        <v>39</v>
      </c>
      <c r="G912">
        <f>VLOOKUP(Table4[[#This Row],[Home]],'NHL Model'!$A$6:$B$38,2,FALSE)</f>
        <v>0.19809534061227302</v>
      </c>
      <c r="H912" t="s">
        <v>32</v>
      </c>
      <c r="I912">
        <f>VLOOKUP(Table4[[#This Row],[Visitor]],'NHL Model'!$A$6:$B$38,2,FALSE)</f>
        <v>-0.361361309178443</v>
      </c>
      <c r="J912">
        <f ca="1">($B$1+Table4[[#This Row],[Home Differential]])-Table4[[#This Row],[Away Differential]]</f>
        <v>0.72202895945303447</v>
      </c>
      <c r="K912" t="str">
        <f ca="1">IF(Table4[[#This Row],[HomeIce Differential]]&gt;0,Table4[[#This Row],[Home]],Table4[[#This Row],[Visitor]])</f>
        <v>Dallas Stars</v>
      </c>
      <c r="L912" s="11">
        <f ca="1"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0.66608110390465625</v>
      </c>
      <c r="M912" t="str">
        <f ca="1">IF(OR((NHL2025_26Results[[#This Row],[Winning Team]]="")),"-",IF(Table4[[#This Row],[Predicted Winner]]=NHL2025_26Results[[#This Row],[Winning Team]],"YES","NO"))</f>
        <v>-</v>
      </c>
      <c r="N912" t="str">
        <f ca="1">IF(Table4[[#This Row],[Adjusted Correct]]="-", "",IF(Table4[[#This Row],[Adjusted Correct]]="YES",(Table4[[#This Row],[Strength of Win]]-1)^2,(Table4[[#This Row],[Strength of Win]]-0)^2))</f>
        <v/>
      </c>
      <c r="P912" s="11"/>
    </row>
    <row r="913" spans="4:16" x14ac:dyDescent="0.2">
      <c r="D913" s="1">
        <v>46078</v>
      </c>
      <c r="E913" s="2">
        <v>0.91666666666666663</v>
      </c>
      <c r="F913" t="s">
        <v>13</v>
      </c>
      <c r="G913">
        <f>VLOOKUP(Table4[[#This Row],[Home]],'NHL Model'!$A$6:$B$38,2,FALSE)</f>
        <v>-7.5459708298993802E-2</v>
      </c>
      <c r="H913" t="s">
        <v>20</v>
      </c>
      <c r="I913">
        <f>VLOOKUP(Table4[[#This Row],[Visitor]],'NHL Model'!$A$6:$B$38,2,FALSE)</f>
        <v>-6.3745791019188943E-4</v>
      </c>
      <c r="J913">
        <f ca="1">($B$1+Table4[[#This Row],[Home Differential]])-Table4[[#This Row],[Away Differential]]</f>
        <v>8.7750059273516479E-2</v>
      </c>
      <c r="K913" t="str">
        <f ca="1">IF(Table4[[#This Row],[HomeIce Differential]]&gt;0,Table4[[#This Row],[Home]],Table4[[#This Row],[Visitor]])</f>
        <v>Los Angeles Kings</v>
      </c>
      <c r="L913" s="11">
        <f ca="1"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0.53138930021746456</v>
      </c>
      <c r="M913" t="str">
        <f ca="1">IF(OR((NHL2025_26Results[[#This Row],[Winning Team]]="")),"-",IF(Table4[[#This Row],[Predicted Winner]]=NHL2025_26Results[[#This Row],[Winning Team]],"YES","NO"))</f>
        <v>-</v>
      </c>
      <c r="N913" t="str">
        <f ca="1">IF(Table4[[#This Row],[Adjusted Correct]]="-", "",IF(Table4[[#This Row],[Adjusted Correct]]="YES",(Table4[[#This Row],[Strength of Win]]-1)^2,(Table4[[#This Row],[Strength of Win]]-0)^2))</f>
        <v/>
      </c>
      <c r="P913" s="11"/>
    </row>
    <row r="914" spans="4:16" x14ac:dyDescent="0.2">
      <c r="D914" s="1">
        <v>46078</v>
      </c>
      <c r="E914" s="2">
        <v>0.79166666666666663</v>
      </c>
      <c r="F914" t="s">
        <v>24</v>
      </c>
      <c r="G914">
        <f>VLOOKUP(Table4[[#This Row],[Home]],'NHL Model'!$A$6:$B$38,2,FALSE)</f>
        <v>0.559441163373953</v>
      </c>
      <c r="H914" t="s">
        <v>23</v>
      </c>
      <c r="I914">
        <f>VLOOKUP(Table4[[#This Row],[Visitor]],'NHL Model'!$A$6:$B$38,2,FALSE)</f>
        <v>-0.8683412362501769</v>
      </c>
      <c r="J914">
        <f ca="1">($B$1+Table4[[#This Row],[Home Differential]])-Table4[[#This Row],[Away Differential]]</f>
        <v>1.5903547092864483</v>
      </c>
      <c r="K914" t="str">
        <f ca="1">IF(Table4[[#This Row],[HomeIce Differential]]&gt;0,Table4[[#This Row],[Home]],Table4[[#This Row],[Visitor]])</f>
        <v>New Jersey Devils</v>
      </c>
      <c r="L914" s="11">
        <f ca="1"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0.87578813555734403</v>
      </c>
      <c r="M914" t="str">
        <f ca="1">IF(OR((NHL2025_26Results[[#This Row],[Winning Team]]="")),"-",IF(Table4[[#This Row],[Predicted Winner]]=NHL2025_26Results[[#This Row],[Winning Team]],"YES","NO"))</f>
        <v>-</v>
      </c>
      <c r="N914" t="str">
        <f ca="1">IF(Table4[[#This Row],[Adjusted Correct]]="-", "",IF(Table4[[#This Row],[Adjusted Correct]]="YES",(Table4[[#This Row],[Strength of Win]]-1)^2,(Table4[[#This Row],[Strength of Win]]-0)^2))</f>
        <v/>
      </c>
      <c r="P914" s="11"/>
    </row>
    <row r="915" spans="4:16" x14ac:dyDescent="0.2">
      <c r="D915" s="1">
        <v>46078</v>
      </c>
      <c r="E915" s="2">
        <v>0.8125</v>
      </c>
      <c r="F915" t="s">
        <v>37</v>
      </c>
      <c r="G915">
        <f>VLOOKUP(Table4[[#This Row],[Home]],'NHL Model'!$A$6:$B$38,2,FALSE)</f>
        <v>-0.11309445867623392</v>
      </c>
      <c r="H915" t="s">
        <v>19</v>
      </c>
      <c r="I915">
        <f>VLOOKUP(Table4[[#This Row],[Visitor]],'NHL Model'!$A$6:$B$38,2,FALSE)</f>
        <v>-0.635565543477981</v>
      </c>
      <c r="J915">
        <f ca="1">($B$1+Table4[[#This Row],[Home Differential]])-Table4[[#This Row],[Away Differential]]</f>
        <v>0.68504339446406548</v>
      </c>
      <c r="K915" t="str">
        <f ca="1">IF(Table4[[#This Row],[HomeIce Differential]]&gt;0,Table4[[#This Row],[Home]],Table4[[#This Row],[Visitor]])</f>
        <v>Tampa Bay Lightning</v>
      </c>
      <c r="L915" s="11">
        <f ca="1"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0.63491869758014019</v>
      </c>
      <c r="M915" t="str">
        <f ca="1">IF(OR((NHL2025_26Results[[#This Row],[Winning Team]]="")),"-",IF(Table4[[#This Row],[Predicted Winner]]=NHL2025_26Results[[#This Row],[Winning Team]],"YES","NO"))</f>
        <v>-</v>
      </c>
      <c r="N915" t="str">
        <f ca="1">IF(Table4[[#This Row],[Adjusted Correct]]="-", "",IF(Table4[[#This Row],[Adjusted Correct]]="YES",(Table4[[#This Row],[Strength of Win]]-1)^2,(Table4[[#This Row],[Strength of Win]]-0)^2))</f>
        <v/>
      </c>
      <c r="P915" s="11"/>
    </row>
    <row r="916" spans="4:16" x14ac:dyDescent="0.2">
      <c r="D916" s="1">
        <v>46078</v>
      </c>
      <c r="E916" s="2">
        <v>0.875</v>
      </c>
      <c r="F916" t="s">
        <v>55</v>
      </c>
      <c r="G916">
        <f>VLOOKUP(Table4[[#This Row],[Home]],'NHL Model'!$A$6:$B$38,2,FALSE)</f>
        <v>-0.12212311954851815</v>
      </c>
      <c r="H916" t="s">
        <v>12</v>
      </c>
      <c r="I916">
        <f>VLOOKUP(Table4[[#This Row],[Visitor]],'NHL Model'!$A$6:$B$38,2,FALSE)</f>
        <v>1.5475013591489768</v>
      </c>
      <c r="J916">
        <f ca="1">($B$1+Table4[[#This Row],[Home Differential]])-Table4[[#This Row],[Away Differential]]</f>
        <v>-1.5070521690351766</v>
      </c>
      <c r="K916" t="str">
        <f ca="1">IF(Table4[[#This Row],[HomeIce Differential]]&gt;0,Table4[[#This Row],[Home]],Table4[[#This Row],[Visitor]])</f>
        <v>Colorado Avalanche</v>
      </c>
      <c r="L916" s="11">
        <f ca="1"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0.66533687438483047</v>
      </c>
      <c r="M916" t="str">
        <f ca="1">IF(OR((NHL2025_26Results[[#This Row],[Winning Team]]="")),"-",IF(Table4[[#This Row],[Predicted Winner]]=NHL2025_26Results[[#This Row],[Winning Team]],"YES","NO"))</f>
        <v>-</v>
      </c>
      <c r="N916" t="str">
        <f ca="1">IF(Table4[[#This Row],[Adjusted Correct]]="-", "",IF(Table4[[#This Row],[Adjusted Correct]]="YES",(Table4[[#This Row],[Strength of Win]]-1)^2,(Table4[[#This Row],[Strength of Win]]-0)^2))</f>
        <v/>
      </c>
      <c r="P916" s="11"/>
    </row>
    <row r="917" spans="4:16" x14ac:dyDescent="0.2">
      <c r="D917" s="1">
        <v>46078</v>
      </c>
      <c r="E917" s="2">
        <v>0.91666666666666663</v>
      </c>
      <c r="F917" t="s">
        <v>38</v>
      </c>
      <c r="G917">
        <f>VLOOKUP(Table4[[#This Row],[Home]],'NHL Model'!$A$6:$B$38,2,FALSE)</f>
        <v>-0.6902088310934803</v>
      </c>
      <c r="H917" t="s">
        <v>40</v>
      </c>
      <c r="I917">
        <f>VLOOKUP(Table4[[#This Row],[Visitor]],'NHL Model'!$A$6:$B$38,2,FALSE)</f>
        <v>0.105105258369765</v>
      </c>
      <c r="J917">
        <f ca="1">($B$1+Table4[[#This Row],[Home Differential]])-Table4[[#This Row],[Away Differential]]</f>
        <v>-0.63274177980092694</v>
      </c>
      <c r="K917" t="str">
        <f ca="1">IF(Table4[[#This Row],[HomeIce Differential]]&gt;0,Table4[[#This Row],[Home]],Table4[[#This Row],[Visitor]])</f>
        <v>Winnipeg Jets</v>
      </c>
      <c r="L917" s="11">
        <f ca="1"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0.6139876451963866</v>
      </c>
      <c r="M917" t="str">
        <f ca="1">IF(OR((NHL2025_26Results[[#This Row],[Winning Team]]="")),"-",IF(Table4[[#This Row],[Predicted Winner]]=NHL2025_26Results[[#This Row],[Winning Team]],"YES","NO"))</f>
        <v>-</v>
      </c>
      <c r="N917" t="str">
        <f ca="1">IF(Table4[[#This Row],[Adjusted Correct]]="-", "",IF(Table4[[#This Row],[Adjusted Correct]]="YES",(Table4[[#This Row],[Strength of Win]]-1)^2,(Table4[[#This Row],[Strength of Win]]-0)^2))</f>
        <v/>
      </c>
      <c r="P917" s="11"/>
    </row>
    <row r="918" spans="4:16" x14ac:dyDescent="0.2">
      <c r="D918" s="1">
        <v>46078</v>
      </c>
      <c r="E918" s="2">
        <v>0.79166666666666663</v>
      </c>
      <c r="F918" t="s">
        <v>22</v>
      </c>
      <c r="G918">
        <f>VLOOKUP(Table4[[#This Row],[Home]],'NHL Model'!$A$6:$B$38,2,FALSE)</f>
        <v>-6.1308839486784707E-2</v>
      </c>
      <c r="H918" t="s">
        <v>27</v>
      </c>
      <c r="I918">
        <f>VLOOKUP(Table4[[#This Row],[Visitor]],'NHL Model'!$A$6:$B$38,2,FALSE)</f>
        <v>-0.51358590497437617</v>
      </c>
      <c r="J918">
        <f ca="1">($B$1+Table4[[#This Row],[Home Differential]])-Table4[[#This Row],[Away Differential]]</f>
        <v>0.61484937514990989</v>
      </c>
      <c r="K918" t="str">
        <f ca="1">IF(Table4[[#This Row],[HomeIce Differential]]&gt;0,Table4[[#This Row],[Home]],Table4[[#This Row],[Visitor]])</f>
        <v>Washington Capitals</v>
      </c>
      <c r="L918" s="11">
        <f ca="1"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0.62519270803691229</v>
      </c>
      <c r="M918" t="str">
        <f ca="1">IF(OR((NHL2025_26Results[[#This Row],[Winning Team]]="")),"-",IF(Table4[[#This Row],[Predicted Winner]]=NHL2025_26Results[[#This Row],[Winning Team]],"YES","NO"))</f>
        <v>-</v>
      </c>
      <c r="N918" t="str">
        <f ca="1">IF(Table4[[#This Row],[Adjusted Correct]]="-", "",IF(Table4[[#This Row],[Adjusted Correct]]="YES",(Table4[[#This Row],[Strength of Win]]-1)^2,(Table4[[#This Row],[Strength of Win]]-0)^2))</f>
        <v/>
      </c>
      <c r="P918" s="11"/>
    </row>
    <row r="919" spans="4:16" x14ac:dyDescent="0.2">
      <c r="D919" s="1">
        <v>46079</v>
      </c>
      <c r="E919" s="2">
        <v>0.79166666666666663</v>
      </c>
      <c r="F919" t="s">
        <v>21</v>
      </c>
      <c r="G919">
        <f>VLOOKUP(Table4[[#This Row],[Home]],'NHL Model'!$A$6:$B$38,2,FALSE)</f>
        <v>4.029141914856392E-2</v>
      </c>
      <c r="H919" t="s">
        <v>28</v>
      </c>
      <c r="I919">
        <f>VLOOKUP(Table4[[#This Row],[Visitor]],'NHL Model'!$A$6:$B$38,2,FALSE)</f>
        <v>-0.40822279081308277</v>
      </c>
      <c r="J919">
        <f ca="1">($B$1+Table4[[#This Row],[Home Differential]])-Table4[[#This Row],[Away Differential]]</f>
        <v>0.6110865196239651</v>
      </c>
      <c r="K919" t="str">
        <f ca="1">IF(Table4[[#This Row],[HomeIce Differential]]&gt;0,Table4[[#This Row],[Home]],Table4[[#This Row],[Visitor]])</f>
        <v>Boston Bruins</v>
      </c>
      <c r="L919" s="11">
        <f ca="1"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0.67726392439466887</v>
      </c>
      <c r="M919" t="str">
        <f ca="1">IF(OR((NHL2025_26Results[[#This Row],[Winning Team]]="")),"-",IF(Table4[[#This Row],[Predicted Winner]]=NHL2025_26Results[[#This Row],[Winning Team]],"YES","NO"))</f>
        <v>-</v>
      </c>
      <c r="N919" t="str">
        <f ca="1">IF(Table4[[#This Row],[Adjusted Correct]]="-", "",IF(Table4[[#This Row],[Adjusted Correct]]="YES",(Table4[[#This Row],[Strength of Win]]-1)^2,(Table4[[#This Row],[Strength of Win]]-0)^2))</f>
        <v/>
      </c>
      <c r="P919" s="11"/>
    </row>
    <row r="920" spans="4:16" x14ac:dyDescent="0.2">
      <c r="D920" s="1">
        <v>46079</v>
      </c>
      <c r="E920" s="2">
        <v>0.79166666666666663</v>
      </c>
      <c r="F920" t="s">
        <v>25</v>
      </c>
      <c r="G920">
        <f>VLOOKUP(Table4[[#This Row],[Home]],'NHL Model'!$A$6:$B$38,2,FALSE)</f>
        <v>0.67193921242367816</v>
      </c>
      <c r="H920" t="s">
        <v>37</v>
      </c>
      <c r="I920">
        <f>VLOOKUP(Table4[[#This Row],[Visitor]],'NHL Model'!$A$6:$B$38,2,FALSE)</f>
        <v>-0.11309445867623392</v>
      </c>
      <c r="J920">
        <f ca="1">($B$1+Table4[[#This Row],[Home Differential]])-Table4[[#This Row],[Away Differential]]</f>
        <v>0.94760598076223046</v>
      </c>
      <c r="K920" t="str">
        <f ca="1">IF(Table4[[#This Row],[HomeIce Differential]]&gt;0,Table4[[#This Row],[Home]],Table4[[#This Row],[Visitor]])</f>
        <v>Carolina Hurricanes</v>
      </c>
      <c r="L920" s="11">
        <f ca="1"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0.67675356423199085</v>
      </c>
      <c r="M920" t="str">
        <f ca="1">IF(OR((NHL2025_26Results[[#This Row],[Winning Team]]="")),"-",IF(Table4[[#This Row],[Predicted Winner]]=NHL2025_26Results[[#This Row],[Winning Team]],"YES","NO"))</f>
        <v>-</v>
      </c>
      <c r="N920" t="str">
        <f ca="1">IF(Table4[[#This Row],[Adjusted Correct]]="-", "",IF(Table4[[#This Row],[Adjusted Correct]]="YES",(Table4[[#This Row],[Strength of Win]]-1)^2,(Table4[[#This Row],[Strength of Win]]-0)^2))</f>
        <v/>
      </c>
      <c r="P920" s="11"/>
    </row>
    <row r="921" spans="4:16" x14ac:dyDescent="0.2">
      <c r="D921" s="1">
        <v>46079</v>
      </c>
      <c r="E921" s="2">
        <v>0.875</v>
      </c>
      <c r="F921" t="s">
        <v>12</v>
      </c>
      <c r="G921">
        <f>VLOOKUP(Table4[[#This Row],[Home]],'NHL Model'!$A$6:$B$38,2,FALSE)</f>
        <v>1.5475013591489768</v>
      </c>
      <c r="H921" t="s">
        <v>34</v>
      </c>
      <c r="I921">
        <f>VLOOKUP(Table4[[#This Row],[Visitor]],'NHL Model'!$A$6:$B$38,2,FALSE)</f>
        <v>-0.53650300840565446</v>
      </c>
      <c r="J921">
        <f ca="1">($B$1+Table4[[#This Row],[Home Differential]])-Table4[[#This Row],[Away Differential]]</f>
        <v>2.2465766772169498</v>
      </c>
      <c r="K921" t="str">
        <f ca="1">IF(Table4[[#This Row],[HomeIce Differential]]&gt;0,Table4[[#This Row],[Home]],Table4[[#This Row],[Visitor]])</f>
        <v>Colorado Avalanche</v>
      </c>
      <c r="L921" s="11">
        <f ca="1"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0.93964891092519354</v>
      </c>
      <c r="M921" t="str">
        <f ca="1">IF(OR((NHL2025_26Results[[#This Row],[Winning Team]]="")),"-",IF(Table4[[#This Row],[Predicted Winner]]=NHL2025_26Results[[#This Row],[Winning Team]],"YES","NO"))</f>
        <v>-</v>
      </c>
      <c r="N921" t="str">
        <f ca="1">IF(Table4[[#This Row],[Adjusted Correct]]="-", "",IF(Table4[[#This Row],[Adjusted Correct]]="YES",(Table4[[#This Row],[Strength of Win]]-1)^2,(Table4[[#This Row],[Strength of Win]]-0)^2))</f>
        <v/>
      </c>
      <c r="P921" s="11"/>
    </row>
    <row r="922" spans="4:16" x14ac:dyDescent="0.2">
      <c r="D922" s="1">
        <v>46079</v>
      </c>
      <c r="E922" s="2">
        <v>0.79166666666666663</v>
      </c>
      <c r="F922" t="s">
        <v>11</v>
      </c>
      <c r="G922">
        <f>VLOOKUP(Table4[[#This Row],[Home]],'NHL Model'!$A$6:$B$38,2,FALSE)</f>
        <v>-0.28105923893144158</v>
      </c>
      <c r="H922" t="s">
        <v>19</v>
      </c>
      <c r="I922">
        <f>VLOOKUP(Table4[[#This Row],[Visitor]],'NHL Model'!$A$6:$B$38,2,FALSE)</f>
        <v>-0.635565543477981</v>
      </c>
      <c r="J922">
        <f ca="1">($B$1+Table4[[#This Row],[Home Differential]])-Table4[[#This Row],[Away Differential]]</f>
        <v>0.51707861420885781</v>
      </c>
      <c r="K922" t="str">
        <f ca="1">IF(Table4[[#This Row],[HomeIce Differential]]&gt;0,Table4[[#This Row],[Home]],Table4[[#This Row],[Visitor]])</f>
        <v>Florida Panthers</v>
      </c>
      <c r="L922" s="11">
        <f ca="1"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0.66336169834528669</v>
      </c>
      <c r="M922" t="str">
        <f ca="1">IF(OR((NHL2025_26Results[[#This Row],[Winning Team]]="")),"-",IF(Table4[[#This Row],[Predicted Winner]]=NHL2025_26Results[[#This Row],[Winning Team]],"YES","NO"))</f>
        <v>-</v>
      </c>
      <c r="N922" t="str">
        <f ca="1">IF(Table4[[#This Row],[Adjusted Correct]]="-", "",IF(Table4[[#This Row],[Adjusted Correct]]="YES",(Table4[[#This Row],[Strength of Win]]-1)^2,(Table4[[#This Row],[Strength of Win]]-0)^2))</f>
        <v/>
      </c>
      <c r="P922" s="11"/>
    </row>
    <row r="923" spans="4:16" x14ac:dyDescent="0.2">
      <c r="D923" s="1">
        <v>46079</v>
      </c>
      <c r="E923" s="2">
        <v>0.9375</v>
      </c>
      <c r="F923" t="s">
        <v>13</v>
      </c>
      <c r="G923">
        <f>VLOOKUP(Table4[[#This Row],[Home]],'NHL Model'!$A$6:$B$38,2,FALSE)</f>
        <v>-7.5459708298993802E-2</v>
      </c>
      <c r="H923" t="s">
        <v>17</v>
      </c>
      <c r="I923">
        <f>VLOOKUP(Table4[[#This Row],[Visitor]],'NHL Model'!$A$6:$B$38,2,FALSE)</f>
        <v>-0.61980804137564283</v>
      </c>
      <c r="J923">
        <f ca="1">($B$1+Table4[[#This Row],[Home Differential]])-Table4[[#This Row],[Away Differential]]</f>
        <v>0.70692064273896738</v>
      </c>
      <c r="K923" t="str">
        <f ca="1">IF(Table4[[#This Row],[HomeIce Differential]]&gt;0,Table4[[#This Row],[Home]],Table4[[#This Row],[Visitor]])</f>
        <v>Los Angeles Kings</v>
      </c>
      <c r="L923" s="11">
        <f ca="1"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0.63794997987506052</v>
      </c>
      <c r="M923" t="str">
        <f ca="1">IF(OR((NHL2025_26Results[[#This Row],[Winning Team]]="")),"-",IF(Table4[[#This Row],[Predicted Winner]]=NHL2025_26Results[[#This Row],[Winning Team]],"YES","NO"))</f>
        <v>-</v>
      </c>
      <c r="N923" t="str">
        <f ca="1">IF(Table4[[#This Row],[Adjusted Correct]]="-", "",IF(Table4[[#This Row],[Adjusted Correct]]="YES",(Table4[[#This Row],[Strength of Win]]-1)^2,(Table4[[#This Row],[Strength of Win]]-0)^2))</f>
        <v/>
      </c>
      <c r="P923" s="11"/>
    </row>
    <row r="924" spans="4:16" x14ac:dyDescent="0.2">
      <c r="D924" s="1">
        <v>46079</v>
      </c>
      <c r="E924" s="2">
        <v>0.79166666666666663</v>
      </c>
      <c r="F924" t="s">
        <v>18</v>
      </c>
      <c r="G924">
        <f>VLOOKUP(Table4[[#This Row],[Home]],'NHL Model'!$A$6:$B$38,2,FALSE)</f>
        <v>-0.52437726201848234</v>
      </c>
      <c r="H924" t="s">
        <v>30</v>
      </c>
      <c r="I924">
        <f>VLOOKUP(Table4[[#This Row],[Visitor]],'NHL Model'!$A$6:$B$38,2,FALSE)</f>
        <v>-6.4729560818359025E-2</v>
      </c>
      <c r="J924">
        <f ca="1">($B$1+Table4[[#This Row],[Home Differential]])-Table4[[#This Row],[Away Differential]]</f>
        <v>-0.29707539153780493</v>
      </c>
      <c r="K924" t="str">
        <f ca="1">IF(Table4[[#This Row],[HomeIce Differential]]&gt;0,Table4[[#This Row],[Home]],Table4[[#This Row],[Visitor]])</f>
        <v>New York Islanders</v>
      </c>
      <c r="L924" s="11">
        <f ca="1"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0.54367493219935425</v>
      </c>
      <c r="M924" t="str">
        <f ca="1">IF(OR((NHL2025_26Results[[#This Row],[Winning Team]]="")),"-",IF(Table4[[#This Row],[Predicted Winner]]=NHL2025_26Results[[#This Row],[Winning Team]],"YES","NO"))</f>
        <v>-</v>
      </c>
      <c r="N924" t="str">
        <f ca="1">IF(Table4[[#This Row],[Adjusted Correct]]="-", "",IF(Table4[[#This Row],[Adjusted Correct]]="YES",(Table4[[#This Row],[Strength of Win]]-1)^2,(Table4[[#This Row],[Strength of Win]]-0)^2))</f>
        <v/>
      </c>
      <c r="P924" s="11"/>
    </row>
    <row r="925" spans="4:16" x14ac:dyDescent="0.2">
      <c r="D925" s="1">
        <v>46079</v>
      </c>
      <c r="E925" s="2">
        <v>0.83333333333333337</v>
      </c>
      <c r="F925" t="s">
        <v>29</v>
      </c>
      <c r="G925">
        <f>VLOOKUP(Table4[[#This Row],[Home]],'NHL Model'!$A$6:$B$38,2,FALSE)</f>
        <v>-1.3516250707060606</v>
      </c>
      <c r="H925" t="s">
        <v>10</v>
      </c>
      <c r="I925">
        <f>VLOOKUP(Table4[[#This Row],[Visitor]],'NHL Model'!$A$6:$B$38,2,FALSE)</f>
        <v>0.30570968833820172</v>
      </c>
      <c r="J925">
        <f ca="1">($B$1+Table4[[#This Row],[Home Differential]])-Table4[[#This Row],[Away Differential]]</f>
        <v>-1.494762449381944</v>
      </c>
      <c r="K925" t="str">
        <f ca="1">IF(Table4[[#This Row],[HomeIce Differential]]&gt;0,Table4[[#This Row],[Home]],Table4[[#This Row],[Visitor]])</f>
        <v>Chicago Blackhawks</v>
      </c>
      <c r="L925" s="11">
        <f ca="1"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0.68788151888644256</v>
      </c>
      <c r="M925" t="str">
        <f ca="1">IF(OR((NHL2025_26Results[[#This Row],[Winning Team]]="")),"-",IF(Table4[[#This Row],[Predicted Winner]]=NHL2025_26Results[[#This Row],[Winning Team]],"YES","NO"))</f>
        <v>-</v>
      </c>
      <c r="N925" t="str">
        <f ca="1">IF(Table4[[#This Row],[Adjusted Correct]]="-", "",IF(Table4[[#This Row],[Adjusted Correct]]="YES",(Table4[[#This Row],[Strength of Win]]-1)^2,(Table4[[#This Row],[Strength of Win]]-0)^2))</f>
        <v/>
      </c>
      <c r="P925" s="11"/>
    </row>
    <row r="926" spans="4:16" x14ac:dyDescent="0.2">
      <c r="D926" s="1">
        <v>46079</v>
      </c>
      <c r="E926" s="2">
        <v>0.83333333333333337</v>
      </c>
      <c r="F926" t="s">
        <v>15</v>
      </c>
      <c r="G926">
        <f>VLOOKUP(Table4[[#This Row],[Home]],'NHL Model'!$A$6:$B$38,2,FALSE)</f>
        <v>-0.30719665303039001</v>
      </c>
      <c r="H926" t="s">
        <v>27</v>
      </c>
      <c r="I926">
        <f>VLOOKUP(Table4[[#This Row],[Visitor]],'NHL Model'!$A$6:$B$38,2,FALSE)</f>
        <v>-0.51358590497437617</v>
      </c>
      <c r="J926">
        <f ca="1">($B$1+Table4[[#This Row],[Home Differential]])-Table4[[#This Row],[Away Differential]]</f>
        <v>0.36896156160630456</v>
      </c>
      <c r="K926" t="str">
        <f ca="1">IF(Table4[[#This Row],[HomeIce Differential]]&gt;0,Table4[[#This Row],[Home]],Table4[[#This Row],[Visitor]])</f>
        <v>New York Rangers</v>
      </c>
      <c r="L926" s="11">
        <f ca="1"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0.59112282107647152</v>
      </c>
      <c r="M926" t="str">
        <f ca="1">IF(OR((NHL2025_26Results[[#This Row],[Winning Team]]="")),"-",IF(Table4[[#This Row],[Predicted Winner]]=NHL2025_26Results[[#This Row],[Winning Team]],"YES","NO"))</f>
        <v>-</v>
      </c>
      <c r="N926" t="str">
        <f ca="1">IF(Table4[[#This Row],[Adjusted Correct]]="-", "",IF(Table4[[#This Row],[Adjusted Correct]]="YES",(Table4[[#This Row],[Strength of Win]]-1)^2,(Table4[[#This Row],[Strength of Win]]-0)^2))</f>
        <v/>
      </c>
      <c r="P926" s="11"/>
    </row>
    <row r="927" spans="4:16" x14ac:dyDescent="0.2">
      <c r="D927" s="1">
        <v>46079</v>
      </c>
      <c r="E927" s="2">
        <v>0.79166666666666663</v>
      </c>
      <c r="F927" t="s">
        <v>36</v>
      </c>
      <c r="G927">
        <f>VLOOKUP(Table4[[#This Row],[Home]],'NHL Model'!$A$6:$B$38,2,FALSE)</f>
        <v>-0.40651947573390851</v>
      </c>
      <c r="H927" t="s">
        <v>26</v>
      </c>
      <c r="I927">
        <f>VLOOKUP(Table4[[#This Row],[Visitor]],'NHL Model'!$A$6:$B$38,2,FALSE)</f>
        <v>-0.513643833119658</v>
      </c>
      <c r="J927">
        <f ca="1">($B$1+Table4[[#This Row],[Home Differential]])-Table4[[#This Row],[Away Differential]]</f>
        <v>0.26969666704806788</v>
      </c>
      <c r="K927" t="str">
        <f ca="1">IF(Table4[[#This Row],[HomeIce Differential]]&gt;0,Table4[[#This Row],[Home]],Table4[[#This Row],[Visitor]])</f>
        <v>Ottawa Senators</v>
      </c>
      <c r="L927" s="11">
        <f ca="1"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0.53278165393221422</v>
      </c>
      <c r="M927" t="str">
        <f ca="1">IF(OR((NHL2025_26Results[[#This Row],[Winning Team]]="")),"-",IF(Table4[[#This Row],[Predicted Winner]]=NHL2025_26Results[[#This Row],[Winning Team]],"YES","NO"))</f>
        <v>-</v>
      </c>
      <c r="N927" t="str">
        <f ca="1">IF(Table4[[#This Row],[Adjusted Correct]]="-", "",IF(Table4[[#This Row],[Adjusted Correct]]="YES",(Table4[[#This Row],[Strength of Win]]-1)^2,(Table4[[#This Row],[Strength of Win]]-0)^2))</f>
        <v/>
      </c>
      <c r="P927" s="11"/>
    </row>
    <row r="928" spans="4:16" x14ac:dyDescent="0.2">
      <c r="D928" s="1">
        <v>46079</v>
      </c>
      <c r="E928" s="2">
        <v>0.79166666666666663</v>
      </c>
      <c r="F928" t="s">
        <v>14</v>
      </c>
      <c r="G928">
        <f>VLOOKUP(Table4[[#This Row],[Home]],'NHL Model'!$A$6:$B$38,2,FALSE)</f>
        <v>0.26289091192875702</v>
      </c>
      <c r="H928" t="s">
        <v>24</v>
      </c>
      <c r="I928">
        <f>VLOOKUP(Table4[[#This Row],[Visitor]],'NHL Model'!$A$6:$B$38,2,FALSE)</f>
        <v>0.559441163373953</v>
      </c>
      <c r="J928">
        <f ca="1">($B$1+Table4[[#This Row],[Home Differential]])-Table4[[#This Row],[Away Differential]]</f>
        <v>-0.13397794178287759</v>
      </c>
      <c r="K928" t="str">
        <f ca="1">IF(Table4[[#This Row],[HomeIce Differential]]&gt;0,Table4[[#This Row],[Home]],Table4[[#This Row],[Visitor]])</f>
        <v>New Jersey Devils</v>
      </c>
      <c r="L928" s="11">
        <f ca="1"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0.50835972299821641</v>
      </c>
      <c r="M928" t="str">
        <f ca="1">IF(OR((NHL2025_26Results[[#This Row],[Winning Team]]="")),"-",IF(Table4[[#This Row],[Predicted Winner]]=NHL2025_26Results[[#This Row],[Winning Team]],"YES","NO"))</f>
        <v>-</v>
      </c>
      <c r="N928" t="str">
        <f ca="1">IF(Table4[[#This Row],[Adjusted Correct]]="-", "",IF(Table4[[#This Row],[Adjusted Correct]]="YES",(Table4[[#This Row],[Strength of Win]]-1)^2,(Table4[[#This Row],[Strength of Win]]-0)^2))</f>
        <v/>
      </c>
      <c r="P928" s="11"/>
    </row>
    <row r="929" spans="4:16" x14ac:dyDescent="0.2">
      <c r="D929" s="1">
        <v>46079</v>
      </c>
      <c r="E929" s="2">
        <v>0.91666666666666663</v>
      </c>
      <c r="F929" t="s">
        <v>33</v>
      </c>
      <c r="G929">
        <f>VLOOKUP(Table4[[#This Row],[Home]],'NHL Model'!$A$6:$B$38,2,FALSE)</f>
        <v>-0.39418177254008485</v>
      </c>
      <c r="H929" t="s">
        <v>16</v>
      </c>
      <c r="I929">
        <f>VLOOKUP(Table4[[#This Row],[Visitor]],'NHL Model'!$A$6:$B$38,2,FALSE)</f>
        <v>-1.3903684122795328</v>
      </c>
      <c r="J929">
        <f ca="1">($B$1+Table4[[#This Row],[Home Differential]])-Table4[[#This Row],[Away Differential]]</f>
        <v>1.1587589494017663</v>
      </c>
      <c r="K929" t="str">
        <f ca="1">IF(Table4[[#This Row],[HomeIce Differential]]&gt;0,Table4[[#This Row],[Home]],Table4[[#This Row],[Visitor]])</f>
        <v>San Jose Sharks</v>
      </c>
      <c r="L929" s="11">
        <f ca="1"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0.7005560920306293</v>
      </c>
      <c r="M929" t="str">
        <f ca="1">IF(OR((NHL2025_26Results[[#This Row],[Winning Team]]="")),"-",IF(Table4[[#This Row],[Predicted Winner]]=NHL2025_26Results[[#This Row],[Winning Team]],"YES","NO"))</f>
        <v>-</v>
      </c>
      <c r="N929" t="str">
        <f ca="1">IF(Table4[[#This Row],[Adjusted Correct]]="-", "",IF(Table4[[#This Row],[Adjusted Correct]]="YES",(Table4[[#This Row],[Strength of Win]]-1)^2,(Table4[[#This Row],[Strength of Win]]-0)^2))</f>
        <v/>
      </c>
      <c r="P929" s="11"/>
    </row>
    <row r="930" spans="4:16" x14ac:dyDescent="0.2">
      <c r="D930" s="1">
        <v>46079</v>
      </c>
      <c r="E930" s="2">
        <v>0.83333333333333337</v>
      </c>
      <c r="F930" t="s">
        <v>35</v>
      </c>
      <c r="G930">
        <f>VLOOKUP(Table4[[#This Row],[Home]],'NHL Model'!$A$6:$B$38,2,FALSE)</f>
        <v>-1.6211574240381006</v>
      </c>
      <c r="H930" t="s">
        <v>32</v>
      </c>
      <c r="I930">
        <f>VLOOKUP(Table4[[#This Row],[Visitor]],'NHL Model'!$A$6:$B$38,2,FALSE)</f>
        <v>-0.361361309178443</v>
      </c>
      <c r="J930">
        <f ca="1">($B$1+Table4[[#This Row],[Home Differential]])-Table4[[#This Row],[Away Differential]]</f>
        <v>-1.0972238051973391</v>
      </c>
      <c r="K930" t="str">
        <f ca="1">IF(Table4[[#This Row],[HomeIce Differential]]&gt;0,Table4[[#This Row],[Home]],Table4[[#This Row],[Visitor]])</f>
        <v>Seattle Kraken</v>
      </c>
      <c r="L930" s="11">
        <f ca="1"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0.61202986465512144</v>
      </c>
      <c r="M930" t="str">
        <f ca="1">IF(OR((NHL2025_26Results[[#This Row],[Winning Team]]="")),"-",IF(Table4[[#This Row],[Predicted Winner]]=NHL2025_26Results[[#This Row],[Winning Team]],"YES","NO"))</f>
        <v>-</v>
      </c>
      <c r="N930" t="str">
        <f ca="1">IF(Table4[[#This Row],[Adjusted Correct]]="-", "",IF(Table4[[#This Row],[Adjusted Correct]]="YES",(Table4[[#This Row],[Strength of Win]]-1)^2,(Table4[[#This Row],[Strength of Win]]-0)^2))</f>
        <v/>
      </c>
      <c r="P930" s="11"/>
    </row>
    <row r="931" spans="4:16" x14ac:dyDescent="0.2">
      <c r="D931" s="1">
        <v>46080</v>
      </c>
      <c r="E931" s="2">
        <v>0.91666666666666663</v>
      </c>
      <c r="F931" t="s">
        <v>31</v>
      </c>
      <c r="G931">
        <f>VLOOKUP(Table4[[#This Row],[Home]],'NHL Model'!$A$6:$B$38,2,FALSE)</f>
        <v>0.51775546328552802</v>
      </c>
      <c r="H931" t="s">
        <v>40</v>
      </c>
      <c r="I931">
        <f>VLOOKUP(Table4[[#This Row],[Visitor]],'NHL Model'!$A$6:$B$38,2,FALSE)</f>
        <v>0.105105258369765</v>
      </c>
      <c r="J931">
        <f ca="1">($B$1+Table4[[#This Row],[Home Differential]])-Table4[[#This Row],[Away Differential]]</f>
        <v>0.57522251457808138</v>
      </c>
      <c r="K931" t="str">
        <f ca="1">IF(Table4[[#This Row],[HomeIce Differential]]&gt;0,Table4[[#This Row],[Home]],Table4[[#This Row],[Visitor]])</f>
        <v>Anaheim Ducks</v>
      </c>
      <c r="L931" s="11">
        <f ca="1"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0.66109741201123606</v>
      </c>
      <c r="M931" t="str">
        <f ca="1">IF(OR((NHL2025_26Results[[#This Row],[Winning Team]]="")),"-",IF(Table4[[#This Row],[Predicted Winner]]=NHL2025_26Results[[#This Row],[Winning Team]],"YES","NO"))</f>
        <v>-</v>
      </c>
      <c r="N931" t="str">
        <f ca="1">IF(Table4[[#This Row],[Adjusted Correct]]="-", "",IF(Table4[[#This Row],[Adjusted Correct]]="YES",(Table4[[#This Row],[Strength of Win]]-1)^2,(Table4[[#This Row],[Strength of Win]]-0)^2))</f>
        <v/>
      </c>
      <c r="P931" s="11"/>
    </row>
    <row r="932" spans="4:16" x14ac:dyDescent="0.2">
      <c r="D932" s="1">
        <v>46080</v>
      </c>
      <c r="E932" s="2">
        <v>0.79166666666666663</v>
      </c>
      <c r="F932" t="s">
        <v>11</v>
      </c>
      <c r="G932">
        <f>VLOOKUP(Table4[[#This Row],[Home]],'NHL Model'!$A$6:$B$38,2,FALSE)</f>
        <v>-0.28105923893144158</v>
      </c>
      <c r="H932" t="s">
        <v>23</v>
      </c>
      <c r="I932">
        <f>VLOOKUP(Table4[[#This Row],[Visitor]],'NHL Model'!$A$6:$B$38,2,FALSE)</f>
        <v>-0.8683412362501769</v>
      </c>
      <c r="J932">
        <f ca="1">($B$1+Table4[[#This Row],[Home Differential]])-Table4[[#This Row],[Away Differential]]</f>
        <v>0.74985430698105371</v>
      </c>
      <c r="K932" t="str">
        <f ca="1">IF(Table4[[#This Row],[HomeIce Differential]]&gt;0,Table4[[#This Row],[Home]],Table4[[#This Row],[Visitor]])</f>
        <v>Florida Panthers</v>
      </c>
      <c r="L932" s="11">
        <f ca="1"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0.69561478736826343</v>
      </c>
      <c r="M932" t="str">
        <f ca="1">IF(OR((NHL2025_26Results[[#This Row],[Winning Team]]="")),"-",IF(Table4[[#This Row],[Predicted Winner]]=NHL2025_26Results[[#This Row],[Winning Team]],"YES","NO"))</f>
        <v>-</v>
      </c>
      <c r="N932" t="str">
        <f ca="1">IF(Table4[[#This Row],[Adjusted Correct]]="-", "",IF(Table4[[#This Row],[Adjusted Correct]]="YES",(Table4[[#This Row],[Strength of Win]]-1)^2,(Table4[[#This Row],[Strength of Win]]-0)^2))</f>
        <v/>
      </c>
      <c r="P932" s="11"/>
    </row>
    <row r="933" spans="4:16" x14ac:dyDescent="0.2">
      <c r="D933" s="1">
        <v>46080</v>
      </c>
      <c r="E933" s="2">
        <v>0.875</v>
      </c>
      <c r="F933" t="s">
        <v>55</v>
      </c>
      <c r="G933">
        <f>VLOOKUP(Table4[[#This Row],[Home]],'NHL Model'!$A$6:$B$38,2,FALSE)</f>
        <v>-0.12212311954851815</v>
      </c>
      <c r="H933" t="s">
        <v>34</v>
      </c>
      <c r="I933">
        <f>VLOOKUP(Table4[[#This Row],[Visitor]],'NHL Model'!$A$6:$B$38,2,FALSE)</f>
        <v>-0.53650300840565446</v>
      </c>
      <c r="J933">
        <f ca="1">($B$1+Table4[[#This Row],[Home Differential]])-Table4[[#This Row],[Away Differential]]</f>
        <v>0.57695219851945467</v>
      </c>
      <c r="K933" t="str">
        <f ca="1">IF(Table4[[#This Row],[HomeIce Differential]]&gt;0,Table4[[#This Row],[Home]],Table4[[#This Row],[Visitor]])</f>
        <v>Utah Mammoth</v>
      </c>
      <c r="L933" s="11">
        <f ca="1"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0.68821423195296516</v>
      </c>
      <c r="M933" t="str">
        <f ca="1">IF(OR((NHL2025_26Results[[#This Row],[Winning Team]]="")),"-",IF(Table4[[#This Row],[Predicted Winner]]=NHL2025_26Results[[#This Row],[Winning Team]],"YES","NO"))</f>
        <v>-</v>
      </c>
      <c r="N933" t="str">
        <f ca="1">IF(Table4[[#This Row],[Adjusted Correct]]="-", "",IF(Table4[[#This Row],[Adjusted Correct]]="YES",(Table4[[#This Row],[Strength of Win]]-1)^2,(Table4[[#This Row],[Strength of Win]]-0)^2))</f>
        <v/>
      </c>
      <c r="P933" s="11"/>
    </row>
    <row r="934" spans="4:16" x14ac:dyDescent="0.2">
      <c r="D934" s="1">
        <v>46080</v>
      </c>
      <c r="E934" s="2">
        <v>0.79166666666666663</v>
      </c>
      <c r="F934" t="s">
        <v>22</v>
      </c>
      <c r="G934">
        <f>VLOOKUP(Table4[[#This Row],[Home]],'NHL Model'!$A$6:$B$38,2,FALSE)</f>
        <v>-6.1308839486784707E-2</v>
      </c>
      <c r="H934" t="s">
        <v>20</v>
      </c>
      <c r="I934">
        <f>VLOOKUP(Table4[[#This Row],[Visitor]],'NHL Model'!$A$6:$B$38,2,FALSE)</f>
        <v>-6.3745791019188943E-4</v>
      </c>
      <c r="J934">
        <f ca="1">($B$1+Table4[[#This Row],[Home Differential]])-Table4[[#This Row],[Away Differential]]</f>
        <v>0.10190092808572558</v>
      </c>
      <c r="K934" t="str">
        <f ca="1">IF(Table4[[#This Row],[HomeIce Differential]]&gt;0,Table4[[#This Row],[Home]],Table4[[#This Row],[Visitor]])</f>
        <v>Washington Capitals</v>
      </c>
      <c r="L934" s="11">
        <f ca="1"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0.53335002569578727</v>
      </c>
      <c r="M934" t="str">
        <f ca="1">IF(OR((NHL2025_26Results[[#This Row],[Winning Team]]="")),"-",IF(Table4[[#This Row],[Predicted Winner]]=NHL2025_26Results[[#This Row],[Winning Team]],"YES","NO"))</f>
        <v>-</v>
      </c>
      <c r="N934" t="str">
        <f ca="1">IF(Table4[[#This Row],[Adjusted Correct]]="-", "",IF(Table4[[#This Row],[Adjusted Correct]]="YES",(Table4[[#This Row],[Strength of Win]]-1)^2,(Table4[[#This Row],[Strength of Win]]-0)^2))</f>
        <v/>
      </c>
      <c r="P934" s="11"/>
    </row>
    <row r="935" spans="4:16" x14ac:dyDescent="0.2">
      <c r="D935" s="1">
        <v>46081</v>
      </c>
      <c r="E935" s="2">
        <v>0.79166666666666663</v>
      </c>
      <c r="F935" t="s">
        <v>25</v>
      </c>
      <c r="G935">
        <f>VLOOKUP(Table4[[#This Row],[Home]],'NHL Model'!$A$6:$B$38,2,FALSE)</f>
        <v>0.67193921242367816</v>
      </c>
      <c r="H935" t="s">
        <v>26</v>
      </c>
      <c r="I935">
        <f>VLOOKUP(Table4[[#This Row],[Visitor]],'NHL Model'!$A$6:$B$38,2,FALSE)</f>
        <v>-0.513643833119658</v>
      </c>
      <c r="J935">
        <f ca="1">($B$1+Table4[[#This Row],[Home Differential]])-Table4[[#This Row],[Away Differential]]</f>
        <v>1.3481553552056544</v>
      </c>
      <c r="K935" t="str">
        <f ca="1">IF(Table4[[#This Row],[HomeIce Differential]]&gt;0,Table4[[#This Row],[Home]],Table4[[#This Row],[Visitor]])</f>
        <v>Carolina Hurricanes</v>
      </c>
      <c r="L935" s="11">
        <f ca="1"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0.73225315045667638</v>
      </c>
      <c r="M935" t="str">
        <f ca="1">IF(OR((NHL2025_26Results[[#This Row],[Winning Team]]="")),"-",IF(Table4[[#This Row],[Predicted Winner]]=NHL2025_26Results[[#This Row],[Winning Team]],"YES","NO"))</f>
        <v>-</v>
      </c>
      <c r="N935" t="str">
        <f ca="1">IF(Table4[[#This Row],[Adjusted Correct]]="-", "",IF(Table4[[#This Row],[Adjusted Correct]]="YES",(Table4[[#This Row],[Strength of Win]]-1)^2,(Table4[[#This Row],[Strength of Win]]-0)^2))</f>
        <v/>
      </c>
      <c r="P935" s="11"/>
    </row>
    <row r="936" spans="4:16" x14ac:dyDescent="0.2">
      <c r="D936" s="1">
        <v>46081</v>
      </c>
      <c r="E936" s="2">
        <v>0.75</v>
      </c>
      <c r="F936" t="s">
        <v>28</v>
      </c>
      <c r="G936">
        <f>VLOOKUP(Table4[[#This Row],[Home]],'NHL Model'!$A$6:$B$38,2,FALSE)</f>
        <v>-0.40822279081308277</v>
      </c>
      <c r="H936" t="s">
        <v>30</v>
      </c>
      <c r="I936">
        <f>VLOOKUP(Table4[[#This Row],[Visitor]],'NHL Model'!$A$6:$B$38,2,FALSE)</f>
        <v>-6.4729560818359025E-2</v>
      </c>
      <c r="J936">
        <f ca="1">($B$1+Table4[[#This Row],[Home Differential]])-Table4[[#This Row],[Away Differential]]</f>
        <v>-0.18092092033240537</v>
      </c>
      <c r="K936" t="str">
        <f ca="1">IF(Table4[[#This Row],[HomeIce Differential]]&gt;0,Table4[[#This Row],[Home]],Table4[[#This Row],[Visitor]])</f>
        <v>New York Islanders</v>
      </c>
      <c r="L936" s="11">
        <f ca="1"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0.52758072384113508</v>
      </c>
      <c r="M936" t="str">
        <f ca="1">IF(OR((NHL2025_26Results[[#This Row],[Winning Team]]="")),"-",IF(Table4[[#This Row],[Predicted Winner]]=NHL2025_26Results[[#This Row],[Winning Team]],"YES","NO"))</f>
        <v>-</v>
      </c>
      <c r="N936" t="str">
        <f ca="1">IF(Table4[[#This Row],[Adjusted Correct]]="-", "",IF(Table4[[#This Row],[Adjusted Correct]]="YES",(Table4[[#This Row],[Strength of Win]]-1)^2,(Table4[[#This Row],[Strength of Win]]-0)^2))</f>
        <v/>
      </c>
      <c r="P936" s="11"/>
    </row>
    <row r="937" spans="4:16" x14ac:dyDescent="0.2">
      <c r="D937" s="1">
        <v>46081</v>
      </c>
      <c r="E937" s="2">
        <v>0.75</v>
      </c>
      <c r="F937" t="s">
        <v>12</v>
      </c>
      <c r="G937">
        <f>VLOOKUP(Table4[[#This Row],[Home]],'NHL Model'!$A$6:$B$38,2,FALSE)</f>
        <v>1.5475013591489768</v>
      </c>
      <c r="H937" t="s">
        <v>10</v>
      </c>
      <c r="I937">
        <f>VLOOKUP(Table4[[#This Row],[Visitor]],'NHL Model'!$A$6:$B$38,2,FALSE)</f>
        <v>0.30570968833820172</v>
      </c>
      <c r="J937">
        <f ca="1">($B$1+Table4[[#This Row],[Home Differential]])-Table4[[#This Row],[Away Differential]]</f>
        <v>1.4043639804730934</v>
      </c>
      <c r="K937" t="str">
        <f ca="1">IF(Table4[[#This Row],[HomeIce Differential]]&gt;0,Table4[[#This Row],[Home]],Table4[[#This Row],[Visitor]])</f>
        <v>Colorado Avalanche</v>
      </c>
      <c r="L937" s="11">
        <f ca="1"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0.80328244920339653</v>
      </c>
      <c r="M937" t="str">
        <f ca="1">IF(OR((NHL2025_26Results[[#This Row],[Winning Team]]="")),"-",IF(Table4[[#This Row],[Predicted Winner]]=NHL2025_26Results[[#This Row],[Winning Team]],"YES","NO"))</f>
        <v>-</v>
      </c>
      <c r="N937" t="str">
        <f ca="1">IF(Table4[[#This Row],[Adjusted Correct]]="-", "",IF(Table4[[#This Row],[Adjusted Correct]]="YES",(Table4[[#This Row],[Strength of Win]]-1)^2,(Table4[[#This Row],[Strength of Win]]-0)^2))</f>
        <v/>
      </c>
      <c r="P937" s="11"/>
    </row>
    <row r="938" spans="4:16" x14ac:dyDescent="0.2">
      <c r="D938" s="1">
        <v>46081</v>
      </c>
      <c r="E938" s="2">
        <v>0.83333333333333337</v>
      </c>
      <c r="F938" t="s">
        <v>39</v>
      </c>
      <c r="G938">
        <f>VLOOKUP(Table4[[#This Row],[Home]],'NHL Model'!$A$6:$B$38,2,FALSE)</f>
        <v>0.19809534061227302</v>
      </c>
      <c r="H938" t="s">
        <v>29</v>
      </c>
      <c r="I938">
        <f>VLOOKUP(Table4[[#This Row],[Visitor]],'NHL Model'!$A$6:$B$38,2,FALSE)</f>
        <v>-1.3516250707060606</v>
      </c>
      <c r="J938">
        <f ca="1">($B$1+Table4[[#This Row],[Home Differential]])-Table4[[#This Row],[Away Differential]]</f>
        <v>1.712292720980652</v>
      </c>
      <c r="K938" t="str">
        <f ca="1">IF(Table4[[#This Row],[HomeIce Differential]]&gt;0,Table4[[#This Row],[Home]],Table4[[#This Row],[Visitor]])</f>
        <v>Dallas Stars</v>
      </c>
      <c r="L938" s="11">
        <f ca="1"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0.80329072779796795</v>
      </c>
      <c r="M938" t="str">
        <f ca="1">IF(OR((NHL2025_26Results[[#This Row],[Winning Team]]="")),"-",IF(Table4[[#This Row],[Predicted Winner]]=NHL2025_26Results[[#This Row],[Winning Team]],"YES","NO"))</f>
        <v>-</v>
      </c>
      <c r="N938" t="str">
        <f ca="1">IF(Table4[[#This Row],[Adjusted Correct]]="-", "",IF(Table4[[#This Row],[Adjusted Correct]]="YES",(Table4[[#This Row],[Strength of Win]]-1)^2,(Table4[[#This Row],[Strength of Win]]-0)^2))</f>
        <v/>
      </c>
      <c r="P938" s="11"/>
    </row>
    <row r="939" spans="4:16" x14ac:dyDescent="0.2">
      <c r="D939" s="1">
        <v>46081</v>
      </c>
      <c r="E939" s="2">
        <v>0.79166666666666663</v>
      </c>
      <c r="F939" t="s">
        <v>13</v>
      </c>
      <c r="G939">
        <f>VLOOKUP(Table4[[#This Row],[Home]],'NHL Model'!$A$6:$B$38,2,FALSE)</f>
        <v>-7.5459708298993802E-2</v>
      </c>
      <c r="H939" t="s">
        <v>16</v>
      </c>
      <c r="I939">
        <f>VLOOKUP(Table4[[#This Row],[Visitor]],'NHL Model'!$A$6:$B$38,2,FALSE)</f>
        <v>-1.3903684122795328</v>
      </c>
      <c r="J939">
        <f ca="1">($B$1+Table4[[#This Row],[Home Differential]])-Table4[[#This Row],[Away Differential]]</f>
        <v>1.4774810136428573</v>
      </c>
      <c r="K939" t="str">
        <f ca="1">IF(Table4[[#This Row],[HomeIce Differential]]&gt;0,Table4[[#This Row],[Home]],Table4[[#This Row],[Visitor]])</f>
        <v>Los Angeles Kings</v>
      </c>
      <c r="L939" s="11">
        <f ca="1"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0.74471779546765893</v>
      </c>
      <c r="M939" t="str">
        <f ca="1">IF(OR((NHL2025_26Results[[#This Row],[Winning Team]]="")),"-",IF(Table4[[#This Row],[Predicted Winner]]=NHL2025_26Results[[#This Row],[Winning Team]],"YES","NO"))</f>
        <v>-</v>
      </c>
      <c r="N939" t="str">
        <f ca="1">IF(Table4[[#This Row],[Adjusted Correct]]="-", "",IF(Table4[[#This Row],[Adjusted Correct]]="YES",(Table4[[#This Row],[Strength of Win]]-1)^2,(Table4[[#This Row],[Strength of Win]]-0)^2))</f>
        <v/>
      </c>
      <c r="P939" s="11"/>
    </row>
    <row r="940" spans="4:16" x14ac:dyDescent="0.2">
      <c r="D940" s="1">
        <v>46081</v>
      </c>
      <c r="E940" s="2">
        <v>0.79166666666666663</v>
      </c>
      <c r="F940" t="s">
        <v>18</v>
      </c>
      <c r="G940">
        <f>VLOOKUP(Table4[[#This Row],[Home]],'NHL Model'!$A$6:$B$38,2,FALSE)</f>
        <v>-0.52437726201848234</v>
      </c>
      <c r="H940" t="s">
        <v>22</v>
      </c>
      <c r="I940">
        <f>VLOOKUP(Table4[[#This Row],[Visitor]],'NHL Model'!$A$6:$B$38,2,FALSE)</f>
        <v>-6.1308839486784707E-2</v>
      </c>
      <c r="J940">
        <f ca="1">($B$1+Table4[[#This Row],[Home Differential]])-Table4[[#This Row],[Away Differential]]</f>
        <v>-0.30049611286937922</v>
      </c>
      <c r="K940" t="str">
        <f ca="1">IF(Table4[[#This Row],[HomeIce Differential]]&gt;0,Table4[[#This Row],[Home]],Table4[[#This Row],[Visitor]])</f>
        <v>Washington Capitals</v>
      </c>
      <c r="L940" s="11">
        <f ca="1"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0.50163633996320867</v>
      </c>
      <c r="M940" t="str">
        <f ca="1">IF(OR((NHL2025_26Results[[#This Row],[Winning Team]]="")),"-",IF(Table4[[#This Row],[Predicted Winner]]=NHL2025_26Results[[#This Row],[Winning Team]],"YES","NO"))</f>
        <v>-</v>
      </c>
      <c r="N940" t="str">
        <f ca="1">IF(Table4[[#This Row],[Adjusted Correct]]="-", "",IF(Table4[[#This Row],[Adjusted Correct]]="YES",(Table4[[#This Row],[Strength of Win]]-1)^2,(Table4[[#This Row],[Strength of Win]]-0)^2))</f>
        <v/>
      </c>
      <c r="P940" s="11"/>
    </row>
    <row r="941" spans="4:16" x14ac:dyDescent="0.2">
      <c r="D941" s="1">
        <v>46081</v>
      </c>
      <c r="E941" s="2">
        <v>0.52083333333333337</v>
      </c>
      <c r="F941" t="s">
        <v>15</v>
      </c>
      <c r="G941">
        <f>VLOOKUP(Table4[[#This Row],[Home]],'NHL Model'!$A$6:$B$38,2,FALSE)</f>
        <v>-0.30719665303039001</v>
      </c>
      <c r="H941" t="s">
        <v>14</v>
      </c>
      <c r="I941">
        <f>VLOOKUP(Table4[[#This Row],[Visitor]],'NHL Model'!$A$6:$B$38,2,FALSE)</f>
        <v>0.26289091192875702</v>
      </c>
      <c r="J941">
        <f ca="1">($B$1+Table4[[#This Row],[Home Differential]])-Table4[[#This Row],[Away Differential]]</f>
        <v>-0.40751525529682864</v>
      </c>
      <c r="K941" t="str">
        <f ca="1">IF(Table4[[#This Row],[HomeIce Differential]]&gt;0,Table4[[#This Row],[Home]],Table4[[#This Row],[Visitor]])</f>
        <v>Pittsburgh Penguins</v>
      </c>
      <c r="L941" s="11">
        <f ca="1"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0.51646476936993857</v>
      </c>
      <c r="M941" t="str">
        <f ca="1">IF(OR((NHL2025_26Results[[#This Row],[Winning Team]]="")),"-",IF(Table4[[#This Row],[Predicted Winner]]=NHL2025_26Results[[#This Row],[Winning Team]],"YES","NO"))</f>
        <v>-</v>
      </c>
      <c r="N941" t="str">
        <f ca="1">IF(Table4[[#This Row],[Adjusted Correct]]="-", "",IF(Table4[[#This Row],[Adjusted Correct]]="YES",(Table4[[#This Row],[Strength of Win]]-1)^2,(Table4[[#This Row],[Strength of Win]]-0)^2))</f>
        <v/>
      </c>
      <c r="P941" s="11"/>
    </row>
    <row r="942" spans="4:16" x14ac:dyDescent="0.2">
      <c r="D942" s="1">
        <v>46081</v>
      </c>
      <c r="E942" s="2">
        <v>0.625</v>
      </c>
      <c r="F942" t="s">
        <v>27</v>
      </c>
      <c r="G942">
        <f>VLOOKUP(Table4[[#This Row],[Home]],'NHL Model'!$A$6:$B$38,2,FALSE)</f>
        <v>-0.51358590497437617</v>
      </c>
      <c r="H942" t="s">
        <v>21</v>
      </c>
      <c r="I942">
        <f>VLOOKUP(Table4[[#This Row],[Visitor]],'NHL Model'!$A$6:$B$38,2,FALSE)</f>
        <v>4.029141914856392E-2</v>
      </c>
      <c r="J942">
        <f ca="1">($B$1+Table4[[#This Row],[Home Differential]])-Table4[[#This Row],[Away Differential]]</f>
        <v>-0.39130501446062171</v>
      </c>
      <c r="K942" t="str">
        <f ca="1">IF(Table4[[#This Row],[HomeIce Differential]]&gt;0,Table4[[#This Row],[Home]],Table4[[#This Row],[Visitor]])</f>
        <v>Boston Bruins</v>
      </c>
      <c r="L942" s="11">
        <f ca="1"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0.51172322085076793</v>
      </c>
      <c r="M942" t="str">
        <f ca="1">IF(OR((NHL2025_26Results[[#This Row],[Winning Team]]="")),"-",IF(Table4[[#This Row],[Predicted Winner]]=NHL2025_26Results[[#This Row],[Winning Team]],"YES","NO"))</f>
        <v>-</v>
      </c>
      <c r="N942" t="str">
        <f ca="1">IF(Table4[[#This Row],[Adjusted Correct]]="-", "",IF(Table4[[#This Row],[Adjusted Correct]]="YES",(Table4[[#This Row],[Strength of Win]]-1)^2,(Table4[[#This Row],[Strength of Win]]-0)^2))</f>
        <v/>
      </c>
      <c r="P942" s="11"/>
    </row>
    <row r="943" spans="4:16" x14ac:dyDescent="0.2">
      <c r="D943" s="1">
        <v>46081</v>
      </c>
      <c r="E943" s="2">
        <v>0.91666666666666663</v>
      </c>
      <c r="F943" t="s">
        <v>32</v>
      </c>
      <c r="G943">
        <f>VLOOKUP(Table4[[#This Row],[Home]],'NHL Model'!$A$6:$B$38,2,FALSE)</f>
        <v>-0.361361309178443</v>
      </c>
      <c r="H943" t="s">
        <v>38</v>
      </c>
      <c r="I943">
        <f>VLOOKUP(Table4[[#This Row],[Visitor]],'NHL Model'!$A$6:$B$38,2,FALSE)</f>
        <v>-0.6902088310934803</v>
      </c>
      <c r="J943">
        <f ca="1">($B$1+Table4[[#This Row],[Home Differential]])-Table4[[#This Row],[Away Differential]]</f>
        <v>0.49141983157735569</v>
      </c>
      <c r="K943" t="str">
        <f ca="1">IF(Table4[[#This Row],[HomeIce Differential]]&gt;0,Table4[[#This Row],[Home]],Table4[[#This Row],[Visitor]])</f>
        <v>Seattle Kraken</v>
      </c>
      <c r="L943" s="11">
        <f ca="1"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0.59189999917987079</v>
      </c>
      <c r="M943" t="str">
        <f ca="1">IF(OR((NHL2025_26Results[[#This Row],[Winning Team]]="")),"-",IF(Table4[[#This Row],[Predicted Winner]]=NHL2025_26Results[[#This Row],[Winning Team]],"YES","NO"))</f>
        <v>-</v>
      </c>
      <c r="N943" t="str">
        <f ca="1">IF(Table4[[#This Row],[Adjusted Correct]]="-", "",IF(Table4[[#This Row],[Adjusted Correct]]="YES",(Table4[[#This Row],[Strength of Win]]-1)^2,(Table4[[#This Row],[Strength of Win]]-0)^2))</f>
        <v/>
      </c>
      <c r="P943" s="11"/>
    </row>
    <row r="944" spans="4:16" x14ac:dyDescent="0.2">
      <c r="D944" s="1">
        <v>46081</v>
      </c>
      <c r="E944" s="2">
        <v>0.66666666666666663</v>
      </c>
      <c r="F944" t="s">
        <v>33</v>
      </c>
      <c r="G944">
        <f>VLOOKUP(Table4[[#This Row],[Home]],'NHL Model'!$A$6:$B$38,2,FALSE)</f>
        <v>-0.39418177254008485</v>
      </c>
      <c r="H944" t="s">
        <v>17</v>
      </c>
      <c r="I944">
        <f>VLOOKUP(Table4[[#This Row],[Visitor]],'NHL Model'!$A$6:$B$38,2,FALSE)</f>
        <v>-0.61980804137564283</v>
      </c>
      <c r="J944">
        <f ca="1">($B$1+Table4[[#This Row],[Home Differential]])-Table4[[#This Row],[Away Differential]]</f>
        <v>0.38819857849787637</v>
      </c>
      <c r="K944" t="str">
        <f ca="1">IF(Table4[[#This Row],[HomeIce Differential]]&gt;0,Table4[[#This Row],[Home]],Table4[[#This Row],[Visitor]])</f>
        <v>San Jose Sharks</v>
      </c>
      <c r="L944" s="11">
        <f ca="1"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0.593788276438031</v>
      </c>
      <c r="M944" t="str">
        <f ca="1">IF(OR((NHL2025_26Results[[#This Row],[Winning Team]]="")),"-",IF(Table4[[#This Row],[Predicted Winner]]=NHL2025_26Results[[#This Row],[Winning Team]],"YES","NO"))</f>
        <v>-</v>
      </c>
      <c r="N944" t="str">
        <f ca="1">IF(Table4[[#This Row],[Adjusted Correct]]="-", "",IF(Table4[[#This Row],[Adjusted Correct]]="YES",(Table4[[#This Row],[Strength of Win]]-1)^2,(Table4[[#This Row],[Strength of Win]]-0)^2))</f>
        <v/>
      </c>
      <c r="P944" s="11"/>
    </row>
    <row r="945" spans="4:16" x14ac:dyDescent="0.2">
      <c r="D945" s="1">
        <v>46081</v>
      </c>
      <c r="E945" s="2">
        <v>0.70833333333333337</v>
      </c>
      <c r="F945" t="s">
        <v>35</v>
      </c>
      <c r="G945">
        <f>VLOOKUP(Table4[[#This Row],[Home]],'NHL Model'!$A$6:$B$38,2,FALSE)</f>
        <v>-1.6211574240381006</v>
      </c>
      <c r="H945" t="s">
        <v>24</v>
      </c>
      <c r="I945">
        <f>VLOOKUP(Table4[[#This Row],[Visitor]],'NHL Model'!$A$6:$B$38,2,FALSE)</f>
        <v>0.559441163373953</v>
      </c>
      <c r="J945">
        <f ca="1">($B$1+Table4[[#This Row],[Home Differential]])-Table4[[#This Row],[Away Differential]]</f>
        <v>-2.0180262777497351</v>
      </c>
      <c r="K945" t="str">
        <f ca="1">IF(Table4[[#This Row],[HomeIce Differential]]&gt;0,Table4[[#This Row],[Home]],Table4[[#This Row],[Visitor]])</f>
        <v>New Jersey Devils</v>
      </c>
      <c r="L945" s="11">
        <f ca="1"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0.80593081461578986</v>
      </c>
      <c r="M945" t="str">
        <f ca="1">IF(OR((NHL2025_26Results[[#This Row],[Winning Team]]="")),"-",IF(Table4[[#This Row],[Predicted Winner]]=NHL2025_26Results[[#This Row],[Winning Team]],"YES","NO"))</f>
        <v>-</v>
      </c>
      <c r="N945" t="str">
        <f ca="1">IF(Table4[[#This Row],[Adjusted Correct]]="-", "",IF(Table4[[#This Row],[Adjusted Correct]]="YES",(Table4[[#This Row],[Strength of Win]]-1)^2,(Table4[[#This Row],[Strength of Win]]-0)^2))</f>
        <v/>
      </c>
      <c r="P945" s="11"/>
    </row>
    <row r="946" spans="4:16" x14ac:dyDescent="0.2">
      <c r="D946" s="1">
        <v>46081</v>
      </c>
      <c r="E946" s="2">
        <v>0.79166666666666663</v>
      </c>
      <c r="F946" t="s">
        <v>37</v>
      </c>
      <c r="G946">
        <f>VLOOKUP(Table4[[#This Row],[Home]],'NHL Model'!$A$6:$B$38,2,FALSE)</f>
        <v>-0.11309445867623392</v>
      </c>
      <c r="H946" t="s">
        <v>23</v>
      </c>
      <c r="I946">
        <f>VLOOKUP(Table4[[#This Row],[Visitor]],'NHL Model'!$A$6:$B$38,2,FALSE)</f>
        <v>-0.8683412362501769</v>
      </c>
      <c r="J946">
        <f ca="1">($B$1+Table4[[#This Row],[Home Differential]])-Table4[[#This Row],[Away Differential]]</f>
        <v>0.91781908723626138</v>
      </c>
      <c r="K946" t="str">
        <f ca="1">IF(Table4[[#This Row],[HomeIce Differential]]&gt;0,Table4[[#This Row],[Home]],Table4[[#This Row],[Visitor]])</f>
        <v>Tampa Bay Lightning</v>
      </c>
      <c r="L946" s="11">
        <f ca="1"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0.66717178660311693</v>
      </c>
      <c r="M946" t="str">
        <f ca="1">IF(OR((NHL2025_26Results[[#This Row],[Winning Team]]="")),"-",IF(Table4[[#This Row],[Predicted Winner]]=NHL2025_26Results[[#This Row],[Winning Team]],"YES","NO"))</f>
        <v>-</v>
      </c>
      <c r="N946" t="str">
        <f ca="1">IF(Table4[[#This Row],[Adjusted Correct]]="-", "",IF(Table4[[#This Row],[Adjusted Correct]]="YES",(Table4[[#This Row],[Strength of Win]]-1)^2,(Table4[[#This Row],[Strength of Win]]-0)^2))</f>
        <v/>
      </c>
      <c r="P946" s="11"/>
    </row>
    <row r="947" spans="4:16" x14ac:dyDescent="0.2">
      <c r="D947" s="1">
        <v>46081</v>
      </c>
      <c r="E947" s="2">
        <v>0.79166666666666663</v>
      </c>
      <c r="F947" t="s">
        <v>19</v>
      </c>
      <c r="G947">
        <f>VLOOKUP(Table4[[#This Row],[Home]],'NHL Model'!$A$6:$B$38,2,FALSE)</f>
        <v>-0.635565543477981</v>
      </c>
      <c r="H947" t="s">
        <v>36</v>
      </c>
      <c r="I947">
        <f>VLOOKUP(Table4[[#This Row],[Visitor]],'NHL Model'!$A$6:$B$38,2,FALSE)</f>
        <v>-0.40651947573390851</v>
      </c>
      <c r="J947">
        <f ca="1">($B$1+Table4[[#This Row],[Home Differential]])-Table4[[#This Row],[Away Differential]]</f>
        <v>-6.6473758081754097E-2</v>
      </c>
      <c r="K947" t="str">
        <f ca="1">IF(Table4[[#This Row],[HomeIce Differential]]&gt;0,Table4[[#This Row],[Home]],Table4[[#This Row],[Visitor]])</f>
        <v>Ottawa Senators</v>
      </c>
      <c r="L947" s="11">
        <f ca="1"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0.46921051511680317</v>
      </c>
      <c r="M947" t="str">
        <f ca="1">IF(OR((NHL2025_26Results[[#This Row],[Winning Team]]="")),"-",IF(Table4[[#This Row],[Predicted Winner]]=NHL2025_26Results[[#This Row],[Winning Team]],"YES","NO"))</f>
        <v>-</v>
      </c>
      <c r="N947" t="str">
        <f ca="1">IF(Table4[[#This Row],[Adjusted Correct]]="-", "",IF(Table4[[#This Row],[Adjusted Correct]]="YES",(Table4[[#This Row],[Strength of Win]]-1)^2,(Table4[[#This Row],[Strength of Win]]-0)^2))</f>
        <v/>
      </c>
      <c r="P947" s="11"/>
    </row>
    <row r="948" spans="4:16" x14ac:dyDescent="0.2">
      <c r="D948" s="1">
        <v>46082</v>
      </c>
      <c r="E948" s="2">
        <v>0.83333333333333337</v>
      </c>
      <c r="F948" t="s">
        <v>31</v>
      </c>
      <c r="G948">
        <f>VLOOKUP(Table4[[#This Row],[Home]],'NHL Model'!$A$6:$B$38,2,FALSE)</f>
        <v>0.51775546328552802</v>
      </c>
      <c r="H948" t="s">
        <v>16</v>
      </c>
      <c r="I948">
        <f>VLOOKUP(Table4[[#This Row],[Visitor]],'NHL Model'!$A$6:$B$38,2,FALSE)</f>
        <v>-1.3903684122795328</v>
      </c>
      <c r="J948">
        <f ca="1">($B$1+Table4[[#This Row],[Home Differential]])-Table4[[#This Row],[Away Differential]]</f>
        <v>2.0706961852273791</v>
      </c>
      <c r="K948" t="str">
        <f ca="1">IF(Table4[[#This Row],[HomeIce Differential]]&gt;0,Table4[[#This Row],[Home]],Table4[[#This Row],[Visitor]])</f>
        <v>Anaheim Ducks</v>
      </c>
      <c r="L948" s="11">
        <f ca="1"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0.93124279406713151</v>
      </c>
      <c r="M948" t="str">
        <f ca="1">IF(OR((NHL2025_26Results[[#This Row],[Winning Team]]="")),"-",IF(Table4[[#This Row],[Predicted Winner]]=NHL2025_26Results[[#This Row],[Winning Team]],"YES","NO"))</f>
        <v>-</v>
      </c>
      <c r="N948" t="str">
        <f ca="1">IF(Table4[[#This Row],[Adjusted Correct]]="-", "",IF(Table4[[#This Row],[Adjusted Correct]]="YES",(Table4[[#This Row],[Strength of Win]]-1)^2,(Table4[[#This Row],[Strength of Win]]-0)^2))</f>
        <v/>
      </c>
      <c r="P948" s="11"/>
    </row>
    <row r="949" spans="4:16" x14ac:dyDescent="0.2">
      <c r="D949" s="1">
        <v>46082</v>
      </c>
      <c r="E949" s="2">
        <v>0.70833333333333337</v>
      </c>
      <c r="F949" t="s">
        <v>34</v>
      </c>
      <c r="G949">
        <f>VLOOKUP(Table4[[#This Row],[Home]],'NHL Model'!$A$6:$B$38,2,FALSE)</f>
        <v>-0.53650300840565446</v>
      </c>
      <c r="H949" t="s">
        <v>35</v>
      </c>
      <c r="I949">
        <f>VLOOKUP(Table4[[#This Row],[Visitor]],'NHL Model'!$A$6:$B$38,2,FALSE)</f>
        <v>-1.6211574240381006</v>
      </c>
      <c r="J949">
        <f ca="1">($B$1+Table4[[#This Row],[Home Differential]])-Table4[[#This Row],[Away Differential]]</f>
        <v>1.2472267252947646</v>
      </c>
      <c r="K949" t="str">
        <f ca="1">IF(Table4[[#This Row],[HomeIce Differential]]&gt;0,Table4[[#This Row],[Home]],Table4[[#This Row],[Visitor]])</f>
        <v>Minnesota Wild</v>
      </c>
      <c r="L949" s="11">
        <f ca="1"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0.71281406887331478</v>
      </c>
      <c r="M949" t="str">
        <f ca="1">IF(OR((NHL2025_26Results[[#This Row],[Winning Team]]="")),"-",IF(Table4[[#This Row],[Predicted Winner]]=NHL2025_26Results[[#This Row],[Winning Team]],"YES","NO"))</f>
        <v>-</v>
      </c>
      <c r="N949" t="str">
        <f ca="1">IF(Table4[[#This Row],[Adjusted Correct]]="-", "",IF(Table4[[#This Row],[Adjusted Correct]]="YES",(Table4[[#This Row],[Strength of Win]]-1)^2,(Table4[[#This Row],[Strength of Win]]-0)^2))</f>
        <v/>
      </c>
      <c r="P949" s="11"/>
    </row>
    <row r="950" spans="4:16" x14ac:dyDescent="0.2">
      <c r="D950" s="1">
        <v>46082</v>
      </c>
      <c r="E950" s="2">
        <v>0.77083333333333337</v>
      </c>
      <c r="F950" t="s">
        <v>30</v>
      </c>
      <c r="G950">
        <f>VLOOKUP(Table4[[#This Row],[Home]],'NHL Model'!$A$6:$B$38,2,FALSE)</f>
        <v>-6.4729560818359025E-2</v>
      </c>
      <c r="H950" t="s">
        <v>11</v>
      </c>
      <c r="I950">
        <f>VLOOKUP(Table4[[#This Row],[Visitor]],'NHL Model'!$A$6:$B$38,2,FALSE)</f>
        <v>-0.28105923893144158</v>
      </c>
      <c r="J950">
        <f ca="1">($B$1+Table4[[#This Row],[Home Differential]])-Table4[[#This Row],[Away Differential]]</f>
        <v>0.37890198777540096</v>
      </c>
      <c r="K950" t="str">
        <f ca="1">IF(Table4[[#This Row],[HomeIce Differential]]&gt;0,Table4[[#This Row],[Home]],Table4[[#This Row],[Visitor]])</f>
        <v>New York Islanders</v>
      </c>
      <c r="L950" s="11">
        <f ca="1"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0.59250015324693983</v>
      </c>
      <c r="M950" t="str">
        <f ca="1">IF(OR((NHL2025_26Results[[#This Row],[Winning Team]]="")),"-",IF(Table4[[#This Row],[Predicted Winner]]=NHL2025_26Results[[#This Row],[Winning Team]],"YES","NO"))</f>
        <v>-</v>
      </c>
      <c r="N950" t="str">
        <f ca="1">IF(Table4[[#This Row],[Adjusted Correct]]="-", "",IF(Table4[[#This Row],[Adjusted Correct]]="YES",(Table4[[#This Row],[Strength of Win]]-1)^2,(Table4[[#This Row],[Strength of Win]]-0)^2))</f>
        <v/>
      </c>
      <c r="P950" s="11"/>
    </row>
    <row r="951" spans="4:16" x14ac:dyDescent="0.2">
      <c r="D951" s="1">
        <v>46082</v>
      </c>
      <c r="E951" s="2">
        <v>0.54166666666666663</v>
      </c>
      <c r="F951" t="s">
        <v>14</v>
      </c>
      <c r="G951">
        <f>VLOOKUP(Table4[[#This Row],[Home]],'NHL Model'!$A$6:$B$38,2,FALSE)</f>
        <v>0.26289091192875702</v>
      </c>
      <c r="H951" t="s">
        <v>20</v>
      </c>
      <c r="I951">
        <f>VLOOKUP(Table4[[#This Row],[Visitor]],'NHL Model'!$A$6:$B$38,2,FALSE)</f>
        <v>-6.3745791019188943E-4</v>
      </c>
      <c r="J951">
        <f ca="1">($B$1+Table4[[#This Row],[Home Differential]])-Table4[[#This Row],[Away Differential]]</f>
        <v>0.42610067950126729</v>
      </c>
      <c r="K951" t="str">
        <f ca="1">IF(Table4[[#This Row],[HomeIce Differential]]&gt;0,Table4[[#This Row],[Home]],Table4[[#This Row],[Visitor]])</f>
        <v>Pittsburgh Penguins</v>
      </c>
      <c r="L951" s="11">
        <f ca="1"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0.61459549647479406</v>
      </c>
      <c r="M951" t="str">
        <f ca="1">IF(OR((NHL2025_26Results[[#This Row],[Winning Team]]="")),"-",IF(Table4[[#This Row],[Predicted Winner]]=NHL2025_26Results[[#This Row],[Winning Team]],"YES","NO"))</f>
        <v>-</v>
      </c>
      <c r="N951" t="str">
        <f ca="1">IF(Table4[[#This Row],[Adjusted Correct]]="-", "",IF(Table4[[#This Row],[Adjusted Correct]]="YES",(Table4[[#This Row],[Strength of Win]]-1)^2,(Table4[[#This Row],[Strength of Win]]-0)^2))</f>
        <v/>
      </c>
      <c r="P951" s="11"/>
    </row>
    <row r="952" spans="4:16" x14ac:dyDescent="0.2">
      <c r="D952" s="1">
        <v>46082</v>
      </c>
      <c r="E952" s="2">
        <v>0.66666666666666663</v>
      </c>
      <c r="F952" t="s">
        <v>33</v>
      </c>
      <c r="G952">
        <f>VLOOKUP(Table4[[#This Row],[Home]],'NHL Model'!$A$6:$B$38,2,FALSE)</f>
        <v>-0.39418177254008485</v>
      </c>
      <c r="H952" t="s">
        <v>40</v>
      </c>
      <c r="I952">
        <f>VLOOKUP(Table4[[#This Row],[Visitor]],'NHL Model'!$A$6:$B$38,2,FALSE)</f>
        <v>0.105105258369765</v>
      </c>
      <c r="J952">
        <f ca="1">($B$1+Table4[[#This Row],[Home Differential]])-Table4[[#This Row],[Away Differential]]</f>
        <v>-0.33671472124753143</v>
      </c>
      <c r="K952" t="str">
        <f ca="1">IF(Table4[[#This Row],[HomeIce Differential]]&gt;0,Table4[[#This Row],[Home]],Table4[[#This Row],[Visitor]])</f>
        <v>Winnipeg Jets</v>
      </c>
      <c r="L952" s="11">
        <f ca="1"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0.57297053142894316</v>
      </c>
      <c r="M952" t="str">
        <f ca="1">IF(OR((NHL2025_26Results[[#This Row],[Winning Team]]="")),"-",IF(Table4[[#This Row],[Predicted Winner]]=NHL2025_26Results[[#This Row],[Winning Team]],"YES","NO"))</f>
        <v>-</v>
      </c>
      <c r="N952" t="str">
        <f ca="1">IF(Table4[[#This Row],[Adjusted Correct]]="-", "",IF(Table4[[#This Row],[Adjusted Correct]]="YES",(Table4[[#This Row],[Strength of Win]]-1)^2,(Table4[[#This Row],[Strength of Win]]-0)^2))</f>
        <v/>
      </c>
      <c r="P952" s="11"/>
    </row>
    <row r="953" spans="4:16" x14ac:dyDescent="0.2">
      <c r="D953" s="1">
        <v>46082</v>
      </c>
      <c r="E953" s="2">
        <v>0.66666666666666663</v>
      </c>
      <c r="F953" t="s">
        <v>55</v>
      </c>
      <c r="G953">
        <f>VLOOKUP(Table4[[#This Row],[Home]],'NHL Model'!$A$6:$B$38,2,FALSE)</f>
        <v>-0.12212311954851815</v>
      </c>
      <c r="H953" t="s">
        <v>10</v>
      </c>
      <c r="I953">
        <f>VLOOKUP(Table4[[#This Row],[Visitor]],'NHL Model'!$A$6:$B$38,2,FALSE)</f>
        <v>0.30570968833820172</v>
      </c>
      <c r="J953">
        <f ca="1">($B$1+Table4[[#This Row],[Home Differential]])-Table4[[#This Row],[Away Differential]]</f>
        <v>-0.26526049822440145</v>
      </c>
      <c r="K953" t="str">
        <f ca="1">IF(Table4[[#This Row],[HomeIce Differential]]&gt;0,Table4[[#This Row],[Home]],Table4[[#This Row],[Visitor]])</f>
        <v>Chicago Blackhawks</v>
      </c>
      <c r="L953" s="11">
        <f ca="1"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0.44851884615198806</v>
      </c>
      <c r="M953" t="str">
        <f ca="1">IF(OR((NHL2025_26Results[[#This Row],[Winning Team]]="")),"-",IF(Table4[[#This Row],[Predicted Winner]]=NHL2025_26Results[[#This Row],[Winning Team]],"YES","NO"))</f>
        <v>-</v>
      </c>
      <c r="N953" t="str">
        <f ca="1">IF(Table4[[#This Row],[Adjusted Correct]]="-", "",IF(Table4[[#This Row],[Adjusted Correct]]="YES",(Table4[[#This Row],[Strength of Win]]-1)^2,(Table4[[#This Row],[Strength of Win]]-0)^2))</f>
        <v/>
      </c>
      <c r="P953" s="11"/>
    </row>
    <row r="954" spans="4:16" x14ac:dyDescent="0.2">
      <c r="D954" s="1">
        <v>46083</v>
      </c>
      <c r="E954" s="2">
        <v>0.9375</v>
      </c>
      <c r="F954" t="s">
        <v>13</v>
      </c>
      <c r="G954">
        <f>VLOOKUP(Table4[[#This Row],[Home]],'NHL Model'!$A$6:$B$38,2,FALSE)</f>
        <v>-7.5459708298993802E-2</v>
      </c>
      <c r="H954" t="s">
        <v>12</v>
      </c>
      <c r="I954">
        <f>VLOOKUP(Table4[[#This Row],[Visitor]],'NHL Model'!$A$6:$B$38,2,FALSE)</f>
        <v>1.5475013591489768</v>
      </c>
      <c r="J954">
        <f ca="1">($B$1+Table4[[#This Row],[Home Differential]])-Table4[[#This Row],[Away Differential]]</f>
        <v>-1.4603887577856522</v>
      </c>
      <c r="K954" t="str">
        <f ca="1">IF(Table4[[#This Row],[HomeIce Differential]]&gt;0,Table4[[#This Row],[Home]],Table4[[#This Row],[Visitor]])</f>
        <v>Colorado Avalanche</v>
      </c>
      <c r="L954" s="11">
        <f ca="1"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0.72866530480349623</v>
      </c>
      <c r="M954" t="str">
        <f ca="1">IF(OR((NHL2025_26Results[[#This Row],[Winning Team]]="")),"-",IF(Table4[[#This Row],[Predicted Winner]]=NHL2025_26Results[[#This Row],[Winning Team]],"YES","NO"))</f>
        <v>-</v>
      </c>
      <c r="N954" t="str">
        <f ca="1">IF(Table4[[#This Row],[Adjusted Correct]]="-", "",IF(Table4[[#This Row],[Adjusted Correct]]="YES",(Table4[[#This Row],[Strength of Win]]-1)^2,(Table4[[#This Row],[Strength of Win]]-0)^2))</f>
        <v/>
      </c>
      <c r="P954" s="11"/>
    </row>
    <row r="955" spans="4:16" x14ac:dyDescent="0.2">
      <c r="D955" s="1">
        <v>46083</v>
      </c>
      <c r="E955" s="2">
        <v>0.83333333333333337</v>
      </c>
      <c r="F955" t="s">
        <v>29</v>
      </c>
      <c r="G955">
        <f>VLOOKUP(Table4[[#This Row],[Home]],'NHL Model'!$A$6:$B$38,2,FALSE)</f>
        <v>-1.3516250707060606</v>
      </c>
      <c r="H955" t="s">
        <v>26</v>
      </c>
      <c r="I955">
        <f>VLOOKUP(Table4[[#This Row],[Visitor]],'NHL Model'!$A$6:$B$38,2,FALSE)</f>
        <v>-0.513643833119658</v>
      </c>
      <c r="J955">
        <f ca="1">($B$1+Table4[[#This Row],[Home Differential]])-Table4[[#This Row],[Away Differential]]</f>
        <v>-0.67540892792408425</v>
      </c>
      <c r="K955" t="str">
        <f ca="1">IF(Table4[[#This Row],[HomeIce Differential]]&gt;0,Table4[[#This Row],[Home]],Table4[[#This Row],[Visitor]])</f>
        <v>Detroit Red Wings</v>
      </c>
      <c r="L955" s="11">
        <f ca="1"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0.60068315024787755</v>
      </c>
      <c r="M955" t="str">
        <f ca="1">IF(OR((NHL2025_26Results[[#This Row],[Winning Team]]="")),"-",IF(Table4[[#This Row],[Predicted Winner]]=NHL2025_26Results[[#This Row],[Winning Team]],"YES","NO"))</f>
        <v>-</v>
      </c>
      <c r="N955" t="str">
        <f ca="1">IF(Table4[[#This Row],[Adjusted Correct]]="-", "",IF(Table4[[#This Row],[Adjusted Correct]]="YES",(Table4[[#This Row],[Strength of Win]]-1)^2,(Table4[[#This Row],[Strength of Win]]-0)^2))</f>
        <v/>
      </c>
      <c r="P955" s="11"/>
    </row>
    <row r="956" spans="4:16" x14ac:dyDescent="0.2">
      <c r="D956" s="1">
        <v>46083</v>
      </c>
      <c r="E956" s="2">
        <v>0.79166666666666663</v>
      </c>
      <c r="F956" t="s">
        <v>15</v>
      </c>
      <c r="G956">
        <f>VLOOKUP(Table4[[#This Row],[Home]],'NHL Model'!$A$6:$B$38,2,FALSE)</f>
        <v>-0.30719665303039001</v>
      </c>
      <c r="H956" t="s">
        <v>28</v>
      </c>
      <c r="I956">
        <f>VLOOKUP(Table4[[#This Row],[Visitor]],'NHL Model'!$A$6:$B$38,2,FALSE)</f>
        <v>-0.40822279081308277</v>
      </c>
      <c r="J956">
        <f ca="1">($B$1+Table4[[#This Row],[Home Differential]])-Table4[[#This Row],[Away Differential]]</f>
        <v>0.26359844744501115</v>
      </c>
      <c r="K956" t="str">
        <f ca="1">IF(Table4[[#This Row],[HomeIce Differential]]&gt;0,Table4[[#This Row],[Home]],Table4[[#This Row],[Visitor]])</f>
        <v>New York Rangers</v>
      </c>
      <c r="L956" s="11">
        <f ca="1"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0.55575461796476355</v>
      </c>
      <c r="M956" t="str">
        <f ca="1">IF(OR((NHL2025_26Results[[#This Row],[Winning Team]]="")),"-",IF(Table4[[#This Row],[Predicted Winner]]=NHL2025_26Results[[#This Row],[Winning Team]],"YES","NO"))</f>
        <v>-</v>
      </c>
      <c r="N956" t="str">
        <f ca="1">IF(Table4[[#This Row],[Adjusted Correct]]="-", "",IF(Table4[[#This Row],[Adjusted Correct]]="YES",(Table4[[#This Row],[Strength of Win]]-1)^2,(Table4[[#This Row],[Strength of Win]]-0)^2))</f>
        <v/>
      </c>
      <c r="P956" s="11"/>
    </row>
    <row r="957" spans="4:16" x14ac:dyDescent="0.2">
      <c r="D957" s="1">
        <v>46083</v>
      </c>
      <c r="E957" s="2">
        <v>0.91666666666666663</v>
      </c>
      <c r="F957" t="s">
        <v>32</v>
      </c>
      <c r="G957">
        <f>VLOOKUP(Table4[[#This Row],[Home]],'NHL Model'!$A$6:$B$38,2,FALSE)</f>
        <v>-0.361361309178443</v>
      </c>
      <c r="H957" t="s">
        <v>25</v>
      </c>
      <c r="I957">
        <f>VLOOKUP(Table4[[#This Row],[Visitor]],'NHL Model'!$A$6:$B$38,2,FALSE)</f>
        <v>0.67193921242367816</v>
      </c>
      <c r="J957">
        <f ca="1">($B$1+Table4[[#This Row],[Home Differential]])-Table4[[#This Row],[Away Differential]]</f>
        <v>-0.87072821193980277</v>
      </c>
      <c r="K957" t="str">
        <f ca="1">IF(Table4[[#This Row],[HomeIce Differential]]&gt;0,Table4[[#This Row],[Home]],Table4[[#This Row],[Visitor]])</f>
        <v>Carolina Hurricanes</v>
      </c>
      <c r="L957" s="11">
        <f ca="1"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0.64696272730492799</v>
      </c>
      <c r="M957" t="str">
        <f ca="1">IF(OR((NHL2025_26Results[[#This Row],[Winning Team]]="")),"-",IF(Table4[[#This Row],[Predicted Winner]]=NHL2025_26Results[[#This Row],[Winning Team]],"YES","NO"))</f>
        <v>-</v>
      </c>
      <c r="N957" t="str">
        <f ca="1">IF(Table4[[#This Row],[Adjusted Correct]]="-", "",IF(Table4[[#This Row],[Adjusted Correct]]="YES",(Table4[[#This Row],[Strength of Win]]-1)^2,(Table4[[#This Row],[Strength of Win]]-0)^2))</f>
        <v/>
      </c>
      <c r="P957" s="11"/>
    </row>
    <row r="958" spans="4:16" x14ac:dyDescent="0.2">
      <c r="D958" s="1">
        <v>46083</v>
      </c>
      <c r="E958" s="2">
        <v>0.8125</v>
      </c>
      <c r="F958" t="s">
        <v>19</v>
      </c>
      <c r="G958">
        <f>VLOOKUP(Table4[[#This Row],[Home]],'NHL Model'!$A$6:$B$38,2,FALSE)</f>
        <v>-0.635565543477981</v>
      </c>
      <c r="H958" t="s">
        <v>27</v>
      </c>
      <c r="I958">
        <f>VLOOKUP(Table4[[#This Row],[Visitor]],'NHL Model'!$A$6:$B$38,2,FALSE)</f>
        <v>-0.51358590497437617</v>
      </c>
      <c r="J958">
        <f ca="1">($B$1+Table4[[#This Row],[Home Differential]])-Table4[[#This Row],[Away Differential]]</f>
        <v>4.0592671158713567E-2</v>
      </c>
      <c r="K958" t="str">
        <f ca="1">IF(Table4[[#This Row],[HomeIce Differential]]&gt;0,Table4[[#This Row],[Home]],Table4[[#This Row],[Visitor]])</f>
        <v>Toronto Maple Leafs</v>
      </c>
      <c r="L958" s="11">
        <f ca="1"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0.54562446628756767</v>
      </c>
      <c r="M958" t="str">
        <f ca="1">IF(OR((NHL2025_26Results[[#This Row],[Winning Team]]="")),"-",IF(Table4[[#This Row],[Predicted Winner]]=NHL2025_26Results[[#This Row],[Winning Team]],"YES","NO"))</f>
        <v>-</v>
      </c>
      <c r="N958" t="str">
        <f ca="1">IF(Table4[[#This Row],[Adjusted Correct]]="-", "",IF(Table4[[#This Row],[Adjusted Correct]]="YES",(Table4[[#This Row],[Strength of Win]]-1)^2,(Table4[[#This Row],[Strength of Win]]-0)^2))</f>
        <v/>
      </c>
      <c r="P958" s="11"/>
    </row>
    <row r="959" spans="4:16" x14ac:dyDescent="0.2">
      <c r="D959" s="1">
        <v>46083</v>
      </c>
      <c r="E959" s="2">
        <v>0.91666666666666663</v>
      </c>
      <c r="F959" t="s">
        <v>38</v>
      </c>
      <c r="G959">
        <f>VLOOKUP(Table4[[#This Row],[Home]],'NHL Model'!$A$6:$B$38,2,FALSE)</f>
        <v>-0.6902088310934803</v>
      </c>
      <c r="H959" t="s">
        <v>39</v>
      </c>
      <c r="I959">
        <f>VLOOKUP(Table4[[#This Row],[Visitor]],'NHL Model'!$A$6:$B$38,2,FALSE)</f>
        <v>0.19809534061227302</v>
      </c>
      <c r="J959">
        <f ca="1">($B$1+Table4[[#This Row],[Home Differential]])-Table4[[#This Row],[Away Differential]]</f>
        <v>-0.72573186204343498</v>
      </c>
      <c r="K959" t="str">
        <f ca="1">IF(Table4[[#This Row],[HomeIce Differential]]&gt;0,Table4[[#This Row],[Home]],Table4[[#This Row],[Visitor]])</f>
        <v>Dallas Stars</v>
      </c>
      <c r="L959" s="11">
        <f ca="1"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0.65304262513708233</v>
      </c>
      <c r="M959" t="str">
        <f ca="1">IF(OR((NHL2025_26Results[[#This Row],[Winning Team]]="")),"-",IF(Table4[[#This Row],[Predicted Winner]]=NHL2025_26Results[[#This Row],[Winning Team]],"YES","NO"))</f>
        <v>-</v>
      </c>
      <c r="N959" t="str">
        <f ca="1">IF(Table4[[#This Row],[Adjusted Correct]]="-", "",IF(Table4[[#This Row],[Adjusted Correct]]="YES",(Table4[[#This Row],[Strength of Win]]-1)^2,(Table4[[#This Row],[Strength of Win]]-0)^2))</f>
        <v/>
      </c>
      <c r="P959" s="11"/>
    </row>
    <row r="960" spans="4:16" x14ac:dyDescent="0.2">
      <c r="D960" s="1">
        <v>46084</v>
      </c>
      <c r="E960" s="2">
        <v>0.91666666666666663</v>
      </c>
      <c r="F960" t="s">
        <v>31</v>
      </c>
      <c r="G960">
        <f>VLOOKUP(Table4[[#This Row],[Home]],'NHL Model'!$A$6:$B$38,2,FALSE)</f>
        <v>0.51775546328552802</v>
      </c>
      <c r="H960" t="s">
        <v>12</v>
      </c>
      <c r="I960">
        <f>VLOOKUP(Table4[[#This Row],[Visitor]],'NHL Model'!$A$6:$B$38,2,FALSE)</f>
        <v>1.5475013591489768</v>
      </c>
      <c r="J960">
        <f ca="1">($B$1+Table4[[#This Row],[Home Differential]])-Table4[[#This Row],[Away Differential]]</f>
        <v>-0.86717358620113039</v>
      </c>
      <c r="K960" t="str">
        <f ca="1">IF(Table4[[#This Row],[HomeIce Differential]]&gt;0,Table4[[#This Row],[Home]],Table4[[#This Row],[Visitor]])</f>
        <v>Colorado Avalanche</v>
      </c>
      <c r="L960" s="11">
        <f ca="1"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0.53875906480034663</v>
      </c>
      <c r="M960" t="str">
        <f ca="1">IF(OR((NHL2025_26Results[[#This Row],[Winning Team]]="")),"-",IF(Table4[[#This Row],[Predicted Winner]]=NHL2025_26Results[[#This Row],[Winning Team]],"YES","NO"))</f>
        <v>-</v>
      </c>
      <c r="N960" t="str">
        <f ca="1">IF(Table4[[#This Row],[Adjusted Correct]]="-", "",IF(Table4[[#This Row],[Adjusted Correct]]="YES",(Table4[[#This Row],[Strength of Win]]-1)^2,(Table4[[#This Row],[Strength of Win]]-0)^2))</f>
        <v/>
      </c>
      <c r="P960" s="11"/>
    </row>
    <row r="961" spans="4:16" x14ac:dyDescent="0.2">
      <c r="D961" s="1">
        <v>46084</v>
      </c>
      <c r="E961" s="2">
        <v>0.79166666666666663</v>
      </c>
      <c r="F961" t="s">
        <v>21</v>
      </c>
      <c r="G961">
        <f>VLOOKUP(Table4[[#This Row],[Home]],'NHL Model'!$A$6:$B$38,2,FALSE)</f>
        <v>4.029141914856392E-2</v>
      </c>
      <c r="H961" t="s">
        <v>14</v>
      </c>
      <c r="I961">
        <f>VLOOKUP(Table4[[#This Row],[Visitor]],'NHL Model'!$A$6:$B$38,2,FALSE)</f>
        <v>0.26289091192875702</v>
      </c>
      <c r="J961">
        <f ca="1">($B$1+Table4[[#This Row],[Home Differential]])-Table4[[#This Row],[Away Differential]]</f>
        <v>-6.0027183117874694E-2</v>
      </c>
      <c r="K961" t="str">
        <f ca="1">IF(Table4[[#This Row],[HomeIce Differential]]&gt;0,Table4[[#This Row],[Home]],Table4[[#This Row],[Visitor]])</f>
        <v>Pittsburgh Penguins</v>
      </c>
      <c r="L961" s="11">
        <f ca="1"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0.395759859043051</v>
      </c>
      <c r="M961" t="str">
        <f ca="1">IF(OR((NHL2025_26Results[[#This Row],[Winning Team]]="")),"-",IF(Table4[[#This Row],[Predicted Winner]]=NHL2025_26Results[[#This Row],[Winning Team]],"YES","NO"))</f>
        <v>-</v>
      </c>
      <c r="N961" t="str">
        <f ca="1">IF(Table4[[#This Row],[Adjusted Correct]]="-", "",IF(Table4[[#This Row],[Adjusted Correct]]="YES",(Table4[[#This Row],[Strength of Win]]-1)^2,(Table4[[#This Row],[Strength of Win]]-0)^2))</f>
        <v/>
      </c>
      <c r="P961" s="11"/>
    </row>
    <row r="962" spans="4:16" x14ac:dyDescent="0.2">
      <c r="D962" s="1">
        <v>46084</v>
      </c>
      <c r="E962" s="2">
        <v>0.79166666666666663</v>
      </c>
      <c r="F962" t="s">
        <v>23</v>
      </c>
      <c r="G962">
        <f>VLOOKUP(Table4[[#This Row],[Home]],'NHL Model'!$A$6:$B$38,2,FALSE)</f>
        <v>-0.8683412362501769</v>
      </c>
      <c r="H962" t="s">
        <v>20</v>
      </c>
      <c r="I962">
        <f>VLOOKUP(Table4[[#This Row],[Visitor]],'NHL Model'!$A$6:$B$38,2,FALSE)</f>
        <v>-6.3745791019188943E-4</v>
      </c>
      <c r="J962">
        <f ca="1">($B$1+Table4[[#This Row],[Home Differential]])-Table4[[#This Row],[Away Differential]]</f>
        <v>-0.70513146867766663</v>
      </c>
      <c r="K962" t="str">
        <f ca="1">IF(Table4[[#This Row],[HomeIce Differential]]&gt;0,Table4[[#This Row],[Home]],Table4[[#This Row],[Visitor]])</f>
        <v>Vegas Golden Knights</v>
      </c>
      <c r="L962" s="11">
        <f ca="1"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0.57847130507653421</v>
      </c>
      <c r="M962" t="str">
        <f ca="1">IF(OR((NHL2025_26Results[[#This Row],[Winning Team]]="")),"-",IF(Table4[[#This Row],[Predicted Winner]]=NHL2025_26Results[[#This Row],[Winning Team]],"YES","NO"))</f>
        <v>-</v>
      </c>
      <c r="N962" t="str">
        <f ca="1">IF(Table4[[#This Row],[Adjusted Correct]]="-", "",IF(Table4[[#This Row],[Adjusted Correct]]="YES",(Table4[[#This Row],[Strength of Win]]-1)^2,(Table4[[#This Row],[Strength of Win]]-0)^2))</f>
        <v/>
      </c>
      <c r="P962" s="11"/>
    </row>
    <row r="963" spans="4:16" x14ac:dyDescent="0.2">
      <c r="D963" s="1">
        <v>46084</v>
      </c>
      <c r="E963" s="2">
        <v>0.79166666666666663</v>
      </c>
      <c r="F963" t="s">
        <v>28</v>
      </c>
      <c r="G963">
        <f>VLOOKUP(Table4[[#This Row],[Home]],'NHL Model'!$A$6:$B$38,2,FALSE)</f>
        <v>-0.40822279081308277</v>
      </c>
      <c r="H963" t="s">
        <v>29</v>
      </c>
      <c r="I963">
        <f>VLOOKUP(Table4[[#This Row],[Visitor]],'NHL Model'!$A$6:$B$38,2,FALSE)</f>
        <v>-1.3516250707060606</v>
      </c>
      <c r="J963">
        <f ca="1">($B$1+Table4[[#This Row],[Home Differential]])-Table4[[#This Row],[Away Differential]]</f>
        <v>1.1059745895552964</v>
      </c>
      <c r="K963" t="str">
        <f ca="1">IF(Table4[[#This Row],[HomeIce Differential]]&gt;0,Table4[[#This Row],[Home]],Table4[[#This Row],[Visitor]])</f>
        <v>Columbus Blue Jackets</v>
      </c>
      <c r="L963" s="11">
        <f ca="1"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0.69324236164549358</v>
      </c>
      <c r="M963" t="str">
        <f ca="1">IF(OR((NHL2025_26Results[[#This Row],[Winning Team]]="")),"-",IF(Table4[[#This Row],[Predicted Winner]]=NHL2025_26Results[[#This Row],[Winning Team]],"YES","NO"))</f>
        <v>-</v>
      </c>
      <c r="N963" t="str">
        <f ca="1">IF(Table4[[#This Row],[Adjusted Correct]]="-", "",IF(Table4[[#This Row],[Adjusted Correct]]="YES",(Table4[[#This Row],[Strength of Win]]-1)^2,(Table4[[#This Row],[Strength of Win]]-0)^2))</f>
        <v/>
      </c>
      <c r="P963" s="11"/>
    </row>
    <row r="964" spans="4:16" x14ac:dyDescent="0.2">
      <c r="D964" s="1">
        <v>46084</v>
      </c>
      <c r="E964" s="2">
        <v>0.875</v>
      </c>
      <c r="F964" t="s">
        <v>16</v>
      </c>
      <c r="G964">
        <f>VLOOKUP(Table4[[#This Row],[Home]],'NHL Model'!$A$6:$B$38,2,FALSE)</f>
        <v>-1.3903684122795328</v>
      </c>
      <c r="H964" t="s">
        <v>39</v>
      </c>
      <c r="I964">
        <f>VLOOKUP(Table4[[#This Row],[Visitor]],'NHL Model'!$A$6:$B$38,2,FALSE)</f>
        <v>0.19809534061227302</v>
      </c>
      <c r="J964">
        <f ca="1">($B$1+Table4[[#This Row],[Home Differential]])-Table4[[#This Row],[Away Differential]]</f>
        <v>-1.4258914432294874</v>
      </c>
      <c r="K964" t="str">
        <f ca="1">IF(Table4[[#This Row],[HomeIce Differential]]&gt;0,Table4[[#This Row],[Home]],Table4[[#This Row],[Visitor]])</f>
        <v>Dallas Stars</v>
      </c>
      <c r="L964" s="11">
        <f ca="1"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0.75005580135554539</v>
      </c>
      <c r="M964" t="str">
        <f ca="1">IF(OR((NHL2025_26Results[[#This Row],[Winning Team]]="")),"-",IF(Table4[[#This Row],[Predicted Winner]]=NHL2025_26Results[[#This Row],[Winning Team]],"YES","NO"))</f>
        <v>-</v>
      </c>
      <c r="N964" t="str">
        <f ca="1">IF(Table4[[#This Row],[Adjusted Correct]]="-", "",IF(Table4[[#This Row],[Adjusted Correct]]="YES",(Table4[[#This Row],[Strength of Win]]-1)^2,(Table4[[#This Row],[Strength of Win]]-0)^2))</f>
        <v/>
      </c>
      <c r="P964" s="11"/>
    </row>
    <row r="965" spans="4:16" x14ac:dyDescent="0.2">
      <c r="D965" s="1">
        <v>46084</v>
      </c>
      <c r="E965" s="2">
        <v>0.875</v>
      </c>
      <c r="F965" t="s">
        <v>17</v>
      </c>
      <c r="G965">
        <f>VLOOKUP(Table4[[#This Row],[Home]],'NHL Model'!$A$6:$B$38,2,FALSE)</f>
        <v>-0.61980804137564283</v>
      </c>
      <c r="H965" t="s">
        <v>36</v>
      </c>
      <c r="I965">
        <f>VLOOKUP(Table4[[#This Row],[Visitor]],'NHL Model'!$A$6:$B$38,2,FALSE)</f>
        <v>-0.40651947573390851</v>
      </c>
      <c r="J965">
        <f ca="1">($B$1+Table4[[#This Row],[Home Differential]])-Table4[[#This Row],[Away Differential]]</f>
        <v>-5.0716255979415925E-2</v>
      </c>
      <c r="K965" t="str">
        <f ca="1">IF(Table4[[#This Row],[HomeIce Differential]]&gt;0,Table4[[#This Row],[Home]],Table4[[#This Row],[Visitor]])</f>
        <v>Ottawa Senators</v>
      </c>
      <c r="L965" s="11">
        <f ca="1"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0.4309903103166719</v>
      </c>
      <c r="M965" t="str">
        <f ca="1">IF(OR((NHL2025_26Results[[#This Row],[Winning Team]]="")),"-",IF(Table4[[#This Row],[Predicted Winner]]=NHL2025_26Results[[#This Row],[Winning Team]],"YES","NO"))</f>
        <v>-</v>
      </c>
      <c r="N965" t="str">
        <f ca="1">IF(Table4[[#This Row],[Adjusted Correct]]="-", "",IF(Table4[[#This Row],[Adjusted Correct]]="YES",(Table4[[#This Row],[Strength of Win]]-1)^2,(Table4[[#This Row],[Strength of Win]]-0)^2))</f>
        <v/>
      </c>
      <c r="P965" s="11"/>
    </row>
    <row r="966" spans="4:16" x14ac:dyDescent="0.2">
      <c r="D966" s="1">
        <v>46084</v>
      </c>
      <c r="E966" s="2">
        <v>0.89583333333333337</v>
      </c>
      <c r="F966" t="s">
        <v>34</v>
      </c>
      <c r="G966">
        <f>VLOOKUP(Table4[[#This Row],[Home]],'NHL Model'!$A$6:$B$38,2,FALSE)</f>
        <v>-0.53650300840565446</v>
      </c>
      <c r="H966" t="s">
        <v>37</v>
      </c>
      <c r="I966">
        <f>VLOOKUP(Table4[[#This Row],[Visitor]],'NHL Model'!$A$6:$B$38,2,FALSE)</f>
        <v>-0.11309445867623392</v>
      </c>
      <c r="J966">
        <f ca="1">($B$1+Table4[[#This Row],[Home Differential]])-Table4[[#This Row],[Away Differential]]</f>
        <v>-0.26083624006710215</v>
      </c>
      <c r="K966" t="str">
        <f ca="1">IF(Table4[[#This Row],[HomeIce Differential]]&gt;0,Table4[[#This Row],[Home]],Table4[[#This Row],[Visitor]])</f>
        <v>Tampa Bay Lightning</v>
      </c>
      <c r="L966" s="11">
        <f ca="1"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0.54324051245050387</v>
      </c>
      <c r="M966" t="str">
        <f ca="1">IF(OR((NHL2025_26Results[[#This Row],[Winning Team]]="")),"-",IF(Table4[[#This Row],[Predicted Winner]]=NHL2025_26Results[[#This Row],[Winning Team]],"YES","NO"))</f>
        <v>-</v>
      </c>
      <c r="N966" t="str">
        <f ca="1">IF(Table4[[#This Row],[Adjusted Correct]]="-", "",IF(Table4[[#This Row],[Adjusted Correct]]="YES",(Table4[[#This Row],[Strength of Win]]-1)^2,(Table4[[#This Row],[Strength of Win]]-0)^2))</f>
        <v/>
      </c>
      <c r="P966" s="11"/>
    </row>
    <row r="967" spans="4:16" x14ac:dyDescent="0.2">
      <c r="D967" s="1">
        <v>46084</v>
      </c>
      <c r="E967" s="2">
        <v>0.79166666666666663</v>
      </c>
      <c r="F967" t="s">
        <v>24</v>
      </c>
      <c r="G967">
        <f>VLOOKUP(Table4[[#This Row],[Home]],'NHL Model'!$A$6:$B$38,2,FALSE)</f>
        <v>0.559441163373953</v>
      </c>
      <c r="H967" t="s">
        <v>11</v>
      </c>
      <c r="I967">
        <f>VLOOKUP(Table4[[#This Row],[Visitor]],'NHL Model'!$A$6:$B$38,2,FALSE)</f>
        <v>-0.28105923893144158</v>
      </c>
      <c r="J967">
        <f ca="1">($B$1+Table4[[#This Row],[Home Differential]])-Table4[[#This Row],[Away Differential]]</f>
        <v>1.003072711967713</v>
      </c>
      <c r="K967" t="str">
        <f ca="1">IF(Table4[[#This Row],[HomeIce Differential]]&gt;0,Table4[[#This Row],[Home]],Table4[[#This Row],[Visitor]])</f>
        <v>New Jersey Devils</v>
      </c>
      <c r="L967" s="11">
        <f ca="1"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0.79441512656516433</v>
      </c>
      <c r="M967" t="str">
        <f ca="1">IF(OR((NHL2025_26Results[[#This Row],[Winning Team]]="")),"-",IF(Table4[[#This Row],[Predicted Winner]]=NHL2025_26Results[[#This Row],[Winning Team]],"YES","NO"))</f>
        <v>-</v>
      </c>
      <c r="N967" t="str">
        <f ca="1">IF(Table4[[#This Row],[Adjusted Correct]]="-", "",IF(Table4[[#This Row],[Adjusted Correct]]="YES",(Table4[[#This Row],[Strength of Win]]-1)^2,(Table4[[#This Row],[Strength of Win]]-0)^2))</f>
        <v/>
      </c>
      <c r="P967" s="11"/>
    </row>
    <row r="968" spans="4:16" x14ac:dyDescent="0.2">
      <c r="D968" s="1">
        <v>46084</v>
      </c>
      <c r="E968" s="2">
        <v>0.91666666666666663</v>
      </c>
      <c r="F968" t="s">
        <v>33</v>
      </c>
      <c r="G968">
        <f>VLOOKUP(Table4[[#This Row],[Home]],'NHL Model'!$A$6:$B$38,2,FALSE)</f>
        <v>-0.39418177254008485</v>
      </c>
      <c r="H968" t="s">
        <v>18</v>
      </c>
      <c r="I968">
        <f>VLOOKUP(Table4[[#This Row],[Visitor]],'NHL Model'!$A$6:$B$38,2,FALSE)</f>
        <v>-0.52437726201848234</v>
      </c>
      <c r="J968">
        <f ca="1">($B$1+Table4[[#This Row],[Home Differential]])-Table4[[#This Row],[Away Differential]]</f>
        <v>0.29276779914071588</v>
      </c>
      <c r="K968" t="str">
        <f ca="1">IF(Table4[[#This Row],[HomeIce Differential]]&gt;0,Table4[[#This Row],[Home]],Table4[[#This Row],[Visitor]])</f>
        <v>San Jose Sharks</v>
      </c>
      <c r="L968" s="11">
        <f ca="1"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0.50408482844202318</v>
      </c>
      <c r="M968" t="str">
        <f ca="1">IF(OR((NHL2025_26Results[[#This Row],[Winning Team]]="")),"-",IF(Table4[[#This Row],[Predicted Winner]]=NHL2025_26Results[[#This Row],[Winning Team]],"YES","NO"))</f>
        <v>-</v>
      </c>
      <c r="N968" t="str">
        <f ca="1">IF(Table4[[#This Row],[Adjusted Correct]]="-", "",IF(Table4[[#This Row],[Adjusted Correct]]="YES",(Table4[[#This Row],[Strength of Win]]-1)^2,(Table4[[#This Row],[Strength of Win]]-0)^2))</f>
        <v/>
      </c>
      <c r="P968" s="11"/>
    </row>
    <row r="969" spans="4:16" x14ac:dyDescent="0.2">
      <c r="D969" s="1">
        <v>46084</v>
      </c>
      <c r="E969" s="2">
        <v>0.83333333333333337</v>
      </c>
      <c r="F969" t="s">
        <v>40</v>
      </c>
      <c r="G969">
        <f>VLOOKUP(Table4[[#This Row],[Home]],'NHL Model'!$A$6:$B$38,2,FALSE)</f>
        <v>0.105105258369765</v>
      </c>
      <c r="H969" t="s">
        <v>10</v>
      </c>
      <c r="I969">
        <f>VLOOKUP(Table4[[#This Row],[Visitor]],'NHL Model'!$A$6:$B$38,2,FALSE)</f>
        <v>0.30570968833820172</v>
      </c>
      <c r="J969">
        <f ca="1">($B$1+Table4[[#This Row],[Home Differential]])-Table4[[#This Row],[Away Differential]]</f>
        <v>-3.80321203061183E-2</v>
      </c>
      <c r="K969" t="str">
        <f ca="1">IF(Table4[[#This Row],[HomeIce Differential]]&gt;0,Table4[[#This Row],[Home]],Table4[[#This Row],[Visitor]])</f>
        <v>Chicago Blackhawks</v>
      </c>
      <c r="L969" s="11">
        <f ca="1"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0.44971412422654372</v>
      </c>
      <c r="M969" t="str">
        <f ca="1">IF(OR((NHL2025_26Results[[#This Row],[Winning Team]]="")),"-",IF(Table4[[#This Row],[Predicted Winner]]=NHL2025_26Results[[#This Row],[Winning Team]],"YES","NO"))</f>
        <v>-</v>
      </c>
      <c r="N969" t="str">
        <f ca="1">IF(Table4[[#This Row],[Adjusted Correct]]="-", "",IF(Table4[[#This Row],[Adjusted Correct]]="YES",(Table4[[#This Row],[Strength of Win]]-1)^2,(Table4[[#This Row],[Strength of Win]]-0)^2))</f>
        <v/>
      </c>
      <c r="P969" s="11"/>
    </row>
    <row r="970" spans="4:16" x14ac:dyDescent="0.2">
      <c r="D970" s="1">
        <v>46084</v>
      </c>
      <c r="E970" s="2">
        <v>0.79166666666666663</v>
      </c>
      <c r="F970" t="s">
        <v>22</v>
      </c>
      <c r="G970">
        <f>VLOOKUP(Table4[[#This Row],[Home]],'NHL Model'!$A$6:$B$38,2,FALSE)</f>
        <v>-6.1308839486784707E-2</v>
      </c>
      <c r="H970" t="s">
        <v>55</v>
      </c>
      <c r="I970">
        <f>VLOOKUP(Table4[[#This Row],[Visitor]],'NHL Model'!$A$6:$B$38,2,FALSE)</f>
        <v>-0.12212311954851815</v>
      </c>
      <c r="J970">
        <f ca="1">($B$1+Table4[[#This Row],[Home Differential]])-Table4[[#This Row],[Away Differential]]</f>
        <v>0.22338658972405184</v>
      </c>
      <c r="K970" t="str">
        <f ca="1">IF(Table4[[#This Row],[HomeIce Differential]]&gt;0,Table4[[#This Row],[Home]],Table4[[#This Row],[Visitor]])</f>
        <v>Washington Capitals</v>
      </c>
      <c r="L970" s="11">
        <f ca="1"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0.57095214744762912</v>
      </c>
      <c r="M970" t="str">
        <f ca="1">IF(OR((NHL2025_26Results[[#This Row],[Winning Team]]="")),"-",IF(Table4[[#This Row],[Predicted Winner]]=NHL2025_26Results[[#This Row],[Winning Team]],"YES","NO"))</f>
        <v>-</v>
      </c>
      <c r="N970" t="str">
        <f ca="1">IF(Table4[[#This Row],[Adjusted Correct]]="-", "",IF(Table4[[#This Row],[Adjusted Correct]]="YES",(Table4[[#This Row],[Strength of Win]]-1)^2,(Table4[[#This Row],[Strength of Win]]-0)^2))</f>
        <v/>
      </c>
      <c r="P970" s="11"/>
    </row>
    <row r="971" spans="4:16" x14ac:dyDescent="0.2">
      <c r="D971" s="1">
        <v>46085</v>
      </c>
      <c r="E971" s="2">
        <v>0.91666666666666663</v>
      </c>
      <c r="F971" t="s">
        <v>31</v>
      </c>
      <c r="G971">
        <f>VLOOKUP(Table4[[#This Row],[Home]],'NHL Model'!$A$6:$B$38,2,FALSE)</f>
        <v>0.51775546328552802</v>
      </c>
      <c r="H971" t="s">
        <v>30</v>
      </c>
      <c r="I971">
        <f>VLOOKUP(Table4[[#This Row],[Visitor]],'NHL Model'!$A$6:$B$38,2,FALSE)</f>
        <v>-6.4729560818359025E-2</v>
      </c>
      <c r="J971">
        <f ca="1">($B$1+Table4[[#This Row],[Home Differential]])-Table4[[#This Row],[Away Differential]]</f>
        <v>0.74505733376620542</v>
      </c>
      <c r="K971" t="str">
        <f ca="1">IF(Table4[[#This Row],[HomeIce Differential]]&gt;0,Table4[[#This Row],[Home]],Table4[[#This Row],[Visitor]])</f>
        <v>Anaheim Ducks</v>
      </c>
      <c r="L971" s="11">
        <f ca="1"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0.70762975323218535</v>
      </c>
      <c r="M971" t="str">
        <f ca="1">IF(OR((NHL2025_26Results[[#This Row],[Winning Team]]="")),"-",IF(Table4[[#This Row],[Predicted Winner]]=NHL2025_26Results[[#This Row],[Winning Team]],"YES","NO"))</f>
        <v>-</v>
      </c>
      <c r="N971" t="str">
        <f ca="1">IF(Table4[[#This Row],[Adjusted Correct]]="-", "",IF(Table4[[#This Row],[Adjusted Correct]]="YES",(Table4[[#This Row],[Strength of Win]]-1)^2,(Table4[[#This Row],[Strength of Win]]-0)^2))</f>
        <v/>
      </c>
      <c r="P971" s="11"/>
    </row>
    <row r="972" spans="4:16" x14ac:dyDescent="0.2">
      <c r="D972" s="1">
        <v>46085</v>
      </c>
      <c r="E972" s="2">
        <v>0.79166666666666663</v>
      </c>
      <c r="F972" t="s">
        <v>26</v>
      </c>
      <c r="G972">
        <f>VLOOKUP(Table4[[#This Row],[Home]],'NHL Model'!$A$6:$B$38,2,FALSE)</f>
        <v>-0.513643833119658</v>
      </c>
      <c r="H972" t="s">
        <v>20</v>
      </c>
      <c r="I972">
        <f>VLOOKUP(Table4[[#This Row],[Visitor]],'NHL Model'!$A$6:$B$38,2,FALSE)</f>
        <v>-6.3745791019188943E-4</v>
      </c>
      <c r="J972">
        <f ca="1">($B$1+Table4[[#This Row],[Home Differential]])-Table4[[#This Row],[Away Differential]]</f>
        <v>-0.35043406554714773</v>
      </c>
      <c r="K972" t="str">
        <f ca="1">IF(Table4[[#This Row],[HomeIce Differential]]&gt;0,Table4[[#This Row],[Home]],Table4[[#This Row],[Visitor]])</f>
        <v>Vegas Golden Knights</v>
      </c>
      <c r="L972" s="11">
        <f ca="1"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0.50310113051904948</v>
      </c>
      <c r="M972" t="str">
        <f ca="1">IF(OR((NHL2025_26Results[[#This Row],[Winning Team]]="")),"-",IF(Table4[[#This Row],[Predicted Winner]]=NHL2025_26Results[[#This Row],[Winning Team]],"YES","NO"))</f>
        <v>-</v>
      </c>
      <c r="N972" t="str">
        <f ca="1">IF(Table4[[#This Row],[Adjusted Correct]]="-", "",IF(Table4[[#This Row],[Adjusted Correct]]="YES",(Table4[[#This Row],[Strength of Win]]-1)^2,(Table4[[#This Row],[Strength of Win]]-0)^2))</f>
        <v/>
      </c>
      <c r="P972" s="11"/>
    </row>
    <row r="973" spans="4:16" x14ac:dyDescent="0.2">
      <c r="D973" s="1">
        <v>46085</v>
      </c>
      <c r="E973" s="2">
        <v>0.79166666666666663</v>
      </c>
      <c r="F973" t="s">
        <v>24</v>
      </c>
      <c r="G973">
        <f>VLOOKUP(Table4[[#This Row],[Home]],'NHL Model'!$A$6:$B$38,2,FALSE)</f>
        <v>0.559441163373953</v>
      </c>
      <c r="H973" t="s">
        <v>19</v>
      </c>
      <c r="I973">
        <f>VLOOKUP(Table4[[#This Row],[Visitor]],'NHL Model'!$A$6:$B$38,2,FALSE)</f>
        <v>-0.635565543477981</v>
      </c>
      <c r="J973">
        <f ca="1">($B$1+Table4[[#This Row],[Home Differential]])-Table4[[#This Row],[Away Differential]]</f>
        <v>1.3575790165142525</v>
      </c>
      <c r="K973" t="str">
        <f ca="1">IF(Table4[[#This Row],[HomeIce Differential]]&gt;0,Table4[[#This Row],[Home]],Table4[[#This Row],[Visitor]])</f>
        <v>New Jersey Devils</v>
      </c>
      <c r="L973" s="11">
        <f ca="1"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0.84353504653436728</v>
      </c>
      <c r="M973" t="str">
        <f ca="1">IF(OR((NHL2025_26Results[[#This Row],[Winning Team]]="")),"-",IF(Table4[[#This Row],[Predicted Winner]]=NHL2025_26Results[[#This Row],[Winning Team]],"YES","NO"))</f>
        <v>-</v>
      </c>
      <c r="N973" t="str">
        <f ca="1">IF(Table4[[#This Row],[Adjusted Correct]]="-", "",IF(Table4[[#This Row],[Adjusted Correct]]="YES",(Table4[[#This Row],[Strength of Win]]-1)^2,(Table4[[#This Row],[Strength of Win]]-0)^2))</f>
        <v/>
      </c>
      <c r="P973" s="11"/>
    </row>
    <row r="974" spans="4:16" x14ac:dyDescent="0.2">
      <c r="D974" s="1">
        <v>46085</v>
      </c>
      <c r="E974" s="2">
        <v>0.91666666666666663</v>
      </c>
      <c r="F974" t="s">
        <v>32</v>
      </c>
      <c r="G974">
        <f>VLOOKUP(Table4[[#This Row],[Home]],'NHL Model'!$A$6:$B$38,2,FALSE)</f>
        <v>-0.361361309178443</v>
      </c>
      <c r="H974" t="s">
        <v>35</v>
      </c>
      <c r="I974">
        <f>VLOOKUP(Table4[[#This Row],[Visitor]],'NHL Model'!$A$6:$B$38,2,FALSE)</f>
        <v>-1.6211574240381006</v>
      </c>
      <c r="J974">
        <f ca="1">($B$1+Table4[[#This Row],[Home Differential]])-Table4[[#This Row],[Away Differential]]</f>
        <v>1.4223684245219759</v>
      </c>
      <c r="K974" t="str">
        <f ca="1">IF(Table4[[#This Row],[HomeIce Differential]]&gt;0,Table4[[#This Row],[Home]],Table4[[#This Row],[Visitor]])</f>
        <v>Seattle Kraken</v>
      </c>
      <c r="L974" s="11">
        <f ca="1"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0.7631192045936237</v>
      </c>
      <c r="M974" t="str">
        <f ca="1">IF(OR((NHL2025_26Results[[#This Row],[Winning Team]]="")),"-",IF(Table4[[#This Row],[Predicted Winner]]=NHL2025_26Results[[#This Row],[Winning Team]],"YES","NO"))</f>
        <v>-</v>
      </c>
      <c r="N974" t="str">
        <f ca="1">IF(Table4[[#This Row],[Adjusted Correct]]="-", "",IF(Table4[[#This Row],[Adjusted Correct]]="YES",(Table4[[#This Row],[Strength of Win]]-1)^2,(Table4[[#This Row],[Strength of Win]]-0)^2))</f>
        <v/>
      </c>
      <c r="P974" s="11"/>
    </row>
    <row r="975" spans="4:16" x14ac:dyDescent="0.2">
      <c r="D975" s="1">
        <v>46085</v>
      </c>
      <c r="E975" s="2">
        <v>0.91666666666666663</v>
      </c>
      <c r="F975" t="s">
        <v>38</v>
      </c>
      <c r="G975">
        <f>VLOOKUP(Table4[[#This Row],[Home]],'NHL Model'!$A$6:$B$38,2,FALSE)</f>
        <v>-0.6902088310934803</v>
      </c>
      <c r="H975" t="s">
        <v>25</v>
      </c>
      <c r="I975">
        <f>VLOOKUP(Table4[[#This Row],[Visitor]],'NHL Model'!$A$6:$B$38,2,FALSE)</f>
        <v>0.67193921242367816</v>
      </c>
      <c r="J975">
        <f ca="1">($B$1+Table4[[#This Row],[Home Differential]])-Table4[[#This Row],[Away Differential]]</f>
        <v>-1.1995757338548401</v>
      </c>
      <c r="K975" t="str">
        <f ca="1">IF(Table4[[#This Row],[HomeIce Differential]]&gt;0,Table4[[#This Row],[Home]],Table4[[#This Row],[Visitor]])</f>
        <v>Carolina Hurricanes</v>
      </c>
      <c r="L975" s="11">
        <f ca="1"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0.71869779900217201</v>
      </c>
      <c r="M975" t="str">
        <f ca="1">IF(OR((NHL2025_26Results[[#This Row],[Winning Team]]="")),"-",IF(Table4[[#This Row],[Predicted Winner]]=NHL2025_26Results[[#This Row],[Winning Team]],"YES","NO"))</f>
        <v>-</v>
      </c>
      <c r="N975" t="str">
        <f ca="1">IF(Table4[[#This Row],[Adjusted Correct]]="-", "",IF(Table4[[#This Row],[Adjusted Correct]]="YES",(Table4[[#This Row],[Strength of Win]]-1)^2,(Table4[[#This Row],[Strength of Win]]-0)^2))</f>
        <v/>
      </c>
      <c r="P975" s="11"/>
    </row>
    <row r="976" spans="4:16" x14ac:dyDescent="0.2">
      <c r="D976" s="1">
        <v>46086</v>
      </c>
      <c r="E976" s="2">
        <v>0.79166666666666663</v>
      </c>
      <c r="F976" t="s">
        <v>28</v>
      </c>
      <c r="G976">
        <f>VLOOKUP(Table4[[#This Row],[Home]],'NHL Model'!$A$6:$B$38,2,FALSE)</f>
        <v>-0.40822279081308277</v>
      </c>
      <c r="H976" t="s">
        <v>11</v>
      </c>
      <c r="I976">
        <f>VLOOKUP(Table4[[#This Row],[Visitor]],'NHL Model'!$A$6:$B$38,2,FALSE)</f>
        <v>-0.28105923893144158</v>
      </c>
      <c r="J976">
        <f ca="1">($B$1+Table4[[#This Row],[Home Differential]])-Table4[[#This Row],[Away Differential]]</f>
        <v>3.5408757780677202E-2</v>
      </c>
      <c r="K976" t="str">
        <f ca="1">IF(Table4[[#This Row],[HomeIce Differential]]&gt;0,Table4[[#This Row],[Home]],Table4[[#This Row],[Visitor]])</f>
        <v>Columbus Blue Jackets</v>
      </c>
      <c r="L976" s="11">
        <f ca="1"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0.54490619017515229</v>
      </c>
      <c r="M976" t="str">
        <f ca="1">IF(OR((NHL2025_26Results[[#This Row],[Winning Team]]="")),"-",IF(Table4[[#This Row],[Predicted Winner]]=NHL2025_26Results[[#This Row],[Winning Team]],"YES","NO"))</f>
        <v>-</v>
      </c>
      <c r="N976" t="str">
        <f ca="1">IF(Table4[[#This Row],[Adjusted Correct]]="-", "",IF(Table4[[#This Row],[Adjusted Correct]]="YES",(Table4[[#This Row],[Strength of Win]]-1)^2,(Table4[[#This Row],[Strength of Win]]-0)^2))</f>
        <v/>
      </c>
      <c r="P976" s="11"/>
    </row>
    <row r="977" spans="4:16" x14ac:dyDescent="0.2">
      <c r="D977" s="1">
        <v>46086</v>
      </c>
      <c r="E977" s="2">
        <v>0.875</v>
      </c>
      <c r="F977" t="s">
        <v>16</v>
      </c>
      <c r="G977">
        <f>VLOOKUP(Table4[[#This Row],[Home]],'NHL Model'!$A$6:$B$38,2,FALSE)</f>
        <v>-1.3903684122795328</v>
      </c>
      <c r="H977" t="s">
        <v>36</v>
      </c>
      <c r="I977">
        <f>VLOOKUP(Table4[[#This Row],[Visitor]],'NHL Model'!$A$6:$B$38,2,FALSE)</f>
        <v>-0.40651947573390851</v>
      </c>
      <c r="J977">
        <f ca="1">($B$1+Table4[[#This Row],[Home Differential]])-Table4[[#This Row],[Away Differential]]</f>
        <v>-0.82127662688330583</v>
      </c>
      <c r="K977" t="str">
        <f ca="1">IF(Table4[[#This Row],[HomeIce Differential]]&gt;0,Table4[[#This Row],[Home]],Table4[[#This Row],[Visitor]])</f>
        <v>Ottawa Senators</v>
      </c>
      <c r="L977" s="11">
        <f ca="1"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0.57379499226871722</v>
      </c>
      <c r="M977" t="str">
        <f ca="1">IF(OR((NHL2025_26Results[[#This Row],[Winning Team]]="")),"-",IF(Table4[[#This Row],[Predicted Winner]]=NHL2025_26Results[[#This Row],[Winning Team]],"YES","NO"))</f>
        <v>-</v>
      </c>
      <c r="N977" t="str">
        <f ca="1">IF(Table4[[#This Row],[Adjusted Correct]]="-", "",IF(Table4[[#This Row],[Adjusted Correct]]="YES",(Table4[[#This Row],[Strength of Win]]-1)^2,(Table4[[#This Row],[Strength of Win]]-0)^2))</f>
        <v/>
      </c>
      <c r="P977" s="11"/>
    </row>
    <row r="978" spans="4:16" x14ac:dyDescent="0.2">
      <c r="D978" s="1">
        <v>46086</v>
      </c>
      <c r="E978" s="2">
        <v>0.89583333333333337</v>
      </c>
      <c r="F978" t="s">
        <v>13</v>
      </c>
      <c r="G978">
        <f>VLOOKUP(Table4[[#This Row],[Home]],'NHL Model'!$A$6:$B$38,2,FALSE)</f>
        <v>-7.5459708298993802E-2</v>
      </c>
      <c r="H978" t="s">
        <v>30</v>
      </c>
      <c r="I978">
        <f>VLOOKUP(Table4[[#This Row],[Visitor]],'NHL Model'!$A$6:$B$38,2,FALSE)</f>
        <v>-6.4729560818359025E-2</v>
      </c>
      <c r="J978">
        <f ca="1">($B$1+Table4[[#This Row],[Home Differential]])-Table4[[#This Row],[Away Differential]]</f>
        <v>0.15184216218168362</v>
      </c>
      <c r="K978" t="str">
        <f ca="1">IF(Table4[[#This Row],[HomeIce Differential]]&gt;0,Table4[[#This Row],[Home]],Table4[[#This Row],[Visitor]])</f>
        <v>Los Angeles Kings</v>
      </c>
      <c r="L978" s="11">
        <f ca="1"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0.51852648433025461</v>
      </c>
      <c r="M978" t="str">
        <f ca="1">IF(OR((NHL2025_26Results[[#This Row],[Winning Team]]="")),"-",IF(Table4[[#This Row],[Predicted Winner]]=NHL2025_26Results[[#This Row],[Winning Team]],"YES","NO"))</f>
        <v>-</v>
      </c>
      <c r="N978" t="str">
        <f ca="1">IF(Table4[[#This Row],[Adjusted Correct]]="-", "",IF(Table4[[#This Row],[Adjusted Correct]]="YES",(Table4[[#This Row],[Strength of Win]]-1)^2,(Table4[[#This Row],[Strength of Win]]-0)^2))</f>
        <v/>
      </c>
      <c r="P978" s="11"/>
    </row>
    <row r="979" spans="4:16" x14ac:dyDescent="0.2">
      <c r="D979" s="1">
        <v>46086</v>
      </c>
      <c r="E979" s="2">
        <v>0.83333333333333337</v>
      </c>
      <c r="F979" t="s">
        <v>29</v>
      </c>
      <c r="G979">
        <f>VLOOKUP(Table4[[#This Row],[Home]],'NHL Model'!$A$6:$B$38,2,FALSE)</f>
        <v>-1.3516250707060606</v>
      </c>
      <c r="H979" t="s">
        <v>21</v>
      </c>
      <c r="I979">
        <f>VLOOKUP(Table4[[#This Row],[Visitor]],'NHL Model'!$A$6:$B$38,2,FALSE)</f>
        <v>4.029141914856392E-2</v>
      </c>
      <c r="J979">
        <f ca="1">($B$1+Table4[[#This Row],[Home Differential]])-Table4[[#This Row],[Away Differential]]</f>
        <v>-1.2293441801923062</v>
      </c>
      <c r="K979" t="str">
        <f ca="1">IF(Table4[[#This Row],[HomeIce Differential]]&gt;0,Table4[[#This Row],[Home]],Table4[[#This Row],[Visitor]])</f>
        <v>Boston Bruins</v>
      </c>
      <c r="L979" s="11">
        <f ca="1"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0.63033628731340152</v>
      </c>
      <c r="M979" t="str">
        <f ca="1">IF(OR((NHL2025_26Results[[#This Row],[Winning Team]]="")),"-",IF(Table4[[#This Row],[Predicted Winner]]=NHL2025_26Results[[#This Row],[Winning Team]],"YES","NO"))</f>
        <v>-</v>
      </c>
      <c r="N979" t="str">
        <f ca="1">IF(Table4[[#This Row],[Adjusted Correct]]="-", "",IF(Table4[[#This Row],[Adjusted Correct]]="YES",(Table4[[#This Row],[Strength of Win]]-1)^2,(Table4[[#This Row],[Strength of Win]]-0)^2))</f>
        <v/>
      </c>
      <c r="P979" s="11"/>
    </row>
    <row r="980" spans="4:16" x14ac:dyDescent="0.2">
      <c r="D980" s="1">
        <v>46086</v>
      </c>
      <c r="E980" s="2">
        <v>0.79166666666666663</v>
      </c>
      <c r="F980" t="s">
        <v>15</v>
      </c>
      <c r="G980">
        <f>VLOOKUP(Table4[[#This Row],[Home]],'NHL Model'!$A$6:$B$38,2,FALSE)</f>
        <v>-0.30719665303039001</v>
      </c>
      <c r="H980" t="s">
        <v>19</v>
      </c>
      <c r="I980">
        <f>VLOOKUP(Table4[[#This Row],[Visitor]],'NHL Model'!$A$6:$B$38,2,FALSE)</f>
        <v>-0.635565543477981</v>
      </c>
      <c r="J980">
        <f ca="1">($B$1+Table4[[#This Row],[Home Differential]])-Table4[[#This Row],[Away Differential]]</f>
        <v>0.49094120010990938</v>
      </c>
      <c r="K980" t="str">
        <f ca="1">IF(Table4[[#This Row],[HomeIce Differential]]&gt;0,Table4[[#This Row],[Home]],Table4[[#This Row],[Visitor]])</f>
        <v>New York Rangers</v>
      </c>
      <c r="L980" s="11">
        <f ca="1"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0.60802415683362665</v>
      </c>
      <c r="M980" t="str">
        <f ca="1">IF(OR((NHL2025_26Results[[#This Row],[Winning Team]]="")),"-",IF(Table4[[#This Row],[Predicted Winner]]=NHL2025_26Results[[#This Row],[Winning Team]],"YES","NO"))</f>
        <v>-</v>
      </c>
      <c r="N980" t="str">
        <f ca="1">IF(Table4[[#This Row],[Adjusted Correct]]="-", "",IF(Table4[[#This Row],[Adjusted Correct]]="YES",(Table4[[#This Row],[Strength of Win]]-1)^2,(Table4[[#This Row],[Strength of Win]]-0)^2))</f>
        <v/>
      </c>
      <c r="P980" s="11"/>
    </row>
    <row r="981" spans="4:16" x14ac:dyDescent="0.2">
      <c r="D981" s="1">
        <v>46086</v>
      </c>
      <c r="E981" s="2">
        <v>0.79166666666666663</v>
      </c>
      <c r="F981" t="s">
        <v>27</v>
      </c>
      <c r="G981">
        <f>VLOOKUP(Table4[[#This Row],[Home]],'NHL Model'!$A$6:$B$38,2,FALSE)</f>
        <v>-0.51358590497437617</v>
      </c>
      <c r="H981" t="s">
        <v>55</v>
      </c>
      <c r="I981">
        <f>VLOOKUP(Table4[[#This Row],[Visitor]],'NHL Model'!$A$6:$B$38,2,FALSE)</f>
        <v>-0.12212311954851815</v>
      </c>
      <c r="J981">
        <f ca="1">($B$1+Table4[[#This Row],[Home Differential]])-Table4[[#This Row],[Away Differential]]</f>
        <v>-0.22889047576353963</v>
      </c>
      <c r="K981" t="str">
        <f ca="1">IF(Table4[[#This Row],[HomeIce Differential]]&gt;0,Table4[[#This Row],[Home]],Table4[[#This Row],[Visitor]])</f>
        <v>Utah Mammoth</v>
      </c>
      <c r="L981" s="11">
        <f ca="1"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0.48921927934022036</v>
      </c>
      <c r="M981" t="str">
        <f ca="1">IF(OR((NHL2025_26Results[[#This Row],[Winning Team]]="")),"-",IF(Table4[[#This Row],[Predicted Winner]]=NHL2025_26Results[[#This Row],[Winning Team]],"YES","NO"))</f>
        <v>-</v>
      </c>
      <c r="N981" t="str">
        <f ca="1">IF(Table4[[#This Row],[Adjusted Correct]]="-", "",IF(Table4[[#This Row],[Adjusted Correct]]="YES",(Table4[[#This Row],[Strength of Win]]-1)^2,(Table4[[#This Row],[Strength of Win]]-0)^2))</f>
        <v/>
      </c>
      <c r="P981" s="11"/>
    </row>
    <row r="982" spans="4:16" x14ac:dyDescent="0.2">
      <c r="D982" s="1">
        <v>46086</v>
      </c>
      <c r="E982" s="2">
        <v>0.79166666666666663</v>
      </c>
      <c r="F982" t="s">
        <v>14</v>
      </c>
      <c r="G982">
        <f>VLOOKUP(Table4[[#This Row],[Home]],'NHL Model'!$A$6:$B$38,2,FALSE)</f>
        <v>0.26289091192875702</v>
      </c>
      <c r="H982" t="s">
        <v>23</v>
      </c>
      <c r="I982">
        <f>VLOOKUP(Table4[[#This Row],[Visitor]],'NHL Model'!$A$6:$B$38,2,FALSE)</f>
        <v>-0.8683412362501769</v>
      </c>
      <c r="J982">
        <f ca="1">($B$1+Table4[[#This Row],[Home Differential]])-Table4[[#This Row],[Away Differential]]</f>
        <v>1.2938044578412522</v>
      </c>
      <c r="K982" t="str">
        <f ca="1">IF(Table4[[#This Row],[HomeIce Differential]]&gt;0,Table4[[#This Row],[Home]],Table4[[#This Row],[Visitor]])</f>
        <v>Pittsburgh Penguins</v>
      </c>
      <c r="L982" s="11">
        <f ca="1"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0.75530468363071179</v>
      </c>
      <c r="M982" t="str">
        <f ca="1">IF(OR((NHL2025_26Results[[#This Row],[Winning Team]]="")),"-",IF(Table4[[#This Row],[Predicted Winner]]=NHL2025_26Results[[#This Row],[Winning Team]],"YES","NO"))</f>
        <v>-</v>
      </c>
      <c r="N982" t="str">
        <f ca="1">IF(Table4[[#This Row],[Adjusted Correct]]="-", "",IF(Table4[[#This Row],[Adjusted Correct]]="YES",(Table4[[#This Row],[Strength of Win]]-1)^2,(Table4[[#This Row],[Strength of Win]]-0)^2))</f>
        <v/>
      </c>
      <c r="P982" s="11"/>
    </row>
    <row r="983" spans="4:16" x14ac:dyDescent="0.2">
      <c r="D983" s="1">
        <v>46086</v>
      </c>
      <c r="E983" s="2">
        <v>0.83333333333333337</v>
      </c>
      <c r="F983" t="s">
        <v>40</v>
      </c>
      <c r="G983">
        <f>VLOOKUP(Table4[[#This Row],[Home]],'NHL Model'!$A$6:$B$38,2,FALSE)</f>
        <v>0.105105258369765</v>
      </c>
      <c r="H983" t="s">
        <v>37</v>
      </c>
      <c r="I983">
        <f>VLOOKUP(Table4[[#This Row],[Visitor]],'NHL Model'!$A$6:$B$38,2,FALSE)</f>
        <v>-0.11309445867623392</v>
      </c>
      <c r="J983">
        <f ca="1">($B$1+Table4[[#This Row],[Home Differential]])-Table4[[#This Row],[Away Differential]]</f>
        <v>0.38077202670831733</v>
      </c>
      <c r="K983" t="str">
        <f ca="1">IF(Table4[[#This Row],[HomeIce Differential]]&gt;0,Table4[[#This Row],[Home]],Table4[[#This Row],[Visitor]])</f>
        <v>Winnipeg Jets</v>
      </c>
      <c r="L983" s="11">
        <f ca="1"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0.58217102804916199</v>
      </c>
      <c r="M983" t="str">
        <f ca="1">IF(OR((NHL2025_26Results[[#This Row],[Winning Team]]="")),"-",IF(Table4[[#This Row],[Predicted Winner]]=NHL2025_26Results[[#This Row],[Winning Team]],"YES","NO"))</f>
        <v>-</v>
      </c>
      <c r="N983" t="str">
        <f ca="1">IF(Table4[[#This Row],[Adjusted Correct]]="-", "",IF(Table4[[#This Row],[Adjusted Correct]]="YES",(Table4[[#This Row],[Strength of Win]]-1)^2,(Table4[[#This Row],[Strength of Win]]-0)^2))</f>
        <v/>
      </c>
      <c r="P983" s="11"/>
    </row>
    <row r="984" spans="4:16" x14ac:dyDescent="0.2">
      <c r="D984" s="1">
        <v>46087</v>
      </c>
      <c r="E984" s="2">
        <v>0.875</v>
      </c>
      <c r="F984" t="s">
        <v>31</v>
      </c>
      <c r="G984">
        <f>VLOOKUP(Table4[[#This Row],[Home]],'NHL Model'!$A$6:$B$38,2,FALSE)</f>
        <v>0.51775546328552802</v>
      </c>
      <c r="H984" t="s">
        <v>18</v>
      </c>
      <c r="I984">
        <f>VLOOKUP(Table4[[#This Row],[Visitor]],'NHL Model'!$A$6:$B$38,2,FALSE)</f>
        <v>-0.52437726201848234</v>
      </c>
      <c r="J984">
        <f ca="1">($B$1+Table4[[#This Row],[Home Differential]])-Table4[[#This Row],[Away Differential]]</f>
        <v>1.2047050349663286</v>
      </c>
      <c r="K984" t="str">
        <f ca="1">IF(Table4[[#This Row],[HomeIce Differential]]&gt;0,Table4[[#This Row],[Home]],Table4[[#This Row],[Visitor]])</f>
        <v>Anaheim Ducks</v>
      </c>
      <c r="L984" s="11">
        <f ca="1"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0.73835089169515911</v>
      </c>
      <c r="M984" t="str">
        <f ca="1">IF(OR((NHL2025_26Results[[#This Row],[Winning Team]]="")),"-",IF(Table4[[#This Row],[Predicted Winner]]=NHL2025_26Results[[#This Row],[Winning Team]],"YES","NO"))</f>
        <v>-</v>
      </c>
      <c r="N984" t="str">
        <f ca="1">IF(Table4[[#This Row],[Adjusted Correct]]="-", "",IF(Table4[[#This Row],[Adjusted Correct]]="YES",(Table4[[#This Row],[Strength of Win]]-1)^2,(Table4[[#This Row],[Strength of Win]]-0)^2))</f>
        <v/>
      </c>
      <c r="P984" s="11"/>
    </row>
    <row r="985" spans="4:16" x14ac:dyDescent="0.2">
      <c r="D985" s="1">
        <v>46087</v>
      </c>
      <c r="E985" s="2">
        <v>0.85416666666666663</v>
      </c>
      <c r="F985" t="s">
        <v>10</v>
      </c>
      <c r="G985">
        <f>VLOOKUP(Table4[[#This Row],[Home]],'NHL Model'!$A$6:$B$38,2,FALSE)</f>
        <v>0.30570968833820172</v>
      </c>
      <c r="H985" t="s">
        <v>38</v>
      </c>
      <c r="I985">
        <f>VLOOKUP(Table4[[#This Row],[Visitor]],'NHL Model'!$A$6:$B$38,2,FALSE)</f>
        <v>-0.6902088310934803</v>
      </c>
      <c r="J985">
        <f ca="1">($B$1+Table4[[#This Row],[Home Differential]])-Table4[[#This Row],[Away Differential]]</f>
        <v>1.1584908290940004</v>
      </c>
      <c r="K985" t="str">
        <f ca="1">IF(Table4[[#This Row],[HomeIce Differential]]&gt;0,Table4[[#This Row],[Home]],Table4[[#This Row],[Visitor]])</f>
        <v>Chicago Blackhawks</v>
      </c>
      <c r="L985" s="11">
        <f ca="1"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0.65800637882489976</v>
      </c>
      <c r="M985" t="str">
        <f ca="1">IF(OR((NHL2025_26Results[[#This Row],[Winning Team]]="")),"-",IF(Table4[[#This Row],[Predicted Winner]]=NHL2025_26Results[[#This Row],[Winning Team]],"YES","NO"))</f>
        <v>-</v>
      </c>
      <c r="N985" t="str">
        <f ca="1">IF(Table4[[#This Row],[Adjusted Correct]]="-", "",IF(Table4[[#This Row],[Adjusted Correct]]="YES",(Table4[[#This Row],[Strength of Win]]-1)^2,(Table4[[#This Row],[Strength of Win]]-0)^2))</f>
        <v/>
      </c>
      <c r="P985" s="11"/>
    </row>
    <row r="986" spans="4:16" x14ac:dyDescent="0.2">
      <c r="D986" s="1">
        <v>46087</v>
      </c>
      <c r="E986" s="2">
        <v>0.83333333333333337</v>
      </c>
      <c r="F986" t="s">
        <v>39</v>
      </c>
      <c r="G986">
        <f>VLOOKUP(Table4[[#This Row],[Home]],'NHL Model'!$A$6:$B$38,2,FALSE)</f>
        <v>0.19809534061227302</v>
      </c>
      <c r="H986" t="s">
        <v>12</v>
      </c>
      <c r="I986">
        <f>VLOOKUP(Table4[[#This Row],[Visitor]],'NHL Model'!$A$6:$B$38,2,FALSE)</f>
        <v>1.5475013591489768</v>
      </c>
      <c r="J986">
        <f ca="1">($B$1+Table4[[#This Row],[Home Differential]])-Table4[[#This Row],[Away Differential]]</f>
        <v>-1.1868337088743854</v>
      </c>
      <c r="K986" t="str">
        <f ca="1">IF(Table4[[#This Row],[HomeIce Differential]]&gt;0,Table4[[#This Row],[Home]],Table4[[#This Row],[Visitor]])</f>
        <v>Colorado Avalanche</v>
      </c>
      <c r="L986" s="11">
        <f ca="1"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0.6644460931977838</v>
      </c>
      <c r="M986" t="str">
        <f ca="1">IF(OR((NHL2025_26Results[[#This Row],[Winning Team]]="")),"-",IF(Table4[[#This Row],[Predicted Winner]]=NHL2025_26Results[[#This Row],[Winning Team]],"YES","NO"))</f>
        <v>-</v>
      </c>
      <c r="N986" t="str">
        <f ca="1">IF(Table4[[#This Row],[Adjusted Correct]]="-", "",IF(Table4[[#This Row],[Adjusted Correct]]="YES",(Table4[[#This Row],[Strength of Win]]-1)^2,(Table4[[#This Row],[Strength of Win]]-0)^2))</f>
        <v/>
      </c>
      <c r="P986" s="11"/>
    </row>
    <row r="987" spans="4:16" x14ac:dyDescent="0.2">
      <c r="D987" s="1">
        <v>46087</v>
      </c>
      <c r="E987" s="2">
        <v>0.79166666666666663</v>
      </c>
      <c r="F987" t="s">
        <v>26</v>
      </c>
      <c r="G987">
        <f>VLOOKUP(Table4[[#This Row],[Home]],'NHL Model'!$A$6:$B$38,2,FALSE)</f>
        <v>-0.513643833119658</v>
      </c>
      <c r="H987" t="s">
        <v>11</v>
      </c>
      <c r="I987">
        <f>VLOOKUP(Table4[[#This Row],[Visitor]],'NHL Model'!$A$6:$B$38,2,FALSE)</f>
        <v>-0.28105923893144158</v>
      </c>
      <c r="J987">
        <f ca="1">($B$1+Table4[[#This Row],[Home Differential]])-Table4[[#This Row],[Away Differential]]</f>
        <v>-7.0012284525898028E-2</v>
      </c>
      <c r="K987" t="str">
        <f ca="1">IF(Table4[[#This Row],[HomeIce Differential]]&gt;0,Table4[[#This Row],[Home]],Table4[[#This Row],[Visitor]])</f>
        <v>Florida Panthers</v>
      </c>
      <c r="L987" s="11">
        <f ca="1"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0.4436630727646918</v>
      </c>
      <c r="M987" t="str">
        <f ca="1">IF(OR((NHL2025_26Results[[#This Row],[Winning Team]]="")),"-",IF(Table4[[#This Row],[Predicted Winner]]=NHL2025_26Results[[#This Row],[Winning Team]],"YES","NO"))</f>
        <v>-</v>
      </c>
      <c r="N987" t="str">
        <f ca="1">IF(Table4[[#This Row],[Adjusted Correct]]="-", "",IF(Table4[[#This Row],[Adjusted Correct]]="YES",(Table4[[#This Row],[Strength of Win]]-1)^2,(Table4[[#This Row],[Strength of Win]]-0)^2))</f>
        <v/>
      </c>
      <c r="P987" s="11"/>
    </row>
    <row r="988" spans="4:16" x14ac:dyDescent="0.2">
      <c r="D988" s="1">
        <v>46087</v>
      </c>
      <c r="E988" s="2">
        <v>0.875</v>
      </c>
      <c r="F988" t="s">
        <v>17</v>
      </c>
      <c r="G988">
        <f>VLOOKUP(Table4[[#This Row],[Home]],'NHL Model'!$A$6:$B$38,2,FALSE)</f>
        <v>-0.61980804137564283</v>
      </c>
      <c r="H988" t="s">
        <v>25</v>
      </c>
      <c r="I988">
        <f>VLOOKUP(Table4[[#This Row],[Visitor]],'NHL Model'!$A$6:$B$38,2,FALSE)</f>
        <v>0.67193921242367816</v>
      </c>
      <c r="J988">
        <f ca="1">($B$1+Table4[[#This Row],[Home Differential]])-Table4[[#This Row],[Away Differential]]</f>
        <v>-1.1291749441370027</v>
      </c>
      <c r="K988" t="str">
        <f ca="1">IF(Table4[[#This Row],[HomeIce Differential]]&gt;0,Table4[[#This Row],[Home]],Table4[[#This Row],[Visitor]])</f>
        <v>Carolina Hurricanes</v>
      </c>
      <c r="L988" s="11">
        <f ca="1"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0.67258600404079738</v>
      </c>
      <c r="M988" t="str">
        <f ca="1">IF(OR((NHL2025_26Results[[#This Row],[Winning Team]]="")),"-",IF(Table4[[#This Row],[Predicted Winner]]=NHL2025_26Results[[#This Row],[Winning Team]],"YES","NO"))</f>
        <v>-</v>
      </c>
      <c r="N988" t="str">
        <f ca="1">IF(Table4[[#This Row],[Adjusted Correct]]="-", "",IF(Table4[[#This Row],[Adjusted Correct]]="YES",(Table4[[#This Row],[Strength of Win]]-1)^2,(Table4[[#This Row],[Strength of Win]]-0)^2))</f>
        <v/>
      </c>
      <c r="P988" s="11"/>
    </row>
    <row r="989" spans="4:16" x14ac:dyDescent="0.2">
      <c r="D989" s="1">
        <v>46087</v>
      </c>
      <c r="E989" s="2">
        <v>0.91666666666666663</v>
      </c>
      <c r="F989" t="s">
        <v>33</v>
      </c>
      <c r="G989">
        <f>VLOOKUP(Table4[[#This Row],[Home]],'NHL Model'!$A$6:$B$38,2,FALSE)</f>
        <v>-0.39418177254008485</v>
      </c>
      <c r="H989" t="s">
        <v>35</v>
      </c>
      <c r="I989">
        <f>VLOOKUP(Table4[[#This Row],[Visitor]],'NHL Model'!$A$6:$B$38,2,FALSE)</f>
        <v>-1.6211574240381006</v>
      </c>
      <c r="J989">
        <f ca="1">($B$1+Table4[[#This Row],[Home Differential]])-Table4[[#This Row],[Away Differential]]</f>
        <v>1.3895479611603341</v>
      </c>
      <c r="K989" t="str">
        <f ca="1">IF(Table4[[#This Row],[HomeIce Differential]]&gt;0,Table4[[#This Row],[Home]],Table4[[#This Row],[Visitor]])</f>
        <v>San Jose Sharks</v>
      </c>
      <c r="L989" s="11">
        <f ca="1"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0.73253390918638628</v>
      </c>
      <c r="M989" t="str">
        <f ca="1">IF(OR((NHL2025_26Results[[#This Row],[Winning Team]]="")),"-",IF(Table4[[#This Row],[Predicted Winner]]=NHL2025_26Results[[#This Row],[Winning Team]],"YES","NO"))</f>
        <v>-</v>
      </c>
      <c r="N989" t="str">
        <f ca="1">IF(Table4[[#This Row],[Adjusted Correct]]="-", "",IF(Table4[[#This Row],[Adjusted Correct]]="YES",(Table4[[#This Row],[Strength of Win]]-1)^2,(Table4[[#This Row],[Strength of Win]]-0)^2))</f>
        <v/>
      </c>
      <c r="P989" s="11"/>
    </row>
    <row r="990" spans="4:16" x14ac:dyDescent="0.2">
      <c r="D990" s="1">
        <v>46087</v>
      </c>
      <c r="E990" s="2">
        <v>0.91666666666666663</v>
      </c>
      <c r="F990" t="s">
        <v>20</v>
      </c>
      <c r="G990">
        <f>VLOOKUP(Table4[[#This Row],[Home]],'NHL Model'!$A$6:$B$38,2,FALSE)</f>
        <v>-6.3745791019188943E-4</v>
      </c>
      <c r="H990" t="s">
        <v>34</v>
      </c>
      <c r="I990">
        <f>VLOOKUP(Table4[[#This Row],[Visitor]],'NHL Model'!$A$6:$B$38,2,FALSE)</f>
        <v>-0.53650300840565446</v>
      </c>
      <c r="J990">
        <f ca="1">($B$1+Table4[[#This Row],[Home Differential]])-Table4[[#This Row],[Away Differential]]</f>
        <v>0.69843786015778098</v>
      </c>
      <c r="K990" t="str">
        <f ca="1">IF(Table4[[#This Row],[HomeIce Differential]]&gt;0,Table4[[#This Row],[Home]],Table4[[#This Row],[Visitor]])</f>
        <v>Vegas Golden Knights</v>
      </c>
      <c r="L990" s="11">
        <f ca="1"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0.63677461685285142</v>
      </c>
      <c r="M990" t="str">
        <f ca="1">IF(OR((NHL2025_26Results[[#This Row],[Winning Team]]="")),"-",IF(Table4[[#This Row],[Predicted Winner]]=NHL2025_26Results[[#This Row],[Winning Team]],"YES","NO"))</f>
        <v>-</v>
      </c>
      <c r="N990" t="str">
        <f ca="1">IF(Table4[[#This Row],[Adjusted Correct]]="-", "",IF(Table4[[#This Row],[Adjusted Correct]]="YES",(Table4[[#This Row],[Strength of Win]]-1)^2,(Table4[[#This Row],[Strength of Win]]-0)^2))</f>
        <v/>
      </c>
      <c r="P990" s="11"/>
    </row>
    <row r="991" spans="4:16" x14ac:dyDescent="0.2">
      <c r="D991" s="1">
        <v>46088</v>
      </c>
      <c r="E991" s="2">
        <v>0.52083333333333337</v>
      </c>
      <c r="F991" t="s">
        <v>21</v>
      </c>
      <c r="G991">
        <f>VLOOKUP(Table4[[#This Row],[Home]],'NHL Model'!$A$6:$B$38,2,FALSE)</f>
        <v>4.029141914856392E-2</v>
      </c>
      <c r="H991" t="s">
        <v>22</v>
      </c>
      <c r="I991">
        <f>VLOOKUP(Table4[[#This Row],[Visitor]],'NHL Model'!$A$6:$B$38,2,FALSE)</f>
        <v>-6.1308839486784707E-2</v>
      </c>
      <c r="J991">
        <f ca="1">($B$1+Table4[[#This Row],[Home Differential]])-Table4[[#This Row],[Away Differential]]</f>
        <v>0.26417256829766705</v>
      </c>
      <c r="K991" t="str">
        <f ca="1">IF(Table4[[#This Row],[HomeIce Differential]]&gt;0,Table4[[#This Row],[Home]],Table4[[#This Row],[Visitor]])</f>
        <v>Boston Bruins</v>
      </c>
      <c r="L991" s="11">
        <f ca="1"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0.6491608254111696</v>
      </c>
      <c r="M991" t="str">
        <f ca="1">IF(OR((NHL2025_26Results[[#This Row],[Winning Team]]="")),"-",IF(Table4[[#This Row],[Predicted Winner]]=NHL2025_26Results[[#This Row],[Winning Team]],"YES","NO"))</f>
        <v>-</v>
      </c>
      <c r="N991" t="str">
        <f ca="1">IF(Table4[[#This Row],[Adjusted Correct]]="-", "",IF(Table4[[#This Row],[Adjusted Correct]]="YES",(Table4[[#This Row],[Strength of Win]]-1)^2,(Table4[[#This Row],[Strength of Win]]-0)^2))</f>
        <v/>
      </c>
      <c r="P991" s="11"/>
    </row>
    <row r="992" spans="4:16" x14ac:dyDescent="0.2">
      <c r="D992" s="1">
        <v>46088</v>
      </c>
      <c r="E992" s="2">
        <v>0.72916666666666663</v>
      </c>
      <c r="F992" t="s">
        <v>23</v>
      </c>
      <c r="G992">
        <f>VLOOKUP(Table4[[#This Row],[Home]],'NHL Model'!$A$6:$B$38,2,FALSE)</f>
        <v>-0.8683412362501769</v>
      </c>
      <c r="H992" t="s">
        <v>29</v>
      </c>
      <c r="I992">
        <f>VLOOKUP(Table4[[#This Row],[Visitor]],'NHL Model'!$A$6:$B$38,2,FALSE)</f>
        <v>-1.3516250707060606</v>
      </c>
      <c r="J992">
        <f ca="1">($B$1+Table4[[#This Row],[Home Differential]])-Table4[[#This Row],[Away Differential]]</f>
        <v>0.64585614411820214</v>
      </c>
      <c r="K992" t="str">
        <f ca="1">IF(Table4[[#This Row],[HomeIce Differential]]&gt;0,Table4[[#This Row],[Home]],Table4[[#This Row],[Visitor]])</f>
        <v>Buffalo Sabres</v>
      </c>
      <c r="L992" s="11">
        <f ca="1"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0.62948896452288439</v>
      </c>
      <c r="M992" t="str">
        <f ca="1">IF(OR((NHL2025_26Results[[#This Row],[Winning Team]]="")),"-",IF(Table4[[#This Row],[Predicted Winner]]=NHL2025_26Results[[#This Row],[Winning Team]],"YES","NO"))</f>
        <v>-</v>
      </c>
      <c r="N992" t="str">
        <f ca="1">IF(Table4[[#This Row],[Adjusted Correct]]="-", "",IF(Table4[[#This Row],[Adjusted Correct]]="YES",(Table4[[#This Row],[Strength of Win]]-1)^2,(Table4[[#This Row],[Strength of Win]]-0)^2))</f>
        <v/>
      </c>
      <c r="P992" s="11"/>
    </row>
    <row r="993" spans="4:16" x14ac:dyDescent="0.2">
      <c r="D993" s="1">
        <v>46088</v>
      </c>
      <c r="E993" s="2">
        <v>0.79166666666666663</v>
      </c>
      <c r="F993" t="s">
        <v>28</v>
      </c>
      <c r="G993">
        <f>VLOOKUP(Table4[[#This Row],[Home]],'NHL Model'!$A$6:$B$38,2,FALSE)</f>
        <v>-0.40822279081308277</v>
      </c>
      <c r="H993" t="s">
        <v>55</v>
      </c>
      <c r="I993">
        <f>VLOOKUP(Table4[[#This Row],[Visitor]],'NHL Model'!$A$6:$B$38,2,FALSE)</f>
        <v>-0.12212311954851815</v>
      </c>
      <c r="J993">
        <f ca="1">($B$1+Table4[[#This Row],[Home Differential]])-Table4[[#This Row],[Away Differential]]</f>
        <v>-0.12352736160224623</v>
      </c>
      <c r="K993" t="str">
        <f ca="1">IF(Table4[[#This Row],[HomeIce Differential]]&gt;0,Table4[[#This Row],[Home]],Table4[[#This Row],[Visitor]])</f>
        <v>Utah Mammoth</v>
      </c>
      <c r="L993" s="11">
        <f ca="1"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0.47711578620208311</v>
      </c>
      <c r="M993" t="str">
        <f ca="1">IF(OR((NHL2025_26Results[[#This Row],[Winning Team]]="")),"-",IF(Table4[[#This Row],[Predicted Winner]]=NHL2025_26Results[[#This Row],[Winning Team]],"YES","NO"))</f>
        <v>-</v>
      </c>
      <c r="N993" t="str">
        <f ca="1">IF(Table4[[#This Row],[Adjusted Correct]]="-", "",IF(Table4[[#This Row],[Adjusted Correct]]="YES",(Table4[[#This Row],[Strength of Win]]-1)^2,(Table4[[#This Row],[Strength of Win]]-0)^2))</f>
        <v/>
      </c>
      <c r="P993" s="11"/>
    </row>
    <row r="994" spans="4:16" x14ac:dyDescent="0.2">
      <c r="D994" s="1">
        <v>46088</v>
      </c>
      <c r="E994" s="2">
        <v>0.91666666666666663</v>
      </c>
      <c r="F994" t="s">
        <v>16</v>
      </c>
      <c r="G994">
        <f>VLOOKUP(Table4[[#This Row],[Home]],'NHL Model'!$A$6:$B$38,2,FALSE)</f>
        <v>-1.3903684122795328</v>
      </c>
      <c r="H994" t="s">
        <v>25</v>
      </c>
      <c r="I994">
        <f>VLOOKUP(Table4[[#This Row],[Visitor]],'NHL Model'!$A$6:$B$38,2,FALSE)</f>
        <v>0.67193921242367816</v>
      </c>
      <c r="J994">
        <f ca="1">($B$1+Table4[[#This Row],[Home Differential]])-Table4[[#This Row],[Away Differential]]</f>
        <v>-1.8997353150408927</v>
      </c>
      <c r="K994" t="str">
        <f ca="1">IF(Table4[[#This Row],[HomeIce Differential]]&gt;0,Table4[[#This Row],[Home]],Table4[[#This Row],[Visitor]])</f>
        <v>Carolina Hurricanes</v>
      </c>
      <c r="L994" s="11">
        <f ca="1"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0.81571097522063518</v>
      </c>
      <c r="M994" t="str">
        <f ca="1">IF(OR((NHL2025_26Results[[#This Row],[Winning Team]]="")),"-",IF(Table4[[#This Row],[Predicted Winner]]=NHL2025_26Results[[#This Row],[Winning Team]],"YES","NO"))</f>
        <v>-</v>
      </c>
      <c r="N994" t="str">
        <f ca="1">IF(Table4[[#This Row],[Adjusted Correct]]="-", "",IF(Table4[[#This Row],[Adjusted Correct]]="YES",(Table4[[#This Row],[Strength of Win]]-1)^2,(Table4[[#This Row],[Strength of Win]]-0)^2))</f>
        <v/>
      </c>
      <c r="P994" s="11"/>
    </row>
    <row r="995" spans="4:16" x14ac:dyDescent="0.2">
      <c r="D995" s="1">
        <v>46088</v>
      </c>
      <c r="E995" s="2">
        <v>0.79166666666666663</v>
      </c>
      <c r="F995" t="s">
        <v>13</v>
      </c>
      <c r="G995">
        <f>VLOOKUP(Table4[[#This Row],[Home]],'NHL Model'!$A$6:$B$38,2,FALSE)</f>
        <v>-7.5459708298993802E-2</v>
      </c>
      <c r="H995" t="s">
        <v>18</v>
      </c>
      <c r="I995">
        <f>VLOOKUP(Table4[[#This Row],[Visitor]],'NHL Model'!$A$6:$B$38,2,FALSE)</f>
        <v>-0.52437726201848234</v>
      </c>
      <c r="J995">
        <f ca="1">($B$1+Table4[[#This Row],[Home Differential]])-Table4[[#This Row],[Away Differential]]</f>
        <v>0.61148986338180689</v>
      </c>
      <c r="K995" t="str">
        <f ca="1">IF(Table4[[#This Row],[HomeIce Differential]]&gt;0,Table4[[#This Row],[Home]],Table4[[#This Row],[Visitor]])</f>
        <v>Los Angeles Kings</v>
      </c>
      <c r="L995" s="11">
        <f ca="1"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0.5482465318790527</v>
      </c>
      <c r="M995" t="str">
        <f ca="1">IF(OR((NHL2025_26Results[[#This Row],[Winning Team]]="")),"-",IF(Table4[[#This Row],[Predicted Winner]]=NHL2025_26Results[[#This Row],[Winning Team]],"YES","NO"))</f>
        <v>-</v>
      </c>
      <c r="N995" t="str">
        <f ca="1">IF(Table4[[#This Row],[Adjusted Correct]]="-", "",IF(Table4[[#This Row],[Adjusted Correct]]="YES",(Table4[[#This Row],[Strength of Win]]-1)^2,(Table4[[#This Row],[Strength of Win]]-0)^2))</f>
        <v/>
      </c>
      <c r="P995" s="11"/>
    </row>
    <row r="996" spans="4:16" x14ac:dyDescent="0.2">
      <c r="D996" s="1">
        <v>46088</v>
      </c>
      <c r="E996" s="2">
        <v>0.625</v>
      </c>
      <c r="F996" t="s">
        <v>24</v>
      </c>
      <c r="G996">
        <f>VLOOKUP(Table4[[#This Row],[Home]],'NHL Model'!$A$6:$B$38,2,FALSE)</f>
        <v>0.559441163373953</v>
      </c>
      <c r="H996" t="s">
        <v>15</v>
      </c>
      <c r="I996">
        <f>VLOOKUP(Table4[[#This Row],[Visitor]],'NHL Model'!$A$6:$B$38,2,FALSE)</f>
        <v>-0.30719665303039001</v>
      </c>
      <c r="J996">
        <f ca="1">($B$1+Table4[[#This Row],[Home Differential]])-Table4[[#This Row],[Away Differential]]</f>
        <v>1.0292101260666615</v>
      </c>
      <c r="K996" t="str">
        <f ca="1">IF(Table4[[#This Row],[HomeIce Differential]]&gt;0,Table4[[#This Row],[Home]],Table4[[#This Row],[Visitor]])</f>
        <v>New Jersey Devils</v>
      </c>
      <c r="L996" s="11">
        <f ca="1"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0.6593845036249093</v>
      </c>
      <c r="M996" t="str">
        <f ca="1">IF(OR((NHL2025_26Results[[#This Row],[Winning Team]]="")),"-",IF(Table4[[#This Row],[Predicted Winner]]=NHL2025_26Results[[#This Row],[Winning Team]],"YES","NO"))</f>
        <v>-</v>
      </c>
      <c r="N996" t="str">
        <f ca="1">IF(Table4[[#This Row],[Adjusted Correct]]="-", "",IF(Table4[[#This Row],[Adjusted Correct]]="YES",(Table4[[#This Row],[Strength of Win]]-1)^2,(Table4[[#This Row],[Strength of Win]]-0)^2))</f>
        <v/>
      </c>
      <c r="P996" s="11"/>
    </row>
    <row r="997" spans="4:16" x14ac:dyDescent="0.2">
      <c r="D997" s="1">
        <v>46088</v>
      </c>
      <c r="E997" s="2">
        <v>0.72916666666666663</v>
      </c>
      <c r="F997" t="s">
        <v>14</v>
      </c>
      <c r="G997">
        <f>VLOOKUP(Table4[[#This Row],[Home]],'NHL Model'!$A$6:$B$38,2,FALSE)</f>
        <v>0.26289091192875702</v>
      </c>
      <c r="H997" t="s">
        <v>27</v>
      </c>
      <c r="I997">
        <f>VLOOKUP(Table4[[#This Row],[Visitor]],'NHL Model'!$A$6:$B$38,2,FALSE)</f>
        <v>-0.51358590497437617</v>
      </c>
      <c r="J997">
        <f ca="1">($B$1+Table4[[#This Row],[Home Differential]])-Table4[[#This Row],[Away Differential]]</f>
        <v>0.93904912656545159</v>
      </c>
      <c r="K997" t="str">
        <f ca="1">IF(Table4[[#This Row],[HomeIce Differential]]&gt;0,Table4[[#This Row],[Home]],Table4[[#This Row],[Visitor]])</f>
        <v>Pittsburgh Penguins</v>
      </c>
      <c r="L997" s="11">
        <f ca="1"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0.70615025885057991</v>
      </c>
      <c r="M997" t="str">
        <f ca="1">IF(OR((NHL2025_26Results[[#This Row],[Winning Team]]="")),"-",IF(Table4[[#This Row],[Predicted Winner]]=NHL2025_26Results[[#This Row],[Winning Team]],"YES","NO"))</f>
        <v>-</v>
      </c>
      <c r="N997" t="str">
        <f ca="1">IF(Table4[[#This Row],[Adjusted Correct]]="-", "",IF(Table4[[#This Row],[Adjusted Correct]]="YES",(Table4[[#This Row],[Strength of Win]]-1)^2,(Table4[[#This Row],[Strength of Win]]-0)^2))</f>
        <v/>
      </c>
      <c r="P997" s="11"/>
    </row>
    <row r="998" spans="4:16" x14ac:dyDescent="0.2">
      <c r="D998" s="1">
        <v>46088</v>
      </c>
      <c r="E998" s="2">
        <v>0.91666666666666663</v>
      </c>
      <c r="F998" t="s">
        <v>32</v>
      </c>
      <c r="G998">
        <f>VLOOKUP(Table4[[#This Row],[Home]],'NHL Model'!$A$6:$B$38,2,FALSE)</f>
        <v>-0.361361309178443</v>
      </c>
      <c r="H998" t="s">
        <v>36</v>
      </c>
      <c r="I998">
        <f>VLOOKUP(Table4[[#This Row],[Visitor]],'NHL Model'!$A$6:$B$38,2,FALSE)</f>
        <v>-0.40651947573390851</v>
      </c>
      <c r="J998">
        <f ca="1">($B$1+Table4[[#This Row],[Home Differential]])-Table4[[#This Row],[Away Differential]]</f>
        <v>0.2077304762177839</v>
      </c>
      <c r="K998" t="str">
        <f ca="1">IF(Table4[[#This Row],[HomeIce Differential]]&gt;0,Table4[[#This Row],[Home]],Table4[[#This Row],[Visitor]])</f>
        <v>Seattle Kraken</v>
      </c>
      <c r="L998" s="11">
        <f ca="1"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0.59482059312442681</v>
      </c>
      <c r="M998" t="str">
        <f ca="1">IF(OR((NHL2025_26Results[[#This Row],[Winning Team]]="")),"-",IF(Table4[[#This Row],[Predicted Winner]]=NHL2025_26Results[[#This Row],[Winning Team]],"YES","NO"))</f>
        <v>-</v>
      </c>
      <c r="N998" t="str">
        <f ca="1">IF(Table4[[#This Row],[Adjusted Correct]]="-", "",IF(Table4[[#This Row],[Adjusted Correct]]="YES",(Table4[[#This Row],[Strength of Win]]-1)^2,(Table4[[#This Row],[Strength of Win]]-0)^2))</f>
        <v/>
      </c>
      <c r="P998" s="11"/>
    </row>
    <row r="999" spans="4:16" x14ac:dyDescent="0.2">
      <c r="D999" s="1">
        <v>46088</v>
      </c>
      <c r="E999" s="2">
        <v>0.91666666666666663</v>
      </c>
      <c r="F999" t="s">
        <v>33</v>
      </c>
      <c r="G999">
        <f>VLOOKUP(Table4[[#This Row],[Home]],'NHL Model'!$A$6:$B$38,2,FALSE)</f>
        <v>-0.39418177254008485</v>
      </c>
      <c r="H999" t="s">
        <v>30</v>
      </c>
      <c r="I999">
        <f>VLOOKUP(Table4[[#This Row],[Visitor]],'NHL Model'!$A$6:$B$38,2,FALSE)</f>
        <v>-6.4729560818359025E-2</v>
      </c>
      <c r="J999">
        <f ca="1">($B$1+Table4[[#This Row],[Home Differential]])-Table4[[#This Row],[Away Differential]]</f>
        <v>-0.16687990205940745</v>
      </c>
      <c r="K999" t="str">
        <f ca="1">IF(Table4[[#This Row],[HomeIce Differential]]&gt;0,Table4[[#This Row],[Home]],Table4[[#This Row],[Visitor]])</f>
        <v>New York Islanders</v>
      </c>
      <c r="L999" s="11">
        <f ca="1"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0.52563521910677502</v>
      </c>
      <c r="M999" t="str">
        <f ca="1">IF(OR((NHL2025_26Results[[#This Row],[Winning Team]]="")),"-",IF(Table4[[#This Row],[Predicted Winner]]=NHL2025_26Results[[#This Row],[Winning Team]],"YES","NO"))</f>
        <v>-</v>
      </c>
      <c r="N999" t="str">
        <f ca="1">IF(Table4[[#This Row],[Adjusted Correct]]="-", "",IF(Table4[[#This Row],[Adjusted Correct]]="YES",(Table4[[#This Row],[Strength of Win]]-1)^2,(Table4[[#This Row],[Strength of Win]]-0)^2))</f>
        <v/>
      </c>
      <c r="P999" s="11"/>
    </row>
    <row r="1000" spans="4:16" x14ac:dyDescent="0.2">
      <c r="D1000" s="1">
        <v>46088</v>
      </c>
      <c r="E1000" s="2">
        <v>0.79166666666666663</v>
      </c>
      <c r="F1000" t="s">
        <v>19</v>
      </c>
      <c r="G1000">
        <f>VLOOKUP(Table4[[#This Row],[Home]],'NHL Model'!$A$6:$B$38,2,FALSE)</f>
        <v>-0.635565543477981</v>
      </c>
      <c r="H1000" t="s">
        <v>37</v>
      </c>
      <c r="I1000">
        <f>VLOOKUP(Table4[[#This Row],[Visitor]],'NHL Model'!$A$6:$B$38,2,FALSE)</f>
        <v>-0.11309445867623392</v>
      </c>
      <c r="J1000">
        <f ca="1">($B$1+Table4[[#This Row],[Home Differential]])-Table4[[#This Row],[Away Differential]]</f>
        <v>-0.35989877513942869</v>
      </c>
      <c r="K1000" t="str">
        <f ca="1">IF(Table4[[#This Row],[HomeIce Differential]]&gt;0,Table4[[#This Row],[Home]],Table4[[#This Row],[Visitor]])</f>
        <v>Tampa Bay Lightning</v>
      </c>
      <c r="L1000" s="11">
        <f ca="1"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0.55696648497142476</v>
      </c>
      <c r="M1000" t="str">
        <f ca="1">IF(OR((NHL2025_26Results[[#This Row],[Winning Team]]="")),"-",IF(Table4[[#This Row],[Predicted Winner]]=NHL2025_26Results[[#This Row],[Winning Team]],"YES","NO"))</f>
        <v>-</v>
      </c>
      <c r="N1000" t="str">
        <f ca="1">IF(Table4[[#This Row],[Adjusted Correct]]="-", "",IF(Table4[[#This Row],[Adjusted Correct]]="YES",(Table4[[#This Row],[Strength of Win]]-1)^2,(Table4[[#This Row],[Strength of Win]]-0)^2))</f>
        <v/>
      </c>
      <c r="P1000" s="11"/>
    </row>
    <row r="1001" spans="4:16" x14ac:dyDescent="0.2">
      <c r="D1001" s="1">
        <v>46088</v>
      </c>
      <c r="E1001" s="2">
        <v>0.79166666666666663</v>
      </c>
      <c r="F1001" t="s">
        <v>40</v>
      </c>
      <c r="G1001">
        <f>VLOOKUP(Table4[[#This Row],[Home]],'NHL Model'!$A$6:$B$38,2,FALSE)</f>
        <v>0.105105258369765</v>
      </c>
      <c r="H1001" t="s">
        <v>38</v>
      </c>
      <c r="I1001">
        <f>VLOOKUP(Table4[[#This Row],[Visitor]],'NHL Model'!$A$6:$B$38,2,FALSE)</f>
        <v>-0.6902088310934803</v>
      </c>
      <c r="J1001">
        <f ca="1">($B$1+Table4[[#This Row],[Home Differential]])-Table4[[#This Row],[Away Differential]]</f>
        <v>0.95788639912556373</v>
      </c>
      <c r="K1001" t="str">
        <f ca="1">IF(Table4[[#This Row],[HomeIce Differential]]&gt;0,Table4[[#This Row],[Home]],Table4[[#This Row],[Visitor]])</f>
        <v>Winnipeg Jets</v>
      </c>
      <c r="L1001" s="11">
        <f ca="1"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0.66670404233641978</v>
      </c>
      <c r="M1001" t="str">
        <f ca="1">IF(OR((NHL2025_26Results[[#This Row],[Winning Team]]="")),"-",IF(Table4[[#This Row],[Predicted Winner]]=NHL2025_26Results[[#This Row],[Winning Team]],"YES","NO"))</f>
        <v>-</v>
      </c>
      <c r="N1001" t="str">
        <f ca="1">IF(Table4[[#This Row],[Adjusted Correct]]="-", "",IF(Table4[[#This Row],[Adjusted Correct]]="YES",(Table4[[#This Row],[Strength of Win]]-1)^2,(Table4[[#This Row],[Strength of Win]]-0)^2))</f>
        <v/>
      </c>
      <c r="P1001" s="11"/>
    </row>
    <row r="1002" spans="4:16" x14ac:dyDescent="0.2">
      <c r="D1002" s="1">
        <v>46089</v>
      </c>
      <c r="E1002" s="2">
        <v>0.875</v>
      </c>
      <c r="F1002" t="s">
        <v>31</v>
      </c>
      <c r="G1002">
        <f>VLOOKUP(Table4[[#This Row],[Home]],'NHL Model'!$A$6:$B$38,2,FALSE)</f>
        <v>0.51775546328552802</v>
      </c>
      <c r="H1002" t="s">
        <v>35</v>
      </c>
      <c r="I1002">
        <f>VLOOKUP(Table4[[#This Row],[Visitor]],'NHL Model'!$A$6:$B$38,2,FALSE)</f>
        <v>-1.6211574240381006</v>
      </c>
      <c r="J1002">
        <f ca="1">($B$1+Table4[[#This Row],[Home Differential]])-Table4[[#This Row],[Away Differential]]</f>
        <v>2.3014851969859471</v>
      </c>
      <c r="K1002" t="str">
        <f ca="1">IF(Table4[[#This Row],[HomeIce Differential]]&gt;0,Table4[[#This Row],[Home]],Table4[[#This Row],[Visitor]])</f>
        <v>Anaheim Ducks</v>
      </c>
      <c r="L1002" s="11">
        <f ca="1"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0.96322061122288838</v>
      </c>
      <c r="M1002" t="str">
        <f ca="1">IF(OR((NHL2025_26Results[[#This Row],[Winning Team]]="")),"-",IF(Table4[[#This Row],[Predicted Winner]]=NHL2025_26Results[[#This Row],[Winning Team]],"YES","NO"))</f>
        <v>-</v>
      </c>
      <c r="N1002" t="str">
        <f ca="1">IF(Table4[[#This Row],[Adjusted Correct]]="-", "",IF(Table4[[#This Row],[Adjusted Correct]]="YES",(Table4[[#This Row],[Strength of Win]]-1)^2,(Table4[[#This Row],[Strength of Win]]-0)^2))</f>
        <v/>
      </c>
      <c r="P1002" s="11"/>
    </row>
    <row r="1003" spans="4:16" x14ac:dyDescent="0.2">
      <c r="D1003" s="1">
        <v>46089</v>
      </c>
      <c r="E1003" s="2">
        <v>0.75</v>
      </c>
      <c r="F1003" t="s">
        <v>23</v>
      </c>
      <c r="G1003">
        <f>VLOOKUP(Table4[[#This Row],[Home]],'NHL Model'!$A$6:$B$38,2,FALSE)</f>
        <v>-0.8683412362501769</v>
      </c>
      <c r="H1003" t="s">
        <v>37</v>
      </c>
      <c r="I1003">
        <f>VLOOKUP(Table4[[#This Row],[Visitor]],'NHL Model'!$A$6:$B$38,2,FALSE)</f>
        <v>-0.11309445867623392</v>
      </c>
      <c r="J1003">
        <f ca="1">($B$1+Table4[[#This Row],[Home Differential]])-Table4[[#This Row],[Away Differential]]</f>
        <v>-0.59267446791162459</v>
      </c>
      <c r="K1003" t="str">
        <f ca="1">IF(Table4[[#This Row],[HomeIce Differential]]&gt;0,Table4[[#This Row],[Home]],Table4[[#This Row],[Visitor]])</f>
        <v>Tampa Bay Lightning</v>
      </c>
      <c r="L1003" s="11">
        <f ca="1"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0.5892195739944015</v>
      </c>
      <c r="M1003" t="str">
        <f ca="1">IF(OR((NHL2025_26Results[[#This Row],[Winning Team]]="")),"-",IF(Table4[[#This Row],[Predicted Winner]]=NHL2025_26Results[[#This Row],[Winning Team]],"YES","NO"))</f>
        <v>-</v>
      </c>
      <c r="N1003" t="str">
        <f ca="1">IF(Table4[[#This Row],[Adjusted Correct]]="-", "",IF(Table4[[#This Row],[Adjusted Correct]]="YES",(Table4[[#This Row],[Strength of Win]]-1)^2,(Table4[[#This Row],[Strength of Win]]-0)^2))</f>
        <v/>
      </c>
      <c r="P1003" s="11"/>
    </row>
    <row r="1004" spans="4:16" x14ac:dyDescent="0.2">
      <c r="D1004" s="1">
        <v>46089</v>
      </c>
      <c r="E1004" s="2">
        <v>0.58333333333333337</v>
      </c>
      <c r="F1004" t="s">
        <v>12</v>
      </c>
      <c r="G1004">
        <f>VLOOKUP(Table4[[#This Row],[Home]],'NHL Model'!$A$6:$B$38,2,FALSE)</f>
        <v>1.5475013591489768</v>
      </c>
      <c r="H1004" t="s">
        <v>34</v>
      </c>
      <c r="I1004">
        <f>VLOOKUP(Table4[[#This Row],[Visitor]],'NHL Model'!$A$6:$B$38,2,FALSE)</f>
        <v>-0.53650300840565446</v>
      </c>
      <c r="J1004">
        <f ca="1">($B$1+Table4[[#This Row],[Home Differential]])-Table4[[#This Row],[Away Differential]]</f>
        <v>2.2465766772169498</v>
      </c>
      <c r="K1004" t="str">
        <f ca="1">IF(Table4[[#This Row],[HomeIce Differential]]&gt;0,Table4[[#This Row],[Home]],Table4[[#This Row],[Visitor]])</f>
        <v>Colorado Avalanche</v>
      </c>
      <c r="L1004" s="11">
        <f ca="1"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0.93964891092519354</v>
      </c>
      <c r="M1004" t="str">
        <f ca="1">IF(OR((NHL2025_26Results[[#This Row],[Winning Team]]="")),"-",IF(Table4[[#This Row],[Predicted Winner]]=NHL2025_26Results[[#This Row],[Winning Team]],"YES","NO"))</f>
        <v>-</v>
      </c>
      <c r="N1004" t="str">
        <f ca="1">IF(Table4[[#This Row],[Adjusted Correct]]="-", "",IF(Table4[[#This Row],[Adjusted Correct]]="YES",(Table4[[#This Row],[Strength of Win]]-1)^2,(Table4[[#This Row],[Strength of Win]]-0)^2))</f>
        <v/>
      </c>
      <c r="P1004" s="11"/>
    </row>
    <row r="1005" spans="4:16" x14ac:dyDescent="0.2">
      <c r="D1005" s="1">
        <v>46089</v>
      </c>
      <c r="E1005" s="2">
        <v>0.75</v>
      </c>
      <c r="F1005" t="s">
        <v>39</v>
      </c>
      <c r="G1005">
        <f>VLOOKUP(Table4[[#This Row],[Home]],'NHL Model'!$A$6:$B$38,2,FALSE)</f>
        <v>0.19809534061227302</v>
      </c>
      <c r="H1005" t="s">
        <v>10</v>
      </c>
      <c r="I1005">
        <f>VLOOKUP(Table4[[#This Row],[Visitor]],'NHL Model'!$A$6:$B$38,2,FALSE)</f>
        <v>0.30570968833820172</v>
      </c>
      <c r="J1005">
        <f ca="1">($B$1+Table4[[#This Row],[Home Differential]])-Table4[[#This Row],[Away Differential]]</f>
        <v>5.4957961936389688E-2</v>
      </c>
      <c r="K1005" t="str">
        <f ca="1">IF(Table4[[#This Row],[HomeIce Differential]]&gt;0,Table4[[#This Row],[Home]],Table4[[#This Row],[Visitor]])</f>
        <v>Dallas Stars</v>
      </c>
      <c r="L1005" s="11">
        <f ca="1"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0.55306944724152218</v>
      </c>
      <c r="M1005" t="str">
        <f ca="1">IF(OR((NHL2025_26Results[[#This Row],[Winning Team]]="")),"-",IF(Table4[[#This Row],[Predicted Winner]]=NHL2025_26Results[[#This Row],[Winning Team]],"YES","NO"))</f>
        <v>-</v>
      </c>
      <c r="N1005" t="str">
        <f ca="1">IF(Table4[[#This Row],[Adjusted Correct]]="-", "",IF(Table4[[#This Row],[Adjusted Correct]]="YES",(Table4[[#This Row],[Strength of Win]]-1)^2,(Table4[[#This Row],[Strength of Win]]-0)^2))</f>
        <v/>
      </c>
      <c r="P1005" s="11"/>
    </row>
    <row r="1006" spans="4:16" x14ac:dyDescent="0.2">
      <c r="D1006" s="1">
        <v>46089</v>
      </c>
      <c r="E1006" s="2">
        <v>0.79166666666666663</v>
      </c>
      <c r="F1006" t="s">
        <v>24</v>
      </c>
      <c r="G1006">
        <f>VLOOKUP(Table4[[#This Row],[Home]],'NHL Model'!$A$6:$B$38,2,FALSE)</f>
        <v>0.559441163373953</v>
      </c>
      <c r="H1006" t="s">
        <v>26</v>
      </c>
      <c r="I1006">
        <f>VLOOKUP(Table4[[#This Row],[Visitor]],'NHL Model'!$A$6:$B$38,2,FALSE)</f>
        <v>-0.513643833119658</v>
      </c>
      <c r="J1006">
        <f ca="1">($B$1+Table4[[#This Row],[Home Differential]])-Table4[[#This Row],[Away Differential]]</f>
        <v>1.2356573061559293</v>
      </c>
      <c r="K1006" t="str">
        <f ca="1">IF(Table4[[#This Row],[HomeIce Differential]]&gt;0,Table4[[#This Row],[Home]],Table4[[#This Row],[Visitor]])</f>
        <v>New Jersey Devils</v>
      </c>
      <c r="L1006" s="11">
        <f ca="1"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0.78286151105004165</v>
      </c>
      <c r="M1006" t="str">
        <f ca="1">IF(OR((NHL2025_26Results[[#This Row],[Winning Team]]="")),"-",IF(Table4[[#This Row],[Predicted Winner]]=NHL2025_26Results[[#This Row],[Winning Team]],"YES","NO"))</f>
        <v>-</v>
      </c>
      <c r="N1006" t="str">
        <f ca="1">IF(Table4[[#This Row],[Adjusted Correct]]="-", "",IF(Table4[[#This Row],[Adjusted Correct]]="YES",(Table4[[#This Row],[Strength of Win]]-1)^2,(Table4[[#This Row],[Strength of Win]]-0)^2))</f>
        <v/>
      </c>
      <c r="P1006" s="11"/>
    </row>
    <row r="1007" spans="4:16" x14ac:dyDescent="0.2">
      <c r="D1007" s="1">
        <v>46089</v>
      </c>
      <c r="E1007" s="2">
        <v>0.6875</v>
      </c>
      <c r="F1007" t="s">
        <v>14</v>
      </c>
      <c r="G1007">
        <f>VLOOKUP(Table4[[#This Row],[Home]],'NHL Model'!$A$6:$B$38,2,FALSE)</f>
        <v>0.26289091192875702</v>
      </c>
      <c r="H1007" t="s">
        <v>21</v>
      </c>
      <c r="I1007">
        <f>VLOOKUP(Table4[[#This Row],[Visitor]],'NHL Model'!$A$6:$B$38,2,FALSE)</f>
        <v>4.029141914856392E-2</v>
      </c>
      <c r="J1007">
        <f ca="1">($B$1+Table4[[#This Row],[Home Differential]])-Table4[[#This Row],[Away Differential]]</f>
        <v>0.38517180244251148</v>
      </c>
      <c r="K1007" t="str">
        <f ca="1">IF(Table4[[#This Row],[HomeIce Differential]]&gt;0,Table4[[#This Row],[Home]],Table4[[#This Row],[Visitor]])</f>
        <v>Pittsburgh Penguins</v>
      </c>
      <c r="L1007" s="11">
        <f ca="1"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0.62940575675074917</v>
      </c>
      <c r="M1007" t="str">
        <f ca="1">IF(OR((NHL2025_26Results[[#This Row],[Winning Team]]="")),"-",IF(Table4[[#This Row],[Predicted Winner]]=NHL2025_26Results[[#This Row],[Winning Team]],"YES","NO"))</f>
        <v>-</v>
      </c>
      <c r="N1007" t="str">
        <f ca="1">IF(Table4[[#This Row],[Adjusted Correct]]="-", "",IF(Table4[[#This Row],[Adjusted Correct]]="YES",(Table4[[#This Row],[Strength of Win]]-1)^2,(Table4[[#This Row],[Strength of Win]]-0)^2))</f>
        <v/>
      </c>
      <c r="P1007" s="11"/>
    </row>
    <row r="1008" spans="4:16" x14ac:dyDescent="0.2">
      <c r="D1008" s="1">
        <v>46089</v>
      </c>
      <c r="E1008" s="2">
        <v>0.89583333333333337</v>
      </c>
      <c r="F1008" t="s">
        <v>20</v>
      </c>
      <c r="G1008">
        <f>VLOOKUP(Table4[[#This Row],[Home]],'NHL Model'!$A$6:$B$38,2,FALSE)</f>
        <v>-6.3745791019188943E-4</v>
      </c>
      <c r="H1008" t="s">
        <v>17</v>
      </c>
      <c r="I1008">
        <f>VLOOKUP(Table4[[#This Row],[Visitor]],'NHL Model'!$A$6:$B$38,2,FALSE)</f>
        <v>-0.61980804137564283</v>
      </c>
      <c r="J1008">
        <f ca="1">($B$1+Table4[[#This Row],[Home Differential]])-Table4[[#This Row],[Away Differential]]</f>
        <v>0.78174289312776934</v>
      </c>
      <c r="K1008" t="str">
        <f ca="1">IF(Table4[[#This Row],[HomeIce Differential]]&gt;0,Table4[[#This Row],[Home]],Table4[[#This Row],[Visitor]])</f>
        <v>Vegas Golden Knights</v>
      </c>
      <c r="L1008" s="11">
        <f ca="1"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0.64831725093308801</v>
      </c>
      <c r="M1008" t="str">
        <f ca="1">IF(OR((NHL2025_26Results[[#This Row],[Winning Team]]="")),"-",IF(Table4[[#This Row],[Predicted Winner]]=NHL2025_26Results[[#This Row],[Winning Team]],"YES","NO"))</f>
        <v>-</v>
      </c>
      <c r="N1008" t="str">
        <f ca="1">IF(Table4[[#This Row],[Adjusted Correct]]="-", "",IF(Table4[[#This Row],[Adjusted Correct]]="YES",(Table4[[#This Row],[Strength of Win]]-1)^2,(Table4[[#This Row],[Strength of Win]]-0)^2))</f>
        <v/>
      </c>
      <c r="P1008" s="11"/>
    </row>
    <row r="1009" spans="4:16" x14ac:dyDescent="0.2">
      <c r="D1009" s="1">
        <v>46090</v>
      </c>
      <c r="E1009" s="2">
        <v>0.85416666666666663</v>
      </c>
      <c r="F1009" t="s">
        <v>10</v>
      </c>
      <c r="G1009">
        <f>VLOOKUP(Table4[[#This Row],[Home]],'NHL Model'!$A$6:$B$38,2,FALSE)</f>
        <v>0.30570968833820172</v>
      </c>
      <c r="H1009" t="s">
        <v>55</v>
      </c>
      <c r="I1009">
        <f>VLOOKUP(Table4[[#This Row],[Visitor]],'NHL Model'!$A$6:$B$38,2,FALSE)</f>
        <v>-0.12212311954851815</v>
      </c>
      <c r="J1009">
        <f ca="1">($B$1+Table4[[#This Row],[Home Differential]])-Table4[[#This Row],[Away Differential]]</f>
        <v>0.59040511754903824</v>
      </c>
      <c r="K1009" t="str">
        <f ca="1">IF(Table4[[#This Row],[HomeIce Differential]]&gt;0,Table4[[#This Row],[Home]],Table4[[#This Row],[Visitor]])</f>
        <v>Chicago Blackhawks</v>
      </c>
      <c r="L1009" s="11">
        <f ca="1"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0.62180574435908076</v>
      </c>
      <c r="M1009" t="str">
        <f ca="1">IF(OR((NHL2025_26Results[[#This Row],[Winning Team]]="")),"-",IF(Table4[[#This Row],[Predicted Winner]]=NHL2025_26Results[[#This Row],[Winning Team]],"YES","NO"))</f>
        <v>-</v>
      </c>
      <c r="N1009" t="str">
        <f ca="1">IF(Table4[[#This Row],[Adjusted Correct]]="-", "",IF(Table4[[#This Row],[Adjusted Correct]]="YES",(Table4[[#This Row],[Strength of Win]]-1)^2,(Table4[[#This Row],[Strength of Win]]-0)^2))</f>
        <v/>
      </c>
      <c r="P1009" s="11"/>
    </row>
    <row r="1010" spans="4:16" x14ac:dyDescent="0.2">
      <c r="D1010" s="1">
        <v>46090</v>
      </c>
      <c r="E1010" s="2">
        <v>0.79166666666666663</v>
      </c>
      <c r="F1010" t="s">
        <v>27</v>
      </c>
      <c r="G1010">
        <f>VLOOKUP(Table4[[#This Row],[Home]],'NHL Model'!$A$6:$B$38,2,FALSE)</f>
        <v>-0.51358590497437617</v>
      </c>
      <c r="H1010" t="s">
        <v>15</v>
      </c>
      <c r="I1010">
        <f>VLOOKUP(Table4[[#This Row],[Visitor]],'NHL Model'!$A$6:$B$38,2,FALSE)</f>
        <v>-0.30719665303039001</v>
      </c>
      <c r="J1010">
        <f ca="1">($B$1+Table4[[#This Row],[Home Differential]])-Table4[[#This Row],[Away Differential]]</f>
        <v>-4.381694228166777E-2</v>
      </c>
      <c r="K1010" t="str">
        <f ca="1">IF(Table4[[#This Row],[HomeIce Differential]]&gt;0,Table4[[#This Row],[Home]],Table4[[#This Row],[Visitor]])</f>
        <v>New York Rangers</v>
      </c>
      <c r="L1010" s="11">
        <f ca="1"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0.60607121698702582</v>
      </c>
      <c r="M1010" t="str">
        <f ca="1">IF(OR((NHL2025_26Results[[#This Row],[Winning Team]]="")),"-",IF(Table4[[#This Row],[Predicted Winner]]=NHL2025_26Results[[#This Row],[Winning Team]],"YES","NO"))</f>
        <v>-</v>
      </c>
      <c r="N1010" t="str">
        <f ca="1">IF(Table4[[#This Row],[Adjusted Correct]]="-", "",IF(Table4[[#This Row],[Adjusted Correct]]="YES",(Table4[[#This Row],[Strength of Win]]-1)^2,(Table4[[#This Row],[Strength of Win]]-0)^2))</f>
        <v/>
      </c>
      <c r="P1010" s="11"/>
    </row>
    <row r="1011" spans="4:16" x14ac:dyDescent="0.2">
      <c r="D1011" s="1">
        <v>46090</v>
      </c>
      <c r="E1011" s="2">
        <v>0.875</v>
      </c>
      <c r="F1011" t="s">
        <v>38</v>
      </c>
      <c r="G1011">
        <f>VLOOKUP(Table4[[#This Row],[Home]],'NHL Model'!$A$6:$B$38,2,FALSE)</f>
        <v>-0.6902088310934803</v>
      </c>
      <c r="H1011" t="s">
        <v>36</v>
      </c>
      <c r="I1011">
        <f>VLOOKUP(Table4[[#This Row],[Visitor]],'NHL Model'!$A$6:$B$38,2,FALSE)</f>
        <v>-0.40651947573390851</v>
      </c>
      <c r="J1011">
        <f ca="1">($B$1+Table4[[#This Row],[Home Differential]])-Table4[[#This Row],[Away Differential]]</f>
        <v>-0.1211170456972534</v>
      </c>
      <c r="K1011" t="str">
        <f ca="1">IF(Table4[[#This Row],[HomeIce Differential]]&gt;0,Table4[[#This Row],[Home]],Table4[[#This Row],[Visitor]])</f>
        <v>Ottawa Senators</v>
      </c>
      <c r="L1011" s="11">
        <f ca="1"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0.47678181605025416</v>
      </c>
      <c r="M1011" t="str">
        <f ca="1">IF(OR((NHL2025_26Results[[#This Row],[Winning Team]]="")),"-",IF(Table4[[#This Row],[Predicted Winner]]=NHL2025_26Results[[#This Row],[Winning Team]],"YES","NO"))</f>
        <v>-</v>
      </c>
      <c r="N1011" t="str">
        <f ca="1">IF(Table4[[#This Row],[Adjusted Correct]]="-", "",IF(Table4[[#This Row],[Adjusted Correct]]="YES",(Table4[[#This Row],[Strength of Win]]-1)^2,(Table4[[#This Row],[Strength of Win]]-0)^2))</f>
        <v/>
      </c>
      <c r="P1011" s="11"/>
    </row>
    <row r="1012" spans="4:16" x14ac:dyDescent="0.2">
      <c r="D1012" s="1">
        <v>46090</v>
      </c>
      <c r="E1012" s="2">
        <v>0.79166666666666663</v>
      </c>
      <c r="F1012" t="s">
        <v>22</v>
      </c>
      <c r="G1012">
        <f>VLOOKUP(Table4[[#This Row],[Home]],'NHL Model'!$A$6:$B$38,2,FALSE)</f>
        <v>-6.1308839486784707E-2</v>
      </c>
      <c r="H1012" t="s">
        <v>16</v>
      </c>
      <c r="I1012">
        <f>VLOOKUP(Table4[[#This Row],[Visitor]],'NHL Model'!$A$6:$B$38,2,FALSE)</f>
        <v>-1.3903684122795328</v>
      </c>
      <c r="J1012">
        <f ca="1">($B$1+Table4[[#This Row],[Home Differential]])-Table4[[#This Row],[Away Differential]]</f>
        <v>1.4916318824550665</v>
      </c>
      <c r="K1012" t="str">
        <f ca="1">IF(Table4[[#This Row],[HomeIce Differential]]&gt;0,Table4[[#This Row],[Home]],Table4[[#This Row],[Visitor]])</f>
        <v>Washington Capitals</v>
      </c>
      <c r="L1012" s="11">
        <f ca="1"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0.74667852094598164</v>
      </c>
      <c r="M1012" t="str">
        <f ca="1">IF(OR((NHL2025_26Results[[#This Row],[Winning Team]]="")),"-",IF(Table4[[#This Row],[Predicted Winner]]=NHL2025_26Results[[#This Row],[Winning Team]],"YES","NO"))</f>
        <v>-</v>
      </c>
      <c r="N1012" t="str">
        <f ca="1">IF(Table4[[#This Row],[Adjusted Correct]]="-", "",IF(Table4[[#This Row],[Adjusted Correct]]="YES",(Table4[[#This Row],[Strength of Win]]-1)^2,(Table4[[#This Row],[Strength of Win]]-0)^2))</f>
        <v/>
      </c>
      <c r="P1012" s="11"/>
    </row>
    <row r="1013" spans="4:16" x14ac:dyDescent="0.2">
      <c r="D1013" s="1">
        <v>46091</v>
      </c>
      <c r="E1013" s="2">
        <v>0.79166666666666663</v>
      </c>
      <c r="F1013" t="s">
        <v>21</v>
      </c>
      <c r="G1013">
        <f>VLOOKUP(Table4[[#This Row],[Home]],'NHL Model'!$A$6:$B$38,2,FALSE)</f>
        <v>4.029141914856392E-2</v>
      </c>
      <c r="H1013" t="s">
        <v>13</v>
      </c>
      <c r="I1013">
        <f>VLOOKUP(Table4[[#This Row],[Visitor]],'NHL Model'!$A$6:$B$38,2,FALSE)</f>
        <v>-7.5459708298993802E-2</v>
      </c>
      <c r="J1013">
        <f ca="1">($B$1+Table4[[#This Row],[Home Differential]])-Table4[[#This Row],[Away Differential]]</f>
        <v>0.27832343710987612</v>
      </c>
      <c r="K1013" t="str">
        <f ca="1">IF(Table4[[#This Row],[HomeIce Differential]]&gt;0,Table4[[#This Row],[Home]],Table4[[#This Row],[Visitor]])</f>
        <v>Boston Bruins</v>
      </c>
      <c r="L1013" s="11">
        <f ca="1"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0.53087181593837907</v>
      </c>
      <c r="M1013" t="str">
        <f ca="1">IF(OR((NHL2025_26Results[[#This Row],[Winning Team]]="")),"-",IF(Table4[[#This Row],[Predicted Winner]]=NHL2025_26Results[[#This Row],[Winning Team]],"YES","NO"))</f>
        <v>-</v>
      </c>
      <c r="N1013" t="str">
        <f ca="1">IF(Table4[[#This Row],[Adjusted Correct]]="-", "",IF(Table4[[#This Row],[Adjusted Correct]]="YES",(Table4[[#This Row],[Strength of Win]]-1)^2,(Table4[[#This Row],[Strength of Win]]-0)^2))</f>
        <v/>
      </c>
      <c r="P1013" s="11"/>
    </row>
    <row r="1014" spans="4:16" x14ac:dyDescent="0.2">
      <c r="D1014" s="1">
        <v>46091</v>
      </c>
      <c r="E1014" s="2">
        <v>0.79166666666666663</v>
      </c>
      <c r="F1014" t="s">
        <v>23</v>
      </c>
      <c r="G1014">
        <f>VLOOKUP(Table4[[#This Row],[Home]],'NHL Model'!$A$6:$B$38,2,FALSE)</f>
        <v>-0.8683412362501769</v>
      </c>
      <c r="H1014" t="s">
        <v>33</v>
      </c>
      <c r="I1014">
        <f>VLOOKUP(Table4[[#This Row],[Visitor]],'NHL Model'!$A$6:$B$38,2,FALSE)</f>
        <v>-0.39418177254008485</v>
      </c>
      <c r="J1014">
        <f ca="1">($B$1+Table4[[#This Row],[Home Differential]])-Table4[[#This Row],[Away Differential]]</f>
        <v>-0.31158715404777365</v>
      </c>
      <c r="K1014" t="str">
        <f ca="1">IF(Table4[[#This Row],[HomeIce Differential]]&gt;0,Table4[[#This Row],[Home]],Table4[[#This Row],[Visitor]])</f>
        <v>San Jose Sharks</v>
      </c>
      <c r="L1014" s="11">
        <f ca="1"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0.50317309981224645</v>
      </c>
      <c r="M1014" t="str">
        <f ca="1">IF(OR((NHL2025_26Results[[#This Row],[Winning Team]]="")),"-",IF(Table4[[#This Row],[Predicted Winner]]=NHL2025_26Results[[#This Row],[Winning Team]],"YES","NO"))</f>
        <v>-</v>
      </c>
      <c r="N1014" t="str">
        <f ca="1">IF(Table4[[#This Row],[Adjusted Correct]]="-", "",IF(Table4[[#This Row],[Adjusted Correct]]="YES",(Table4[[#This Row],[Strength of Win]]-1)^2,(Table4[[#This Row],[Strength of Win]]-0)^2))</f>
        <v/>
      </c>
      <c r="P1014" s="11"/>
    </row>
    <row r="1015" spans="4:16" x14ac:dyDescent="0.2">
      <c r="D1015" s="1">
        <v>46091</v>
      </c>
      <c r="E1015" s="2">
        <v>0.79166666666666663</v>
      </c>
      <c r="F1015" t="s">
        <v>25</v>
      </c>
      <c r="G1015">
        <f>VLOOKUP(Table4[[#This Row],[Home]],'NHL Model'!$A$6:$B$38,2,FALSE)</f>
        <v>0.67193921242367816</v>
      </c>
      <c r="H1015" t="s">
        <v>14</v>
      </c>
      <c r="I1015">
        <f>VLOOKUP(Table4[[#This Row],[Visitor]],'NHL Model'!$A$6:$B$38,2,FALSE)</f>
        <v>0.26289091192875702</v>
      </c>
      <c r="J1015">
        <f ca="1">($B$1+Table4[[#This Row],[Home Differential]])-Table4[[#This Row],[Away Differential]]</f>
        <v>0.57162061015723953</v>
      </c>
      <c r="K1015" t="str">
        <f ca="1">IF(Table4[[#This Row],[HomeIce Differential]]&gt;0,Table4[[#This Row],[Home]],Table4[[#This Row],[Visitor]])</f>
        <v>Carolina Hurricanes</v>
      </c>
      <c r="L1015" s="11">
        <f ca="1"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0.67091896444065846</v>
      </c>
      <c r="M1015" t="str">
        <f ca="1">IF(OR((NHL2025_26Results[[#This Row],[Winning Team]]="")),"-",IF(Table4[[#This Row],[Predicted Winner]]=NHL2025_26Results[[#This Row],[Winning Team]],"YES","NO"))</f>
        <v>-</v>
      </c>
      <c r="N1015" t="str">
        <f ca="1">IF(Table4[[#This Row],[Adjusted Correct]]="-", "",IF(Table4[[#This Row],[Adjusted Correct]]="YES",(Table4[[#This Row],[Strength of Win]]-1)^2,(Table4[[#This Row],[Strength of Win]]-0)^2))</f>
        <v/>
      </c>
      <c r="P1015" s="11"/>
    </row>
    <row r="1016" spans="4:16" x14ac:dyDescent="0.2">
      <c r="D1016" s="1">
        <v>46091</v>
      </c>
      <c r="E1016" s="2">
        <v>0.91666666666666663</v>
      </c>
      <c r="F1016" t="s">
        <v>12</v>
      </c>
      <c r="G1016">
        <f>VLOOKUP(Table4[[#This Row],[Home]],'NHL Model'!$A$6:$B$38,2,FALSE)</f>
        <v>1.5475013591489768</v>
      </c>
      <c r="H1016" t="s">
        <v>17</v>
      </c>
      <c r="I1016">
        <f>VLOOKUP(Table4[[#This Row],[Visitor]],'NHL Model'!$A$6:$B$38,2,FALSE)</f>
        <v>-0.61980804137564283</v>
      </c>
      <c r="J1016">
        <f ca="1">($B$1+Table4[[#This Row],[Home Differential]])-Table4[[#This Row],[Away Differential]]</f>
        <v>2.329881710186938</v>
      </c>
      <c r="K1016" t="str">
        <f ca="1">IF(Table4[[#This Row],[HomeIce Differential]]&gt;0,Table4[[#This Row],[Home]],Table4[[#This Row],[Visitor]])</f>
        <v>Colorado Avalanche</v>
      </c>
      <c r="L1016" s="11">
        <f ca="1"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0.95119154500543024</v>
      </c>
      <c r="M1016" t="str">
        <f ca="1">IF(OR((NHL2025_26Results[[#This Row],[Winning Team]]="")),"-",IF(Table4[[#This Row],[Predicted Winner]]=NHL2025_26Results[[#This Row],[Winning Team]],"YES","NO"))</f>
        <v>-</v>
      </c>
      <c r="N1016" t="str">
        <f ca="1">IF(Table4[[#This Row],[Adjusted Correct]]="-", "",IF(Table4[[#This Row],[Adjusted Correct]]="YES",(Table4[[#This Row],[Strength of Win]]-1)^2,(Table4[[#This Row],[Strength of Win]]-0)^2))</f>
        <v/>
      </c>
      <c r="P1016" s="11"/>
    </row>
    <row r="1017" spans="4:16" x14ac:dyDescent="0.2">
      <c r="D1017" s="1">
        <v>46091</v>
      </c>
      <c r="E1017" s="2">
        <v>0.83333333333333337</v>
      </c>
      <c r="F1017" t="s">
        <v>39</v>
      </c>
      <c r="G1017">
        <f>VLOOKUP(Table4[[#This Row],[Home]],'NHL Model'!$A$6:$B$38,2,FALSE)</f>
        <v>0.19809534061227302</v>
      </c>
      <c r="H1017" t="s">
        <v>20</v>
      </c>
      <c r="I1017">
        <f>VLOOKUP(Table4[[#This Row],[Visitor]],'NHL Model'!$A$6:$B$38,2,FALSE)</f>
        <v>-6.3745791019188943E-4</v>
      </c>
      <c r="J1017">
        <f ca="1">($B$1+Table4[[#This Row],[Home Differential]])-Table4[[#This Row],[Away Differential]]</f>
        <v>0.36130510818478329</v>
      </c>
      <c r="K1017" t="str">
        <f ca="1">IF(Table4[[#This Row],[HomeIce Differential]]&gt;0,Table4[[#This Row],[Home]],Table4[[#This Row],[Visitor]])</f>
        <v>Dallas Stars</v>
      </c>
      <c r="L1017" s="11">
        <f ca="1"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0.59551649857326894</v>
      </c>
      <c r="M1017" t="str">
        <f ca="1">IF(OR((NHL2025_26Results[[#This Row],[Winning Team]]="")),"-",IF(Table4[[#This Row],[Predicted Winner]]=NHL2025_26Results[[#This Row],[Winning Team]],"YES","NO"))</f>
        <v>-</v>
      </c>
      <c r="N1017" t="str">
        <f ca="1">IF(Table4[[#This Row],[Adjusted Correct]]="-", "",IF(Table4[[#This Row],[Adjusted Correct]]="YES",(Table4[[#This Row],[Strength of Win]]-1)^2,(Table4[[#This Row],[Strength of Win]]-0)^2))</f>
        <v/>
      </c>
      <c r="P1017" s="11"/>
    </row>
    <row r="1018" spans="4:16" x14ac:dyDescent="0.2">
      <c r="D1018" s="1">
        <v>46091</v>
      </c>
      <c r="E1018" s="2">
        <v>0.79166666666666663</v>
      </c>
      <c r="F1018" t="s">
        <v>11</v>
      </c>
      <c r="G1018">
        <f>VLOOKUP(Table4[[#This Row],[Home]],'NHL Model'!$A$6:$B$38,2,FALSE)</f>
        <v>-0.28105923893144158</v>
      </c>
      <c r="H1018" t="s">
        <v>26</v>
      </c>
      <c r="I1018">
        <f>VLOOKUP(Table4[[#This Row],[Visitor]],'NHL Model'!$A$6:$B$38,2,FALSE)</f>
        <v>-0.513643833119658</v>
      </c>
      <c r="J1018">
        <f ca="1">($B$1+Table4[[#This Row],[Home Differential]])-Table4[[#This Row],[Away Differential]]</f>
        <v>0.39515690385053481</v>
      </c>
      <c r="K1018" t="str">
        <f ca="1">IF(Table4[[#This Row],[HomeIce Differential]]&gt;0,Table4[[#This Row],[Home]],Table4[[#This Row],[Visitor]])</f>
        <v>Florida Panthers</v>
      </c>
      <c r="L1018" s="11">
        <f ca="1"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0.60020695815773939</v>
      </c>
      <c r="M1018" t="str">
        <f ca="1">IF(OR((NHL2025_26Results[[#This Row],[Winning Team]]="")),"-",IF(Table4[[#This Row],[Predicted Winner]]=NHL2025_26Results[[#This Row],[Winning Team]],"YES","NO"))</f>
        <v>-</v>
      </c>
      <c r="N1018" t="str">
        <f ca="1">IF(Table4[[#This Row],[Adjusted Correct]]="-", "",IF(Table4[[#This Row],[Adjusted Correct]]="YES",(Table4[[#This Row],[Strength of Win]]-1)^2,(Table4[[#This Row],[Strength of Win]]-0)^2))</f>
        <v/>
      </c>
      <c r="P1018" s="11"/>
    </row>
    <row r="1019" spans="4:16" x14ac:dyDescent="0.2">
      <c r="D1019" s="1">
        <v>46091</v>
      </c>
      <c r="E1019" s="2">
        <v>0.83333333333333337</v>
      </c>
      <c r="F1019" t="s">
        <v>34</v>
      </c>
      <c r="G1019">
        <f>VLOOKUP(Table4[[#This Row],[Home]],'NHL Model'!$A$6:$B$38,2,FALSE)</f>
        <v>-0.53650300840565446</v>
      </c>
      <c r="H1019" t="s">
        <v>55</v>
      </c>
      <c r="I1019">
        <f>VLOOKUP(Table4[[#This Row],[Visitor]],'NHL Model'!$A$6:$B$38,2,FALSE)</f>
        <v>-0.12212311954851815</v>
      </c>
      <c r="J1019">
        <f ca="1">($B$1+Table4[[#This Row],[Home Differential]])-Table4[[#This Row],[Away Differential]]</f>
        <v>-0.25180757919481789</v>
      </c>
      <c r="K1019" t="str">
        <f ca="1">IF(Table4[[#This Row],[HomeIce Differential]]&gt;0,Table4[[#This Row],[Home]],Table4[[#This Row],[Visitor]])</f>
        <v>Utah Mammoth</v>
      </c>
      <c r="L1019" s="11">
        <f ca="1"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0.49489012178079456</v>
      </c>
      <c r="M1019" t="str">
        <f ca="1">IF(OR((NHL2025_26Results[[#This Row],[Winning Team]]="")),"-",IF(Table4[[#This Row],[Predicted Winner]]=NHL2025_26Results[[#This Row],[Winning Team]],"YES","NO"))</f>
        <v>-</v>
      </c>
      <c r="N1019" t="str">
        <f ca="1">IF(Table4[[#This Row],[Adjusted Correct]]="-", "",IF(Table4[[#This Row],[Adjusted Correct]]="YES",(Table4[[#This Row],[Strength of Win]]-1)^2,(Table4[[#This Row],[Strength of Win]]-0)^2))</f>
        <v/>
      </c>
      <c r="P1019" s="11"/>
    </row>
    <row r="1020" spans="4:16" x14ac:dyDescent="0.2">
      <c r="D1020" s="1">
        <v>46091</v>
      </c>
      <c r="E1020" s="2">
        <v>0.79166666666666663</v>
      </c>
      <c r="F1020" t="s">
        <v>18</v>
      </c>
      <c r="G1020">
        <f>VLOOKUP(Table4[[#This Row],[Home]],'NHL Model'!$A$6:$B$38,2,FALSE)</f>
        <v>-0.52437726201848234</v>
      </c>
      <c r="H1020" t="s">
        <v>19</v>
      </c>
      <c r="I1020">
        <f>VLOOKUP(Table4[[#This Row],[Visitor]],'NHL Model'!$A$6:$B$38,2,FALSE)</f>
        <v>-0.635565543477981</v>
      </c>
      <c r="J1020">
        <f ca="1">($B$1+Table4[[#This Row],[Home Differential]])-Table4[[#This Row],[Away Differential]]</f>
        <v>0.27376059112181705</v>
      </c>
      <c r="K1020" t="str">
        <f ca="1">IF(Table4[[#This Row],[HomeIce Differential]]&gt;0,Table4[[#This Row],[Home]],Table4[[#This Row],[Visitor]])</f>
        <v>Montreal Canadiens</v>
      </c>
      <c r="L1020" s="11">
        <f ca="1"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0.57793190178613607</v>
      </c>
      <c r="M1020" t="str">
        <f ca="1">IF(OR((NHL2025_26Results[[#This Row],[Winning Team]]="")),"-",IF(Table4[[#This Row],[Predicted Winner]]=NHL2025_26Results[[#This Row],[Winning Team]],"YES","NO"))</f>
        <v>-</v>
      </c>
      <c r="N1020" t="str">
        <f ca="1">IF(Table4[[#This Row],[Adjusted Correct]]="-", "",IF(Table4[[#This Row],[Adjusted Correct]]="YES",(Table4[[#This Row],[Strength of Win]]-1)^2,(Table4[[#This Row],[Strength of Win]]-0)^2))</f>
        <v/>
      </c>
      <c r="P1020" s="11"/>
    </row>
    <row r="1021" spans="4:16" x14ac:dyDescent="0.2">
      <c r="D1021" s="1">
        <v>46091</v>
      </c>
      <c r="E1021" s="2">
        <v>0.79166666666666663</v>
      </c>
      <c r="F1021" t="s">
        <v>15</v>
      </c>
      <c r="G1021">
        <f>VLOOKUP(Table4[[#This Row],[Home]],'NHL Model'!$A$6:$B$38,2,FALSE)</f>
        <v>-0.30719665303039001</v>
      </c>
      <c r="H1021" t="s">
        <v>16</v>
      </c>
      <c r="I1021">
        <f>VLOOKUP(Table4[[#This Row],[Visitor]],'NHL Model'!$A$6:$B$38,2,FALSE)</f>
        <v>-1.3903684122795328</v>
      </c>
      <c r="J1021">
        <f ca="1">($B$1+Table4[[#This Row],[Home Differential]])-Table4[[#This Row],[Away Differential]]</f>
        <v>1.2457440689114612</v>
      </c>
      <c r="K1021" t="str">
        <f ca="1">IF(Table4[[#This Row],[HomeIce Differential]]&gt;0,Table4[[#This Row],[Home]],Table4[[#This Row],[Visitor]])</f>
        <v>New York Rangers</v>
      </c>
      <c r="L1021" s="11">
        <f ca="1"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0.71260863398554075</v>
      </c>
      <c r="M1021" t="str">
        <f ca="1">IF(OR((NHL2025_26Results[[#This Row],[Winning Team]]="")),"-",IF(Table4[[#This Row],[Predicted Winner]]=NHL2025_26Results[[#This Row],[Winning Team]],"YES","NO"))</f>
        <v>-</v>
      </c>
      <c r="N1021" t="str">
        <f ca="1">IF(Table4[[#This Row],[Adjusted Correct]]="-", "",IF(Table4[[#This Row],[Adjusted Correct]]="YES",(Table4[[#This Row],[Strength of Win]]-1)^2,(Table4[[#This Row],[Strength of Win]]-0)^2))</f>
        <v/>
      </c>
      <c r="P1021" s="11"/>
    </row>
    <row r="1022" spans="4:16" x14ac:dyDescent="0.2">
      <c r="D1022" s="1">
        <v>46091</v>
      </c>
      <c r="E1022" s="2">
        <v>0.91666666666666663</v>
      </c>
      <c r="F1022" t="s">
        <v>32</v>
      </c>
      <c r="G1022">
        <f>VLOOKUP(Table4[[#This Row],[Home]],'NHL Model'!$A$6:$B$38,2,FALSE)</f>
        <v>-0.361361309178443</v>
      </c>
      <c r="H1022" t="s">
        <v>29</v>
      </c>
      <c r="I1022">
        <f>VLOOKUP(Table4[[#This Row],[Visitor]],'NHL Model'!$A$6:$B$38,2,FALSE)</f>
        <v>-1.3516250707060606</v>
      </c>
      <c r="J1022">
        <f ca="1">($B$1+Table4[[#This Row],[Home Differential]])-Table4[[#This Row],[Away Differential]]</f>
        <v>1.1528360711899359</v>
      </c>
      <c r="K1022" t="str">
        <f ca="1">IF(Table4[[#This Row],[HomeIce Differential]]&gt;0,Table4[[#This Row],[Home]],Table4[[#This Row],[Visitor]])</f>
        <v>Seattle Kraken</v>
      </c>
      <c r="L1022" s="11">
        <f ca="1"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0.72577316178709106</v>
      </c>
      <c r="M1022" t="str">
        <f ca="1">IF(OR((NHL2025_26Results[[#This Row],[Winning Team]]="")),"-",IF(Table4[[#This Row],[Predicted Winner]]=NHL2025_26Results[[#This Row],[Winning Team]],"YES","NO"))</f>
        <v>-</v>
      </c>
      <c r="N1022" t="str">
        <f ca="1">IF(Table4[[#This Row],[Adjusted Correct]]="-", "",IF(Table4[[#This Row],[Adjusted Correct]]="YES",(Table4[[#This Row],[Strength of Win]]-1)^2,(Table4[[#This Row],[Strength of Win]]-0)^2))</f>
        <v/>
      </c>
      <c r="P1022" s="11"/>
    </row>
    <row r="1023" spans="4:16" x14ac:dyDescent="0.2">
      <c r="D1023" s="1">
        <v>46091</v>
      </c>
      <c r="E1023" s="2">
        <v>0.8125</v>
      </c>
      <c r="F1023" t="s">
        <v>35</v>
      </c>
      <c r="G1023">
        <f>VLOOKUP(Table4[[#This Row],[Home]],'NHL Model'!$A$6:$B$38,2,FALSE)</f>
        <v>-1.6211574240381006</v>
      </c>
      <c r="H1023" t="s">
        <v>30</v>
      </c>
      <c r="I1023">
        <f>VLOOKUP(Table4[[#This Row],[Visitor]],'NHL Model'!$A$6:$B$38,2,FALSE)</f>
        <v>-6.4729560818359025E-2</v>
      </c>
      <c r="J1023">
        <f ca="1">($B$1+Table4[[#This Row],[Home Differential]])-Table4[[#This Row],[Away Differential]]</f>
        <v>-1.3938555535574231</v>
      </c>
      <c r="K1023" t="str">
        <f ca="1">IF(Table4[[#This Row],[HomeIce Differential]]&gt;0,Table4[[#This Row],[Home]],Table4[[#This Row],[Visitor]])</f>
        <v>New York Islanders</v>
      </c>
      <c r="L1023" s="11">
        <f ca="1"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0.69564332624843839</v>
      </c>
      <c r="M1023" t="str">
        <f ca="1">IF(OR((NHL2025_26Results[[#This Row],[Winning Team]]="")),"-",IF(Table4[[#This Row],[Predicted Winner]]=NHL2025_26Results[[#This Row],[Winning Team]],"YES","NO"))</f>
        <v>-</v>
      </c>
      <c r="N1023" t="str">
        <f ca="1">IF(Table4[[#This Row],[Adjusted Correct]]="-", "",IF(Table4[[#This Row],[Adjusted Correct]]="YES",(Table4[[#This Row],[Strength of Win]]-1)^2,(Table4[[#This Row],[Strength of Win]]-0)^2))</f>
        <v/>
      </c>
      <c r="P1023" s="11"/>
    </row>
    <row r="1024" spans="4:16" x14ac:dyDescent="0.2">
      <c r="D1024" s="1">
        <v>46091</v>
      </c>
      <c r="E1024" s="2">
        <v>0.79166666666666663</v>
      </c>
      <c r="F1024" t="s">
        <v>37</v>
      </c>
      <c r="G1024">
        <f>VLOOKUP(Table4[[#This Row],[Home]],'NHL Model'!$A$6:$B$38,2,FALSE)</f>
        <v>-0.11309445867623392</v>
      </c>
      <c r="H1024" t="s">
        <v>28</v>
      </c>
      <c r="I1024">
        <f>VLOOKUP(Table4[[#This Row],[Visitor]],'NHL Model'!$A$6:$B$38,2,FALSE)</f>
        <v>-0.40822279081308277</v>
      </c>
      <c r="J1024">
        <f ca="1">($B$1+Table4[[#This Row],[Home Differential]])-Table4[[#This Row],[Away Differential]]</f>
        <v>0.45770064179916725</v>
      </c>
      <c r="K1024" t="str">
        <f ca="1">IF(Table4[[#This Row],[HomeIce Differential]]&gt;0,Table4[[#This Row],[Home]],Table4[[#This Row],[Visitor]])</f>
        <v>Tampa Bay Lightning</v>
      </c>
      <c r="L1024" s="11">
        <f ca="1"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0.58264915871127698</v>
      </c>
      <c r="M1024" t="str">
        <f ca="1">IF(OR((NHL2025_26Results[[#This Row],[Winning Team]]="")),"-",IF(Table4[[#This Row],[Predicted Winner]]=NHL2025_26Results[[#This Row],[Winning Team]],"YES","NO"))</f>
        <v>-</v>
      </c>
      <c r="N1024" t="str">
        <f ca="1">IF(Table4[[#This Row],[Adjusted Correct]]="-", "",IF(Table4[[#This Row],[Adjusted Correct]]="YES",(Table4[[#This Row],[Strength of Win]]-1)^2,(Table4[[#This Row],[Strength of Win]]-0)^2))</f>
        <v/>
      </c>
      <c r="P1024" s="11"/>
    </row>
    <row r="1025" spans="4:16" x14ac:dyDescent="0.2">
      <c r="D1025" s="1">
        <v>46091</v>
      </c>
      <c r="E1025" s="2">
        <v>0.85416666666666663</v>
      </c>
      <c r="F1025" t="s">
        <v>40</v>
      </c>
      <c r="G1025">
        <f>VLOOKUP(Table4[[#This Row],[Home]],'NHL Model'!$A$6:$B$38,2,FALSE)</f>
        <v>0.105105258369765</v>
      </c>
      <c r="H1025" t="s">
        <v>31</v>
      </c>
      <c r="I1025">
        <f>VLOOKUP(Table4[[#This Row],[Visitor]],'NHL Model'!$A$6:$B$38,2,FALSE)</f>
        <v>0.51775546328552802</v>
      </c>
      <c r="J1025">
        <f ca="1">($B$1+Table4[[#This Row],[Home Differential]])-Table4[[#This Row],[Away Differential]]</f>
        <v>-0.25007789525344459</v>
      </c>
      <c r="K1025" t="str">
        <f ca="1">IF(Table4[[#This Row],[HomeIce Differential]]&gt;0,Table4[[#This Row],[Home]],Table4[[#This Row],[Visitor]])</f>
        <v>Anaheim Ducks</v>
      </c>
      <c r="L1025" s="11">
        <f ca="1"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0.47909490352902556</v>
      </c>
      <c r="M1025" t="str">
        <f ca="1">IF(OR((NHL2025_26Results[[#This Row],[Winning Team]]="")),"-",IF(Table4[[#This Row],[Predicted Winner]]=NHL2025_26Results[[#This Row],[Winning Team]],"YES","NO"))</f>
        <v>-</v>
      </c>
      <c r="N1025" t="str">
        <f ca="1">IF(Table4[[#This Row],[Adjusted Correct]]="-", "",IF(Table4[[#This Row],[Adjusted Correct]]="YES",(Table4[[#This Row],[Strength of Win]]-1)^2,(Table4[[#This Row],[Strength of Win]]-0)^2))</f>
        <v/>
      </c>
      <c r="P1025" s="11"/>
    </row>
    <row r="1026" spans="4:16" x14ac:dyDescent="0.2">
      <c r="D1026" s="1">
        <v>46092</v>
      </c>
      <c r="E1026" s="2">
        <v>0.8125</v>
      </c>
      <c r="F1026" t="s">
        <v>36</v>
      </c>
      <c r="G1026">
        <f>VLOOKUP(Table4[[#This Row],[Home]],'NHL Model'!$A$6:$B$38,2,FALSE)</f>
        <v>-0.40651947573390851</v>
      </c>
      <c r="H1026" t="s">
        <v>18</v>
      </c>
      <c r="I1026">
        <f>VLOOKUP(Table4[[#This Row],[Visitor]],'NHL Model'!$A$6:$B$38,2,FALSE)</f>
        <v>-0.52437726201848234</v>
      </c>
      <c r="J1026">
        <f ca="1">($B$1+Table4[[#This Row],[Home Differential]])-Table4[[#This Row],[Away Differential]]</f>
        <v>0.28043009594689222</v>
      </c>
      <c r="K1026" t="str">
        <f ca="1">IF(Table4[[#This Row],[HomeIce Differential]]&gt;0,Table4[[#This Row],[Home]],Table4[[#This Row],[Visitor]])</f>
        <v>Ottawa Senators</v>
      </c>
      <c r="L1026" s="11">
        <f ca="1"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0.50487543694056369</v>
      </c>
      <c r="M1026" t="str">
        <f ca="1">IF(OR((NHL2025_26Results[[#This Row],[Winning Team]]="")),"-",IF(Table4[[#This Row],[Predicted Winner]]=NHL2025_26Results[[#This Row],[Winning Team]],"YES","NO"))</f>
        <v>-</v>
      </c>
      <c r="N1026" t="str">
        <f ca="1">IF(Table4[[#This Row],[Adjusted Correct]]="-", "",IF(Table4[[#This Row],[Adjusted Correct]]="YES",(Table4[[#This Row],[Strength of Win]]-1)^2,(Table4[[#This Row],[Strength of Win]]-0)^2))</f>
        <v/>
      </c>
      <c r="P1026" s="11"/>
    </row>
    <row r="1027" spans="4:16" x14ac:dyDescent="0.2">
      <c r="D1027" s="1">
        <v>46092</v>
      </c>
      <c r="E1027" s="2">
        <v>0.8125</v>
      </c>
      <c r="F1027" t="s">
        <v>27</v>
      </c>
      <c r="G1027">
        <f>VLOOKUP(Table4[[#This Row],[Home]],'NHL Model'!$A$6:$B$38,2,FALSE)</f>
        <v>-0.51358590497437617</v>
      </c>
      <c r="H1027" t="s">
        <v>22</v>
      </c>
      <c r="I1027">
        <f>VLOOKUP(Table4[[#This Row],[Visitor]],'NHL Model'!$A$6:$B$38,2,FALSE)</f>
        <v>-6.1308839486784707E-2</v>
      </c>
      <c r="J1027">
        <f ca="1">($B$1+Table4[[#This Row],[Home Differential]])-Table4[[#This Row],[Away Differential]]</f>
        <v>-0.28970475582527305</v>
      </c>
      <c r="K1027" t="str">
        <f ca="1">IF(Table4[[#This Row],[HomeIce Differential]]&gt;0,Table4[[#This Row],[Home]],Table4[[#This Row],[Visitor]])</f>
        <v>Washington Capitals</v>
      </c>
      <c r="L1027" s="11">
        <f ca="1"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0.49764562474312668</v>
      </c>
      <c r="M1027" t="str">
        <f ca="1">IF(OR((NHL2025_26Results[[#This Row],[Winning Team]]="")),"-",IF(Table4[[#This Row],[Predicted Winner]]=NHL2025_26Results[[#This Row],[Winning Team]],"YES","NO"))</f>
        <v>-</v>
      </c>
      <c r="N1027" t="str">
        <f ca="1">IF(Table4[[#This Row],[Adjusted Correct]]="-", "",IF(Table4[[#This Row],[Adjusted Correct]]="YES",(Table4[[#This Row],[Strength of Win]]-1)^2,(Table4[[#This Row],[Strength of Win]]-0)^2))</f>
        <v/>
      </c>
      <c r="P1027" s="11"/>
    </row>
    <row r="1028" spans="4:16" x14ac:dyDescent="0.2">
      <c r="D1028" s="1">
        <v>46093</v>
      </c>
      <c r="E1028" s="2">
        <v>0.79166666666666663</v>
      </c>
      <c r="F1028" t="s">
        <v>21</v>
      </c>
      <c r="G1028">
        <f>VLOOKUP(Table4[[#This Row],[Home]],'NHL Model'!$A$6:$B$38,2,FALSE)</f>
        <v>4.029141914856392E-2</v>
      </c>
      <c r="H1028" t="s">
        <v>33</v>
      </c>
      <c r="I1028">
        <f>VLOOKUP(Table4[[#This Row],[Visitor]],'NHL Model'!$A$6:$B$38,2,FALSE)</f>
        <v>-0.39418177254008485</v>
      </c>
      <c r="J1028">
        <f ca="1">($B$1+Table4[[#This Row],[Home Differential]])-Table4[[#This Row],[Away Differential]]</f>
        <v>0.59704550135096723</v>
      </c>
      <c r="K1028" t="str">
        <f ca="1">IF(Table4[[#This Row],[HomeIce Differential]]&gt;0,Table4[[#This Row],[Home]],Table4[[#This Row],[Visitor]])</f>
        <v>Boston Bruins</v>
      </c>
      <c r="L1028" s="11">
        <f ca="1"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0.69528325432652183</v>
      </c>
      <c r="M1028" t="str">
        <f ca="1">IF(OR((NHL2025_26Results[[#This Row],[Winning Team]]="")),"-",IF(Table4[[#This Row],[Predicted Winner]]=NHL2025_26Results[[#This Row],[Winning Team]],"YES","NO"))</f>
        <v>-</v>
      </c>
      <c r="N1028" t="str">
        <f ca="1">IF(Table4[[#This Row],[Adjusted Correct]]="-", "",IF(Table4[[#This Row],[Adjusted Correct]]="YES",(Table4[[#This Row],[Strength of Win]]-1)^2,(Table4[[#This Row],[Strength of Win]]-0)^2))</f>
        <v/>
      </c>
      <c r="P1028" s="11"/>
    </row>
    <row r="1029" spans="4:16" x14ac:dyDescent="0.2">
      <c r="D1029" s="1">
        <v>46093</v>
      </c>
      <c r="E1029" s="2">
        <v>0.79166666666666663</v>
      </c>
      <c r="F1029" t="s">
        <v>23</v>
      </c>
      <c r="G1029">
        <f>VLOOKUP(Table4[[#This Row],[Home]],'NHL Model'!$A$6:$B$38,2,FALSE)</f>
        <v>-0.8683412362501769</v>
      </c>
      <c r="H1029" t="s">
        <v>22</v>
      </c>
      <c r="I1029">
        <f>VLOOKUP(Table4[[#This Row],[Visitor]],'NHL Model'!$A$6:$B$38,2,FALSE)</f>
        <v>-6.1308839486784707E-2</v>
      </c>
      <c r="J1029">
        <f ca="1">($B$1+Table4[[#This Row],[Home Differential]])-Table4[[#This Row],[Away Differential]]</f>
        <v>-0.64446008710107383</v>
      </c>
      <c r="K1029" t="str">
        <f ca="1">IF(Table4[[#This Row],[HomeIce Differential]]&gt;0,Table4[[#This Row],[Home]],Table4[[#This Row],[Visitor]])</f>
        <v>Washington Capitals</v>
      </c>
      <c r="L1029" s="11">
        <f ca="1"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0.54929552872759868</v>
      </c>
      <c r="M1029" t="str">
        <f ca="1">IF(OR((NHL2025_26Results[[#This Row],[Winning Team]]="")),"-",IF(Table4[[#This Row],[Predicted Winner]]=NHL2025_26Results[[#This Row],[Winning Team]],"YES","NO"))</f>
        <v>-</v>
      </c>
      <c r="N1029" t="str">
        <f ca="1">IF(Table4[[#This Row],[Adjusted Correct]]="-", "",IF(Table4[[#This Row],[Adjusted Correct]]="YES",(Table4[[#This Row],[Strength of Win]]-1)^2,(Table4[[#This Row],[Strength of Win]]-0)^2))</f>
        <v/>
      </c>
      <c r="P1029" s="11"/>
    </row>
    <row r="1030" spans="4:16" x14ac:dyDescent="0.2">
      <c r="D1030" s="1">
        <v>46093</v>
      </c>
      <c r="E1030" s="2">
        <v>0.79166666666666663</v>
      </c>
      <c r="F1030" t="s">
        <v>25</v>
      </c>
      <c r="G1030">
        <f>VLOOKUP(Table4[[#This Row],[Home]],'NHL Model'!$A$6:$B$38,2,FALSE)</f>
        <v>0.67193921242367816</v>
      </c>
      <c r="H1030" t="s">
        <v>35</v>
      </c>
      <c r="I1030">
        <f>VLOOKUP(Table4[[#This Row],[Visitor]],'NHL Model'!$A$6:$B$38,2,FALSE)</f>
        <v>-1.6211574240381006</v>
      </c>
      <c r="J1030">
        <f ca="1">($B$1+Table4[[#This Row],[Home Differential]])-Table4[[#This Row],[Away Differential]]</f>
        <v>2.455668946124097</v>
      </c>
      <c r="K1030" t="str">
        <f ca="1">IF(Table4[[#This Row],[HomeIce Differential]]&gt;0,Table4[[#This Row],[Home]],Table4[[#This Row],[Visitor]])</f>
        <v>Carolina Hurricanes</v>
      </c>
      <c r="L1030" s="11">
        <f ca="1"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0.93197018495189465</v>
      </c>
      <c r="M1030" t="str">
        <f ca="1">IF(OR((NHL2025_26Results[[#This Row],[Winning Team]]="")),"-",IF(Table4[[#This Row],[Predicted Winner]]=NHL2025_26Results[[#This Row],[Winning Team]],"YES","NO"))</f>
        <v>-</v>
      </c>
      <c r="N1030" t="str">
        <f ca="1">IF(Table4[[#This Row],[Adjusted Correct]]="-", "",IF(Table4[[#This Row],[Adjusted Correct]]="YES",(Table4[[#This Row],[Strength of Win]]-1)^2,(Table4[[#This Row],[Strength of Win]]-0)^2))</f>
        <v/>
      </c>
      <c r="P1030" s="11"/>
    </row>
    <row r="1031" spans="4:16" x14ac:dyDescent="0.2">
      <c r="D1031" s="1">
        <v>46093</v>
      </c>
      <c r="E1031" s="2">
        <v>0.83333333333333337</v>
      </c>
      <c r="F1031" t="s">
        <v>39</v>
      </c>
      <c r="G1031">
        <f>VLOOKUP(Table4[[#This Row],[Home]],'NHL Model'!$A$6:$B$38,2,FALSE)</f>
        <v>0.19809534061227302</v>
      </c>
      <c r="H1031" t="s">
        <v>17</v>
      </c>
      <c r="I1031">
        <f>VLOOKUP(Table4[[#This Row],[Visitor]],'NHL Model'!$A$6:$B$38,2,FALSE)</f>
        <v>-0.61980804137564283</v>
      </c>
      <c r="J1031">
        <f ca="1">($B$1+Table4[[#This Row],[Home Differential]])-Table4[[#This Row],[Away Differential]]</f>
        <v>0.98047569165023418</v>
      </c>
      <c r="K1031" t="str">
        <f ca="1">IF(Table4[[#This Row],[HomeIce Differential]]&gt;0,Table4[[#This Row],[Home]],Table4[[#This Row],[Visitor]])</f>
        <v>Dallas Stars</v>
      </c>
      <c r="L1031" s="11">
        <f ca="1"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0.70189113785614532</v>
      </c>
      <c r="M1031" t="str">
        <f ca="1">IF(OR((NHL2025_26Results[[#This Row],[Winning Team]]="")),"-",IF(Table4[[#This Row],[Predicted Winner]]=NHL2025_26Results[[#This Row],[Winning Team]],"YES","NO"))</f>
        <v>-</v>
      </c>
      <c r="N1031" t="str">
        <f ca="1">IF(Table4[[#This Row],[Adjusted Correct]]="-", "",IF(Table4[[#This Row],[Adjusted Correct]]="YES",(Table4[[#This Row],[Strength of Win]]-1)^2,(Table4[[#This Row],[Strength of Win]]-0)^2))</f>
        <v/>
      </c>
      <c r="P1031" s="11"/>
    </row>
    <row r="1032" spans="4:16" x14ac:dyDescent="0.2">
      <c r="D1032" s="1">
        <v>46093</v>
      </c>
      <c r="E1032" s="2">
        <v>0.79166666666666663</v>
      </c>
      <c r="F1032" t="s">
        <v>11</v>
      </c>
      <c r="G1032">
        <f>VLOOKUP(Table4[[#This Row],[Home]],'NHL Model'!$A$6:$B$38,2,FALSE)</f>
        <v>-0.28105923893144158</v>
      </c>
      <c r="H1032" t="s">
        <v>28</v>
      </c>
      <c r="I1032">
        <f>VLOOKUP(Table4[[#This Row],[Visitor]],'NHL Model'!$A$6:$B$38,2,FALSE)</f>
        <v>-0.40822279081308277</v>
      </c>
      <c r="J1032">
        <f ca="1">($B$1+Table4[[#This Row],[Home Differential]])-Table4[[#This Row],[Away Differential]]</f>
        <v>0.28973586154395958</v>
      </c>
      <c r="K1032" t="str">
        <f ca="1">IF(Table4[[#This Row],[HomeIce Differential]]&gt;0,Table4[[#This Row],[Home]],Table4[[#This Row],[Visitor]])</f>
        <v>Florida Panthers</v>
      </c>
      <c r="L1032" s="11">
        <f ca="1"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0.61157398534286489</v>
      </c>
      <c r="M1032" t="str">
        <f ca="1">IF(OR((NHL2025_26Results[[#This Row],[Winning Team]]="")),"-",IF(Table4[[#This Row],[Predicted Winner]]=NHL2025_26Results[[#This Row],[Winning Team]],"YES","NO"))</f>
        <v>-</v>
      </c>
      <c r="N1032" t="str">
        <f ca="1">IF(Table4[[#This Row],[Adjusted Correct]]="-", "",IF(Table4[[#This Row],[Adjusted Correct]]="YES",(Table4[[#This Row],[Strength of Win]]-1)^2,(Table4[[#This Row],[Strength of Win]]-0)^2))</f>
        <v/>
      </c>
      <c r="P1032" s="11"/>
    </row>
    <row r="1033" spans="4:16" x14ac:dyDescent="0.2">
      <c r="D1033" s="1">
        <v>46093</v>
      </c>
      <c r="E1033" s="2">
        <v>0.83333333333333337</v>
      </c>
      <c r="F1033" t="s">
        <v>34</v>
      </c>
      <c r="G1033">
        <f>VLOOKUP(Table4[[#This Row],[Home]],'NHL Model'!$A$6:$B$38,2,FALSE)</f>
        <v>-0.53650300840565446</v>
      </c>
      <c r="H1033" t="s">
        <v>27</v>
      </c>
      <c r="I1033">
        <f>VLOOKUP(Table4[[#This Row],[Visitor]],'NHL Model'!$A$6:$B$38,2,FALSE)</f>
        <v>-0.51358590497437617</v>
      </c>
      <c r="J1033">
        <f ca="1">($B$1+Table4[[#This Row],[Home Differential]])-Table4[[#This Row],[Away Differential]]</f>
        <v>0.13965520623104011</v>
      </c>
      <c r="K1033" t="str">
        <f ca="1">IF(Table4[[#This Row],[HomeIce Differential]]&gt;0,Table4[[#This Row],[Home]],Table4[[#This Row],[Visitor]])</f>
        <v>Minnesota Wild</v>
      </c>
      <c r="L1033" s="11">
        <f ca="1"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0.55935043880848867</v>
      </c>
      <c r="M1033" t="str">
        <f ca="1">IF(OR((NHL2025_26Results[[#This Row],[Winning Team]]="")),"-",IF(Table4[[#This Row],[Predicted Winner]]=NHL2025_26Results[[#This Row],[Winning Team]],"YES","NO"))</f>
        <v>-</v>
      </c>
      <c r="N1033" t="str">
        <f ca="1">IF(Table4[[#This Row],[Adjusted Correct]]="-", "",IF(Table4[[#This Row],[Adjusted Correct]]="YES",(Table4[[#This Row],[Strength of Win]]-1)^2,(Table4[[#This Row],[Strength of Win]]-0)^2))</f>
        <v/>
      </c>
      <c r="P1033" s="11"/>
    </row>
    <row r="1034" spans="4:16" x14ac:dyDescent="0.2">
      <c r="D1034" s="1">
        <v>46093</v>
      </c>
      <c r="E1034" s="2">
        <v>0.79166666666666663</v>
      </c>
      <c r="F1034" t="s">
        <v>24</v>
      </c>
      <c r="G1034">
        <f>VLOOKUP(Table4[[#This Row],[Home]],'NHL Model'!$A$6:$B$38,2,FALSE)</f>
        <v>0.559441163373953</v>
      </c>
      <c r="H1034" t="s">
        <v>16</v>
      </c>
      <c r="I1034">
        <f>VLOOKUP(Table4[[#This Row],[Visitor]],'NHL Model'!$A$6:$B$38,2,FALSE)</f>
        <v>-1.3903684122795328</v>
      </c>
      <c r="J1034">
        <f ca="1">($B$1+Table4[[#This Row],[Home Differential]])-Table4[[#This Row],[Away Differential]]</f>
        <v>2.1123818853158043</v>
      </c>
      <c r="K1034" t="str">
        <f ca="1">IF(Table4[[#This Row],[HomeIce Differential]]&gt;0,Table4[[#This Row],[Home]],Table4[[#This Row],[Visitor]])</f>
        <v>New Jersey Devils</v>
      </c>
      <c r="L1034" s="11">
        <f ca="1"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0.94811952368628138</v>
      </c>
      <c r="M1034" t="str">
        <f ca="1">IF(OR((NHL2025_26Results[[#This Row],[Winning Team]]="")),"-",IF(Table4[[#This Row],[Predicted Winner]]=NHL2025_26Results[[#This Row],[Winning Team]],"YES","NO"))</f>
        <v>-</v>
      </c>
      <c r="N1034" t="str">
        <f ca="1">IF(Table4[[#This Row],[Adjusted Correct]]="-", "",IF(Table4[[#This Row],[Adjusted Correct]]="YES",(Table4[[#This Row],[Strength of Win]]-1)^2,(Table4[[#This Row],[Strength of Win]]-0)^2))</f>
        <v/>
      </c>
      <c r="P1034" s="11"/>
    </row>
    <row r="1035" spans="4:16" x14ac:dyDescent="0.2">
      <c r="D1035" s="1">
        <v>46093</v>
      </c>
      <c r="E1035" s="2">
        <v>0.91666666666666663</v>
      </c>
      <c r="F1035" t="s">
        <v>32</v>
      </c>
      <c r="G1035">
        <f>VLOOKUP(Table4[[#This Row],[Home]],'NHL Model'!$A$6:$B$38,2,FALSE)</f>
        <v>-0.361361309178443</v>
      </c>
      <c r="H1035" t="s">
        <v>12</v>
      </c>
      <c r="I1035">
        <f>VLOOKUP(Table4[[#This Row],[Visitor]],'NHL Model'!$A$6:$B$38,2,FALSE)</f>
        <v>1.5475013591489768</v>
      </c>
      <c r="J1035">
        <f ca="1">($B$1+Table4[[#This Row],[Home Differential]])-Table4[[#This Row],[Away Differential]]</f>
        <v>-1.7462903586651013</v>
      </c>
      <c r="K1035" t="str">
        <f ca="1">IF(Table4[[#This Row],[HomeIce Differential]]&gt;0,Table4[[#This Row],[Home]],Table4[[#This Row],[Visitor]])</f>
        <v>Colorado Avalanche</v>
      </c>
      <c r="L1035" s="11">
        <f ca="1"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0.7419636592086607</v>
      </c>
      <c r="M1035" t="str">
        <f ca="1">IF(OR((NHL2025_26Results[[#This Row],[Winning Team]]="")),"-",IF(Table4[[#This Row],[Predicted Winner]]=NHL2025_26Results[[#This Row],[Winning Team]],"YES","NO"))</f>
        <v>-</v>
      </c>
      <c r="N1035" t="str">
        <f ca="1">IF(Table4[[#This Row],[Adjusted Correct]]="-", "",IF(Table4[[#This Row],[Adjusted Correct]]="YES",(Table4[[#This Row],[Strength of Win]]-1)^2,(Table4[[#This Row],[Strength of Win]]-0)^2))</f>
        <v/>
      </c>
      <c r="P1035" s="11"/>
    </row>
    <row r="1036" spans="4:16" x14ac:dyDescent="0.2">
      <c r="D1036" s="1">
        <v>46093</v>
      </c>
      <c r="E1036" s="2">
        <v>0.79166666666666663</v>
      </c>
      <c r="F1036" t="s">
        <v>37</v>
      </c>
      <c r="G1036">
        <f>VLOOKUP(Table4[[#This Row],[Home]],'NHL Model'!$A$6:$B$38,2,FALSE)</f>
        <v>-0.11309445867623392</v>
      </c>
      <c r="H1036" t="s">
        <v>26</v>
      </c>
      <c r="I1036">
        <f>VLOOKUP(Table4[[#This Row],[Visitor]],'NHL Model'!$A$6:$B$38,2,FALSE)</f>
        <v>-0.513643833119658</v>
      </c>
      <c r="J1036">
        <f ca="1">($B$1+Table4[[#This Row],[Home Differential]])-Table4[[#This Row],[Away Differential]]</f>
        <v>0.56312168410574248</v>
      </c>
      <c r="K1036" t="str">
        <f ca="1">IF(Table4[[#This Row],[HomeIce Differential]]&gt;0,Table4[[#This Row],[Home]],Table4[[#This Row],[Visitor]])</f>
        <v>Tampa Bay Lightning</v>
      </c>
      <c r="L1036" s="11">
        <f ca="1"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0.57092599678867817</v>
      </c>
      <c r="M1036" t="str">
        <f ca="1">IF(OR((NHL2025_26Results[[#This Row],[Winning Team]]="")),"-",IF(Table4[[#This Row],[Predicted Winner]]=NHL2025_26Results[[#This Row],[Winning Team]],"YES","NO"))</f>
        <v>-</v>
      </c>
      <c r="N1036" t="str">
        <f ca="1">IF(Table4[[#This Row],[Adjusted Correct]]="-", "",IF(Table4[[#This Row],[Adjusted Correct]]="YES",(Table4[[#This Row],[Strength of Win]]-1)^2,(Table4[[#This Row],[Strength of Win]]-0)^2))</f>
        <v/>
      </c>
      <c r="P1036" s="11"/>
    </row>
    <row r="1037" spans="4:16" x14ac:dyDescent="0.2">
      <c r="D1037" s="1">
        <v>46093</v>
      </c>
      <c r="E1037" s="2">
        <v>0.79166666666666663</v>
      </c>
      <c r="F1037" t="s">
        <v>19</v>
      </c>
      <c r="G1037">
        <f>VLOOKUP(Table4[[#This Row],[Home]],'NHL Model'!$A$6:$B$38,2,FALSE)</f>
        <v>-0.635565543477981</v>
      </c>
      <c r="H1037" t="s">
        <v>31</v>
      </c>
      <c r="I1037">
        <f>VLOOKUP(Table4[[#This Row],[Visitor]],'NHL Model'!$A$6:$B$38,2,FALSE)</f>
        <v>0.51775546328552802</v>
      </c>
      <c r="J1037">
        <f ca="1">($B$1+Table4[[#This Row],[Home Differential]])-Table4[[#This Row],[Away Differential]]</f>
        <v>-0.99074869710119062</v>
      </c>
      <c r="K1037" t="str">
        <f ca="1">IF(Table4[[#This Row],[HomeIce Differential]]&gt;0,Table4[[#This Row],[Home]],Table4[[#This Row],[Visitor]])</f>
        <v>Anaheim Ducks</v>
      </c>
      <c r="L1037" s="11">
        <f ca="1"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0.61804604668778607</v>
      </c>
      <c r="M1037" t="str">
        <f ca="1">IF(OR((NHL2025_26Results[[#This Row],[Winning Team]]="")),"-",IF(Table4[[#This Row],[Predicted Winner]]=NHL2025_26Results[[#This Row],[Winning Team]],"YES","NO"))</f>
        <v>-</v>
      </c>
      <c r="N1037" t="str">
        <f ca="1">IF(Table4[[#This Row],[Adjusted Correct]]="-", "",IF(Table4[[#This Row],[Adjusted Correct]]="YES",(Table4[[#This Row],[Strength of Win]]-1)^2,(Table4[[#This Row],[Strength of Win]]-0)^2))</f>
        <v/>
      </c>
      <c r="P1037" s="11"/>
    </row>
    <row r="1038" spans="4:16" x14ac:dyDescent="0.2">
      <c r="D1038" s="1">
        <v>46093</v>
      </c>
      <c r="E1038" s="2">
        <v>0.875</v>
      </c>
      <c r="F1038" t="s">
        <v>55</v>
      </c>
      <c r="G1038">
        <f>VLOOKUP(Table4[[#This Row],[Home]],'NHL Model'!$A$6:$B$38,2,FALSE)</f>
        <v>-0.12212311954851815</v>
      </c>
      <c r="H1038" t="s">
        <v>10</v>
      </c>
      <c r="I1038">
        <f>VLOOKUP(Table4[[#This Row],[Visitor]],'NHL Model'!$A$6:$B$38,2,FALSE)</f>
        <v>0.30570968833820172</v>
      </c>
      <c r="J1038">
        <f ca="1">($B$1+Table4[[#This Row],[Home Differential]])-Table4[[#This Row],[Away Differential]]</f>
        <v>-0.26526049822440145</v>
      </c>
      <c r="K1038" t="str">
        <f ca="1">IF(Table4[[#This Row],[HomeIce Differential]]&gt;0,Table4[[#This Row],[Home]],Table4[[#This Row],[Visitor]])</f>
        <v>Chicago Blackhawks</v>
      </c>
      <c r="L1038" s="11">
        <f ca="1"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0.44851884615198806</v>
      </c>
      <c r="M1038" t="str">
        <f ca="1">IF(OR((NHL2025_26Results[[#This Row],[Winning Team]]="")),"-",IF(Table4[[#This Row],[Predicted Winner]]=NHL2025_26Results[[#This Row],[Winning Team]],"YES","NO"))</f>
        <v>-</v>
      </c>
      <c r="N1038" t="str">
        <f ca="1">IF(Table4[[#This Row],[Adjusted Correct]]="-", "",IF(Table4[[#This Row],[Adjusted Correct]]="YES",(Table4[[#This Row],[Strength of Win]]-1)^2,(Table4[[#This Row],[Strength of Win]]-0)^2))</f>
        <v/>
      </c>
      <c r="P1038" s="11"/>
    </row>
    <row r="1039" spans="4:16" x14ac:dyDescent="0.2">
      <c r="D1039" s="1">
        <v>46093</v>
      </c>
      <c r="E1039" s="2">
        <v>0.91666666666666663</v>
      </c>
      <c r="F1039" t="s">
        <v>38</v>
      </c>
      <c r="G1039">
        <f>VLOOKUP(Table4[[#This Row],[Home]],'NHL Model'!$A$6:$B$38,2,FALSE)</f>
        <v>-0.6902088310934803</v>
      </c>
      <c r="H1039" t="s">
        <v>29</v>
      </c>
      <c r="I1039">
        <f>VLOOKUP(Table4[[#This Row],[Visitor]],'NHL Model'!$A$6:$B$38,2,FALSE)</f>
        <v>-1.3516250707060606</v>
      </c>
      <c r="J1039">
        <f ca="1">($B$1+Table4[[#This Row],[Home Differential]])-Table4[[#This Row],[Away Differential]]</f>
        <v>0.82398854927489873</v>
      </c>
      <c r="K1039" t="str">
        <f ca="1">IF(Table4[[#This Row],[HomeIce Differential]]&gt;0,Table4[[#This Row],[Home]],Table4[[#This Row],[Visitor]])</f>
        <v>Vancouver Canucks</v>
      </c>
      <c r="L1039" s="11">
        <f ca="1"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0.6541707526124102</v>
      </c>
      <c r="M1039" t="str">
        <f ca="1">IF(OR((NHL2025_26Results[[#This Row],[Winning Team]]="")),"-",IF(Table4[[#This Row],[Predicted Winner]]=NHL2025_26Results[[#This Row],[Winning Team]],"YES","NO"))</f>
        <v>-</v>
      </c>
      <c r="N1039" t="str">
        <f ca="1">IF(Table4[[#This Row],[Adjusted Correct]]="-", "",IF(Table4[[#This Row],[Adjusted Correct]]="YES",(Table4[[#This Row],[Strength of Win]]-1)^2,(Table4[[#This Row],[Strength of Win]]-0)^2))</f>
        <v/>
      </c>
      <c r="P1039" s="11"/>
    </row>
    <row r="1040" spans="4:16" x14ac:dyDescent="0.2">
      <c r="D1040" s="1">
        <v>46093</v>
      </c>
      <c r="E1040" s="2">
        <v>0.91666666666666663</v>
      </c>
      <c r="F1040" t="s">
        <v>20</v>
      </c>
      <c r="G1040">
        <f>VLOOKUP(Table4[[#This Row],[Home]],'NHL Model'!$A$6:$B$38,2,FALSE)</f>
        <v>-6.3745791019188943E-4</v>
      </c>
      <c r="H1040" t="s">
        <v>14</v>
      </c>
      <c r="I1040">
        <f>VLOOKUP(Table4[[#This Row],[Visitor]],'NHL Model'!$A$6:$B$38,2,FALSE)</f>
        <v>0.26289091192875702</v>
      </c>
      <c r="J1040">
        <f ca="1">($B$1+Table4[[#This Row],[Home Differential]])-Table4[[#This Row],[Away Differential]]</f>
        <v>-0.10095606017663053</v>
      </c>
      <c r="K1040" t="str">
        <f ca="1">IF(Table4[[#This Row],[HomeIce Differential]]&gt;0,Table4[[#This Row],[Home]],Table4[[#This Row],[Visitor]])</f>
        <v>Pittsburgh Penguins</v>
      </c>
      <c r="L1040" s="11">
        <f ca="1"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0.47398833682979291</v>
      </c>
      <c r="M1040" t="str">
        <f ca="1">IF(OR((NHL2025_26Results[[#This Row],[Winning Team]]="")),"-",IF(Table4[[#This Row],[Predicted Winner]]=NHL2025_26Results[[#This Row],[Winning Team]],"YES","NO"))</f>
        <v>-</v>
      </c>
      <c r="N1040" t="str">
        <f ca="1">IF(Table4[[#This Row],[Adjusted Correct]]="-", "",IF(Table4[[#This Row],[Adjusted Correct]]="YES",(Table4[[#This Row],[Strength of Win]]-1)^2,(Table4[[#This Row],[Strength of Win]]-0)^2))</f>
        <v/>
      </c>
      <c r="P1040" s="11"/>
    </row>
    <row r="1041" spans="4:16" x14ac:dyDescent="0.2">
      <c r="D1041" s="1">
        <v>46093</v>
      </c>
      <c r="E1041" s="2">
        <v>0.83333333333333337</v>
      </c>
      <c r="F1041" t="s">
        <v>40</v>
      </c>
      <c r="G1041">
        <f>VLOOKUP(Table4[[#This Row],[Home]],'NHL Model'!$A$6:$B$38,2,FALSE)</f>
        <v>0.105105258369765</v>
      </c>
      <c r="H1041" t="s">
        <v>15</v>
      </c>
      <c r="I1041">
        <f>VLOOKUP(Table4[[#This Row],[Visitor]],'NHL Model'!$A$6:$B$38,2,FALSE)</f>
        <v>-0.30719665303039001</v>
      </c>
      <c r="J1041">
        <f ca="1">($B$1+Table4[[#This Row],[Home Differential]])-Table4[[#This Row],[Away Differential]]</f>
        <v>0.57487422106247343</v>
      </c>
      <c r="K1041" t="str">
        <f ca="1">IF(Table4[[#This Row],[HomeIce Differential]]&gt;0,Table4[[#This Row],[Home]],Table4[[#This Row],[Visitor]])</f>
        <v>Winnipeg Jets</v>
      </c>
      <c r="L1041" s="11">
        <f ca="1"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0.51272467023152535</v>
      </c>
      <c r="M1041" t="str">
        <f ca="1">IF(OR((NHL2025_26Results[[#This Row],[Winning Team]]="")),"-",IF(Table4[[#This Row],[Predicted Winner]]=NHL2025_26Results[[#This Row],[Winning Team]],"YES","NO"))</f>
        <v>-</v>
      </c>
      <c r="N1041" t="str">
        <f ca="1">IF(Table4[[#This Row],[Adjusted Correct]]="-", "",IF(Table4[[#This Row],[Adjusted Correct]]="YES",(Table4[[#This Row],[Strength of Win]]-1)^2,(Table4[[#This Row],[Strength of Win]]-0)^2))</f>
        <v/>
      </c>
      <c r="P1041" s="11"/>
    </row>
    <row r="1042" spans="4:16" x14ac:dyDescent="0.2">
      <c r="D1042" s="1">
        <v>46094</v>
      </c>
      <c r="E1042" s="2">
        <v>0.79166666666666663</v>
      </c>
      <c r="F1042" t="s">
        <v>30</v>
      </c>
      <c r="G1042">
        <f>VLOOKUP(Table4[[#This Row],[Home]],'NHL Model'!$A$6:$B$38,2,FALSE)</f>
        <v>-6.4729560818359025E-2</v>
      </c>
      <c r="H1042" t="s">
        <v>13</v>
      </c>
      <c r="I1042">
        <f>VLOOKUP(Table4[[#This Row],[Visitor]],'NHL Model'!$A$6:$B$38,2,FALSE)</f>
        <v>-7.5459708298993802E-2</v>
      </c>
      <c r="J1042">
        <f ca="1">($B$1+Table4[[#This Row],[Home Differential]])-Table4[[#This Row],[Away Differential]]</f>
        <v>0.17330245714295317</v>
      </c>
      <c r="K1042" t="str">
        <f ca="1">IF(Table4[[#This Row],[HomeIce Differential]]&gt;0,Table4[[#This Row],[Home]],Table4[[#This Row],[Visitor]])</f>
        <v>New York Islanders</v>
      </c>
      <c r="L1042" s="11">
        <f ca="1"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0.44261720810791144</v>
      </c>
      <c r="M1042" t="str">
        <f ca="1">IF(OR((NHL2025_26Results[[#This Row],[Winning Team]]="")),"-",IF(Table4[[#This Row],[Predicted Winner]]=NHL2025_26Results[[#This Row],[Winning Team]],"YES","NO"))</f>
        <v>-</v>
      </c>
      <c r="N1042" t="str">
        <f ca="1">IF(Table4[[#This Row],[Adjusted Correct]]="-", "",IF(Table4[[#This Row],[Adjusted Correct]]="YES",(Table4[[#This Row],[Strength of Win]]-1)^2,(Table4[[#This Row],[Strength of Win]]-0)^2))</f>
        <v/>
      </c>
      <c r="P1042" s="11"/>
    </row>
    <row r="1043" spans="4:16" x14ac:dyDescent="0.2">
      <c r="D1043" s="1">
        <v>46094</v>
      </c>
      <c r="E1043" s="2">
        <v>0.83333333333333337</v>
      </c>
      <c r="F1043" t="s">
        <v>35</v>
      </c>
      <c r="G1043">
        <f>VLOOKUP(Table4[[#This Row],[Home]],'NHL Model'!$A$6:$B$38,2,FALSE)</f>
        <v>-1.6211574240381006</v>
      </c>
      <c r="H1043" t="s">
        <v>17</v>
      </c>
      <c r="I1043">
        <f>VLOOKUP(Table4[[#This Row],[Visitor]],'NHL Model'!$A$6:$B$38,2,FALSE)</f>
        <v>-0.61980804137564283</v>
      </c>
      <c r="J1043">
        <f ca="1">($B$1+Table4[[#This Row],[Home Differential]])-Table4[[#This Row],[Away Differential]]</f>
        <v>-0.83877707300013937</v>
      </c>
      <c r="K1043" t="str">
        <f ca="1">IF(Table4[[#This Row],[HomeIce Differential]]&gt;0,Table4[[#This Row],[Home]],Table4[[#This Row],[Visitor]])</f>
        <v>Edmonton Oilers</v>
      </c>
      <c r="L1043" s="11">
        <f ca="1"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0.57621983070363247</v>
      </c>
      <c r="M1043" t="str">
        <f ca="1">IF(OR((NHL2025_26Results[[#This Row],[Winning Team]]="")),"-",IF(Table4[[#This Row],[Predicted Winner]]=NHL2025_26Results[[#This Row],[Winning Team]],"YES","NO"))</f>
        <v>-</v>
      </c>
      <c r="N1043" t="str">
        <f ca="1">IF(Table4[[#This Row],[Adjusted Correct]]="-", "",IF(Table4[[#This Row],[Adjusted Correct]]="YES",(Table4[[#This Row],[Strength of Win]]-1)^2,(Table4[[#This Row],[Strength of Win]]-0)^2))</f>
        <v/>
      </c>
      <c r="P1043" s="11"/>
    </row>
    <row r="1044" spans="4:16" x14ac:dyDescent="0.2">
      <c r="D1044" s="1">
        <v>46095</v>
      </c>
      <c r="E1044" s="2">
        <v>0.79166666666666663</v>
      </c>
      <c r="F1044" t="s">
        <v>23</v>
      </c>
      <c r="G1044">
        <f>VLOOKUP(Table4[[#This Row],[Home]],'NHL Model'!$A$6:$B$38,2,FALSE)</f>
        <v>-0.8683412362501769</v>
      </c>
      <c r="H1044" t="s">
        <v>19</v>
      </c>
      <c r="I1044">
        <f>VLOOKUP(Table4[[#This Row],[Visitor]],'NHL Model'!$A$6:$B$38,2,FALSE)</f>
        <v>-0.635565543477981</v>
      </c>
      <c r="J1044">
        <f ca="1">($B$1+Table4[[#This Row],[Home Differential]])-Table4[[#This Row],[Away Differential]]</f>
        <v>-7.0203383109877504E-2</v>
      </c>
      <c r="K1044" t="str">
        <f ca="1">IF(Table4[[#This Row],[HomeIce Differential]]&gt;0,Table4[[#This Row],[Home]],Table4[[#This Row],[Visitor]])</f>
        <v>Toronto Maple Leafs</v>
      </c>
      <c r="L1044" s="11">
        <f ca="1"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0.46972728697825394</v>
      </c>
      <c r="M1044" t="str">
        <f ca="1">IF(OR((NHL2025_26Results[[#This Row],[Winning Team]]="")),"-",IF(Table4[[#This Row],[Predicted Winner]]=NHL2025_26Results[[#This Row],[Winning Team]],"YES","NO"))</f>
        <v>-</v>
      </c>
      <c r="N1044" t="str">
        <f ca="1">IF(Table4[[#This Row],[Adjusted Correct]]="-", "",IF(Table4[[#This Row],[Adjusted Correct]]="YES",(Table4[[#This Row],[Strength of Win]]-1)^2,(Table4[[#This Row],[Strength of Win]]-0)^2))</f>
        <v/>
      </c>
      <c r="P1044" s="11"/>
    </row>
    <row r="1045" spans="4:16" x14ac:dyDescent="0.2">
      <c r="D1045" s="1">
        <v>46095</v>
      </c>
      <c r="E1045" s="2">
        <v>0.83333333333333337</v>
      </c>
      <c r="F1045" t="s">
        <v>39</v>
      </c>
      <c r="G1045">
        <f>VLOOKUP(Table4[[#This Row],[Home]],'NHL Model'!$A$6:$B$38,2,FALSE)</f>
        <v>0.19809534061227302</v>
      </c>
      <c r="H1045" t="s">
        <v>26</v>
      </c>
      <c r="I1045">
        <f>VLOOKUP(Table4[[#This Row],[Visitor]],'NHL Model'!$A$6:$B$38,2,FALSE)</f>
        <v>-0.513643833119658</v>
      </c>
      <c r="J1045">
        <f ca="1">($B$1+Table4[[#This Row],[Home Differential]])-Table4[[#This Row],[Away Differential]]</f>
        <v>0.87431148339424936</v>
      </c>
      <c r="K1045" t="str">
        <f ca="1">IF(Table4[[#This Row],[HomeIce Differential]]&gt;0,Table4[[#This Row],[Home]],Table4[[#This Row],[Visitor]])</f>
        <v>Dallas Stars</v>
      </c>
      <c r="L1045" s="11">
        <f ca="1"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0.64037420036781056</v>
      </c>
      <c r="M1045" t="str">
        <f ca="1">IF(OR((NHL2025_26Results[[#This Row],[Winning Team]]="")),"-",IF(Table4[[#This Row],[Predicted Winner]]=NHL2025_26Results[[#This Row],[Winning Team]],"YES","NO"))</f>
        <v>-</v>
      </c>
      <c r="N1045" t="str">
        <f ca="1">IF(Table4[[#This Row],[Adjusted Correct]]="-", "",IF(Table4[[#This Row],[Adjusted Correct]]="YES",(Table4[[#This Row],[Strength of Win]]-1)^2,(Table4[[#This Row],[Strength of Win]]-0)^2))</f>
        <v/>
      </c>
      <c r="P1045" s="11"/>
    </row>
    <row r="1046" spans="4:16" x14ac:dyDescent="0.2">
      <c r="D1046" s="1">
        <v>46095</v>
      </c>
      <c r="E1046" s="2">
        <v>0.75</v>
      </c>
      <c r="F1046" t="s">
        <v>34</v>
      </c>
      <c r="G1046">
        <f>VLOOKUP(Table4[[#This Row],[Home]],'NHL Model'!$A$6:$B$38,2,FALSE)</f>
        <v>-0.53650300840565446</v>
      </c>
      <c r="H1046" t="s">
        <v>15</v>
      </c>
      <c r="I1046">
        <f>VLOOKUP(Table4[[#This Row],[Visitor]],'NHL Model'!$A$6:$B$38,2,FALSE)</f>
        <v>-0.30719665303039001</v>
      </c>
      <c r="J1046">
        <f ca="1">($B$1+Table4[[#This Row],[Home Differential]])-Table4[[#This Row],[Away Differential]]</f>
        <v>-6.6734045712946055E-2</v>
      </c>
      <c r="K1046" t="str">
        <f ca="1">IF(Table4[[#This Row],[HomeIce Differential]]&gt;0,Table4[[#This Row],[Home]],Table4[[#This Row],[Visitor]])</f>
        <v>New York Rangers</v>
      </c>
      <c r="L1046" s="11">
        <f ca="1"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0.61165621877747689</v>
      </c>
      <c r="M1046" t="str">
        <f ca="1">IF(OR((NHL2025_26Results[[#This Row],[Winning Team]]="")),"-",IF(Table4[[#This Row],[Predicted Winner]]=NHL2025_26Results[[#This Row],[Winning Team]],"YES","NO"))</f>
        <v>-</v>
      </c>
      <c r="N1046" t="str">
        <f ca="1">IF(Table4[[#This Row],[Adjusted Correct]]="-", "",IF(Table4[[#This Row],[Adjusted Correct]]="YES",(Table4[[#This Row],[Strength of Win]]-1)^2,(Table4[[#This Row],[Strength of Win]]-0)^2))</f>
        <v/>
      </c>
      <c r="P1046" s="11"/>
    </row>
    <row r="1047" spans="4:16" x14ac:dyDescent="0.2">
      <c r="D1047" s="1">
        <v>46095</v>
      </c>
      <c r="E1047" s="2">
        <v>0.79166666666666663</v>
      </c>
      <c r="F1047" t="s">
        <v>18</v>
      </c>
      <c r="G1047">
        <f>VLOOKUP(Table4[[#This Row],[Home]],'NHL Model'!$A$6:$B$38,2,FALSE)</f>
        <v>-0.52437726201848234</v>
      </c>
      <c r="H1047" t="s">
        <v>33</v>
      </c>
      <c r="I1047">
        <f>VLOOKUP(Table4[[#This Row],[Visitor]],'NHL Model'!$A$6:$B$38,2,FALSE)</f>
        <v>-0.39418177254008485</v>
      </c>
      <c r="J1047">
        <f ca="1">($B$1+Table4[[#This Row],[Home Differential]])-Table4[[#This Row],[Away Differential]]</f>
        <v>3.2376820183920907E-2</v>
      </c>
      <c r="K1047" t="str">
        <f ca="1">IF(Table4[[#This Row],[HomeIce Differential]]&gt;0,Table4[[#This Row],[Home]],Table4[[#This Row],[Visitor]])</f>
        <v>Montreal Canadiens</v>
      </c>
      <c r="L1047" s="11">
        <f ca="1"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0.54448608895214357</v>
      </c>
      <c r="M1047" t="str">
        <f ca="1">IF(OR((NHL2025_26Results[[#This Row],[Winning Team]]="")),"-",IF(Table4[[#This Row],[Predicted Winner]]=NHL2025_26Results[[#This Row],[Winning Team]],"YES","NO"))</f>
        <v>-</v>
      </c>
      <c r="N1047" t="str">
        <f ca="1">IF(Table4[[#This Row],[Adjusted Correct]]="-", "",IF(Table4[[#This Row],[Adjusted Correct]]="YES",(Table4[[#This Row],[Strength of Win]]-1)^2,(Table4[[#This Row],[Strength of Win]]-0)^2))</f>
        <v/>
      </c>
      <c r="P1047" s="11"/>
    </row>
    <row r="1048" spans="4:16" x14ac:dyDescent="0.2">
      <c r="D1048" s="1">
        <v>46095</v>
      </c>
      <c r="E1048" s="2">
        <v>0.79166666666666663</v>
      </c>
      <c r="F1048" t="s">
        <v>24</v>
      </c>
      <c r="G1048">
        <f>VLOOKUP(Table4[[#This Row],[Home]],'NHL Model'!$A$6:$B$38,2,FALSE)</f>
        <v>0.559441163373953</v>
      </c>
      <c r="H1048" t="s">
        <v>13</v>
      </c>
      <c r="I1048">
        <f>VLOOKUP(Table4[[#This Row],[Visitor]],'NHL Model'!$A$6:$B$38,2,FALSE)</f>
        <v>-7.5459708298993802E-2</v>
      </c>
      <c r="J1048">
        <f ca="1">($B$1+Table4[[#This Row],[Home Differential]])-Table4[[#This Row],[Away Differential]]</f>
        <v>0.79747318133526524</v>
      </c>
      <c r="K1048" t="str">
        <f ca="1">IF(Table4[[#This Row],[HomeIce Differential]]&gt;0,Table4[[#This Row],[Home]],Table4[[#This Row],[Visitor]])</f>
        <v>New Jersey Devils</v>
      </c>
      <c r="L1048" s="11">
        <f ca="1"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0.64895835711439676</v>
      </c>
      <c r="M1048" t="str">
        <f ca="1">IF(OR((NHL2025_26Results[[#This Row],[Winning Team]]="")),"-",IF(Table4[[#This Row],[Predicted Winner]]=NHL2025_26Results[[#This Row],[Winning Team]],"YES","NO"))</f>
        <v>-</v>
      </c>
      <c r="N1048" t="str">
        <f ca="1">IF(Table4[[#This Row],[Adjusted Correct]]="-", "",IF(Table4[[#This Row],[Adjusted Correct]]="YES",(Table4[[#This Row],[Strength of Win]]-1)^2,(Table4[[#This Row],[Strength of Win]]-0)^2))</f>
        <v/>
      </c>
      <c r="P1048" s="11"/>
    </row>
    <row r="1049" spans="4:16" x14ac:dyDescent="0.2">
      <c r="D1049" s="1">
        <v>46095</v>
      </c>
      <c r="E1049" s="2">
        <v>0.79166666666666663</v>
      </c>
      <c r="F1049" t="s">
        <v>30</v>
      </c>
      <c r="G1049">
        <f>VLOOKUP(Table4[[#This Row],[Home]],'NHL Model'!$A$6:$B$38,2,FALSE)</f>
        <v>-6.4729560818359025E-2</v>
      </c>
      <c r="H1049" t="s">
        <v>16</v>
      </c>
      <c r="I1049">
        <f>VLOOKUP(Table4[[#This Row],[Visitor]],'NHL Model'!$A$6:$B$38,2,FALSE)</f>
        <v>-1.3903684122795328</v>
      </c>
      <c r="J1049">
        <f ca="1">($B$1+Table4[[#This Row],[Home Differential]])-Table4[[#This Row],[Away Differential]]</f>
        <v>1.4882111611234921</v>
      </c>
      <c r="K1049" t="str">
        <f ca="1">IF(Table4[[#This Row],[HomeIce Differential]]&gt;0,Table4[[#This Row],[Home]],Table4[[#This Row],[Visitor]])</f>
        <v>New York Islanders</v>
      </c>
      <c r="L1049" s="11">
        <f ca="1"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0.74620455036805688</v>
      </c>
      <c r="M1049" t="str">
        <f ca="1">IF(OR((NHL2025_26Results[[#This Row],[Winning Team]]="")),"-",IF(Table4[[#This Row],[Predicted Winner]]=NHL2025_26Results[[#This Row],[Winning Team]],"YES","NO"))</f>
        <v>-</v>
      </c>
      <c r="N1049" t="str">
        <f ca="1">IF(Table4[[#This Row],[Adjusted Correct]]="-", "",IF(Table4[[#This Row],[Adjusted Correct]]="YES",(Table4[[#This Row],[Strength of Win]]-1)^2,(Table4[[#This Row],[Strength of Win]]-0)^2))</f>
        <v/>
      </c>
      <c r="P1049" s="11"/>
    </row>
    <row r="1050" spans="4:16" x14ac:dyDescent="0.2">
      <c r="D1050" s="1">
        <v>46095</v>
      </c>
      <c r="E1050" s="2">
        <v>0.54166666666666663</v>
      </c>
      <c r="F1050" t="s">
        <v>36</v>
      </c>
      <c r="G1050">
        <f>VLOOKUP(Table4[[#This Row],[Home]],'NHL Model'!$A$6:$B$38,2,FALSE)</f>
        <v>-0.40651947573390851</v>
      </c>
      <c r="H1050" t="s">
        <v>31</v>
      </c>
      <c r="I1050">
        <f>VLOOKUP(Table4[[#This Row],[Visitor]],'NHL Model'!$A$6:$B$38,2,FALSE)</f>
        <v>0.51775546328552802</v>
      </c>
      <c r="J1050">
        <f ca="1">($B$1+Table4[[#This Row],[Home Differential]])-Table4[[#This Row],[Away Differential]]</f>
        <v>-0.76170262935711808</v>
      </c>
      <c r="K1050" t="str">
        <f ca="1">IF(Table4[[#This Row],[HomeIce Differential]]&gt;0,Table4[[#This Row],[Home]],Table4[[#This Row],[Visitor]])</f>
        <v>Anaheim Ducks</v>
      </c>
      <c r="L1050" s="11">
        <f ca="1"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0.58380136832224683</v>
      </c>
      <c r="M1050" t="str">
        <f ca="1">IF(OR((NHL2025_26Results[[#This Row],[Winning Team]]="")),"-",IF(Table4[[#This Row],[Predicted Winner]]=NHL2025_26Results[[#This Row],[Winning Team]],"YES","NO"))</f>
        <v>-</v>
      </c>
      <c r="N1050" t="str">
        <f ca="1">IF(Table4[[#This Row],[Adjusted Correct]]="-", "",IF(Table4[[#This Row],[Adjusted Correct]]="YES",(Table4[[#This Row],[Strength of Win]]-1)^2,(Table4[[#This Row],[Strength of Win]]-0)^2))</f>
        <v/>
      </c>
      <c r="P1050" s="11"/>
    </row>
    <row r="1051" spans="4:16" x14ac:dyDescent="0.2">
      <c r="D1051" s="1">
        <v>46095</v>
      </c>
      <c r="E1051" s="2">
        <v>0.8125</v>
      </c>
      <c r="F1051" t="s">
        <v>27</v>
      </c>
      <c r="G1051">
        <f>VLOOKUP(Table4[[#This Row],[Home]],'NHL Model'!$A$6:$B$38,2,FALSE)</f>
        <v>-0.51358590497437617</v>
      </c>
      <c r="H1051" t="s">
        <v>28</v>
      </c>
      <c r="I1051">
        <f>VLOOKUP(Table4[[#This Row],[Visitor]],'NHL Model'!$A$6:$B$38,2,FALSE)</f>
        <v>-0.40822279081308277</v>
      </c>
      <c r="J1051">
        <f ca="1">($B$1+Table4[[#This Row],[Home Differential]])-Table4[[#This Row],[Away Differential]]</f>
        <v>5.720919550102499E-2</v>
      </c>
      <c r="K1051" t="str">
        <f ca="1">IF(Table4[[#This Row],[HomeIce Differential]]&gt;0,Table4[[#This Row],[Home]],Table4[[#This Row],[Visitor]])</f>
        <v>Philadelphia Flyers</v>
      </c>
      <c r="L1051" s="11">
        <f ca="1"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0.52966596013702816</v>
      </c>
      <c r="M1051" t="str">
        <f ca="1">IF(OR((NHL2025_26Results[[#This Row],[Winning Team]]="")),"-",IF(Table4[[#This Row],[Predicted Winner]]=NHL2025_26Results[[#This Row],[Winning Team]],"YES","NO"))</f>
        <v>-</v>
      </c>
      <c r="N1051" t="str">
        <f ca="1">IF(Table4[[#This Row],[Adjusted Correct]]="-", "",IF(Table4[[#This Row],[Adjusted Correct]]="YES",(Table4[[#This Row],[Strength of Win]]-1)^2,(Table4[[#This Row],[Strength of Win]]-0)^2))</f>
        <v/>
      </c>
      <c r="P1051" s="11"/>
    </row>
    <row r="1052" spans="4:16" x14ac:dyDescent="0.2">
      <c r="D1052" s="1">
        <v>46095</v>
      </c>
      <c r="E1052" s="2">
        <v>0.79166666666666663</v>
      </c>
      <c r="F1052" t="s">
        <v>37</v>
      </c>
      <c r="G1052">
        <f>VLOOKUP(Table4[[#This Row],[Home]],'NHL Model'!$A$6:$B$38,2,FALSE)</f>
        <v>-0.11309445867623392</v>
      </c>
      <c r="H1052" t="s">
        <v>25</v>
      </c>
      <c r="I1052">
        <f>VLOOKUP(Table4[[#This Row],[Visitor]],'NHL Model'!$A$6:$B$38,2,FALSE)</f>
        <v>0.67193921242367816</v>
      </c>
      <c r="J1052">
        <f ca="1">($B$1+Table4[[#This Row],[Home Differential]])-Table4[[#This Row],[Away Differential]]</f>
        <v>-0.62246136143759367</v>
      </c>
      <c r="K1052" t="str">
        <f ca="1">IF(Table4[[#This Row],[HomeIce Differential]]&gt;0,Table4[[#This Row],[Home]],Table4[[#This Row],[Visitor]])</f>
        <v>Carolina Hurricanes</v>
      </c>
      <c r="L1052" s="11">
        <f ca="1"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0.63873360253330369</v>
      </c>
      <c r="M1052" t="str">
        <f ca="1">IF(OR((NHL2025_26Results[[#This Row],[Winning Team]]="")),"-",IF(Table4[[#This Row],[Predicted Winner]]=NHL2025_26Results[[#This Row],[Winning Team]],"YES","NO"))</f>
        <v>-</v>
      </c>
      <c r="N1052" t="str">
        <f ca="1">IF(Table4[[#This Row],[Adjusted Correct]]="-", "",IF(Table4[[#This Row],[Adjusted Correct]]="YES",(Table4[[#This Row],[Strength of Win]]-1)^2,(Table4[[#This Row],[Strength of Win]]-0)^2))</f>
        <v/>
      </c>
      <c r="P1052" s="11"/>
    </row>
    <row r="1053" spans="4:16" x14ac:dyDescent="0.2">
      <c r="D1053" s="1">
        <v>46095</v>
      </c>
      <c r="E1053" s="2">
        <v>0.875</v>
      </c>
      <c r="F1053" t="s">
        <v>55</v>
      </c>
      <c r="G1053">
        <f>VLOOKUP(Table4[[#This Row],[Home]],'NHL Model'!$A$6:$B$38,2,FALSE)</f>
        <v>-0.12212311954851815</v>
      </c>
      <c r="H1053" t="s">
        <v>14</v>
      </c>
      <c r="I1053">
        <f>VLOOKUP(Table4[[#This Row],[Visitor]],'NHL Model'!$A$6:$B$38,2,FALSE)</f>
        <v>0.26289091192875702</v>
      </c>
      <c r="J1053">
        <f ca="1">($B$1+Table4[[#This Row],[Home Differential]])-Table4[[#This Row],[Away Differential]]</f>
        <v>-0.22244172181495678</v>
      </c>
      <c r="K1053" t="str">
        <f ca="1">IF(Table4[[#This Row],[HomeIce Differential]]&gt;0,Table4[[#This Row],[Home]],Table4[[#This Row],[Visitor]])</f>
        <v>Pittsburgh Penguins</v>
      </c>
      <c r="L1053" s="11">
        <f ca="1"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0.422548721729679</v>
      </c>
      <c r="M1053" t="str">
        <f ca="1">IF(OR((NHL2025_26Results[[#This Row],[Winning Team]]="")),"-",IF(Table4[[#This Row],[Predicted Winner]]=NHL2025_26Results[[#This Row],[Winning Team]],"YES","NO"))</f>
        <v>-</v>
      </c>
      <c r="N1053" t="str">
        <f ca="1">IF(Table4[[#This Row],[Adjusted Correct]]="-", "",IF(Table4[[#This Row],[Adjusted Correct]]="YES",(Table4[[#This Row],[Strength of Win]]-1)^2,(Table4[[#This Row],[Strength of Win]]-0)^2))</f>
        <v/>
      </c>
      <c r="P1053" s="11"/>
    </row>
    <row r="1054" spans="4:16" x14ac:dyDescent="0.2">
      <c r="D1054" s="1">
        <v>46095</v>
      </c>
      <c r="E1054" s="2">
        <v>0.91666666666666663</v>
      </c>
      <c r="F1054" t="s">
        <v>38</v>
      </c>
      <c r="G1054">
        <f>VLOOKUP(Table4[[#This Row],[Home]],'NHL Model'!$A$6:$B$38,2,FALSE)</f>
        <v>-0.6902088310934803</v>
      </c>
      <c r="H1054" t="s">
        <v>32</v>
      </c>
      <c r="I1054">
        <f>VLOOKUP(Table4[[#This Row],[Visitor]],'NHL Model'!$A$6:$B$38,2,FALSE)</f>
        <v>-0.361361309178443</v>
      </c>
      <c r="J1054">
        <f ca="1">($B$1+Table4[[#This Row],[Home Differential]])-Table4[[#This Row],[Away Differential]]</f>
        <v>-0.16627521225271891</v>
      </c>
      <c r="K1054" t="str">
        <f ca="1">IF(Table4[[#This Row],[HomeIce Differential]]&gt;0,Table4[[#This Row],[Home]],Table4[[#This Row],[Visitor]])</f>
        <v>Seattle Kraken</v>
      </c>
      <c r="L1054" s="11">
        <f ca="1"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0.48303887128090151</v>
      </c>
      <c r="M1054" t="str">
        <f ca="1">IF(OR((NHL2025_26Results[[#This Row],[Winning Team]]="")),"-",IF(Table4[[#This Row],[Predicted Winner]]=NHL2025_26Results[[#This Row],[Winning Team]],"YES","NO"))</f>
        <v>-</v>
      </c>
      <c r="N1054" t="str">
        <f ca="1">IF(Table4[[#This Row],[Adjusted Correct]]="-", "",IF(Table4[[#This Row],[Adjusted Correct]]="YES",(Table4[[#This Row],[Strength of Win]]-1)^2,(Table4[[#This Row],[Strength of Win]]-0)^2))</f>
        <v/>
      </c>
      <c r="P1054" s="11"/>
    </row>
    <row r="1055" spans="4:16" x14ac:dyDescent="0.2">
      <c r="D1055" s="1">
        <v>46095</v>
      </c>
      <c r="E1055" s="2">
        <v>0.91666666666666663</v>
      </c>
      <c r="F1055" t="s">
        <v>20</v>
      </c>
      <c r="G1055">
        <f>VLOOKUP(Table4[[#This Row],[Home]],'NHL Model'!$A$6:$B$38,2,FALSE)</f>
        <v>-6.3745791019188943E-4</v>
      </c>
      <c r="H1055" t="s">
        <v>10</v>
      </c>
      <c r="I1055">
        <f>VLOOKUP(Table4[[#This Row],[Visitor]],'NHL Model'!$A$6:$B$38,2,FALSE)</f>
        <v>0.30570968833820172</v>
      </c>
      <c r="J1055">
        <f ca="1">($B$1+Table4[[#This Row],[Home Differential]])-Table4[[#This Row],[Away Differential]]</f>
        <v>-0.14377483658607523</v>
      </c>
      <c r="K1055" t="str">
        <f ca="1">IF(Table4[[#This Row],[HomeIce Differential]]&gt;0,Table4[[#This Row],[Home]],Table4[[#This Row],[Visitor]])</f>
        <v>Chicago Blackhawks</v>
      </c>
      <c r="L1055" s="11">
        <f ca="1"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0.50069048005625472</v>
      </c>
      <c r="M1055" t="str">
        <f ca="1">IF(OR((NHL2025_26Results[[#This Row],[Winning Team]]="")),"-",IF(Table4[[#This Row],[Predicted Winner]]=NHL2025_26Results[[#This Row],[Winning Team]],"YES","NO"))</f>
        <v>-</v>
      </c>
      <c r="N1055" t="str">
        <f ca="1">IF(Table4[[#This Row],[Adjusted Correct]]="-", "",IF(Table4[[#This Row],[Adjusted Correct]]="YES",(Table4[[#This Row],[Strength of Win]]-1)^2,(Table4[[#This Row],[Strength of Win]]-0)^2))</f>
        <v/>
      </c>
      <c r="P1055" s="11"/>
    </row>
    <row r="1056" spans="4:16" x14ac:dyDescent="0.2">
      <c r="D1056" s="1">
        <v>46095</v>
      </c>
      <c r="E1056" s="2">
        <v>0.66666666666666663</v>
      </c>
      <c r="F1056" t="s">
        <v>40</v>
      </c>
      <c r="G1056">
        <f>VLOOKUP(Table4[[#This Row],[Home]],'NHL Model'!$A$6:$B$38,2,FALSE)</f>
        <v>0.105105258369765</v>
      </c>
      <c r="H1056" t="s">
        <v>12</v>
      </c>
      <c r="I1056">
        <f>VLOOKUP(Table4[[#This Row],[Visitor]],'NHL Model'!$A$6:$B$38,2,FALSE)</f>
        <v>1.5475013591489768</v>
      </c>
      <c r="J1056">
        <f ca="1">($B$1+Table4[[#This Row],[Home Differential]])-Table4[[#This Row],[Away Differential]]</f>
        <v>-1.2798237911168933</v>
      </c>
      <c r="K1056" t="str">
        <f ca="1">IF(Table4[[#This Row],[HomeIce Differential]]&gt;0,Table4[[#This Row],[Home]],Table4[[#This Row],[Visitor]])</f>
        <v>Colorado Avalanche</v>
      </c>
      <c r="L1056" s="11">
        <f ca="1"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0.66712659313420675</v>
      </c>
      <c r="M1056" t="str">
        <f ca="1">IF(OR((NHL2025_26Results[[#This Row],[Winning Team]]="")),"-",IF(Table4[[#This Row],[Predicted Winner]]=NHL2025_26Results[[#This Row],[Winning Team]],"YES","NO"))</f>
        <v>-</v>
      </c>
      <c r="N1056" t="str">
        <f ca="1">IF(Table4[[#This Row],[Adjusted Correct]]="-", "",IF(Table4[[#This Row],[Adjusted Correct]]="YES",(Table4[[#This Row],[Strength of Win]]-1)^2,(Table4[[#This Row],[Strength of Win]]-0)^2))</f>
        <v/>
      </c>
      <c r="P1056" s="11"/>
    </row>
    <row r="1057" spans="4:16" x14ac:dyDescent="0.2">
      <c r="D1057" s="1">
        <v>46095</v>
      </c>
      <c r="E1057" s="2">
        <v>0.625</v>
      </c>
      <c r="F1057" t="s">
        <v>22</v>
      </c>
      <c r="G1057">
        <f>VLOOKUP(Table4[[#This Row],[Home]],'NHL Model'!$A$6:$B$38,2,FALSE)</f>
        <v>-6.1308839486784707E-2</v>
      </c>
      <c r="H1057" t="s">
        <v>21</v>
      </c>
      <c r="I1057">
        <f>VLOOKUP(Table4[[#This Row],[Visitor]],'NHL Model'!$A$6:$B$38,2,FALSE)</f>
        <v>4.029141914856392E-2</v>
      </c>
      <c r="J1057">
        <f ca="1">($B$1+Table4[[#This Row],[Home Differential]])-Table4[[#This Row],[Away Differential]]</f>
        <v>6.0972051026969773E-2</v>
      </c>
      <c r="K1057" t="str">
        <f ca="1">IF(Table4[[#This Row],[HomeIce Differential]]&gt;0,Table4[[#This Row],[Home]],Table4[[#This Row],[Visitor]])</f>
        <v>Washington Capitals</v>
      </c>
      <c r="L1057" s="11">
        <f ca="1"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0.54844820593708155</v>
      </c>
      <c r="M1057" t="str">
        <f ca="1">IF(OR((NHL2025_26Results[[#This Row],[Winning Team]]="")),"-",IF(Table4[[#This Row],[Predicted Winner]]=NHL2025_26Results[[#This Row],[Winning Team]],"YES","NO"))</f>
        <v>-</v>
      </c>
      <c r="N1057" t="str">
        <f ca="1">IF(Table4[[#This Row],[Adjusted Correct]]="-", "",IF(Table4[[#This Row],[Adjusted Correct]]="YES",(Table4[[#This Row],[Strength of Win]]-1)^2,(Table4[[#This Row],[Strength of Win]]-0)^2))</f>
        <v/>
      </c>
      <c r="P1057" s="11"/>
    </row>
    <row r="1058" spans="4:16" x14ac:dyDescent="0.2">
      <c r="D1058" s="1">
        <v>46096</v>
      </c>
      <c r="E1058" s="2">
        <v>0.83333333333333337</v>
      </c>
      <c r="F1058" t="s">
        <v>17</v>
      </c>
      <c r="G1058">
        <f>VLOOKUP(Table4[[#This Row],[Home]],'NHL Model'!$A$6:$B$38,2,FALSE)</f>
        <v>-0.61980804137564283</v>
      </c>
      <c r="H1058" t="s">
        <v>29</v>
      </c>
      <c r="I1058">
        <f>VLOOKUP(Table4[[#This Row],[Visitor]],'NHL Model'!$A$6:$B$38,2,FALSE)</f>
        <v>-1.3516250707060606</v>
      </c>
      <c r="J1058">
        <f ca="1">($B$1+Table4[[#This Row],[Home Differential]])-Table4[[#This Row],[Away Differential]]</f>
        <v>0.8943893389927362</v>
      </c>
      <c r="K1058" t="str">
        <f ca="1">IF(Table4[[#This Row],[HomeIce Differential]]&gt;0,Table4[[#This Row],[Home]],Table4[[#This Row],[Visitor]])</f>
        <v>Edmonton Oilers</v>
      </c>
      <c r="L1058" s="11">
        <f ca="1"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0.69996225834599257</v>
      </c>
      <c r="M1058" t="str">
        <f ca="1">IF(OR((NHL2025_26Results[[#This Row],[Winning Team]]="")),"-",IF(Table4[[#This Row],[Predicted Winner]]=NHL2025_26Results[[#This Row],[Winning Team]],"YES","NO"))</f>
        <v>-</v>
      </c>
      <c r="N1058" t="str">
        <f ca="1">IF(Table4[[#This Row],[Adjusted Correct]]="-", "",IF(Table4[[#This Row],[Adjusted Correct]]="YES",(Table4[[#This Row],[Strength of Win]]-1)^2,(Table4[[#This Row],[Strength of Win]]-0)^2))</f>
        <v/>
      </c>
      <c r="P1058" s="11"/>
    </row>
    <row r="1059" spans="4:16" x14ac:dyDescent="0.2">
      <c r="D1059" s="1">
        <v>46096</v>
      </c>
      <c r="E1059" s="2">
        <v>0.8125</v>
      </c>
      <c r="F1059" t="s">
        <v>34</v>
      </c>
      <c r="G1059">
        <f>VLOOKUP(Table4[[#This Row],[Home]],'NHL Model'!$A$6:$B$38,2,FALSE)</f>
        <v>-0.53650300840565446</v>
      </c>
      <c r="H1059" t="s">
        <v>19</v>
      </c>
      <c r="I1059">
        <f>VLOOKUP(Table4[[#This Row],[Visitor]],'NHL Model'!$A$6:$B$38,2,FALSE)</f>
        <v>-0.635565543477981</v>
      </c>
      <c r="J1059">
        <f ca="1">($B$1+Table4[[#This Row],[Home Differential]])-Table4[[#This Row],[Away Differential]]</f>
        <v>0.26163484473464493</v>
      </c>
      <c r="K1059" t="str">
        <f ca="1">IF(Table4[[#This Row],[HomeIce Differential]]&gt;0,Table4[[#This Row],[Home]],Table4[[#This Row],[Visitor]])</f>
        <v>Minnesota Wild</v>
      </c>
      <c r="L1059" s="11">
        <f ca="1"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0.5762517745656438</v>
      </c>
      <c r="M1059" t="str">
        <f ca="1">IF(OR((NHL2025_26Results[[#This Row],[Winning Team]]="")),"-",IF(Table4[[#This Row],[Predicted Winner]]=NHL2025_26Results[[#This Row],[Winning Team]],"YES","NO"))</f>
        <v>-</v>
      </c>
      <c r="N1059" t="str">
        <f ca="1">IF(Table4[[#This Row],[Adjusted Correct]]="-", "",IF(Table4[[#This Row],[Adjusted Correct]]="YES",(Table4[[#This Row],[Strength of Win]]-1)^2,(Table4[[#This Row],[Strength of Win]]-0)^2))</f>
        <v/>
      </c>
      <c r="P1059" s="11"/>
    </row>
    <row r="1060" spans="4:16" x14ac:dyDescent="0.2">
      <c r="D1060" s="1">
        <v>46096</v>
      </c>
      <c r="E1060" s="2">
        <v>0.79166666666666663</v>
      </c>
      <c r="F1060" t="s">
        <v>18</v>
      </c>
      <c r="G1060">
        <f>VLOOKUP(Table4[[#This Row],[Home]],'NHL Model'!$A$6:$B$38,2,FALSE)</f>
        <v>-0.52437726201848234</v>
      </c>
      <c r="H1060" t="s">
        <v>31</v>
      </c>
      <c r="I1060">
        <f>VLOOKUP(Table4[[#This Row],[Visitor]],'NHL Model'!$A$6:$B$38,2,FALSE)</f>
        <v>0.51775546328552802</v>
      </c>
      <c r="J1060">
        <f ca="1">($B$1+Table4[[#This Row],[Home Differential]])-Table4[[#This Row],[Away Differential]]</f>
        <v>-0.87956041564169196</v>
      </c>
      <c r="K1060" t="str">
        <f ca="1">IF(Table4[[#This Row],[HomeIce Differential]]&gt;0,Table4[[#This Row],[Home]],Table4[[#This Row],[Visitor]])</f>
        <v>Anaheim Ducks</v>
      </c>
      <c r="L1060" s="11">
        <f ca="1"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0.60263994694637291</v>
      </c>
      <c r="M1060" t="str">
        <f ca="1">IF(OR((NHL2025_26Results[[#This Row],[Winning Team]]="")),"-",IF(Table4[[#This Row],[Predicted Winner]]=NHL2025_26Results[[#This Row],[Winning Team]],"YES","NO"))</f>
        <v>-</v>
      </c>
      <c r="N1060" t="str">
        <f ca="1">IF(Table4[[#This Row],[Adjusted Correct]]="-", "",IF(Table4[[#This Row],[Adjusted Correct]]="YES",(Table4[[#This Row],[Strength of Win]]-1)^2,(Table4[[#This Row],[Strength of Win]]-0)^2))</f>
        <v/>
      </c>
      <c r="P1060" s="11"/>
    </row>
    <row r="1061" spans="4:16" x14ac:dyDescent="0.2">
      <c r="D1061" s="1">
        <v>46096</v>
      </c>
      <c r="E1061" s="2">
        <v>0.70833333333333337</v>
      </c>
      <c r="F1061" t="s">
        <v>36</v>
      </c>
      <c r="G1061">
        <f>VLOOKUP(Table4[[#This Row],[Home]],'NHL Model'!$A$6:$B$38,2,FALSE)</f>
        <v>-0.40651947573390851</v>
      </c>
      <c r="H1061" t="s">
        <v>33</v>
      </c>
      <c r="I1061">
        <f>VLOOKUP(Table4[[#This Row],[Visitor]],'NHL Model'!$A$6:$B$38,2,FALSE)</f>
        <v>-0.39418177254008485</v>
      </c>
      <c r="J1061">
        <f ca="1">($B$1+Table4[[#This Row],[Home Differential]])-Table4[[#This Row],[Away Differential]]</f>
        <v>0.15023460646849474</v>
      </c>
      <c r="K1061" t="str">
        <f ca="1">IF(Table4[[#This Row],[HomeIce Differential]]&gt;0,Table4[[#This Row],[Home]],Table4[[#This Row],[Visitor]])</f>
        <v>Ottawa Senators</v>
      </c>
      <c r="L1061" s="11">
        <f ca="1"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0.56331178557659622</v>
      </c>
      <c r="M1061" t="str">
        <f ca="1">IF(OR((NHL2025_26Results[[#This Row],[Winning Team]]="")),"-",IF(Table4[[#This Row],[Predicted Winner]]=NHL2025_26Results[[#This Row],[Winning Team]],"YES","NO"))</f>
        <v>-</v>
      </c>
      <c r="N1061" t="str">
        <f ca="1">IF(Table4[[#This Row],[Adjusted Correct]]="-", "",IF(Table4[[#This Row],[Adjusted Correct]]="YES",(Table4[[#This Row],[Strength of Win]]-1)^2,(Table4[[#This Row],[Strength of Win]]-0)^2))</f>
        <v/>
      </c>
      <c r="P1061" s="11"/>
    </row>
    <row r="1062" spans="4:16" x14ac:dyDescent="0.2">
      <c r="D1062" s="1">
        <v>46096</v>
      </c>
      <c r="E1062" s="2">
        <v>0.83333333333333337</v>
      </c>
      <c r="F1062" t="s">
        <v>32</v>
      </c>
      <c r="G1062">
        <f>VLOOKUP(Table4[[#This Row],[Home]],'NHL Model'!$A$6:$B$38,2,FALSE)</f>
        <v>-0.361361309178443</v>
      </c>
      <c r="H1062" t="s">
        <v>11</v>
      </c>
      <c r="I1062">
        <f>VLOOKUP(Table4[[#This Row],[Visitor]],'NHL Model'!$A$6:$B$38,2,FALSE)</f>
        <v>-0.28105923893144158</v>
      </c>
      <c r="J1062">
        <f ca="1">($B$1+Table4[[#This Row],[Home Differential]])-Table4[[#This Row],[Away Differential]]</f>
        <v>8.227023941531697E-2</v>
      </c>
      <c r="K1062" t="str">
        <f ca="1">IF(Table4[[#This Row],[HomeIce Differential]]&gt;0,Table4[[#This Row],[Home]],Table4[[#This Row],[Visitor]])</f>
        <v>Seattle Kraken</v>
      </c>
      <c r="L1062" s="11">
        <f ca="1"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0.57743699031674978</v>
      </c>
      <c r="M1062" t="str">
        <f ca="1">IF(OR((NHL2025_26Results[[#This Row],[Winning Team]]="")),"-",IF(Table4[[#This Row],[Predicted Winner]]=NHL2025_26Results[[#This Row],[Winning Team]],"YES","NO"))</f>
        <v>-</v>
      </c>
      <c r="N1062" t="str">
        <f ca="1">IF(Table4[[#This Row],[Adjusted Correct]]="-", "",IF(Table4[[#This Row],[Adjusted Correct]]="YES",(Table4[[#This Row],[Strength of Win]]-1)^2,(Table4[[#This Row],[Strength of Win]]-0)^2))</f>
        <v/>
      </c>
      <c r="P1062" s="11"/>
    </row>
    <row r="1063" spans="4:16" x14ac:dyDescent="0.2">
      <c r="D1063" s="1">
        <v>46096</v>
      </c>
      <c r="E1063" s="2">
        <v>0.625</v>
      </c>
      <c r="F1063" t="s">
        <v>40</v>
      </c>
      <c r="G1063">
        <f>VLOOKUP(Table4[[#This Row],[Home]],'NHL Model'!$A$6:$B$38,2,FALSE)</f>
        <v>0.105105258369765</v>
      </c>
      <c r="H1063" t="s">
        <v>35</v>
      </c>
      <c r="I1063">
        <f>VLOOKUP(Table4[[#This Row],[Visitor]],'NHL Model'!$A$6:$B$38,2,FALSE)</f>
        <v>-1.6211574240381006</v>
      </c>
      <c r="J1063">
        <f ca="1">($B$1+Table4[[#This Row],[Home Differential]])-Table4[[#This Row],[Away Differential]]</f>
        <v>1.8888349920701839</v>
      </c>
      <c r="K1063" t="str">
        <f ca="1">IF(Table4[[#This Row],[HomeIce Differential]]&gt;0,Table4[[#This Row],[Home]],Table4[[#This Row],[Visitor]])</f>
        <v>Winnipeg Jets</v>
      </c>
      <c r="L1063" s="11">
        <f ca="1"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0.83775131954581505</v>
      </c>
      <c r="M1063" t="str">
        <f ca="1">IF(OR((NHL2025_26Results[[#This Row],[Winning Team]]="")),"-",IF(Table4[[#This Row],[Predicted Winner]]=NHL2025_26Results[[#This Row],[Winning Team]],"YES","NO"))</f>
        <v>-</v>
      </c>
      <c r="N1063" t="str">
        <f ca="1">IF(Table4[[#This Row],[Adjusted Correct]]="-", "",IF(Table4[[#This Row],[Adjusted Correct]]="YES",(Table4[[#This Row],[Strength of Win]]-1)^2,(Table4[[#This Row],[Strength of Win]]-0)^2))</f>
        <v/>
      </c>
      <c r="P1063" s="11"/>
    </row>
    <row r="1064" spans="4:16" x14ac:dyDescent="0.2">
      <c r="D1064" s="1">
        <v>46097</v>
      </c>
      <c r="E1064" s="2">
        <v>0.89583333333333337</v>
      </c>
      <c r="F1064" t="s">
        <v>12</v>
      </c>
      <c r="G1064">
        <f>VLOOKUP(Table4[[#This Row],[Home]],'NHL Model'!$A$6:$B$38,2,FALSE)</f>
        <v>1.5475013591489768</v>
      </c>
      <c r="H1064" t="s">
        <v>14</v>
      </c>
      <c r="I1064">
        <f>VLOOKUP(Table4[[#This Row],[Visitor]],'NHL Model'!$A$6:$B$38,2,FALSE)</f>
        <v>0.26289091192875702</v>
      </c>
      <c r="J1064">
        <f ca="1">($B$1+Table4[[#This Row],[Home Differential]])-Table4[[#This Row],[Away Differential]]</f>
        <v>1.4471827568825382</v>
      </c>
      <c r="K1064" t="str">
        <f ca="1">IF(Table4[[#This Row],[HomeIce Differential]]&gt;0,Table4[[#This Row],[Home]],Table4[[#This Row],[Visitor]])</f>
        <v>Colorado Avalanche</v>
      </c>
      <c r="L1064" s="11">
        <f ca="1"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0.82888595724254932</v>
      </c>
      <c r="M1064" t="str">
        <f ca="1">IF(OR((NHL2025_26Results[[#This Row],[Winning Team]]="")),"-",IF(Table4[[#This Row],[Predicted Winner]]=NHL2025_26Results[[#This Row],[Winning Team]],"YES","NO"))</f>
        <v>-</v>
      </c>
      <c r="N1064" t="str">
        <f ca="1">IF(Table4[[#This Row],[Adjusted Correct]]="-", "",IF(Table4[[#This Row],[Adjusted Correct]]="YES",(Table4[[#This Row],[Strength of Win]]-1)^2,(Table4[[#This Row],[Strength of Win]]-0)^2))</f>
        <v/>
      </c>
      <c r="P1064" s="11"/>
    </row>
    <row r="1065" spans="4:16" x14ac:dyDescent="0.2">
      <c r="D1065" s="1">
        <v>46097</v>
      </c>
      <c r="E1065" s="2">
        <v>0.83333333333333337</v>
      </c>
      <c r="F1065" t="s">
        <v>39</v>
      </c>
      <c r="G1065">
        <f>VLOOKUP(Table4[[#This Row],[Home]],'NHL Model'!$A$6:$B$38,2,FALSE)</f>
        <v>0.19809534061227302</v>
      </c>
      <c r="H1065" t="s">
        <v>55</v>
      </c>
      <c r="I1065">
        <f>VLOOKUP(Table4[[#This Row],[Visitor]],'NHL Model'!$A$6:$B$38,2,FALSE)</f>
        <v>-0.12212311954851815</v>
      </c>
      <c r="J1065">
        <f ca="1">($B$1+Table4[[#This Row],[Home Differential]])-Table4[[#This Row],[Away Differential]]</f>
        <v>0.48279076982310953</v>
      </c>
      <c r="K1065" t="str">
        <f ca="1">IF(Table4[[#This Row],[HomeIce Differential]]&gt;0,Table4[[#This Row],[Home]],Table4[[#This Row],[Visitor]])</f>
        <v>Dallas Stars</v>
      </c>
      <c r="L1065" s="11">
        <f ca="1"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0.63293257995039132</v>
      </c>
      <c r="M1065" t="str">
        <f ca="1">IF(OR((NHL2025_26Results[[#This Row],[Winning Team]]="")),"-",IF(Table4[[#This Row],[Predicted Winner]]=NHL2025_26Results[[#This Row],[Winning Team]],"YES","NO"))</f>
        <v>-</v>
      </c>
      <c r="N1065" t="str">
        <f ca="1">IF(Table4[[#This Row],[Adjusted Correct]]="-", "",IF(Table4[[#This Row],[Adjusted Correct]]="YES",(Table4[[#This Row],[Strength of Win]]-1)^2,(Table4[[#This Row],[Strength of Win]]-0)^2))</f>
        <v/>
      </c>
      <c r="P1065" s="11"/>
    </row>
    <row r="1066" spans="4:16" x14ac:dyDescent="0.2">
      <c r="D1066" s="1">
        <v>46097</v>
      </c>
      <c r="E1066" s="2">
        <v>0.79166666666666663</v>
      </c>
      <c r="F1066" t="s">
        <v>26</v>
      </c>
      <c r="G1066">
        <f>VLOOKUP(Table4[[#This Row],[Home]],'NHL Model'!$A$6:$B$38,2,FALSE)</f>
        <v>-0.513643833119658</v>
      </c>
      <c r="H1066" t="s">
        <v>16</v>
      </c>
      <c r="I1066">
        <f>VLOOKUP(Table4[[#This Row],[Visitor]],'NHL Model'!$A$6:$B$38,2,FALSE)</f>
        <v>-1.3903684122795328</v>
      </c>
      <c r="J1066">
        <f ca="1">($B$1+Table4[[#This Row],[Home Differential]])-Table4[[#This Row],[Away Differential]]</f>
        <v>1.0392968888221932</v>
      </c>
      <c r="K1066" t="str">
        <f ca="1">IF(Table4[[#This Row],[HomeIce Differential]]&gt;0,Table4[[#This Row],[Home]],Table4[[#This Row],[Visitor]])</f>
        <v>Detroit Red Wings</v>
      </c>
      <c r="L1066" s="11">
        <f ca="1"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0.7100413243564252</v>
      </c>
      <c r="M1066" t="str">
        <f ca="1">IF(OR((NHL2025_26Results[[#This Row],[Winning Team]]="")),"-",IF(Table4[[#This Row],[Predicted Winner]]=NHL2025_26Results[[#This Row],[Winning Team]],"YES","NO"))</f>
        <v>-</v>
      </c>
      <c r="N1066" t="str">
        <f ca="1">IF(Table4[[#This Row],[Adjusted Correct]]="-", "",IF(Table4[[#This Row],[Adjusted Correct]]="YES",(Table4[[#This Row],[Strength of Win]]-1)^2,(Table4[[#This Row],[Strength of Win]]-0)^2))</f>
        <v/>
      </c>
      <c r="P1066" s="11"/>
    </row>
    <row r="1067" spans="4:16" x14ac:dyDescent="0.2">
      <c r="D1067" s="1">
        <v>46097</v>
      </c>
      <c r="E1067" s="2">
        <v>0.79166666666666663</v>
      </c>
      <c r="F1067" t="s">
        <v>24</v>
      </c>
      <c r="G1067">
        <f>VLOOKUP(Table4[[#This Row],[Home]],'NHL Model'!$A$6:$B$38,2,FALSE)</f>
        <v>0.559441163373953</v>
      </c>
      <c r="H1067" t="s">
        <v>21</v>
      </c>
      <c r="I1067">
        <f>VLOOKUP(Table4[[#This Row],[Visitor]],'NHL Model'!$A$6:$B$38,2,FALSE)</f>
        <v>4.029141914856392E-2</v>
      </c>
      <c r="J1067">
        <f ca="1">($B$1+Table4[[#This Row],[Home Differential]])-Table4[[#This Row],[Away Differential]]</f>
        <v>0.68172205388770746</v>
      </c>
      <c r="K1067" t="str">
        <f ca="1">IF(Table4[[#This Row],[HomeIce Differential]]&gt;0,Table4[[#This Row],[Home]],Table4[[#This Row],[Visitor]])</f>
        <v>New Jersey Devils</v>
      </c>
      <c r="L1067" s="11">
        <f ca="1"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0.7498892086773814</v>
      </c>
      <c r="M1067" t="str">
        <f ca="1">IF(OR((NHL2025_26Results[[#This Row],[Winning Team]]="")),"-",IF(Table4[[#This Row],[Predicted Winner]]=NHL2025_26Results[[#This Row],[Winning Team]],"YES","NO"))</f>
        <v>-</v>
      </c>
      <c r="N1067" t="str">
        <f ca="1">IF(Table4[[#This Row],[Adjusted Correct]]="-", "",IF(Table4[[#This Row],[Adjusted Correct]]="YES",(Table4[[#This Row],[Strength of Win]]-1)^2,(Table4[[#This Row],[Strength of Win]]-0)^2))</f>
        <v/>
      </c>
      <c r="P1067" s="11"/>
    </row>
    <row r="1068" spans="4:16" x14ac:dyDescent="0.2">
      <c r="D1068" s="1">
        <v>46097</v>
      </c>
      <c r="E1068" s="2">
        <v>0.79166666666666663</v>
      </c>
      <c r="F1068" t="s">
        <v>15</v>
      </c>
      <c r="G1068">
        <f>VLOOKUP(Table4[[#This Row],[Home]],'NHL Model'!$A$6:$B$38,2,FALSE)</f>
        <v>-0.30719665303039001</v>
      </c>
      <c r="H1068" t="s">
        <v>13</v>
      </c>
      <c r="I1068">
        <f>VLOOKUP(Table4[[#This Row],[Visitor]],'NHL Model'!$A$6:$B$38,2,FALSE)</f>
        <v>-7.5459708298993802E-2</v>
      </c>
      <c r="J1068">
        <f ca="1">($B$1+Table4[[#This Row],[Home Differential]])-Table4[[#This Row],[Away Differential]]</f>
        <v>-6.9164635069077815E-2</v>
      </c>
      <c r="K1068" t="str">
        <f ca="1">IF(Table4[[#This Row],[HomeIce Differential]]&gt;0,Table4[[#This Row],[Home]],Table4[[#This Row],[Visitor]])</f>
        <v>Los Angeles Kings</v>
      </c>
      <c r="L1068" s="11">
        <f ca="1"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0.59097870827460475</v>
      </c>
      <c r="M1068" t="str">
        <f ca="1">IF(OR((NHL2025_26Results[[#This Row],[Winning Team]]="")),"-",IF(Table4[[#This Row],[Predicted Winner]]=NHL2025_26Results[[#This Row],[Winning Team]],"YES","NO"))</f>
        <v>-</v>
      </c>
      <c r="N1068" t="str">
        <f ca="1">IF(Table4[[#This Row],[Adjusted Correct]]="-", "",IF(Table4[[#This Row],[Adjusted Correct]]="YES",(Table4[[#This Row],[Strength of Win]]-1)^2,(Table4[[#This Row],[Strength of Win]]-0)^2))</f>
        <v/>
      </c>
      <c r="P1068" s="11"/>
    </row>
    <row r="1069" spans="4:16" x14ac:dyDescent="0.2">
      <c r="D1069" s="1">
        <v>46098</v>
      </c>
      <c r="E1069" s="2">
        <v>0.79166666666666663</v>
      </c>
      <c r="F1069" t="s">
        <v>28</v>
      </c>
      <c r="G1069">
        <f>VLOOKUP(Table4[[#This Row],[Home]],'NHL Model'!$A$6:$B$38,2,FALSE)</f>
        <v>-0.40822279081308277</v>
      </c>
      <c r="H1069" t="s">
        <v>25</v>
      </c>
      <c r="I1069">
        <f>VLOOKUP(Table4[[#This Row],[Visitor]],'NHL Model'!$A$6:$B$38,2,FALSE)</f>
        <v>0.67193921242367816</v>
      </c>
      <c r="J1069">
        <f ca="1">($B$1+Table4[[#This Row],[Home Differential]])-Table4[[#This Row],[Away Differential]]</f>
        <v>-0.91758969357444253</v>
      </c>
      <c r="K1069" t="str">
        <f ca="1">IF(Table4[[#This Row],[HomeIce Differential]]&gt;0,Table4[[#This Row],[Home]],Table4[[#This Row],[Visitor]])</f>
        <v>Carolina Hurricanes</v>
      </c>
      <c r="L1069" s="11">
        <f ca="1"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0.67962618996908863</v>
      </c>
      <c r="M1069" t="str">
        <f ca="1">IF(OR((NHL2025_26Results[[#This Row],[Winning Team]]="")),"-",IF(Table4[[#This Row],[Predicted Winner]]=NHL2025_26Results[[#This Row],[Winning Team]],"YES","NO"))</f>
        <v>-</v>
      </c>
      <c r="N1069" t="str">
        <f ca="1">IF(Table4[[#This Row],[Adjusted Correct]]="-", "",IF(Table4[[#This Row],[Adjusted Correct]]="YES",(Table4[[#This Row],[Strength of Win]]-1)^2,(Table4[[#This Row],[Strength of Win]]-0)^2))</f>
        <v/>
      </c>
      <c r="P1069" s="11"/>
    </row>
    <row r="1070" spans="4:16" x14ac:dyDescent="0.2">
      <c r="D1070" s="1">
        <v>46098</v>
      </c>
      <c r="E1070" s="2">
        <v>0.8125</v>
      </c>
      <c r="F1070" t="s">
        <v>10</v>
      </c>
      <c r="G1070">
        <f>VLOOKUP(Table4[[#This Row],[Home]],'NHL Model'!$A$6:$B$38,2,FALSE)</f>
        <v>0.30570968833820172</v>
      </c>
      <c r="H1070" t="s">
        <v>34</v>
      </c>
      <c r="I1070">
        <f>VLOOKUP(Table4[[#This Row],[Visitor]],'NHL Model'!$A$6:$B$38,2,FALSE)</f>
        <v>-0.53650300840565446</v>
      </c>
      <c r="J1070">
        <f ca="1">($B$1+Table4[[#This Row],[Home Differential]])-Table4[[#This Row],[Away Differential]]</f>
        <v>1.0047850064061745</v>
      </c>
      <c r="K1070" t="str">
        <f ca="1">IF(Table4[[#This Row],[HomeIce Differential]]&gt;0,Table4[[#This Row],[Home]],Table4[[#This Row],[Visitor]])</f>
        <v>Chicago Blackhawks</v>
      </c>
      <c r="L1070" s="11">
        <f ca="1"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0.67922166818459817</v>
      </c>
      <c r="M1070" t="str">
        <f ca="1">IF(OR((NHL2025_26Results[[#This Row],[Winning Team]]="")),"-",IF(Table4[[#This Row],[Predicted Winner]]=NHL2025_26Results[[#This Row],[Winning Team]],"YES","NO"))</f>
        <v>-</v>
      </c>
      <c r="N1070" t="str">
        <f ca="1">IF(Table4[[#This Row],[Adjusted Correct]]="-", "",IF(Table4[[#This Row],[Adjusted Correct]]="YES",(Table4[[#This Row],[Strength of Win]]-1)^2,(Table4[[#This Row],[Strength of Win]]-0)^2))</f>
        <v/>
      </c>
      <c r="P1070" s="11"/>
    </row>
    <row r="1071" spans="4:16" x14ac:dyDescent="0.2">
      <c r="D1071" s="1">
        <v>46098</v>
      </c>
      <c r="E1071" s="2">
        <v>0.875</v>
      </c>
      <c r="F1071" t="s">
        <v>17</v>
      </c>
      <c r="G1071">
        <f>VLOOKUP(Table4[[#This Row],[Home]],'NHL Model'!$A$6:$B$38,2,FALSE)</f>
        <v>-0.61980804137564283</v>
      </c>
      <c r="H1071" t="s">
        <v>33</v>
      </c>
      <c r="I1071">
        <f>VLOOKUP(Table4[[#This Row],[Visitor]],'NHL Model'!$A$6:$B$38,2,FALSE)</f>
        <v>-0.39418177254008485</v>
      </c>
      <c r="J1071">
        <f ca="1">($B$1+Table4[[#This Row],[Home Differential]])-Table4[[#This Row],[Away Differential]]</f>
        <v>-6.3053959173239582E-2</v>
      </c>
      <c r="K1071" t="str">
        <f ca="1">IF(Table4[[#This Row],[HomeIce Differential]]&gt;0,Table4[[#This Row],[Home]],Table4[[#This Row],[Visitor]])</f>
        <v>San Jose Sharks</v>
      </c>
      <c r="L1071" s="11">
        <f ca="1"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0.43269980598913838</v>
      </c>
      <c r="M1071" t="str">
        <f ca="1">IF(OR((NHL2025_26Results[[#This Row],[Winning Team]]="")),"-",IF(Table4[[#This Row],[Predicted Winner]]=NHL2025_26Results[[#This Row],[Winning Team]],"YES","NO"))</f>
        <v>-</v>
      </c>
      <c r="N1071" t="str">
        <f ca="1">IF(Table4[[#This Row],[Adjusted Correct]]="-", "",IF(Table4[[#This Row],[Adjusted Correct]]="YES",(Table4[[#This Row],[Strength of Win]]-1)^2,(Table4[[#This Row],[Strength of Win]]-0)^2))</f>
        <v/>
      </c>
      <c r="P1071" s="11"/>
    </row>
    <row r="1072" spans="4:16" x14ac:dyDescent="0.2">
      <c r="D1072" s="1">
        <v>46098</v>
      </c>
      <c r="E1072" s="2">
        <v>0.79166666666666663</v>
      </c>
      <c r="F1072" t="s">
        <v>18</v>
      </c>
      <c r="G1072">
        <f>VLOOKUP(Table4[[#This Row],[Home]],'NHL Model'!$A$6:$B$38,2,FALSE)</f>
        <v>-0.52437726201848234</v>
      </c>
      <c r="H1072" t="s">
        <v>21</v>
      </c>
      <c r="I1072">
        <f>VLOOKUP(Table4[[#This Row],[Visitor]],'NHL Model'!$A$6:$B$38,2,FALSE)</f>
        <v>4.029141914856392E-2</v>
      </c>
      <c r="J1072">
        <f ca="1">($B$1+Table4[[#This Row],[Home Differential]])-Table4[[#This Row],[Away Differential]]</f>
        <v>-0.40209637150472788</v>
      </c>
      <c r="K1072" t="str">
        <f ca="1">IF(Table4[[#This Row],[HomeIce Differential]]&gt;0,Table4[[#This Row],[Home]],Table4[[#This Row],[Visitor]])</f>
        <v>Boston Bruins</v>
      </c>
      <c r="L1072" s="11">
        <f ca="1"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0.51571393607084992</v>
      </c>
      <c r="M1072" t="str">
        <f ca="1">IF(OR((NHL2025_26Results[[#This Row],[Winning Team]]="")),"-",IF(Table4[[#This Row],[Predicted Winner]]=NHL2025_26Results[[#This Row],[Winning Team]],"YES","NO"))</f>
        <v>-</v>
      </c>
      <c r="N1072" t="str">
        <f ca="1">IF(Table4[[#This Row],[Adjusted Correct]]="-", "",IF(Table4[[#This Row],[Adjusted Correct]]="YES",(Table4[[#This Row],[Strength of Win]]-1)^2,(Table4[[#This Row],[Strength of Win]]-0)^2))</f>
        <v/>
      </c>
      <c r="P1072" s="11"/>
    </row>
    <row r="1073" spans="4:16" x14ac:dyDescent="0.2">
      <c r="D1073" s="1">
        <v>46098</v>
      </c>
      <c r="E1073" s="2">
        <v>0.91666666666666663</v>
      </c>
      <c r="F1073" t="s">
        <v>32</v>
      </c>
      <c r="G1073">
        <f>VLOOKUP(Table4[[#This Row],[Home]],'NHL Model'!$A$6:$B$38,2,FALSE)</f>
        <v>-0.361361309178443</v>
      </c>
      <c r="H1073" t="s">
        <v>37</v>
      </c>
      <c r="I1073">
        <f>VLOOKUP(Table4[[#This Row],[Visitor]],'NHL Model'!$A$6:$B$38,2,FALSE)</f>
        <v>-0.11309445867623392</v>
      </c>
      <c r="J1073">
        <f ca="1">($B$1+Table4[[#This Row],[Home Differential]])-Table4[[#This Row],[Away Differential]]</f>
        <v>-8.5694540839890684E-2</v>
      </c>
      <c r="K1073" t="str">
        <f ca="1">IF(Table4[[#This Row],[HomeIce Differential]]&gt;0,Table4[[#This Row],[Home]],Table4[[#This Row],[Visitor]])</f>
        <v>Tampa Bay Lightning</v>
      </c>
      <c r="L1073" s="11">
        <f ca="1"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0.49264295186775203</v>
      </c>
      <c r="M1073" t="str">
        <f ca="1">IF(OR((NHL2025_26Results[[#This Row],[Winning Team]]="")),"-",IF(Table4[[#This Row],[Predicted Winner]]=NHL2025_26Results[[#This Row],[Winning Team]],"YES","NO"))</f>
        <v>-</v>
      </c>
      <c r="N1073" t="str">
        <f ca="1">IF(Table4[[#This Row],[Adjusted Correct]]="-", "",IF(Table4[[#This Row],[Adjusted Correct]]="YES",(Table4[[#This Row],[Strength of Win]]-1)^2,(Table4[[#This Row],[Strength of Win]]-0)^2))</f>
        <v/>
      </c>
      <c r="P1073" s="11"/>
    </row>
    <row r="1074" spans="4:16" x14ac:dyDescent="0.2">
      <c r="D1074" s="1">
        <v>46098</v>
      </c>
      <c r="E1074" s="2">
        <v>0.79166666666666663</v>
      </c>
      <c r="F1074" t="s">
        <v>19</v>
      </c>
      <c r="G1074">
        <f>VLOOKUP(Table4[[#This Row],[Home]],'NHL Model'!$A$6:$B$38,2,FALSE)</f>
        <v>-0.635565543477981</v>
      </c>
      <c r="H1074" t="s">
        <v>30</v>
      </c>
      <c r="I1074">
        <f>VLOOKUP(Table4[[#This Row],[Visitor]],'NHL Model'!$A$6:$B$38,2,FALSE)</f>
        <v>-6.4729560818359025E-2</v>
      </c>
      <c r="J1074">
        <f ca="1">($B$1+Table4[[#This Row],[Home Differential]])-Table4[[#This Row],[Away Differential]]</f>
        <v>-0.40826367299730359</v>
      </c>
      <c r="K1074" t="str">
        <f ca="1">IF(Table4[[#This Row],[HomeIce Differential]]&gt;0,Table4[[#This Row],[Home]],Table4[[#This Row],[Visitor]])</f>
        <v>New York Islanders</v>
      </c>
      <c r="L1074" s="11">
        <f ca="1"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0.55908103194076741</v>
      </c>
      <c r="M1074" t="str">
        <f ca="1">IF(OR((NHL2025_26Results[[#This Row],[Winning Team]]="")),"-",IF(Table4[[#This Row],[Predicted Winner]]=NHL2025_26Results[[#This Row],[Winning Team]],"YES","NO"))</f>
        <v>-</v>
      </c>
      <c r="N1074" t="str">
        <f ca="1">IF(Table4[[#This Row],[Adjusted Correct]]="-", "",IF(Table4[[#This Row],[Adjusted Correct]]="YES",(Table4[[#This Row],[Strength of Win]]-1)^2,(Table4[[#This Row],[Strength of Win]]-0)^2))</f>
        <v/>
      </c>
      <c r="P1074" s="11"/>
    </row>
    <row r="1075" spans="4:16" x14ac:dyDescent="0.2">
      <c r="D1075" s="1">
        <v>46098</v>
      </c>
      <c r="E1075" s="2">
        <v>0.91666666666666663</v>
      </c>
      <c r="F1075" t="s">
        <v>38</v>
      </c>
      <c r="G1075">
        <f>VLOOKUP(Table4[[#This Row],[Home]],'NHL Model'!$A$6:$B$38,2,FALSE)</f>
        <v>-0.6902088310934803</v>
      </c>
      <c r="H1075" t="s">
        <v>11</v>
      </c>
      <c r="I1075">
        <f>VLOOKUP(Table4[[#This Row],[Visitor]],'NHL Model'!$A$6:$B$38,2,FALSE)</f>
        <v>-0.28105923893144158</v>
      </c>
      <c r="J1075">
        <f ca="1">($B$1+Table4[[#This Row],[Home Differential]])-Table4[[#This Row],[Away Differential]]</f>
        <v>-0.24657728249972033</v>
      </c>
      <c r="K1075" t="str">
        <f ca="1">IF(Table4[[#This Row],[HomeIce Differential]]&gt;0,Table4[[#This Row],[Home]],Table4[[#This Row],[Visitor]])</f>
        <v>Florida Panthers</v>
      </c>
      <c r="L1075" s="11">
        <f ca="1"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0.49416541885793114</v>
      </c>
      <c r="M1075" t="str">
        <f ca="1">IF(OR((NHL2025_26Results[[#This Row],[Winning Team]]="")),"-",IF(Table4[[#This Row],[Predicted Winner]]=NHL2025_26Results[[#This Row],[Winning Team]],"YES","NO"))</f>
        <v>-</v>
      </c>
      <c r="N1075" t="str">
        <f ca="1">IF(Table4[[#This Row],[Adjusted Correct]]="-", "",IF(Table4[[#This Row],[Adjusted Correct]]="YES",(Table4[[#This Row],[Strength of Win]]-1)^2,(Table4[[#This Row],[Strength of Win]]-0)^2))</f>
        <v/>
      </c>
      <c r="P1075" s="11"/>
    </row>
    <row r="1076" spans="4:16" x14ac:dyDescent="0.2">
      <c r="D1076" s="1">
        <v>46098</v>
      </c>
      <c r="E1076" s="2">
        <v>0.91666666666666663</v>
      </c>
      <c r="F1076" t="s">
        <v>20</v>
      </c>
      <c r="G1076">
        <f>VLOOKUP(Table4[[#This Row],[Home]],'NHL Model'!$A$6:$B$38,2,FALSE)</f>
        <v>-6.3745791019188943E-4</v>
      </c>
      <c r="H1076" t="s">
        <v>23</v>
      </c>
      <c r="I1076">
        <f>VLOOKUP(Table4[[#This Row],[Visitor]],'NHL Model'!$A$6:$B$38,2,FALSE)</f>
        <v>-0.8683412362501769</v>
      </c>
      <c r="J1076">
        <f ca="1">($B$1+Table4[[#This Row],[Home Differential]])-Table4[[#This Row],[Away Differential]]</f>
        <v>1.0302760880023034</v>
      </c>
      <c r="K1076" t="str">
        <f ca="1">IF(Table4[[#This Row],[HomeIce Differential]]&gt;0,Table4[[#This Row],[Home]],Table4[[#This Row],[Visitor]])</f>
        <v>Vegas Golden Knights</v>
      </c>
      <c r="L1076" s="11">
        <f ca="1"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0.68275367839674916</v>
      </c>
      <c r="M1076" t="str">
        <f ca="1">IF(OR((NHL2025_26Results[[#This Row],[Winning Team]]="")),"-",IF(Table4[[#This Row],[Predicted Winner]]=NHL2025_26Results[[#This Row],[Winning Team]],"YES","NO"))</f>
        <v>-</v>
      </c>
      <c r="N1076" t="str">
        <f ca="1">IF(Table4[[#This Row],[Adjusted Correct]]="-", "",IF(Table4[[#This Row],[Adjusted Correct]]="YES",(Table4[[#This Row],[Strength of Win]]-1)^2,(Table4[[#This Row],[Strength of Win]]-0)^2))</f>
        <v/>
      </c>
      <c r="P1076" s="11"/>
    </row>
    <row r="1077" spans="4:16" x14ac:dyDescent="0.2">
      <c r="D1077" s="1">
        <v>46098</v>
      </c>
      <c r="E1077" s="2">
        <v>0.83333333333333337</v>
      </c>
      <c r="F1077" t="s">
        <v>40</v>
      </c>
      <c r="G1077">
        <f>VLOOKUP(Table4[[#This Row],[Home]],'NHL Model'!$A$6:$B$38,2,FALSE)</f>
        <v>0.105105258369765</v>
      </c>
      <c r="H1077" t="s">
        <v>29</v>
      </c>
      <c r="I1077">
        <f>VLOOKUP(Table4[[#This Row],[Visitor]],'NHL Model'!$A$6:$B$38,2,FALSE)</f>
        <v>-1.3516250707060606</v>
      </c>
      <c r="J1077">
        <f ca="1">($B$1+Table4[[#This Row],[Home Differential]])-Table4[[#This Row],[Away Differential]]</f>
        <v>1.619302638738144</v>
      </c>
      <c r="K1077" t="str">
        <f ca="1">IF(Table4[[#This Row],[HomeIce Differential]]&gt;0,Table4[[#This Row],[Home]],Table4[[#This Row],[Visitor]])</f>
        <v>Winnipeg Jets</v>
      </c>
      <c r="L1077" s="11">
        <f ca="1"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0.80040527673928241</v>
      </c>
      <c r="M1077" t="str">
        <f ca="1">IF(OR((NHL2025_26Results[[#This Row],[Winning Team]]="")),"-",IF(Table4[[#This Row],[Predicted Winner]]=NHL2025_26Results[[#This Row],[Winning Team]],"YES","NO"))</f>
        <v>-</v>
      </c>
      <c r="N1077" t="str">
        <f ca="1">IF(Table4[[#This Row],[Adjusted Correct]]="-", "",IF(Table4[[#This Row],[Adjusted Correct]]="YES",(Table4[[#This Row],[Strength of Win]]-1)^2,(Table4[[#This Row],[Strength of Win]]-0)^2))</f>
        <v/>
      </c>
      <c r="P1077" s="11"/>
    </row>
    <row r="1078" spans="4:16" x14ac:dyDescent="0.2">
      <c r="D1078" s="1">
        <v>46099</v>
      </c>
      <c r="E1078" s="2">
        <v>0.91666666666666663</v>
      </c>
      <c r="F1078" t="s">
        <v>31</v>
      </c>
      <c r="G1078">
        <f>VLOOKUP(Table4[[#This Row],[Home]],'NHL Model'!$A$6:$B$38,2,FALSE)</f>
        <v>0.51775546328552802</v>
      </c>
      <c r="H1078" t="s">
        <v>27</v>
      </c>
      <c r="I1078">
        <f>VLOOKUP(Table4[[#This Row],[Visitor]],'NHL Model'!$A$6:$B$38,2,FALSE)</f>
        <v>-0.51358590497437617</v>
      </c>
      <c r="J1078">
        <f ca="1">($B$1+Table4[[#This Row],[Home Differential]])-Table4[[#This Row],[Away Differential]]</f>
        <v>1.1939136779222226</v>
      </c>
      <c r="K1078" t="str">
        <f ca="1">IF(Table4[[#This Row],[HomeIce Differential]]&gt;0,Table4[[#This Row],[Home]],Table4[[#This Row],[Visitor]])</f>
        <v>Anaheim Ducks</v>
      </c>
      <c r="L1078" s="11">
        <f ca="1"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0.80975698115806216</v>
      </c>
      <c r="M1078" t="str">
        <f ca="1">IF(OR((NHL2025_26Results[[#This Row],[Winning Team]]="")),"-",IF(Table4[[#This Row],[Predicted Winner]]=NHL2025_26Results[[#This Row],[Winning Team]],"YES","NO"))</f>
        <v>-</v>
      </c>
      <c r="N1078" t="str">
        <f ca="1">IF(Table4[[#This Row],[Adjusted Correct]]="-", "",IF(Table4[[#This Row],[Adjusted Correct]]="YES",(Table4[[#This Row],[Strength of Win]]-1)^2,(Table4[[#This Row],[Strength of Win]]-0)^2))</f>
        <v/>
      </c>
      <c r="P1078" s="11"/>
    </row>
    <row r="1079" spans="4:16" x14ac:dyDescent="0.2">
      <c r="D1079" s="1">
        <v>46099</v>
      </c>
      <c r="E1079" s="2">
        <v>0.79166666666666663</v>
      </c>
      <c r="F1079" t="s">
        <v>25</v>
      </c>
      <c r="G1079">
        <f>VLOOKUP(Table4[[#This Row],[Home]],'NHL Model'!$A$6:$B$38,2,FALSE)</f>
        <v>0.67193921242367816</v>
      </c>
      <c r="H1079" t="s">
        <v>14</v>
      </c>
      <c r="I1079">
        <f>VLOOKUP(Table4[[#This Row],[Visitor]],'NHL Model'!$A$6:$B$38,2,FALSE)</f>
        <v>0.26289091192875702</v>
      </c>
      <c r="J1079">
        <f ca="1">($B$1+Table4[[#This Row],[Home Differential]])-Table4[[#This Row],[Away Differential]]</f>
        <v>0.57162061015723953</v>
      </c>
      <c r="K1079" t="str">
        <f ca="1">IF(Table4[[#This Row],[HomeIce Differential]]&gt;0,Table4[[#This Row],[Home]],Table4[[#This Row],[Visitor]])</f>
        <v>Carolina Hurricanes</v>
      </c>
      <c r="L1079" s="11">
        <f ca="1"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0.67091896444065846</v>
      </c>
      <c r="M1079" t="str">
        <f ca="1">IF(OR((NHL2025_26Results[[#This Row],[Winning Team]]="")),"-",IF(Table4[[#This Row],[Predicted Winner]]=NHL2025_26Results[[#This Row],[Winning Team]],"YES","NO"))</f>
        <v>-</v>
      </c>
      <c r="N1079" t="str">
        <f ca="1">IF(Table4[[#This Row],[Adjusted Correct]]="-", "",IF(Table4[[#This Row],[Adjusted Correct]]="YES",(Table4[[#This Row],[Strength of Win]]-1)^2,(Table4[[#This Row],[Strength of Win]]-0)^2))</f>
        <v/>
      </c>
      <c r="P1079" s="11"/>
    </row>
    <row r="1080" spans="4:16" x14ac:dyDescent="0.2">
      <c r="D1080" s="1">
        <v>46099</v>
      </c>
      <c r="E1080" s="2">
        <v>0.89583333333333337</v>
      </c>
      <c r="F1080" t="s">
        <v>16</v>
      </c>
      <c r="G1080">
        <f>VLOOKUP(Table4[[#This Row],[Home]],'NHL Model'!$A$6:$B$38,2,FALSE)</f>
        <v>-1.3903684122795328</v>
      </c>
      <c r="H1080" t="s">
        <v>35</v>
      </c>
      <c r="I1080">
        <f>VLOOKUP(Table4[[#This Row],[Visitor]],'NHL Model'!$A$6:$B$38,2,FALSE)</f>
        <v>-1.6211574240381006</v>
      </c>
      <c r="J1080">
        <f ca="1">($B$1+Table4[[#This Row],[Home Differential]])-Table4[[#This Row],[Away Differential]]</f>
        <v>0.3933613214208862</v>
      </c>
      <c r="K1080" t="str">
        <f ca="1">IF(Table4[[#This Row],[HomeIce Differential]]&gt;0,Table4[[#This Row],[Home]],Table4[[#This Row],[Visitor]])</f>
        <v>Calgary Flames</v>
      </c>
      <c r="L1080" s="11">
        <f ca="1"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0.59450361920047967</v>
      </c>
      <c r="M1080" t="str">
        <f ca="1">IF(OR((NHL2025_26Results[[#This Row],[Winning Team]]="")),"-",IF(Table4[[#This Row],[Predicted Winner]]=NHL2025_26Results[[#This Row],[Winning Team]],"YES","NO"))</f>
        <v>-</v>
      </c>
      <c r="N1080" t="str">
        <f ca="1">IF(Table4[[#This Row],[Adjusted Correct]]="-", "",IF(Table4[[#This Row],[Adjusted Correct]]="YES",(Table4[[#This Row],[Strength of Win]]-1)^2,(Table4[[#This Row],[Strength of Win]]-0)^2))</f>
        <v/>
      </c>
      <c r="P1080" s="11"/>
    </row>
    <row r="1081" spans="4:16" x14ac:dyDescent="0.2">
      <c r="D1081" s="1">
        <v>46099</v>
      </c>
      <c r="E1081" s="2">
        <v>0.89583333333333337</v>
      </c>
      <c r="F1081" t="s">
        <v>12</v>
      </c>
      <c r="G1081">
        <f>VLOOKUP(Table4[[#This Row],[Home]],'NHL Model'!$A$6:$B$38,2,FALSE)</f>
        <v>1.5475013591489768</v>
      </c>
      <c r="H1081" t="s">
        <v>39</v>
      </c>
      <c r="I1081">
        <f>VLOOKUP(Table4[[#This Row],[Visitor]],'NHL Model'!$A$6:$B$38,2,FALSE)</f>
        <v>0.19809534061227302</v>
      </c>
      <c r="J1081">
        <f ca="1">($B$1+Table4[[#This Row],[Home Differential]])-Table4[[#This Row],[Away Differential]]</f>
        <v>1.5119783281990222</v>
      </c>
      <c r="K1081" t="str">
        <f ca="1">IF(Table4[[#This Row],[HomeIce Differential]]&gt;0,Table4[[#This Row],[Home]],Table4[[#This Row],[Visitor]])</f>
        <v>Colorado Avalanche</v>
      </c>
      <c r="L1081" s="11">
        <f ca="1"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0.74795923574876788</v>
      </c>
      <c r="M1081" t="str">
        <f ca="1">IF(OR((NHL2025_26Results[[#This Row],[Winning Team]]="")),"-",IF(Table4[[#This Row],[Predicted Winner]]=NHL2025_26Results[[#This Row],[Winning Team]],"YES","NO"))</f>
        <v>-</v>
      </c>
      <c r="N1081" t="str">
        <f ca="1">IF(Table4[[#This Row],[Adjusted Correct]]="-", "",IF(Table4[[#This Row],[Adjusted Correct]]="YES",(Table4[[#This Row],[Strength of Win]]-1)^2,(Table4[[#This Row],[Strength of Win]]-0)^2))</f>
        <v/>
      </c>
      <c r="P1081" s="11"/>
    </row>
    <row r="1082" spans="4:16" x14ac:dyDescent="0.2">
      <c r="D1082" s="1">
        <v>46099</v>
      </c>
      <c r="E1082" s="2">
        <v>0.79166666666666663</v>
      </c>
      <c r="F1082" t="s">
        <v>15</v>
      </c>
      <c r="G1082">
        <f>VLOOKUP(Table4[[#This Row],[Home]],'NHL Model'!$A$6:$B$38,2,FALSE)</f>
        <v>-0.30719665303039001</v>
      </c>
      <c r="H1082" t="s">
        <v>24</v>
      </c>
      <c r="I1082">
        <f>VLOOKUP(Table4[[#This Row],[Visitor]],'NHL Model'!$A$6:$B$38,2,FALSE)</f>
        <v>0.559441163373953</v>
      </c>
      <c r="J1082">
        <f ca="1">($B$1+Table4[[#This Row],[Home Differential]])-Table4[[#This Row],[Away Differential]]</f>
        <v>-0.70406550674202462</v>
      </c>
      <c r="K1082" t="str">
        <f ca="1">IF(Table4[[#This Row],[HomeIce Differential]]&gt;0,Table4[[#This Row],[Home]],Table4[[#This Row],[Visitor]])</f>
        <v>New Jersey Devils</v>
      </c>
      <c r="L1082" s="11">
        <f ca="1"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0.62387016551921504</v>
      </c>
      <c r="M1082" t="str">
        <f ca="1">IF(OR((NHL2025_26Results[[#This Row],[Winning Team]]="")),"-",IF(Table4[[#This Row],[Predicted Winner]]=NHL2025_26Results[[#This Row],[Winning Team]],"YES","NO"))</f>
        <v>-</v>
      </c>
      <c r="N1082" t="str">
        <f ca="1">IF(Table4[[#This Row],[Adjusted Correct]]="-", "",IF(Table4[[#This Row],[Adjusted Correct]]="YES",(Table4[[#This Row],[Strength of Win]]-1)^2,(Table4[[#This Row],[Strength of Win]]-0)^2))</f>
        <v/>
      </c>
      <c r="P1082" s="11"/>
    </row>
    <row r="1083" spans="4:16" x14ac:dyDescent="0.2">
      <c r="D1083" s="1">
        <v>46099</v>
      </c>
      <c r="E1083" s="2">
        <v>0.8125</v>
      </c>
      <c r="F1083" t="s">
        <v>22</v>
      </c>
      <c r="G1083">
        <f>VLOOKUP(Table4[[#This Row],[Home]],'NHL Model'!$A$6:$B$38,2,FALSE)</f>
        <v>-6.1308839486784707E-2</v>
      </c>
      <c r="H1083" t="s">
        <v>36</v>
      </c>
      <c r="I1083">
        <f>VLOOKUP(Table4[[#This Row],[Visitor]],'NHL Model'!$A$6:$B$38,2,FALSE)</f>
        <v>-0.40651947573390851</v>
      </c>
      <c r="J1083">
        <f ca="1">($B$1+Table4[[#This Row],[Home Differential]])-Table4[[#This Row],[Away Differential]]</f>
        <v>0.50778294590944217</v>
      </c>
      <c r="K1083" t="str">
        <f ca="1">IF(Table4[[#This Row],[HomeIce Differential]]&gt;0,Table4[[#This Row],[Home]],Table4[[#This Row],[Visitor]])</f>
        <v>Washington Capitals</v>
      </c>
      <c r="L1083" s="11">
        <f ca="1"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0.61035772663254151</v>
      </c>
      <c r="M1083" t="str">
        <f ca="1">IF(OR((NHL2025_26Results[[#This Row],[Winning Team]]="")),"-",IF(Table4[[#This Row],[Predicted Winner]]=NHL2025_26Results[[#This Row],[Winning Team]],"YES","NO"))</f>
        <v>-</v>
      </c>
      <c r="N1083" t="str">
        <f ca="1">IF(Table4[[#This Row],[Adjusted Correct]]="-", "",IF(Table4[[#This Row],[Adjusted Correct]]="YES",(Table4[[#This Row],[Strength of Win]]-1)^2,(Table4[[#This Row],[Strength of Win]]-0)^2))</f>
        <v/>
      </c>
      <c r="P1083" s="11"/>
    </row>
    <row r="1084" spans="4:16" x14ac:dyDescent="0.2">
      <c r="D1084" s="1">
        <v>46100</v>
      </c>
      <c r="E1084" s="2">
        <v>0.79166666666666663</v>
      </c>
      <c r="F1084" t="s">
        <v>21</v>
      </c>
      <c r="G1084">
        <f>VLOOKUP(Table4[[#This Row],[Home]],'NHL Model'!$A$6:$B$38,2,FALSE)</f>
        <v>4.029141914856392E-2</v>
      </c>
      <c r="H1084" t="s">
        <v>40</v>
      </c>
      <c r="I1084">
        <f>VLOOKUP(Table4[[#This Row],[Visitor]],'NHL Model'!$A$6:$B$38,2,FALSE)</f>
        <v>0.105105258369765</v>
      </c>
      <c r="J1084">
        <f ca="1">($B$1+Table4[[#This Row],[Home Differential]])-Table4[[#This Row],[Away Differential]]</f>
        <v>9.7758470441117323E-2</v>
      </c>
      <c r="K1084" t="str">
        <f ca="1">IF(Table4[[#This Row],[HomeIce Differential]]&gt;0,Table4[[#This Row],[Home]],Table4[[#This Row],[Visitor]])</f>
        <v>Boston Bruins</v>
      </c>
      <c r="L1084" s="11">
        <f ca="1"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0.56149048854718664</v>
      </c>
      <c r="M1084" t="str">
        <f ca="1">IF(OR((NHL2025_26Results[[#This Row],[Winning Team]]="")),"-",IF(Table4[[#This Row],[Predicted Winner]]=NHL2025_26Results[[#This Row],[Winning Team]],"YES","NO"))</f>
        <v>-</v>
      </c>
      <c r="N1084" t="str">
        <f ca="1">IF(Table4[[#This Row],[Adjusted Correct]]="-", "",IF(Table4[[#This Row],[Adjusted Correct]]="YES",(Table4[[#This Row],[Strength of Win]]-1)^2,(Table4[[#This Row],[Strength of Win]]-0)^2))</f>
        <v/>
      </c>
      <c r="P1084" s="11"/>
    </row>
    <row r="1085" spans="4:16" x14ac:dyDescent="0.2">
      <c r="D1085" s="1">
        <v>46100</v>
      </c>
      <c r="E1085" s="2">
        <v>0.79166666666666663</v>
      </c>
      <c r="F1085" t="s">
        <v>28</v>
      </c>
      <c r="G1085">
        <f>VLOOKUP(Table4[[#This Row],[Home]],'NHL Model'!$A$6:$B$38,2,FALSE)</f>
        <v>-0.40822279081308277</v>
      </c>
      <c r="H1085" t="s">
        <v>15</v>
      </c>
      <c r="I1085">
        <f>VLOOKUP(Table4[[#This Row],[Visitor]],'NHL Model'!$A$6:$B$38,2,FALSE)</f>
        <v>-0.30719665303039001</v>
      </c>
      <c r="J1085">
        <f ca="1">($B$1+Table4[[#This Row],[Home Differential]])-Table4[[#This Row],[Away Differential]]</f>
        <v>6.1546171879625633E-2</v>
      </c>
      <c r="K1085" t="str">
        <f ca="1">IF(Table4[[#This Row],[HomeIce Differential]]&gt;0,Table4[[#This Row],[Home]],Table4[[#This Row],[Visitor]])</f>
        <v>Columbus Blue Jackets</v>
      </c>
      <c r="L1085" s="11">
        <f ca="1"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0.40611811680123444</v>
      </c>
      <c r="M1085" t="str">
        <f ca="1">IF(OR((NHL2025_26Results[[#This Row],[Winning Team]]="")),"-",IF(Table4[[#This Row],[Predicted Winner]]=NHL2025_26Results[[#This Row],[Winning Team]],"YES","NO"))</f>
        <v>-</v>
      </c>
      <c r="N1085" t="str">
        <f ca="1">IF(Table4[[#This Row],[Adjusted Correct]]="-", "",IF(Table4[[#This Row],[Adjusted Correct]]="YES",(Table4[[#This Row],[Strength of Win]]-1)^2,(Table4[[#This Row],[Strength of Win]]-0)^2))</f>
        <v/>
      </c>
      <c r="P1085" s="11"/>
    </row>
    <row r="1086" spans="4:16" x14ac:dyDescent="0.2">
      <c r="D1086" s="1">
        <v>46100</v>
      </c>
      <c r="E1086" s="2">
        <v>0.79166666666666663</v>
      </c>
      <c r="F1086" t="s">
        <v>26</v>
      </c>
      <c r="G1086">
        <f>VLOOKUP(Table4[[#This Row],[Home]],'NHL Model'!$A$6:$B$38,2,FALSE)</f>
        <v>-0.513643833119658</v>
      </c>
      <c r="H1086" t="s">
        <v>18</v>
      </c>
      <c r="I1086">
        <f>VLOOKUP(Table4[[#This Row],[Visitor]],'NHL Model'!$A$6:$B$38,2,FALSE)</f>
        <v>-0.52437726201848234</v>
      </c>
      <c r="J1086">
        <f ca="1">($B$1+Table4[[#This Row],[Home Differential]])-Table4[[#This Row],[Away Differential]]</f>
        <v>0.17330573856114273</v>
      </c>
      <c r="K1086" t="str">
        <f ca="1">IF(Table4[[#This Row],[HomeIce Differential]]&gt;0,Table4[[#This Row],[Home]],Table4[[#This Row],[Visitor]])</f>
        <v>Detroit Red Wings</v>
      </c>
      <c r="L1086" s="11">
        <f ca="1"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0.51380892998138827</v>
      </c>
      <c r="M1086" t="str">
        <f ca="1">IF(OR((NHL2025_26Results[[#This Row],[Winning Team]]="")),"-",IF(Table4[[#This Row],[Predicted Winner]]=NHL2025_26Results[[#This Row],[Winning Team]],"YES","NO"))</f>
        <v>-</v>
      </c>
      <c r="N1086" t="str">
        <f ca="1">IF(Table4[[#This Row],[Adjusted Correct]]="-", "",IF(Table4[[#This Row],[Adjusted Correct]]="YES",(Table4[[#This Row],[Strength of Win]]-1)^2,(Table4[[#This Row],[Strength of Win]]-0)^2))</f>
        <v/>
      </c>
      <c r="P1086" s="11"/>
    </row>
    <row r="1087" spans="4:16" x14ac:dyDescent="0.2">
      <c r="D1087" s="1">
        <v>46100</v>
      </c>
      <c r="E1087" s="2">
        <v>0.875</v>
      </c>
      <c r="F1087" t="s">
        <v>17</v>
      </c>
      <c r="G1087">
        <f>VLOOKUP(Table4[[#This Row],[Home]],'NHL Model'!$A$6:$B$38,2,FALSE)</f>
        <v>-0.61980804137564283</v>
      </c>
      <c r="H1087" t="s">
        <v>11</v>
      </c>
      <c r="I1087">
        <f>VLOOKUP(Table4[[#This Row],[Visitor]],'NHL Model'!$A$6:$B$38,2,FALSE)</f>
        <v>-0.28105923893144158</v>
      </c>
      <c r="J1087">
        <f ca="1">($B$1+Table4[[#This Row],[Home Differential]])-Table4[[#This Row],[Away Differential]]</f>
        <v>-0.17617649278188285</v>
      </c>
      <c r="K1087" t="str">
        <f ca="1">IF(Table4[[#This Row],[HomeIce Differential]]&gt;0,Table4[[#This Row],[Home]],Table4[[#This Row],[Visitor]])</f>
        <v>Florida Panthers</v>
      </c>
      <c r="L1087" s="11">
        <f ca="1"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0.44837391312434893</v>
      </c>
      <c r="M1087" t="str">
        <f ca="1">IF(OR((NHL2025_26Results[[#This Row],[Winning Team]]="")),"-",IF(Table4[[#This Row],[Predicted Winner]]=NHL2025_26Results[[#This Row],[Winning Team]],"YES","NO"))</f>
        <v>-</v>
      </c>
      <c r="N1087" t="str">
        <f ca="1">IF(Table4[[#This Row],[Adjusted Correct]]="-", "",IF(Table4[[#This Row],[Adjusted Correct]]="YES",(Table4[[#This Row],[Strength of Win]]-1)^2,(Table4[[#This Row],[Strength of Win]]-0)^2))</f>
        <v/>
      </c>
      <c r="P1087" s="11"/>
    </row>
    <row r="1088" spans="4:16" x14ac:dyDescent="0.2">
      <c r="D1088" s="1">
        <v>46100</v>
      </c>
      <c r="E1088" s="2">
        <v>0.9375</v>
      </c>
      <c r="F1088" t="s">
        <v>13</v>
      </c>
      <c r="G1088">
        <f>VLOOKUP(Table4[[#This Row],[Home]],'NHL Model'!$A$6:$B$38,2,FALSE)</f>
        <v>-7.5459708298993802E-2</v>
      </c>
      <c r="H1088" t="s">
        <v>27</v>
      </c>
      <c r="I1088">
        <f>VLOOKUP(Table4[[#This Row],[Visitor]],'NHL Model'!$A$6:$B$38,2,FALSE)</f>
        <v>-0.51358590497437617</v>
      </c>
      <c r="J1088">
        <f ca="1">($B$1+Table4[[#This Row],[Home Differential]])-Table4[[#This Row],[Away Differential]]</f>
        <v>0.60069850633770072</v>
      </c>
      <c r="K1088" t="str">
        <f ca="1">IF(Table4[[#This Row],[HomeIce Differential]]&gt;0,Table4[[#This Row],[Home]],Table4[[#This Row],[Visitor]])</f>
        <v>Los Angeles Kings</v>
      </c>
      <c r="L1088" s="11">
        <f ca="1"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0.62323198255858969</v>
      </c>
      <c r="M1088" t="str">
        <f ca="1">IF(OR((NHL2025_26Results[[#This Row],[Winning Team]]="")),"-",IF(Table4[[#This Row],[Predicted Winner]]=NHL2025_26Results[[#This Row],[Winning Team]],"YES","NO"))</f>
        <v>-</v>
      </c>
      <c r="N1088" t="str">
        <f ca="1">IF(Table4[[#This Row],[Adjusted Correct]]="-", "",IF(Table4[[#This Row],[Adjusted Correct]]="YES",(Table4[[#This Row],[Strength of Win]]-1)^2,(Table4[[#This Row],[Strength of Win]]-0)^2))</f>
        <v/>
      </c>
      <c r="P1088" s="11"/>
    </row>
    <row r="1089" spans="4:16" x14ac:dyDescent="0.2">
      <c r="D1089" s="1">
        <v>46100</v>
      </c>
      <c r="E1089" s="2">
        <v>0.8125</v>
      </c>
      <c r="F1089" t="s">
        <v>34</v>
      </c>
      <c r="G1089">
        <f>VLOOKUP(Table4[[#This Row],[Home]],'NHL Model'!$A$6:$B$38,2,FALSE)</f>
        <v>-0.53650300840565446</v>
      </c>
      <c r="H1089" t="s">
        <v>10</v>
      </c>
      <c r="I1089">
        <f>VLOOKUP(Table4[[#This Row],[Visitor]],'NHL Model'!$A$6:$B$38,2,FALSE)</f>
        <v>0.30570968833820172</v>
      </c>
      <c r="J1089">
        <f ca="1">($B$1+Table4[[#This Row],[Home Differential]])-Table4[[#This Row],[Away Differential]]</f>
        <v>-0.67964038708153773</v>
      </c>
      <c r="K1089" t="str">
        <f ca="1">IF(Table4[[#This Row],[HomeIce Differential]]&gt;0,Table4[[#This Row],[Home]],Table4[[#This Row],[Visitor]])</f>
        <v>Chicago Blackhawks</v>
      </c>
      <c r="L1089" s="11">
        <f ca="1"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0.57493929486438322</v>
      </c>
      <c r="M1089" t="str">
        <f ca="1">IF(OR((NHL2025_26Results[[#This Row],[Winning Team]]="")),"-",IF(Table4[[#This Row],[Predicted Winner]]=NHL2025_26Results[[#This Row],[Winning Team]],"YES","NO"))</f>
        <v>-</v>
      </c>
      <c r="N1089" t="str">
        <f ca="1">IF(Table4[[#This Row],[Adjusted Correct]]="-", "",IF(Table4[[#This Row],[Adjusted Correct]]="YES",(Table4[[#This Row],[Strength of Win]]-1)^2,(Table4[[#This Row],[Strength of Win]]-0)^2))</f>
        <v/>
      </c>
      <c r="P1089" s="11"/>
    </row>
    <row r="1090" spans="4:16" x14ac:dyDescent="0.2">
      <c r="D1090" s="1">
        <v>46100</v>
      </c>
      <c r="E1090" s="2">
        <v>0.83333333333333337</v>
      </c>
      <c r="F1090" t="s">
        <v>29</v>
      </c>
      <c r="G1090">
        <f>VLOOKUP(Table4[[#This Row],[Home]],'NHL Model'!$A$6:$B$38,2,FALSE)</f>
        <v>-1.3516250707060606</v>
      </c>
      <c r="H1090" t="s">
        <v>32</v>
      </c>
      <c r="I1090">
        <f>VLOOKUP(Table4[[#This Row],[Visitor]],'NHL Model'!$A$6:$B$38,2,FALSE)</f>
        <v>-0.361361309178443</v>
      </c>
      <c r="J1090">
        <f ca="1">($B$1+Table4[[#This Row],[Home Differential]])-Table4[[#This Row],[Away Differential]]</f>
        <v>-0.82769145186529924</v>
      </c>
      <c r="K1090" t="str">
        <f ca="1">IF(Table4[[#This Row],[HomeIce Differential]]&gt;0,Table4[[#This Row],[Home]],Table4[[#This Row],[Visitor]])</f>
        <v>Seattle Kraken</v>
      </c>
      <c r="L1090" s="11">
        <f ca="1"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0.5746838218485889</v>
      </c>
      <c r="M1090" t="str">
        <f ca="1">IF(OR((NHL2025_26Results[[#This Row],[Winning Team]]="")),"-",IF(Table4[[#This Row],[Predicted Winner]]=NHL2025_26Results[[#This Row],[Winning Team]],"YES","NO"))</f>
        <v>-</v>
      </c>
      <c r="N1090" t="str">
        <f ca="1">IF(Table4[[#This Row],[Adjusted Correct]]="-", "",IF(Table4[[#This Row],[Adjusted Correct]]="YES",(Table4[[#This Row],[Strength of Win]]-1)^2,(Table4[[#This Row],[Strength of Win]]-0)^2))</f>
        <v/>
      </c>
      <c r="P1090" s="11"/>
    </row>
    <row r="1091" spans="4:16" x14ac:dyDescent="0.2">
      <c r="D1091" s="1">
        <v>46100</v>
      </c>
      <c r="E1091" s="2">
        <v>0.79166666666666663</v>
      </c>
      <c r="F1091" t="s">
        <v>36</v>
      </c>
      <c r="G1091">
        <f>VLOOKUP(Table4[[#This Row],[Home]],'NHL Model'!$A$6:$B$38,2,FALSE)</f>
        <v>-0.40651947573390851</v>
      </c>
      <c r="H1091" t="s">
        <v>30</v>
      </c>
      <c r="I1091">
        <f>VLOOKUP(Table4[[#This Row],[Visitor]],'NHL Model'!$A$6:$B$38,2,FALSE)</f>
        <v>-6.4729560818359025E-2</v>
      </c>
      <c r="J1091">
        <f ca="1">($B$1+Table4[[#This Row],[Home Differential]])-Table4[[#This Row],[Away Differential]]</f>
        <v>-0.1792176052532311</v>
      </c>
      <c r="K1091" t="str">
        <f ca="1">IF(Table4[[#This Row],[HomeIce Differential]]&gt;0,Table4[[#This Row],[Home]],Table4[[#This Row],[Visitor]])</f>
        <v>New York Islanders</v>
      </c>
      <c r="L1091" s="11">
        <f ca="1"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0.52483215196517119</v>
      </c>
      <c r="M1091" t="str">
        <f ca="1">IF(OR((NHL2025_26Results[[#This Row],[Winning Team]]="")),"-",IF(Table4[[#This Row],[Predicted Winner]]=NHL2025_26Results[[#This Row],[Winning Team]],"YES","NO"))</f>
        <v>-</v>
      </c>
      <c r="N1091" t="str">
        <f ca="1">IF(Table4[[#This Row],[Adjusted Correct]]="-", "",IF(Table4[[#This Row],[Adjusted Correct]]="YES",(Table4[[#This Row],[Strength of Win]]-1)^2,(Table4[[#This Row],[Strength of Win]]-0)^2))</f>
        <v/>
      </c>
      <c r="P1091" s="11"/>
    </row>
    <row r="1092" spans="4:16" x14ac:dyDescent="0.2">
      <c r="D1092" s="1">
        <v>46100</v>
      </c>
      <c r="E1092" s="2">
        <v>0.91666666666666663</v>
      </c>
      <c r="F1092" t="s">
        <v>33</v>
      </c>
      <c r="G1092">
        <f>VLOOKUP(Table4[[#This Row],[Home]],'NHL Model'!$A$6:$B$38,2,FALSE)</f>
        <v>-0.39418177254008485</v>
      </c>
      <c r="H1092" t="s">
        <v>23</v>
      </c>
      <c r="I1092">
        <f>VLOOKUP(Table4[[#This Row],[Visitor]],'NHL Model'!$A$6:$B$38,2,FALSE)</f>
        <v>-0.8683412362501769</v>
      </c>
      <c r="J1092">
        <f ca="1">($B$1+Table4[[#This Row],[Home Differential]])-Table4[[#This Row],[Away Differential]]</f>
        <v>0.63673177337241049</v>
      </c>
      <c r="K1092" t="str">
        <f ca="1">IF(Table4[[#This Row],[HomeIce Differential]]&gt;0,Table4[[#This Row],[Home]],Table4[[#This Row],[Visitor]])</f>
        <v>San Jose Sharks</v>
      </c>
      <c r="L1092" s="11">
        <f ca="1"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0.62822470390169205</v>
      </c>
      <c r="M1092" t="str">
        <f ca="1">IF(OR((NHL2025_26Results[[#This Row],[Winning Team]]="")),"-",IF(Table4[[#This Row],[Predicted Winner]]=NHL2025_26Results[[#This Row],[Winning Team]],"YES","NO"))</f>
        <v>-</v>
      </c>
      <c r="N1092" t="str">
        <f ca="1">IF(Table4[[#This Row],[Adjusted Correct]]="-", "",IF(Table4[[#This Row],[Adjusted Correct]]="YES",(Table4[[#This Row],[Strength of Win]]-1)^2,(Table4[[#This Row],[Strength of Win]]-0)^2))</f>
        <v/>
      </c>
      <c r="P1092" s="11"/>
    </row>
    <row r="1093" spans="4:16" x14ac:dyDescent="0.2">
      <c r="D1093" s="1">
        <v>46100</v>
      </c>
      <c r="E1093" s="2">
        <v>0.91666666666666663</v>
      </c>
      <c r="F1093" t="s">
        <v>38</v>
      </c>
      <c r="G1093">
        <f>VLOOKUP(Table4[[#This Row],[Home]],'NHL Model'!$A$6:$B$38,2,FALSE)</f>
        <v>-0.6902088310934803</v>
      </c>
      <c r="H1093" t="s">
        <v>37</v>
      </c>
      <c r="I1093">
        <f>VLOOKUP(Table4[[#This Row],[Visitor]],'NHL Model'!$A$6:$B$38,2,FALSE)</f>
        <v>-0.11309445867623392</v>
      </c>
      <c r="J1093">
        <f ca="1">($B$1+Table4[[#This Row],[Home Differential]])-Table4[[#This Row],[Away Differential]]</f>
        <v>-0.414542062754928</v>
      </c>
      <c r="K1093" t="str">
        <f ca="1">IF(Table4[[#This Row],[HomeIce Differential]]&gt;0,Table4[[#This Row],[Home]],Table4[[#This Row],[Visitor]])</f>
        <v>Tampa Bay Lightning</v>
      </c>
      <c r="L1093" s="11">
        <f ca="1"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0.5645377859048758</v>
      </c>
      <c r="M1093" t="str">
        <f ca="1">IF(OR((NHL2025_26Results[[#This Row],[Winning Team]]="")),"-",IF(Table4[[#This Row],[Predicted Winner]]=NHL2025_26Results[[#This Row],[Winning Team]],"YES","NO"))</f>
        <v>-</v>
      </c>
      <c r="N1093" t="str">
        <f ca="1">IF(Table4[[#This Row],[Adjusted Correct]]="-", "",IF(Table4[[#This Row],[Adjusted Correct]]="YES",(Table4[[#This Row],[Strength of Win]]-1)^2,(Table4[[#This Row],[Strength of Win]]-0)^2))</f>
        <v/>
      </c>
      <c r="P1093" s="11"/>
    </row>
    <row r="1094" spans="4:16" x14ac:dyDescent="0.2">
      <c r="D1094" s="1">
        <v>46100</v>
      </c>
      <c r="E1094" s="2">
        <v>0.91666666666666663</v>
      </c>
      <c r="F1094" t="s">
        <v>20</v>
      </c>
      <c r="G1094">
        <f>VLOOKUP(Table4[[#This Row],[Home]],'NHL Model'!$A$6:$B$38,2,FALSE)</f>
        <v>-6.3745791019188943E-4</v>
      </c>
      <c r="H1094" t="s">
        <v>55</v>
      </c>
      <c r="I1094">
        <f>VLOOKUP(Table4[[#This Row],[Visitor]],'NHL Model'!$A$6:$B$38,2,FALSE)</f>
        <v>-0.12212311954851815</v>
      </c>
      <c r="J1094">
        <f ca="1">($B$1+Table4[[#This Row],[Home Differential]])-Table4[[#This Row],[Away Differential]]</f>
        <v>0.28405797130064464</v>
      </c>
      <c r="K1094" t="str">
        <f ca="1">IF(Table4[[#This Row],[HomeIce Differential]]&gt;0,Table4[[#This Row],[Home]],Table4[[#This Row],[Visitor]])</f>
        <v>Vegas Golden Knights</v>
      </c>
      <c r="L1094" s="11">
        <f ca="1"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0.579358693027334</v>
      </c>
      <c r="M1094" t="str">
        <f ca="1">IF(OR((NHL2025_26Results[[#This Row],[Winning Team]]="")),"-",IF(Table4[[#This Row],[Predicted Winner]]=NHL2025_26Results[[#This Row],[Winning Team]],"YES","NO"))</f>
        <v>-</v>
      </c>
      <c r="N1094" t="str">
        <f ca="1">IF(Table4[[#This Row],[Adjusted Correct]]="-", "",IF(Table4[[#This Row],[Adjusted Correct]]="YES",(Table4[[#This Row],[Strength of Win]]-1)^2,(Table4[[#This Row],[Strength of Win]]-0)^2))</f>
        <v/>
      </c>
      <c r="P1094" s="11"/>
    </row>
    <row r="1095" spans="4:16" x14ac:dyDescent="0.2">
      <c r="D1095" s="1">
        <v>46101</v>
      </c>
      <c r="E1095" s="2">
        <v>0.875</v>
      </c>
      <c r="F1095" t="s">
        <v>16</v>
      </c>
      <c r="G1095">
        <f>VLOOKUP(Table4[[#This Row],[Home]],'NHL Model'!$A$6:$B$38,2,FALSE)</f>
        <v>-1.3903684122795328</v>
      </c>
      <c r="H1095" t="s">
        <v>11</v>
      </c>
      <c r="I1095">
        <f>VLOOKUP(Table4[[#This Row],[Visitor]],'NHL Model'!$A$6:$B$38,2,FALSE)</f>
        <v>-0.28105923893144158</v>
      </c>
      <c r="J1095">
        <f ca="1">($B$1+Table4[[#This Row],[Home Differential]])-Table4[[#This Row],[Away Differential]]</f>
        <v>-0.94673686368577281</v>
      </c>
      <c r="K1095" t="str">
        <f ca="1">IF(Table4[[#This Row],[HomeIce Differential]]&gt;0,Table4[[#This Row],[Home]],Table4[[#This Row],[Visitor]])</f>
        <v>Florida Panthers</v>
      </c>
      <c r="L1095" s="11">
        <f ca="1"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0.59117859507639425</v>
      </c>
      <c r="M1095" t="str">
        <f ca="1">IF(OR((NHL2025_26Results[[#This Row],[Winning Team]]="")),"-",IF(Table4[[#This Row],[Predicted Winner]]=NHL2025_26Results[[#This Row],[Winning Team]],"YES","NO"))</f>
        <v>-</v>
      </c>
      <c r="N1095" t="str">
        <f ca="1">IF(Table4[[#This Row],[Adjusted Correct]]="-", "",IF(Table4[[#This Row],[Adjusted Correct]]="YES",(Table4[[#This Row],[Strength of Win]]-1)^2,(Table4[[#This Row],[Strength of Win]]-0)^2))</f>
        <v/>
      </c>
      <c r="P1095" s="11"/>
    </row>
    <row r="1096" spans="4:16" x14ac:dyDescent="0.2">
      <c r="D1096" s="1">
        <v>46101</v>
      </c>
      <c r="E1096" s="2">
        <v>0.85416666666666663</v>
      </c>
      <c r="F1096" t="s">
        <v>10</v>
      </c>
      <c r="G1096">
        <f>VLOOKUP(Table4[[#This Row],[Home]],'NHL Model'!$A$6:$B$38,2,FALSE)</f>
        <v>0.30570968833820172</v>
      </c>
      <c r="H1096" t="s">
        <v>12</v>
      </c>
      <c r="I1096">
        <f>VLOOKUP(Table4[[#This Row],[Visitor]],'NHL Model'!$A$6:$B$38,2,FALSE)</f>
        <v>1.5475013591489768</v>
      </c>
      <c r="J1096">
        <f ca="1">($B$1+Table4[[#This Row],[Home Differential]])-Table4[[#This Row],[Away Differential]]</f>
        <v>-1.0792193611484566</v>
      </c>
      <c r="K1096" t="str">
        <f ca="1">IF(Table4[[#This Row],[HomeIce Differential]]&gt;0,Table4[[#This Row],[Home]],Table4[[#This Row],[Visitor]])</f>
        <v>Colorado Avalanche</v>
      </c>
      <c r="L1096" s="11">
        <f ca="1"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0.67585098241372199</v>
      </c>
      <c r="M1096" t="str">
        <f ca="1">IF(OR((NHL2025_26Results[[#This Row],[Winning Team]]="")),"-",IF(Table4[[#This Row],[Predicted Winner]]=NHL2025_26Results[[#This Row],[Winning Team]],"YES","NO"))</f>
        <v>-</v>
      </c>
      <c r="N1096" t="str">
        <f ca="1">IF(Table4[[#This Row],[Adjusted Correct]]="-", "",IF(Table4[[#This Row],[Adjusted Correct]]="YES",(Table4[[#This Row],[Strength of Win]]-1)^2,(Table4[[#This Row],[Strength of Win]]-0)^2))</f>
        <v/>
      </c>
      <c r="P1096" s="11"/>
    </row>
    <row r="1097" spans="4:16" x14ac:dyDescent="0.2">
      <c r="D1097" s="1">
        <v>46101</v>
      </c>
      <c r="E1097" s="2">
        <v>0.79166666666666663</v>
      </c>
      <c r="F1097" t="s">
        <v>19</v>
      </c>
      <c r="G1097">
        <f>VLOOKUP(Table4[[#This Row],[Home]],'NHL Model'!$A$6:$B$38,2,FALSE)</f>
        <v>-0.635565543477981</v>
      </c>
      <c r="H1097" t="s">
        <v>25</v>
      </c>
      <c r="I1097">
        <f>VLOOKUP(Table4[[#This Row],[Visitor]],'NHL Model'!$A$6:$B$38,2,FALSE)</f>
        <v>0.67193921242367816</v>
      </c>
      <c r="J1097">
        <f ca="1">($B$1+Table4[[#This Row],[Home Differential]])-Table4[[#This Row],[Away Differential]]</f>
        <v>-1.1449324462393409</v>
      </c>
      <c r="K1097" t="str">
        <f ca="1">IF(Table4[[#This Row],[HomeIce Differential]]&gt;0,Table4[[#This Row],[Home]],Table4[[#This Row],[Visitor]])</f>
        <v>Carolina Hurricanes</v>
      </c>
      <c r="L1097" s="11">
        <f ca="1"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0.71112649806872108</v>
      </c>
      <c r="M1097" t="str">
        <f ca="1">IF(OR((NHL2025_26Results[[#This Row],[Winning Team]]="")),"-",IF(Table4[[#This Row],[Predicted Winner]]=NHL2025_26Results[[#This Row],[Winning Team]],"YES","NO"))</f>
        <v>-</v>
      </c>
      <c r="N1097" t="str">
        <f ca="1">IF(Table4[[#This Row],[Adjusted Correct]]="-", "",IF(Table4[[#This Row],[Adjusted Correct]]="YES",(Table4[[#This Row],[Strength of Win]]-1)^2,(Table4[[#This Row],[Strength of Win]]-0)^2))</f>
        <v/>
      </c>
      <c r="P1097" s="11"/>
    </row>
    <row r="1098" spans="4:16" x14ac:dyDescent="0.2">
      <c r="D1098" s="1">
        <v>46101</v>
      </c>
      <c r="E1098" s="2">
        <v>0.91666666666666663</v>
      </c>
      <c r="F1098" t="s">
        <v>55</v>
      </c>
      <c r="G1098">
        <f>VLOOKUP(Table4[[#This Row],[Home]],'NHL Model'!$A$6:$B$38,2,FALSE)</f>
        <v>-0.12212311954851815</v>
      </c>
      <c r="H1098" t="s">
        <v>31</v>
      </c>
      <c r="I1098">
        <f>VLOOKUP(Table4[[#This Row],[Visitor]],'NHL Model'!$A$6:$B$38,2,FALSE)</f>
        <v>0.51775546328552802</v>
      </c>
      <c r="J1098">
        <f ca="1">($B$1+Table4[[#This Row],[Home Differential]])-Table4[[#This Row],[Away Differential]]</f>
        <v>-0.4773062731717278</v>
      </c>
      <c r="K1098" t="str">
        <f ca="1">IF(Table4[[#This Row],[HomeIce Differential]]&gt;0,Table4[[#This Row],[Home]],Table4[[#This Row],[Visitor]])</f>
        <v>Anaheim Ducks</v>
      </c>
      <c r="L1098" s="11">
        <f ca="1"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0.47789962545446996</v>
      </c>
      <c r="M1098" t="str">
        <f ca="1">IF(OR((NHL2025_26Results[[#This Row],[Winning Team]]="")),"-",IF(Table4[[#This Row],[Predicted Winner]]=NHL2025_26Results[[#This Row],[Winning Team]],"YES","NO"))</f>
        <v>-</v>
      </c>
      <c r="N1098" t="str">
        <f ca="1">IF(Table4[[#This Row],[Adjusted Correct]]="-", "",IF(Table4[[#This Row],[Adjusted Correct]]="YES",(Table4[[#This Row],[Strength of Win]]-1)^2,(Table4[[#This Row],[Strength of Win]]-0)^2))</f>
        <v/>
      </c>
      <c r="P1098" s="11"/>
    </row>
    <row r="1099" spans="4:16" x14ac:dyDescent="0.2">
      <c r="D1099" s="1">
        <v>46101</v>
      </c>
      <c r="E1099" s="2">
        <v>0.79166666666666663</v>
      </c>
      <c r="F1099" t="s">
        <v>22</v>
      </c>
      <c r="G1099">
        <f>VLOOKUP(Table4[[#This Row],[Home]],'NHL Model'!$A$6:$B$38,2,FALSE)</f>
        <v>-6.1308839486784707E-2</v>
      </c>
      <c r="H1099" t="s">
        <v>24</v>
      </c>
      <c r="I1099">
        <f>VLOOKUP(Table4[[#This Row],[Visitor]],'NHL Model'!$A$6:$B$38,2,FALSE)</f>
        <v>0.559441163373953</v>
      </c>
      <c r="J1099">
        <f ca="1">($B$1+Table4[[#This Row],[Home Differential]])-Table4[[#This Row],[Away Differential]]</f>
        <v>-0.45817769319841928</v>
      </c>
      <c r="K1099" t="str">
        <f ca="1">IF(Table4[[#This Row],[HomeIce Differential]]&gt;0,Table4[[#This Row],[Home]],Table4[[#This Row],[Visitor]])</f>
        <v>New Jersey Devils</v>
      </c>
      <c r="L1099" s="11">
        <f ca="1"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0.58980027855877426</v>
      </c>
      <c r="M1099" t="str">
        <f ca="1">IF(OR((NHL2025_26Results[[#This Row],[Winning Team]]="")),"-",IF(Table4[[#This Row],[Predicted Winner]]=NHL2025_26Results[[#This Row],[Winning Team]],"YES","NO"))</f>
        <v>-</v>
      </c>
      <c r="N1099" t="str">
        <f ca="1">IF(Table4[[#This Row],[Adjusted Correct]]="-", "",IF(Table4[[#This Row],[Adjusted Correct]]="YES",(Table4[[#This Row],[Strength of Win]]-1)^2,(Table4[[#This Row],[Strength of Win]]-0)^2))</f>
        <v/>
      </c>
      <c r="P1099" s="11"/>
    </row>
    <row r="1100" spans="4:16" x14ac:dyDescent="0.2">
      <c r="D1100" s="1">
        <v>46102</v>
      </c>
      <c r="E1100" s="2">
        <v>0.70833333333333337</v>
      </c>
      <c r="F1100" t="s">
        <v>28</v>
      </c>
      <c r="G1100">
        <f>VLOOKUP(Table4[[#This Row],[Home]],'NHL Model'!$A$6:$B$38,2,FALSE)</f>
        <v>-0.40822279081308277</v>
      </c>
      <c r="H1100" t="s">
        <v>32</v>
      </c>
      <c r="I1100">
        <f>VLOOKUP(Table4[[#This Row],[Visitor]],'NHL Model'!$A$6:$B$38,2,FALSE)</f>
        <v>-0.361361309178443</v>
      </c>
      <c r="J1100">
        <f ca="1">($B$1+Table4[[#This Row],[Home Differential]])-Table4[[#This Row],[Away Differential]]</f>
        <v>0.11571082802767862</v>
      </c>
      <c r="K1100" t="str">
        <f ca="1">IF(Table4[[#This Row],[HomeIce Differential]]&gt;0,Table4[[#This Row],[Home]],Table4[[#This Row],[Visitor]])</f>
        <v>Columbus Blue Jackets</v>
      </c>
      <c r="L1100" s="11">
        <f ca="1"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0.55603273775218187</v>
      </c>
      <c r="M1100" t="str">
        <f ca="1">IF(OR((NHL2025_26Results[[#This Row],[Winning Team]]="")),"-",IF(Table4[[#This Row],[Predicted Winner]]=NHL2025_26Results[[#This Row],[Winning Team]],"YES","NO"))</f>
        <v>-</v>
      </c>
      <c r="N1100" t="str">
        <f ca="1">IF(Table4[[#This Row],[Adjusted Correct]]="-", "",IF(Table4[[#This Row],[Adjusted Correct]]="YES",(Table4[[#This Row],[Strength of Win]]-1)^2,(Table4[[#This Row],[Strength of Win]]-0)^2))</f>
        <v/>
      </c>
      <c r="P1100" s="11"/>
    </row>
    <row r="1101" spans="4:16" x14ac:dyDescent="0.2">
      <c r="D1101" s="1">
        <v>46102</v>
      </c>
      <c r="E1101" s="2">
        <v>0.83333333333333337</v>
      </c>
      <c r="F1101" t="s">
        <v>26</v>
      </c>
      <c r="G1101">
        <f>VLOOKUP(Table4[[#This Row],[Home]],'NHL Model'!$A$6:$B$38,2,FALSE)</f>
        <v>-0.513643833119658</v>
      </c>
      <c r="H1101" t="s">
        <v>21</v>
      </c>
      <c r="I1101">
        <f>VLOOKUP(Table4[[#This Row],[Visitor]],'NHL Model'!$A$6:$B$38,2,FALSE)</f>
        <v>4.029141914856392E-2</v>
      </c>
      <c r="J1101">
        <f ca="1">($B$1+Table4[[#This Row],[Home Differential]])-Table4[[#This Row],[Away Differential]]</f>
        <v>-0.39136294260590354</v>
      </c>
      <c r="K1101" t="str">
        <f ca="1">IF(Table4[[#This Row],[HomeIce Differential]]&gt;0,Table4[[#This Row],[Home]],Table4[[#This Row],[Visitor]])</f>
        <v>Boston Bruins</v>
      </c>
      <c r="L1101" s="11">
        <f ca="1"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0.48818899065247473</v>
      </c>
      <c r="M1101" t="str">
        <f ca="1">IF(OR((NHL2025_26Results[[#This Row],[Winning Team]]="")),"-",IF(Table4[[#This Row],[Predicted Winner]]=NHL2025_26Results[[#This Row],[Winning Team]],"YES","NO"))</f>
        <v>-</v>
      </c>
      <c r="N1101" t="str">
        <f ca="1">IF(Table4[[#This Row],[Adjusted Correct]]="-", "",IF(Table4[[#This Row],[Adjusted Correct]]="YES",(Table4[[#This Row],[Strength of Win]]-1)^2,(Table4[[#This Row],[Strength of Win]]-0)^2))</f>
        <v/>
      </c>
      <c r="P1101" s="11"/>
    </row>
    <row r="1102" spans="4:16" x14ac:dyDescent="0.2">
      <c r="D1102" s="1">
        <v>46102</v>
      </c>
      <c r="E1102" s="2">
        <v>0.91666666666666663</v>
      </c>
      <c r="F1102" t="s">
        <v>17</v>
      </c>
      <c r="G1102">
        <f>VLOOKUP(Table4[[#This Row],[Home]],'NHL Model'!$A$6:$B$38,2,FALSE)</f>
        <v>-0.61980804137564283</v>
      </c>
      <c r="H1102" t="s">
        <v>37</v>
      </c>
      <c r="I1102">
        <f>VLOOKUP(Table4[[#This Row],[Visitor]],'NHL Model'!$A$6:$B$38,2,FALSE)</f>
        <v>-0.11309445867623392</v>
      </c>
      <c r="J1102">
        <f ca="1">($B$1+Table4[[#This Row],[Home Differential]])-Table4[[#This Row],[Away Differential]]</f>
        <v>-0.34414127303709052</v>
      </c>
      <c r="K1102" t="str">
        <f ca="1">IF(Table4[[#This Row],[HomeIce Differential]]&gt;0,Table4[[#This Row],[Home]],Table4[[#This Row],[Visitor]])</f>
        <v>Tampa Bay Lightning</v>
      </c>
      <c r="L1102" s="11">
        <f ca="1"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0.51827199034412785</v>
      </c>
      <c r="M1102" t="str">
        <f ca="1">IF(OR((NHL2025_26Results[[#This Row],[Winning Team]]="")),"-",IF(Table4[[#This Row],[Predicted Winner]]=NHL2025_26Results[[#This Row],[Winning Team]],"YES","NO"))</f>
        <v>-</v>
      </c>
      <c r="N1102" t="str">
        <f ca="1">IF(Table4[[#This Row],[Adjusted Correct]]="-", "",IF(Table4[[#This Row],[Adjusted Correct]]="YES",(Table4[[#This Row],[Strength of Win]]-1)^2,(Table4[[#This Row],[Strength of Win]]-0)^2))</f>
        <v/>
      </c>
      <c r="P1102" s="11"/>
    </row>
    <row r="1103" spans="4:16" x14ac:dyDescent="0.2">
      <c r="D1103" s="1">
        <v>46102</v>
      </c>
      <c r="E1103" s="2">
        <v>0.66666666666666663</v>
      </c>
      <c r="F1103" t="s">
        <v>13</v>
      </c>
      <c r="G1103">
        <f>VLOOKUP(Table4[[#This Row],[Home]],'NHL Model'!$A$6:$B$38,2,FALSE)</f>
        <v>-7.5459708298993802E-2</v>
      </c>
      <c r="H1103" t="s">
        <v>23</v>
      </c>
      <c r="I1103">
        <f>VLOOKUP(Table4[[#This Row],[Visitor]],'NHL Model'!$A$6:$B$38,2,FALSE)</f>
        <v>-0.8683412362501769</v>
      </c>
      <c r="J1103">
        <f ca="1">($B$1+Table4[[#This Row],[Home Differential]])-Table4[[#This Row],[Away Differential]]</f>
        <v>0.95545383761350144</v>
      </c>
      <c r="K1103" t="str">
        <f ca="1">IF(Table4[[#This Row],[HomeIce Differential]]&gt;0,Table4[[#This Row],[Home]],Table4[[#This Row],[Visitor]])</f>
        <v>Los Angeles Kings</v>
      </c>
      <c r="L1103" s="11">
        <f ca="1"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0.67238640733872157</v>
      </c>
      <c r="M1103" t="str">
        <f ca="1">IF(OR((NHL2025_26Results[[#This Row],[Winning Team]]="")),"-",IF(Table4[[#This Row],[Predicted Winner]]=NHL2025_26Results[[#This Row],[Winning Team]],"YES","NO"))</f>
        <v>-</v>
      </c>
      <c r="N1103" t="str">
        <f ca="1">IF(Table4[[#This Row],[Adjusted Correct]]="-", "",IF(Table4[[#This Row],[Adjusted Correct]]="YES",(Table4[[#This Row],[Strength of Win]]-1)^2,(Table4[[#This Row],[Strength of Win]]-0)^2))</f>
        <v/>
      </c>
      <c r="P1103" s="11"/>
    </row>
    <row r="1104" spans="4:16" x14ac:dyDescent="0.2">
      <c r="D1104" s="1">
        <v>46102</v>
      </c>
      <c r="E1104" s="2">
        <v>0.66666666666666663</v>
      </c>
      <c r="F1104" t="s">
        <v>34</v>
      </c>
      <c r="G1104">
        <f>VLOOKUP(Table4[[#This Row],[Home]],'NHL Model'!$A$6:$B$38,2,FALSE)</f>
        <v>-0.53650300840565446</v>
      </c>
      <c r="H1104" t="s">
        <v>39</v>
      </c>
      <c r="I1104">
        <f>VLOOKUP(Table4[[#This Row],[Visitor]],'NHL Model'!$A$6:$B$38,2,FALSE)</f>
        <v>0.19809534061227302</v>
      </c>
      <c r="J1104">
        <f ca="1">($B$1+Table4[[#This Row],[Home Differential]])-Table4[[#This Row],[Away Differential]]</f>
        <v>-0.57202603935560914</v>
      </c>
      <c r="K1104" t="str">
        <f ca="1">IF(Table4[[#This Row],[HomeIce Differential]]&gt;0,Table4[[#This Row],[Home]],Table4[[#This Row],[Visitor]])</f>
        <v>Dallas Stars</v>
      </c>
      <c r="L1104" s="11">
        <f ca="1"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0.6317453516827104</v>
      </c>
      <c r="M1104" t="str">
        <f ca="1">IF(OR((NHL2025_26Results[[#This Row],[Winning Team]]="")),"-",IF(Table4[[#This Row],[Predicted Winner]]=NHL2025_26Results[[#This Row],[Winning Team]],"YES","NO"))</f>
        <v>-</v>
      </c>
      <c r="N1104" t="str">
        <f ca="1">IF(Table4[[#This Row],[Adjusted Correct]]="-", "",IF(Table4[[#This Row],[Adjusted Correct]]="YES",(Table4[[#This Row],[Strength of Win]]-1)^2,(Table4[[#This Row],[Strength of Win]]-0)^2))</f>
        <v/>
      </c>
      <c r="P1104" s="11"/>
    </row>
    <row r="1105" spans="4:16" x14ac:dyDescent="0.2">
      <c r="D1105" s="1">
        <v>46102</v>
      </c>
      <c r="E1105" s="2">
        <v>0.79166666666666663</v>
      </c>
      <c r="F1105" t="s">
        <v>18</v>
      </c>
      <c r="G1105">
        <f>VLOOKUP(Table4[[#This Row],[Home]],'NHL Model'!$A$6:$B$38,2,FALSE)</f>
        <v>-0.52437726201848234</v>
      </c>
      <c r="H1105" t="s">
        <v>30</v>
      </c>
      <c r="I1105">
        <f>VLOOKUP(Table4[[#This Row],[Visitor]],'NHL Model'!$A$6:$B$38,2,FALSE)</f>
        <v>-6.4729560818359025E-2</v>
      </c>
      <c r="J1105">
        <f ca="1">($B$1+Table4[[#This Row],[Home Differential]])-Table4[[#This Row],[Away Differential]]</f>
        <v>-0.29707539153780493</v>
      </c>
      <c r="K1105" t="str">
        <f ca="1">IF(Table4[[#This Row],[HomeIce Differential]]&gt;0,Table4[[#This Row],[Home]],Table4[[#This Row],[Visitor]])</f>
        <v>New York Islanders</v>
      </c>
      <c r="L1105" s="11">
        <f ca="1"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0.54367493219935425</v>
      </c>
      <c r="M1105" t="str">
        <f ca="1">IF(OR((NHL2025_26Results[[#This Row],[Winning Team]]="")),"-",IF(Table4[[#This Row],[Predicted Winner]]=NHL2025_26Results[[#This Row],[Winning Team]],"YES","NO"))</f>
        <v>-</v>
      </c>
      <c r="N1105" t="str">
        <f ca="1">IF(Table4[[#This Row],[Adjusted Correct]]="-", "",IF(Table4[[#This Row],[Adjusted Correct]]="YES",(Table4[[#This Row],[Strength of Win]]-1)^2,(Table4[[#This Row],[Strength of Win]]-0)^2))</f>
        <v/>
      </c>
      <c r="P1105" s="11"/>
    </row>
    <row r="1106" spans="4:16" x14ac:dyDescent="0.2">
      <c r="D1106" s="1">
        <v>46102</v>
      </c>
      <c r="E1106" s="2">
        <v>0.58333333333333337</v>
      </c>
      <c r="F1106" t="s">
        <v>29</v>
      </c>
      <c r="G1106">
        <f>VLOOKUP(Table4[[#This Row],[Home]],'NHL Model'!$A$6:$B$38,2,FALSE)</f>
        <v>-1.3516250707060606</v>
      </c>
      <c r="H1106" t="s">
        <v>20</v>
      </c>
      <c r="I1106">
        <f>VLOOKUP(Table4[[#This Row],[Visitor]],'NHL Model'!$A$6:$B$38,2,FALSE)</f>
        <v>-6.3745791019188943E-4</v>
      </c>
      <c r="J1106">
        <f ca="1">($B$1+Table4[[#This Row],[Home Differential]])-Table4[[#This Row],[Away Differential]]</f>
        <v>-1.1884153031335503</v>
      </c>
      <c r="K1106" t="str">
        <f ca="1">IF(Table4[[#This Row],[HomeIce Differential]]&gt;0,Table4[[#This Row],[Home]],Table4[[#This Row],[Visitor]])</f>
        <v>Vegas Golden Knights</v>
      </c>
      <c r="L1106" s="11">
        <f ca="1"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0.6454344675546958</v>
      </c>
      <c r="M1106" t="str">
        <f ca="1">IF(OR((NHL2025_26Results[[#This Row],[Winning Team]]="")),"-",IF(Table4[[#This Row],[Predicted Winner]]=NHL2025_26Results[[#This Row],[Winning Team]],"YES","NO"))</f>
        <v>-</v>
      </c>
      <c r="N1106" t="str">
        <f ca="1">IF(Table4[[#This Row],[Adjusted Correct]]="-", "",IF(Table4[[#This Row],[Adjusted Correct]]="YES",(Table4[[#This Row],[Strength of Win]]-1)^2,(Table4[[#This Row],[Strength of Win]]-0)^2))</f>
        <v/>
      </c>
      <c r="P1106" s="11"/>
    </row>
    <row r="1107" spans="4:16" x14ac:dyDescent="0.2">
      <c r="D1107" s="1">
        <v>46102</v>
      </c>
      <c r="E1107" s="2">
        <v>0.79166666666666663</v>
      </c>
      <c r="F1107" t="s">
        <v>36</v>
      </c>
      <c r="G1107">
        <f>VLOOKUP(Table4[[#This Row],[Home]],'NHL Model'!$A$6:$B$38,2,FALSE)</f>
        <v>-0.40651947573390851</v>
      </c>
      <c r="H1107" t="s">
        <v>19</v>
      </c>
      <c r="I1107">
        <f>VLOOKUP(Table4[[#This Row],[Visitor]],'NHL Model'!$A$6:$B$38,2,FALSE)</f>
        <v>-0.635565543477981</v>
      </c>
      <c r="J1107">
        <f ca="1">($B$1+Table4[[#This Row],[Home Differential]])-Table4[[#This Row],[Away Differential]]</f>
        <v>0.39161837740639088</v>
      </c>
      <c r="K1107" t="str">
        <f ca="1">IF(Table4[[#This Row],[HomeIce Differential]]&gt;0,Table4[[#This Row],[Home]],Table4[[#This Row],[Visitor]])</f>
        <v>Ottawa Senators</v>
      </c>
      <c r="L1107" s="11">
        <f ca="1"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0.59675759841058873</v>
      </c>
      <c r="M1107" t="str">
        <f ca="1">IF(OR((NHL2025_26Results[[#This Row],[Winning Team]]="")),"-",IF(Table4[[#This Row],[Predicted Winner]]=NHL2025_26Results[[#This Row],[Winning Team]],"YES","NO"))</f>
        <v>-</v>
      </c>
      <c r="N1107" t="str">
        <f ca="1">IF(Table4[[#This Row],[Adjusted Correct]]="-", "",IF(Table4[[#This Row],[Adjusted Correct]]="YES",(Table4[[#This Row],[Strength of Win]]-1)^2,(Table4[[#This Row],[Strength of Win]]-0)^2))</f>
        <v/>
      </c>
      <c r="P1107" s="11"/>
    </row>
    <row r="1108" spans="4:16" x14ac:dyDescent="0.2">
      <c r="D1108" s="1">
        <v>46102</v>
      </c>
      <c r="E1108" s="2">
        <v>0.54166666666666663</v>
      </c>
      <c r="F1108" t="s">
        <v>14</v>
      </c>
      <c r="G1108">
        <f>VLOOKUP(Table4[[#This Row],[Home]],'NHL Model'!$A$6:$B$38,2,FALSE)</f>
        <v>0.26289091192875702</v>
      </c>
      <c r="H1108" t="s">
        <v>40</v>
      </c>
      <c r="I1108">
        <f>VLOOKUP(Table4[[#This Row],[Visitor]],'NHL Model'!$A$6:$B$38,2,FALSE)</f>
        <v>0.105105258369765</v>
      </c>
      <c r="J1108">
        <f ca="1">($B$1+Table4[[#This Row],[Home Differential]])-Table4[[#This Row],[Away Differential]]</f>
        <v>0.32035796322131038</v>
      </c>
      <c r="K1108" t="str">
        <f ca="1">IF(Table4[[#This Row],[HomeIce Differential]]&gt;0,Table4[[#This Row],[Home]],Table4[[#This Row],[Visitor]])</f>
        <v>Pittsburgh Penguins</v>
      </c>
      <c r="L1108" s="11">
        <f ca="1"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0.55459245304696692</v>
      </c>
      <c r="M1108" t="str">
        <f ca="1">IF(OR((NHL2025_26Results[[#This Row],[Winning Team]]="")),"-",IF(Table4[[#This Row],[Predicted Winner]]=NHL2025_26Results[[#This Row],[Winning Team]],"YES","NO"))</f>
        <v>-</v>
      </c>
      <c r="N1108" t="str">
        <f ca="1">IF(Table4[[#This Row],[Adjusted Correct]]="-", "",IF(Table4[[#This Row],[Adjusted Correct]]="YES",(Table4[[#This Row],[Strength of Win]]-1)^2,(Table4[[#This Row],[Strength of Win]]-0)^2))</f>
        <v/>
      </c>
      <c r="P1108" s="11"/>
    </row>
    <row r="1109" spans="4:16" x14ac:dyDescent="0.2">
      <c r="D1109" s="1">
        <v>46102</v>
      </c>
      <c r="E1109" s="2">
        <v>0.66666666666666663</v>
      </c>
      <c r="F1109" t="s">
        <v>33</v>
      </c>
      <c r="G1109">
        <f>VLOOKUP(Table4[[#This Row],[Home]],'NHL Model'!$A$6:$B$38,2,FALSE)</f>
        <v>-0.39418177254008485</v>
      </c>
      <c r="H1109" t="s">
        <v>27</v>
      </c>
      <c r="I1109">
        <f>VLOOKUP(Table4[[#This Row],[Visitor]],'NHL Model'!$A$6:$B$38,2,FALSE)</f>
        <v>-0.51358590497437617</v>
      </c>
      <c r="J1109">
        <f ca="1">($B$1+Table4[[#This Row],[Home Differential]])-Table4[[#This Row],[Away Differential]]</f>
        <v>0.28197644209660971</v>
      </c>
      <c r="K1109" t="str">
        <f ca="1">IF(Table4[[#This Row],[HomeIce Differential]]&gt;0,Table4[[#This Row],[Home]],Table4[[#This Row],[Visitor]])</f>
        <v>San Jose Sharks</v>
      </c>
      <c r="L1109" s="11">
        <f ca="1"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0.57907027912156006</v>
      </c>
      <c r="M1109" t="str">
        <f ca="1">IF(OR((NHL2025_26Results[[#This Row],[Winning Team]]="")),"-",IF(Table4[[#This Row],[Predicted Winner]]=NHL2025_26Results[[#This Row],[Winning Team]],"YES","NO"))</f>
        <v>-</v>
      </c>
      <c r="N1109" t="str">
        <f ca="1">IF(Table4[[#This Row],[Adjusted Correct]]="-", "",IF(Table4[[#This Row],[Adjusted Correct]]="YES",(Table4[[#This Row],[Strength of Win]]-1)^2,(Table4[[#This Row],[Strength of Win]]-0)^2))</f>
        <v/>
      </c>
      <c r="P1109" s="11"/>
    </row>
    <row r="1110" spans="4:16" x14ac:dyDescent="0.2">
      <c r="D1110" s="1">
        <v>46102</v>
      </c>
      <c r="E1110" s="2">
        <v>0.79166666666666663</v>
      </c>
      <c r="F1110" t="s">
        <v>38</v>
      </c>
      <c r="G1110">
        <f>VLOOKUP(Table4[[#This Row],[Home]],'NHL Model'!$A$6:$B$38,2,FALSE)</f>
        <v>-0.6902088310934803</v>
      </c>
      <c r="H1110" t="s">
        <v>35</v>
      </c>
      <c r="I1110">
        <f>VLOOKUP(Table4[[#This Row],[Visitor]],'NHL Model'!$A$6:$B$38,2,FALSE)</f>
        <v>-1.6211574240381006</v>
      </c>
      <c r="J1110">
        <f ca="1">($B$1+Table4[[#This Row],[Home Differential]])-Table4[[#This Row],[Away Differential]]</f>
        <v>1.0935209026069388</v>
      </c>
      <c r="K1110" t="str">
        <f ca="1">IF(Table4[[#This Row],[HomeIce Differential]]&gt;0,Table4[[#This Row],[Home]],Table4[[#This Row],[Visitor]])</f>
        <v>Vancouver Canucks</v>
      </c>
      <c r="L1110" s="11">
        <f ca="1"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0.69151679541894284</v>
      </c>
      <c r="M1110" t="str">
        <f ca="1">IF(OR((NHL2025_26Results[[#This Row],[Winning Team]]="")),"-",IF(Table4[[#This Row],[Predicted Winner]]=NHL2025_26Results[[#This Row],[Winning Team]],"YES","NO"))</f>
        <v>-</v>
      </c>
      <c r="N1110" t="str">
        <f ca="1">IF(Table4[[#This Row],[Adjusted Correct]]="-", "",IF(Table4[[#This Row],[Adjusted Correct]]="YES",(Table4[[#This Row],[Strength of Win]]-1)^2,(Table4[[#This Row],[Strength of Win]]-0)^2))</f>
        <v/>
      </c>
      <c r="P1110" s="11"/>
    </row>
    <row r="1111" spans="4:16" x14ac:dyDescent="0.2">
      <c r="D1111" s="1">
        <v>46103</v>
      </c>
      <c r="E1111" s="2">
        <v>0.83333333333333337</v>
      </c>
      <c r="F1111" t="s">
        <v>31</v>
      </c>
      <c r="G1111">
        <f>VLOOKUP(Table4[[#This Row],[Home]],'NHL Model'!$A$6:$B$38,2,FALSE)</f>
        <v>0.51775546328552802</v>
      </c>
      <c r="H1111" t="s">
        <v>23</v>
      </c>
      <c r="I1111">
        <f>VLOOKUP(Table4[[#This Row],[Visitor]],'NHL Model'!$A$6:$B$38,2,FALSE)</f>
        <v>-0.8683412362501769</v>
      </c>
      <c r="J1111">
        <f ca="1">($B$1+Table4[[#This Row],[Home Differential]])-Table4[[#This Row],[Away Differential]]</f>
        <v>1.5486690091980233</v>
      </c>
      <c r="K1111" t="str">
        <f ca="1">IF(Table4[[#This Row],[HomeIce Differential]]&gt;0,Table4[[#This Row],[Home]],Table4[[#This Row],[Visitor]])</f>
        <v>Anaheim Ducks</v>
      </c>
      <c r="L1111" s="11">
        <f ca="1"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0.85891140593819415</v>
      </c>
      <c r="M1111" t="str">
        <f ca="1">IF(OR((NHL2025_26Results[[#This Row],[Winning Team]]="")),"-",IF(Table4[[#This Row],[Predicted Winner]]=NHL2025_26Results[[#This Row],[Winning Team]],"YES","NO"))</f>
        <v>-</v>
      </c>
      <c r="N1111" t="str">
        <f ca="1">IF(Table4[[#This Row],[Adjusted Correct]]="-", "",IF(Table4[[#This Row],[Adjusted Correct]]="YES",(Table4[[#This Row],[Strength of Win]]-1)^2,(Table4[[#This Row],[Strength of Win]]-0)^2))</f>
        <v/>
      </c>
      <c r="P1111" s="11"/>
    </row>
    <row r="1112" spans="4:16" x14ac:dyDescent="0.2">
      <c r="D1112" s="1">
        <v>46103</v>
      </c>
      <c r="E1112" s="2">
        <v>0.83333333333333337</v>
      </c>
      <c r="F1112" t="s">
        <v>16</v>
      </c>
      <c r="G1112">
        <f>VLOOKUP(Table4[[#This Row],[Home]],'NHL Model'!$A$6:$B$38,2,FALSE)</f>
        <v>-1.3903684122795328</v>
      </c>
      <c r="H1112" t="s">
        <v>37</v>
      </c>
      <c r="I1112">
        <f>VLOOKUP(Table4[[#This Row],[Visitor]],'NHL Model'!$A$6:$B$38,2,FALSE)</f>
        <v>-0.11309445867623392</v>
      </c>
      <c r="J1112">
        <f ca="1">($B$1+Table4[[#This Row],[Home Differential]])-Table4[[#This Row],[Away Differential]]</f>
        <v>-1.1147016439409805</v>
      </c>
      <c r="K1112" t="str">
        <f ca="1">IF(Table4[[#This Row],[HomeIce Differential]]&gt;0,Table4[[#This Row],[Home]],Table4[[#This Row],[Visitor]])</f>
        <v>Tampa Bay Lightning</v>
      </c>
      <c r="L1112" s="11">
        <f ca="1"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0.66155096212333886</v>
      </c>
      <c r="M1112" t="str">
        <f ca="1">IF(OR((NHL2025_26Results[[#This Row],[Winning Team]]="")),"-",IF(Table4[[#This Row],[Predicted Winner]]=NHL2025_26Results[[#This Row],[Winning Team]],"YES","NO"))</f>
        <v>-</v>
      </c>
      <c r="N1112" t="str">
        <f ca="1">IF(Table4[[#This Row],[Adjusted Correct]]="-", "",IF(Table4[[#This Row],[Adjusted Correct]]="YES",(Table4[[#This Row],[Strength of Win]]-1)^2,(Table4[[#This Row],[Strength of Win]]-0)^2))</f>
        <v/>
      </c>
      <c r="P1112" s="11"/>
    </row>
    <row r="1113" spans="4:16" x14ac:dyDescent="0.2">
      <c r="D1113" s="1">
        <v>46103</v>
      </c>
      <c r="E1113" s="2">
        <v>0.625</v>
      </c>
      <c r="F1113" t="s">
        <v>10</v>
      </c>
      <c r="G1113">
        <f>VLOOKUP(Table4[[#This Row],[Home]],'NHL Model'!$A$6:$B$38,2,FALSE)</f>
        <v>0.30570968833820172</v>
      </c>
      <c r="H1113" t="s">
        <v>29</v>
      </c>
      <c r="I1113">
        <f>VLOOKUP(Table4[[#This Row],[Visitor]],'NHL Model'!$A$6:$B$38,2,FALSE)</f>
        <v>-1.3516250707060606</v>
      </c>
      <c r="J1113">
        <f ca="1">($B$1+Table4[[#This Row],[Home Differential]])-Table4[[#This Row],[Away Differential]]</f>
        <v>1.8199070687065808</v>
      </c>
      <c r="K1113" t="str">
        <f ca="1">IF(Table4[[#This Row],[HomeIce Differential]]&gt;0,Table4[[#This Row],[Home]],Table4[[#This Row],[Visitor]])</f>
        <v>Chicago Blackhawks</v>
      </c>
      <c r="L1113" s="11">
        <f ca="1"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0.79216389220665751</v>
      </c>
      <c r="M1113" t="str">
        <f ca="1">IF(OR((NHL2025_26Results[[#This Row],[Winning Team]]="")),"-",IF(Table4[[#This Row],[Predicted Winner]]=NHL2025_26Results[[#This Row],[Winning Team]],"YES","NO"))</f>
        <v>-</v>
      </c>
      <c r="N1113" t="str">
        <f ca="1">IF(Table4[[#This Row],[Adjusted Correct]]="-", "",IF(Table4[[#This Row],[Adjusted Correct]]="YES",(Table4[[#This Row],[Strength of Win]]-1)^2,(Table4[[#This Row],[Strength of Win]]-0)^2))</f>
        <v/>
      </c>
      <c r="P1113" s="11"/>
    </row>
    <row r="1114" spans="4:16" x14ac:dyDescent="0.2">
      <c r="D1114" s="1">
        <v>46103</v>
      </c>
      <c r="E1114" s="2">
        <v>0.79166666666666663</v>
      </c>
      <c r="F1114" t="s">
        <v>39</v>
      </c>
      <c r="G1114">
        <f>VLOOKUP(Table4[[#This Row],[Home]],'NHL Model'!$A$6:$B$38,2,FALSE)</f>
        <v>0.19809534061227302</v>
      </c>
      <c r="H1114" t="s">
        <v>20</v>
      </c>
      <c r="I1114">
        <f>VLOOKUP(Table4[[#This Row],[Visitor]],'NHL Model'!$A$6:$B$38,2,FALSE)</f>
        <v>-6.3745791019188943E-4</v>
      </c>
      <c r="J1114">
        <f ca="1">($B$1+Table4[[#This Row],[Home Differential]])-Table4[[#This Row],[Away Differential]]</f>
        <v>0.36130510818478329</v>
      </c>
      <c r="K1114" t="str">
        <f ca="1">IF(Table4[[#This Row],[HomeIce Differential]]&gt;0,Table4[[#This Row],[Home]],Table4[[#This Row],[Visitor]])</f>
        <v>Dallas Stars</v>
      </c>
      <c r="L1114" s="11">
        <f ca="1"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0.59551649857326894</v>
      </c>
      <c r="M1114" t="str">
        <f ca="1">IF(OR((NHL2025_26Results[[#This Row],[Winning Team]]="")),"-",IF(Table4[[#This Row],[Predicted Winner]]=NHL2025_26Results[[#This Row],[Winning Team]],"YES","NO"))</f>
        <v>-</v>
      </c>
      <c r="N1114" t="str">
        <f ca="1">IF(Table4[[#This Row],[Adjusted Correct]]="-", "",IF(Table4[[#This Row],[Adjusted Correct]]="YES",(Table4[[#This Row],[Strength of Win]]-1)^2,(Table4[[#This Row],[Strength of Win]]-0)^2))</f>
        <v/>
      </c>
      <c r="P1114" s="11"/>
    </row>
    <row r="1115" spans="4:16" x14ac:dyDescent="0.2">
      <c r="D1115" s="1">
        <v>46103</v>
      </c>
      <c r="E1115" s="2">
        <v>0.79166666666666663</v>
      </c>
      <c r="F1115" t="s">
        <v>30</v>
      </c>
      <c r="G1115">
        <f>VLOOKUP(Table4[[#This Row],[Home]],'NHL Model'!$A$6:$B$38,2,FALSE)</f>
        <v>-6.4729560818359025E-2</v>
      </c>
      <c r="H1115" t="s">
        <v>28</v>
      </c>
      <c r="I1115">
        <f>VLOOKUP(Table4[[#This Row],[Visitor]],'NHL Model'!$A$6:$B$38,2,FALSE)</f>
        <v>-0.40822279081308277</v>
      </c>
      <c r="J1115">
        <f ca="1">($B$1+Table4[[#This Row],[Home Differential]])-Table4[[#This Row],[Away Differential]]</f>
        <v>0.50606553965704215</v>
      </c>
      <c r="K1115" t="str">
        <f ca="1">IF(Table4[[#This Row],[HomeIce Differential]]&gt;0,Table4[[#This Row],[Home]],Table4[[#This Row],[Visitor]])</f>
        <v>New York Islanders</v>
      </c>
      <c r="L1115" s="11">
        <f ca="1"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0.58935053434727958</v>
      </c>
      <c r="M1115" t="str">
        <f ca="1">IF(OR((NHL2025_26Results[[#This Row],[Winning Team]]="")),"-",IF(Table4[[#This Row],[Predicted Winner]]=NHL2025_26Results[[#This Row],[Winning Team]],"YES","NO"))</f>
        <v>-</v>
      </c>
      <c r="N1115" t="str">
        <f ca="1">IF(Table4[[#This Row],[Adjusted Correct]]="-", "",IF(Table4[[#This Row],[Adjusted Correct]]="YES",(Table4[[#This Row],[Strength of Win]]-1)^2,(Table4[[#This Row],[Strength of Win]]-0)^2))</f>
        <v/>
      </c>
      <c r="P1115" s="11"/>
    </row>
    <row r="1116" spans="4:16" x14ac:dyDescent="0.2">
      <c r="D1116" s="1">
        <v>46103</v>
      </c>
      <c r="E1116" s="2">
        <v>0.5</v>
      </c>
      <c r="F1116" t="s">
        <v>15</v>
      </c>
      <c r="G1116">
        <f>VLOOKUP(Table4[[#This Row],[Home]],'NHL Model'!$A$6:$B$38,2,FALSE)</f>
        <v>-0.30719665303039001</v>
      </c>
      <c r="H1116" t="s">
        <v>40</v>
      </c>
      <c r="I1116">
        <f>VLOOKUP(Table4[[#This Row],[Visitor]],'NHL Model'!$A$6:$B$38,2,FALSE)</f>
        <v>0.105105258369765</v>
      </c>
      <c r="J1116">
        <f ca="1">($B$1+Table4[[#This Row],[Home Differential]])-Table4[[#This Row],[Away Differential]]</f>
        <v>-0.24972960173783662</v>
      </c>
      <c r="K1116" t="str">
        <f ca="1">IF(Table4[[#This Row],[HomeIce Differential]]&gt;0,Table4[[#This Row],[Home]],Table4[[#This Row],[Visitor]])</f>
        <v>Winnipeg Jets</v>
      </c>
      <c r="L1116" s="11">
        <f ca="1"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0.56091798947403171</v>
      </c>
      <c r="M1116" t="str">
        <f ca="1">IF(OR((NHL2025_26Results[[#This Row],[Winning Team]]="")),"-",IF(Table4[[#This Row],[Predicted Winner]]=NHL2025_26Results[[#This Row],[Winning Team]],"YES","NO"))</f>
        <v>-</v>
      </c>
      <c r="N1116" t="str">
        <f ca="1">IF(Table4[[#This Row],[Adjusted Correct]]="-", "",IF(Table4[[#This Row],[Adjusted Correct]]="YES",(Table4[[#This Row],[Strength of Win]]-1)^2,(Table4[[#This Row],[Strength of Win]]-0)^2))</f>
        <v/>
      </c>
      <c r="P1116" s="11"/>
    </row>
    <row r="1117" spans="4:16" x14ac:dyDescent="0.2">
      <c r="D1117" s="1">
        <v>46103</v>
      </c>
      <c r="E1117" s="2">
        <v>0.625</v>
      </c>
      <c r="F1117" t="s">
        <v>14</v>
      </c>
      <c r="G1117">
        <f>VLOOKUP(Table4[[#This Row],[Home]],'NHL Model'!$A$6:$B$38,2,FALSE)</f>
        <v>0.26289091192875702</v>
      </c>
      <c r="H1117" t="s">
        <v>25</v>
      </c>
      <c r="I1117">
        <f>VLOOKUP(Table4[[#This Row],[Visitor]],'NHL Model'!$A$6:$B$38,2,FALSE)</f>
        <v>0.67193921242367816</v>
      </c>
      <c r="J1117">
        <f ca="1">($B$1+Table4[[#This Row],[Home Differential]])-Table4[[#This Row],[Away Differential]]</f>
        <v>-0.24647599083260274</v>
      </c>
      <c r="K1117" t="str">
        <f ca="1">IF(Table4[[#This Row],[HomeIce Differential]]&gt;0,Table4[[#This Row],[Home]],Table4[[#This Row],[Visitor]])</f>
        <v>Carolina Hurricanes</v>
      </c>
      <c r="L1117" s="11">
        <f ca="1"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0.55028041627791646</v>
      </c>
      <c r="M1117" t="str">
        <f ca="1">IF(OR((NHL2025_26Results[[#This Row],[Winning Team]]="")),"-",IF(Table4[[#This Row],[Predicted Winner]]=NHL2025_26Results[[#This Row],[Winning Team]],"YES","NO"))</f>
        <v>-</v>
      </c>
      <c r="N1117" t="str">
        <f ca="1">IF(Table4[[#This Row],[Adjusted Correct]]="-", "",IF(Table4[[#This Row],[Adjusted Correct]]="YES",(Table4[[#This Row],[Strength of Win]]-1)^2,(Table4[[#This Row],[Strength of Win]]-0)^2))</f>
        <v/>
      </c>
      <c r="P1117" s="11"/>
    </row>
    <row r="1118" spans="4:16" x14ac:dyDescent="0.2">
      <c r="D1118" s="1">
        <v>46103</v>
      </c>
      <c r="E1118" s="2">
        <v>0.875</v>
      </c>
      <c r="F1118" t="s">
        <v>55</v>
      </c>
      <c r="G1118">
        <f>VLOOKUP(Table4[[#This Row],[Home]],'NHL Model'!$A$6:$B$38,2,FALSE)</f>
        <v>-0.12212311954851815</v>
      </c>
      <c r="H1118" t="s">
        <v>13</v>
      </c>
      <c r="I1118">
        <f>VLOOKUP(Table4[[#This Row],[Visitor]],'NHL Model'!$A$6:$B$38,2,FALSE)</f>
        <v>-7.5459708298993802E-2</v>
      </c>
      <c r="J1118">
        <f ca="1">($B$1+Table4[[#This Row],[Home Differential]])-Table4[[#This Row],[Away Differential]]</f>
        <v>0.11590889841279405</v>
      </c>
      <c r="K1118" t="str">
        <f ca="1">IF(Table4[[#This Row],[HomeIce Differential]]&gt;0,Table4[[#This Row],[Home]],Table4[[#This Row],[Visitor]])</f>
        <v>Utah Mammoth</v>
      </c>
      <c r="L1118" s="11">
        <f ca="1"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0.50386506016891963</v>
      </c>
      <c r="M1118" t="str">
        <f ca="1">IF(OR((NHL2025_26Results[[#This Row],[Winning Team]]="")),"-",IF(Table4[[#This Row],[Predicted Winner]]=NHL2025_26Results[[#This Row],[Winning Team]],"YES","NO"))</f>
        <v>-</v>
      </c>
      <c r="N1118" t="str">
        <f ca="1">IF(Table4[[#This Row],[Adjusted Correct]]="-", "",IF(Table4[[#This Row],[Adjusted Correct]]="YES",(Table4[[#This Row],[Strength of Win]]-1)^2,(Table4[[#This Row],[Strength of Win]]-0)^2))</f>
        <v/>
      </c>
      <c r="P1118" s="11"/>
    </row>
    <row r="1119" spans="4:16" x14ac:dyDescent="0.2">
      <c r="D1119" s="1">
        <v>46103</v>
      </c>
      <c r="E1119" s="2">
        <v>0.52083333333333337</v>
      </c>
      <c r="F1119" t="s">
        <v>22</v>
      </c>
      <c r="G1119">
        <f>VLOOKUP(Table4[[#This Row],[Home]],'NHL Model'!$A$6:$B$38,2,FALSE)</f>
        <v>-6.1308839486784707E-2</v>
      </c>
      <c r="H1119" t="s">
        <v>12</v>
      </c>
      <c r="I1119">
        <f>VLOOKUP(Table4[[#This Row],[Visitor]],'NHL Model'!$A$6:$B$38,2,FALSE)</f>
        <v>1.5475013591489768</v>
      </c>
      <c r="J1119">
        <f ca="1">($B$1+Table4[[#This Row],[Home Differential]])-Table4[[#This Row],[Away Differential]]</f>
        <v>-1.4462378889734431</v>
      </c>
      <c r="K1119" t="str">
        <f ca="1">IF(Table4[[#This Row],[HomeIce Differential]]&gt;0,Table4[[#This Row],[Home]],Table4[[#This Row],[Visitor]])</f>
        <v>Colorado Avalanche</v>
      </c>
      <c r="L1119" s="11">
        <f ca="1"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0.72670457932517363</v>
      </c>
      <c r="M1119" t="str">
        <f ca="1">IF(OR((NHL2025_26Results[[#This Row],[Winning Team]]="")),"-",IF(Table4[[#This Row],[Predicted Winner]]=NHL2025_26Results[[#This Row],[Winning Team]],"YES","NO"))</f>
        <v>-</v>
      </c>
      <c r="N1119" t="str">
        <f ca="1">IF(Table4[[#This Row],[Adjusted Correct]]="-", "",IF(Table4[[#This Row],[Adjusted Correct]]="YES",(Table4[[#This Row],[Strength of Win]]-1)^2,(Table4[[#This Row],[Strength of Win]]-0)^2))</f>
        <v/>
      </c>
      <c r="P1119" s="11"/>
    </row>
    <row r="1120" spans="4:16" x14ac:dyDescent="0.2">
      <c r="D1120" s="1">
        <v>46104</v>
      </c>
      <c r="E1120" s="2">
        <v>0.8125</v>
      </c>
      <c r="F1120" t="s">
        <v>15</v>
      </c>
      <c r="G1120">
        <f>VLOOKUP(Table4[[#This Row],[Home]],'NHL Model'!$A$6:$B$38,2,FALSE)</f>
        <v>-0.30719665303039001</v>
      </c>
      <c r="H1120" t="s">
        <v>36</v>
      </c>
      <c r="I1120">
        <f>VLOOKUP(Table4[[#This Row],[Visitor]],'NHL Model'!$A$6:$B$38,2,FALSE)</f>
        <v>-0.40651947573390851</v>
      </c>
      <c r="J1120">
        <f ca="1">($B$1+Table4[[#This Row],[Home Differential]])-Table4[[#This Row],[Away Differential]]</f>
        <v>0.26189513236583689</v>
      </c>
      <c r="K1120" t="str">
        <f ca="1">IF(Table4[[#This Row],[HomeIce Differential]]&gt;0,Table4[[#This Row],[Home]],Table4[[#This Row],[Visitor]])</f>
        <v>New York Rangers</v>
      </c>
      <c r="L1120" s="11">
        <f ca="1"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0.57628783967210073</v>
      </c>
      <c r="M1120" t="str">
        <f ca="1">IF(OR((NHL2025_26Results[[#This Row],[Winning Team]]="")),"-",IF(Table4[[#This Row],[Predicted Winner]]=NHL2025_26Results[[#This Row],[Winning Team]],"YES","NO"))</f>
        <v>-</v>
      </c>
      <c r="N1120" t="str">
        <f ca="1">IF(Table4[[#This Row],[Adjusted Correct]]="-", "",IF(Table4[[#This Row],[Adjusted Correct]]="YES",(Table4[[#This Row],[Strength of Win]]-1)^2,(Table4[[#This Row],[Strength of Win]]-0)^2))</f>
        <v/>
      </c>
      <c r="P1120" s="11"/>
    </row>
    <row r="1121" spans="4:16" x14ac:dyDescent="0.2">
      <c r="D1121" s="1">
        <v>46105</v>
      </c>
      <c r="E1121" s="2">
        <v>0.79166666666666663</v>
      </c>
      <c r="F1121" t="s">
        <v>21</v>
      </c>
      <c r="G1121">
        <f>VLOOKUP(Table4[[#This Row],[Home]],'NHL Model'!$A$6:$B$38,2,FALSE)</f>
        <v>4.029141914856392E-2</v>
      </c>
      <c r="H1121" t="s">
        <v>19</v>
      </c>
      <c r="I1121">
        <f>VLOOKUP(Table4[[#This Row],[Visitor]],'NHL Model'!$A$6:$B$38,2,FALSE)</f>
        <v>-0.635565543477981</v>
      </c>
      <c r="J1121">
        <f ca="1">($B$1+Table4[[#This Row],[Home Differential]])-Table4[[#This Row],[Away Differential]]</f>
        <v>0.83842927228886333</v>
      </c>
      <c r="K1121" t="str">
        <f ca="1">IF(Table4[[#This Row],[HomeIce Differential]]&gt;0,Table4[[#This Row],[Home]],Table4[[#This Row],[Visitor]])</f>
        <v>Boston Bruins</v>
      </c>
      <c r="L1121" s="11">
        <f ca="1"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0.72872906716051433</v>
      </c>
      <c r="M1121" t="str">
        <f ca="1">IF(OR((NHL2025_26Results[[#This Row],[Winning Team]]="")),"-",IF(Table4[[#This Row],[Predicted Winner]]=NHL2025_26Results[[#This Row],[Winning Team]],"YES","NO"))</f>
        <v>-</v>
      </c>
      <c r="N1121" t="str">
        <f ca="1">IF(Table4[[#This Row],[Adjusted Correct]]="-", "",IF(Table4[[#This Row],[Adjusted Correct]]="YES",(Table4[[#This Row],[Strength of Win]]-1)^2,(Table4[[#This Row],[Strength of Win]]-0)^2))</f>
        <v/>
      </c>
      <c r="P1121" s="11"/>
    </row>
    <row r="1122" spans="4:16" x14ac:dyDescent="0.2">
      <c r="D1122" s="1">
        <v>46105</v>
      </c>
      <c r="E1122" s="2">
        <v>0.875</v>
      </c>
      <c r="F1122" t="s">
        <v>16</v>
      </c>
      <c r="G1122">
        <f>VLOOKUP(Table4[[#This Row],[Home]],'NHL Model'!$A$6:$B$38,2,FALSE)</f>
        <v>-1.3903684122795328</v>
      </c>
      <c r="H1122" t="s">
        <v>13</v>
      </c>
      <c r="I1122">
        <f>VLOOKUP(Table4[[#This Row],[Visitor]],'NHL Model'!$A$6:$B$38,2,FALSE)</f>
        <v>-7.5459708298993802E-2</v>
      </c>
      <c r="J1122">
        <f ca="1">($B$1+Table4[[#This Row],[Home Differential]])-Table4[[#This Row],[Away Differential]]</f>
        <v>-1.1523363943182205</v>
      </c>
      <c r="K1122" t="str">
        <f ca="1">IF(Table4[[#This Row],[HomeIce Differential]]&gt;0,Table4[[#This Row],[Home]],Table4[[#This Row],[Visitor]])</f>
        <v>Los Angeles Kings</v>
      </c>
      <c r="L1122" s="11">
        <f ca="1"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0.74106154021542259</v>
      </c>
      <c r="M1122" t="str">
        <f ca="1">IF(OR((NHL2025_26Results[[#This Row],[Winning Team]]="")),"-",IF(Table4[[#This Row],[Predicted Winner]]=NHL2025_26Results[[#This Row],[Winning Team]],"YES","NO"))</f>
        <v>-</v>
      </c>
      <c r="N1122" t="str">
        <f ca="1">IF(Table4[[#This Row],[Adjusted Correct]]="-", "",IF(Table4[[#This Row],[Adjusted Correct]]="YES",(Table4[[#This Row],[Strength of Win]]-1)^2,(Table4[[#This Row],[Strength of Win]]-0)^2))</f>
        <v/>
      </c>
      <c r="P1122" s="11"/>
    </row>
    <row r="1123" spans="4:16" x14ac:dyDescent="0.2">
      <c r="D1123" s="1">
        <v>46105</v>
      </c>
      <c r="E1123" s="2">
        <v>0.83333333333333337</v>
      </c>
      <c r="F1123" t="s">
        <v>39</v>
      </c>
      <c r="G1123">
        <f>VLOOKUP(Table4[[#This Row],[Home]],'NHL Model'!$A$6:$B$38,2,FALSE)</f>
        <v>0.19809534061227302</v>
      </c>
      <c r="H1123" t="s">
        <v>24</v>
      </c>
      <c r="I1123">
        <f>VLOOKUP(Table4[[#This Row],[Visitor]],'NHL Model'!$A$6:$B$38,2,FALSE)</f>
        <v>0.559441163373953</v>
      </c>
      <c r="J1123">
        <f ca="1">($B$1+Table4[[#This Row],[Home Differential]])-Table4[[#This Row],[Away Differential]]</f>
        <v>-0.19877351309936159</v>
      </c>
      <c r="K1123" t="str">
        <f ca="1">IF(Table4[[#This Row],[HomeIce Differential]]&gt;0,Table4[[#This Row],[Home]],Table4[[#This Row],[Visitor]])</f>
        <v>New Jersey Devils</v>
      </c>
      <c r="L1123" s="11">
        <f ca="1"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0.52754179243138444</v>
      </c>
      <c r="M1123" t="str">
        <f ca="1">IF(OR((NHL2025_26Results[[#This Row],[Winning Team]]="")),"-",IF(Table4[[#This Row],[Predicted Winner]]=NHL2025_26Results[[#This Row],[Winning Team]],"YES","NO"))</f>
        <v>-</v>
      </c>
      <c r="N1123" t="str">
        <f ca="1">IF(Table4[[#This Row],[Adjusted Correct]]="-", "",IF(Table4[[#This Row],[Adjusted Correct]]="YES",(Table4[[#This Row],[Strength of Win]]-1)^2,(Table4[[#This Row],[Strength of Win]]-0)^2))</f>
        <v/>
      </c>
      <c r="P1123" s="11"/>
    </row>
    <row r="1124" spans="4:16" x14ac:dyDescent="0.2">
      <c r="D1124" s="1">
        <v>46105</v>
      </c>
      <c r="E1124" s="2">
        <v>0.79166666666666663</v>
      </c>
      <c r="F1124" t="s">
        <v>26</v>
      </c>
      <c r="G1124">
        <f>VLOOKUP(Table4[[#This Row],[Home]],'NHL Model'!$A$6:$B$38,2,FALSE)</f>
        <v>-0.513643833119658</v>
      </c>
      <c r="H1124" t="s">
        <v>36</v>
      </c>
      <c r="I1124">
        <f>VLOOKUP(Table4[[#This Row],[Visitor]],'NHL Model'!$A$6:$B$38,2,FALSE)</f>
        <v>-0.40651947573390851</v>
      </c>
      <c r="J1124">
        <f ca="1">($B$1+Table4[[#This Row],[Home Differential]])-Table4[[#This Row],[Away Differential]]</f>
        <v>5.5447952276568901E-2</v>
      </c>
      <c r="K1124" t="str">
        <f ca="1">IF(Table4[[#This Row],[HomeIce Differential]]&gt;0,Table4[[#This Row],[Home]],Table4[[#This Row],[Visitor]])</f>
        <v>Detroit Red Wings</v>
      </c>
      <c r="L1124" s="11">
        <f ca="1"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0.57372053004298518</v>
      </c>
      <c r="M1124" t="str">
        <f ca="1">IF(OR((NHL2025_26Results[[#This Row],[Winning Team]]="")),"-",IF(Table4[[#This Row],[Predicted Winner]]=NHL2025_26Results[[#This Row],[Winning Team]],"YES","NO"))</f>
        <v>-</v>
      </c>
      <c r="N1124" t="str">
        <f ca="1">IF(Table4[[#This Row],[Adjusted Correct]]="-", "",IF(Table4[[#This Row],[Adjusted Correct]]="YES",(Table4[[#This Row],[Strength of Win]]-1)^2,(Table4[[#This Row],[Strength of Win]]-0)^2))</f>
        <v/>
      </c>
      <c r="P1124" s="11"/>
    </row>
    <row r="1125" spans="4:16" x14ac:dyDescent="0.2">
      <c r="D1125" s="1">
        <v>46105</v>
      </c>
      <c r="E1125" s="2">
        <v>0.79166666666666663</v>
      </c>
      <c r="F1125" t="s">
        <v>11</v>
      </c>
      <c r="G1125">
        <f>VLOOKUP(Table4[[#This Row],[Home]],'NHL Model'!$A$6:$B$38,2,FALSE)</f>
        <v>-0.28105923893144158</v>
      </c>
      <c r="H1125" t="s">
        <v>32</v>
      </c>
      <c r="I1125">
        <f>VLOOKUP(Table4[[#This Row],[Visitor]],'NHL Model'!$A$6:$B$38,2,FALSE)</f>
        <v>-0.361361309178443</v>
      </c>
      <c r="J1125">
        <f ca="1">($B$1+Table4[[#This Row],[Home Differential]])-Table4[[#This Row],[Away Differential]]</f>
        <v>0.24287437990931982</v>
      </c>
      <c r="K1125" t="str">
        <f ca="1">IF(Table4[[#This Row],[HomeIce Differential]]&gt;0,Table4[[#This Row],[Home]],Table4[[#This Row],[Visitor]])</f>
        <v>Florida Panthers</v>
      </c>
      <c r="L1125" s="11">
        <f ca="1"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0.62536832595311331</v>
      </c>
      <c r="M1125" t="str">
        <f ca="1">IF(OR((NHL2025_26Results[[#This Row],[Winning Team]]="")),"-",IF(Table4[[#This Row],[Predicted Winner]]=NHL2025_26Results[[#This Row],[Winning Team]],"YES","NO"))</f>
        <v>-</v>
      </c>
      <c r="N1125" t="str">
        <f ca="1">IF(Table4[[#This Row],[Adjusted Correct]]="-", "",IF(Table4[[#This Row],[Adjusted Correct]]="YES",(Table4[[#This Row],[Strength of Win]]-1)^2,(Table4[[#This Row],[Strength of Win]]-0)^2))</f>
        <v/>
      </c>
      <c r="P1125" s="11"/>
    </row>
    <row r="1126" spans="4:16" x14ac:dyDescent="0.2">
      <c r="D1126" s="1">
        <v>46105</v>
      </c>
      <c r="E1126" s="2">
        <v>0.79166666666666663</v>
      </c>
      <c r="F1126" t="s">
        <v>18</v>
      </c>
      <c r="G1126">
        <f>VLOOKUP(Table4[[#This Row],[Home]],'NHL Model'!$A$6:$B$38,2,FALSE)</f>
        <v>-0.52437726201848234</v>
      </c>
      <c r="H1126" t="s">
        <v>25</v>
      </c>
      <c r="I1126">
        <f>VLOOKUP(Table4[[#This Row],[Visitor]],'NHL Model'!$A$6:$B$38,2,FALSE)</f>
        <v>0.67193921242367816</v>
      </c>
      <c r="J1126">
        <f ca="1">($B$1+Table4[[#This Row],[Home Differential]])-Table4[[#This Row],[Away Differential]]</f>
        <v>-1.0337441647798422</v>
      </c>
      <c r="K1126" t="str">
        <f ca="1">IF(Table4[[#This Row],[HomeIce Differential]]&gt;0,Table4[[#This Row],[Home]],Table4[[#This Row],[Visitor]])</f>
        <v>Carolina Hurricanes</v>
      </c>
      <c r="L1126" s="11">
        <f ca="1"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0.69572039832730792</v>
      </c>
      <c r="M1126" t="str">
        <f ca="1">IF(OR((NHL2025_26Results[[#This Row],[Winning Team]]="")),"-",IF(Table4[[#This Row],[Predicted Winner]]=NHL2025_26Results[[#This Row],[Winning Team]],"YES","NO"))</f>
        <v>-</v>
      </c>
      <c r="N1126" t="str">
        <f ca="1">IF(Table4[[#This Row],[Adjusted Correct]]="-", "",IF(Table4[[#This Row],[Adjusted Correct]]="YES",(Table4[[#This Row],[Strength of Win]]-1)^2,(Table4[[#This Row],[Strength of Win]]-0)^2))</f>
        <v/>
      </c>
      <c r="P1126" s="11"/>
    </row>
    <row r="1127" spans="4:16" x14ac:dyDescent="0.2">
      <c r="D1127" s="1">
        <v>46105</v>
      </c>
      <c r="E1127" s="2">
        <v>0.83333333333333337</v>
      </c>
      <c r="F1127" t="s">
        <v>29</v>
      </c>
      <c r="G1127">
        <f>VLOOKUP(Table4[[#This Row],[Home]],'NHL Model'!$A$6:$B$38,2,FALSE)</f>
        <v>-1.3516250707060606</v>
      </c>
      <c r="H1127" t="s">
        <v>33</v>
      </c>
      <c r="I1127">
        <f>VLOOKUP(Table4[[#This Row],[Visitor]],'NHL Model'!$A$6:$B$38,2,FALSE)</f>
        <v>-0.39418177254008485</v>
      </c>
      <c r="J1127">
        <f ca="1">($B$1+Table4[[#This Row],[Home Differential]])-Table4[[#This Row],[Away Differential]]</f>
        <v>-0.79487098850365734</v>
      </c>
      <c r="K1127" t="str">
        <f ca="1">IF(Table4[[#This Row],[HomeIce Differential]]&gt;0,Table4[[#This Row],[Home]],Table4[[#This Row],[Visitor]])</f>
        <v>San Jose Sharks</v>
      </c>
      <c r="L1127" s="11">
        <f ca="1"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0.57013626229040804</v>
      </c>
      <c r="M1127" t="str">
        <f ca="1">IF(OR((NHL2025_26Results[[#This Row],[Winning Team]]="")),"-",IF(Table4[[#This Row],[Predicted Winner]]=NHL2025_26Results[[#This Row],[Winning Team]],"YES","NO"))</f>
        <v>-</v>
      </c>
      <c r="N1127" t="str">
        <f ca="1">IF(Table4[[#This Row],[Adjusted Correct]]="-", "",IF(Table4[[#This Row],[Adjusted Correct]]="YES",(Table4[[#This Row],[Strength of Win]]-1)^2,(Table4[[#This Row],[Strength of Win]]-0)^2))</f>
        <v/>
      </c>
      <c r="P1127" s="11"/>
    </row>
    <row r="1128" spans="4:16" x14ac:dyDescent="0.2">
      <c r="D1128" s="1">
        <v>46105</v>
      </c>
      <c r="E1128" s="2">
        <v>0.79166666666666663</v>
      </c>
      <c r="F1128" t="s">
        <v>30</v>
      </c>
      <c r="G1128">
        <f>VLOOKUP(Table4[[#This Row],[Home]],'NHL Model'!$A$6:$B$38,2,FALSE)</f>
        <v>-6.4729560818359025E-2</v>
      </c>
      <c r="H1128" t="s">
        <v>10</v>
      </c>
      <c r="I1128">
        <f>VLOOKUP(Table4[[#This Row],[Visitor]],'NHL Model'!$A$6:$B$38,2,FALSE)</f>
        <v>0.30570968833820172</v>
      </c>
      <c r="J1128">
        <f ca="1">($B$1+Table4[[#This Row],[Home Differential]])-Table4[[#This Row],[Away Differential]]</f>
        <v>-0.20786693949424234</v>
      </c>
      <c r="K1128" t="str">
        <f ca="1">IF(Table4[[#This Row],[HomeIce Differential]]&gt;0,Table4[[#This Row],[Home]],Table4[[#This Row],[Visitor]])</f>
        <v>Chicago Blackhawks</v>
      </c>
      <c r="L1128" s="11">
        <f ca="1"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0.50957099621388424</v>
      </c>
      <c r="M1128" t="str">
        <f ca="1">IF(OR((NHL2025_26Results[[#This Row],[Winning Team]]="")),"-",IF(Table4[[#This Row],[Predicted Winner]]=NHL2025_26Results[[#This Row],[Winning Team]],"YES","NO"))</f>
        <v>-</v>
      </c>
      <c r="N1128" t="str">
        <f ca="1">IF(Table4[[#This Row],[Adjusted Correct]]="-", "",IF(Table4[[#This Row],[Adjusted Correct]]="YES",(Table4[[#This Row],[Strength of Win]]-1)^2,(Table4[[#This Row],[Strength of Win]]-0)^2))</f>
        <v/>
      </c>
      <c r="P1128" s="11"/>
    </row>
    <row r="1129" spans="4:16" x14ac:dyDescent="0.2">
      <c r="D1129" s="1">
        <v>46105</v>
      </c>
      <c r="E1129" s="2">
        <v>0.79166666666666663</v>
      </c>
      <c r="F1129" t="s">
        <v>27</v>
      </c>
      <c r="G1129">
        <f>VLOOKUP(Table4[[#This Row],[Home]],'NHL Model'!$A$6:$B$38,2,FALSE)</f>
        <v>-0.51358590497437617</v>
      </c>
      <c r="H1129" t="s">
        <v>28</v>
      </c>
      <c r="I1129">
        <f>VLOOKUP(Table4[[#This Row],[Visitor]],'NHL Model'!$A$6:$B$38,2,FALSE)</f>
        <v>-0.40822279081308277</v>
      </c>
      <c r="J1129">
        <f ca="1">($B$1+Table4[[#This Row],[Home Differential]])-Table4[[#This Row],[Away Differential]]</f>
        <v>5.720919550102499E-2</v>
      </c>
      <c r="K1129" t="str">
        <f ca="1">IF(Table4[[#This Row],[HomeIce Differential]]&gt;0,Table4[[#This Row],[Home]],Table4[[#This Row],[Visitor]])</f>
        <v>Philadelphia Flyers</v>
      </c>
      <c r="L1129" s="11">
        <f ca="1"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0.52966596013702816</v>
      </c>
      <c r="M1129" t="str">
        <f ca="1">IF(OR((NHL2025_26Results[[#This Row],[Winning Team]]="")),"-",IF(Table4[[#This Row],[Predicted Winner]]=NHL2025_26Results[[#This Row],[Winning Team]],"YES","NO"))</f>
        <v>-</v>
      </c>
      <c r="N1129" t="str">
        <f ca="1">IF(Table4[[#This Row],[Adjusted Correct]]="-", "",IF(Table4[[#This Row],[Adjusted Correct]]="YES",(Table4[[#This Row],[Strength of Win]]-1)^2,(Table4[[#This Row],[Strength of Win]]-0)^2))</f>
        <v/>
      </c>
      <c r="P1129" s="11"/>
    </row>
    <row r="1130" spans="4:16" x14ac:dyDescent="0.2">
      <c r="D1130" s="1">
        <v>46105</v>
      </c>
      <c r="E1130" s="2">
        <v>0.79166666666666663</v>
      </c>
      <c r="F1130" t="s">
        <v>14</v>
      </c>
      <c r="G1130">
        <f>VLOOKUP(Table4[[#This Row],[Home]],'NHL Model'!$A$6:$B$38,2,FALSE)</f>
        <v>0.26289091192875702</v>
      </c>
      <c r="H1130" t="s">
        <v>12</v>
      </c>
      <c r="I1130">
        <f>VLOOKUP(Table4[[#This Row],[Visitor]],'NHL Model'!$A$6:$B$38,2,FALSE)</f>
        <v>1.5475013591489768</v>
      </c>
      <c r="J1130">
        <f ca="1">($B$1+Table4[[#This Row],[Home Differential]])-Table4[[#This Row],[Away Differential]]</f>
        <v>-1.1220381375579014</v>
      </c>
      <c r="K1130" t="str">
        <f ca="1">IF(Table4[[#This Row],[HomeIce Differential]]&gt;0,Table4[[#This Row],[Home]],Table4[[#This Row],[Visitor]])</f>
        <v>Colorado Avalanche</v>
      </c>
      <c r="L1130" s="11">
        <f ca="1"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0.64526402376461578</v>
      </c>
      <c r="M1130" t="str">
        <f ca="1">IF(OR((NHL2025_26Results[[#This Row],[Winning Team]]="")),"-",IF(Table4[[#This Row],[Predicted Winner]]=NHL2025_26Results[[#This Row],[Winning Team]],"YES","NO"))</f>
        <v>-</v>
      </c>
      <c r="N1130" t="str">
        <f ca="1">IF(Table4[[#This Row],[Adjusted Correct]]="-", "",IF(Table4[[#This Row],[Adjusted Correct]]="YES",(Table4[[#This Row],[Strength of Win]]-1)^2,(Table4[[#This Row],[Strength of Win]]-0)^2))</f>
        <v/>
      </c>
      <c r="P1130" s="11"/>
    </row>
    <row r="1131" spans="4:16" x14ac:dyDescent="0.2">
      <c r="D1131" s="1">
        <v>46105</v>
      </c>
      <c r="E1131" s="2">
        <v>0.83333333333333337</v>
      </c>
      <c r="F1131" t="s">
        <v>35</v>
      </c>
      <c r="G1131">
        <f>VLOOKUP(Table4[[#This Row],[Home]],'NHL Model'!$A$6:$B$38,2,FALSE)</f>
        <v>-1.6211574240381006</v>
      </c>
      <c r="H1131" t="s">
        <v>22</v>
      </c>
      <c r="I1131">
        <f>VLOOKUP(Table4[[#This Row],[Visitor]],'NHL Model'!$A$6:$B$38,2,FALSE)</f>
        <v>-6.1308839486784707E-2</v>
      </c>
      <c r="J1131">
        <f ca="1">($B$1+Table4[[#This Row],[Home Differential]])-Table4[[#This Row],[Away Differential]]</f>
        <v>-1.3972762748889975</v>
      </c>
      <c r="K1131" t="str">
        <f ca="1">IF(Table4[[#This Row],[HomeIce Differential]]&gt;0,Table4[[#This Row],[Home]],Table4[[#This Row],[Visitor]])</f>
        <v>Washington Capitals</v>
      </c>
      <c r="L1131" s="11">
        <f ca="1"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0.6536047340122928</v>
      </c>
      <c r="M1131" t="str">
        <f ca="1">IF(OR((NHL2025_26Results[[#This Row],[Winning Team]]="")),"-",IF(Table4[[#This Row],[Predicted Winner]]=NHL2025_26Results[[#This Row],[Winning Team]],"YES","NO"))</f>
        <v>-</v>
      </c>
      <c r="N1131" t="str">
        <f ca="1">IF(Table4[[#This Row],[Adjusted Correct]]="-", "",IF(Table4[[#This Row],[Adjusted Correct]]="YES",(Table4[[#This Row],[Strength of Win]]-1)^2,(Table4[[#This Row],[Strength of Win]]-0)^2))</f>
        <v/>
      </c>
      <c r="P1131" s="11"/>
    </row>
    <row r="1132" spans="4:16" x14ac:dyDescent="0.2">
      <c r="D1132" s="1">
        <v>46105</v>
      </c>
      <c r="E1132" s="2">
        <v>0.8125</v>
      </c>
      <c r="F1132" t="s">
        <v>37</v>
      </c>
      <c r="G1132">
        <f>VLOOKUP(Table4[[#This Row],[Home]],'NHL Model'!$A$6:$B$38,2,FALSE)</f>
        <v>-0.11309445867623392</v>
      </c>
      <c r="H1132" t="s">
        <v>34</v>
      </c>
      <c r="I1132">
        <f>VLOOKUP(Table4[[#This Row],[Visitor]],'NHL Model'!$A$6:$B$38,2,FALSE)</f>
        <v>-0.53650300840565446</v>
      </c>
      <c r="J1132">
        <f ca="1">($B$1+Table4[[#This Row],[Home Differential]])-Table4[[#This Row],[Away Differential]]</f>
        <v>0.58598085939173894</v>
      </c>
      <c r="K1132" t="str">
        <f ca="1">IF(Table4[[#This Row],[HomeIce Differential]]&gt;0,Table4[[#This Row],[Home]],Table4[[#This Row],[Visitor]])</f>
        <v>Tampa Bay Lightning</v>
      </c>
      <c r="L1132" s="11">
        <f ca="1"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0.62119272505921919</v>
      </c>
      <c r="M1132" t="str">
        <f ca="1">IF(OR((NHL2025_26Results[[#This Row],[Winning Team]]="")),"-",IF(Table4[[#This Row],[Predicted Winner]]=NHL2025_26Results[[#This Row],[Winning Team]],"YES","NO"))</f>
        <v>-</v>
      </c>
      <c r="N1132" t="str">
        <f ca="1">IF(Table4[[#This Row],[Adjusted Correct]]="-", "",IF(Table4[[#This Row],[Adjusted Correct]]="YES",(Table4[[#This Row],[Strength of Win]]-1)^2,(Table4[[#This Row],[Strength of Win]]-0)^2))</f>
        <v/>
      </c>
      <c r="P1132" s="11"/>
    </row>
    <row r="1133" spans="4:16" x14ac:dyDescent="0.2">
      <c r="D1133" s="1">
        <v>46105</v>
      </c>
      <c r="E1133" s="2">
        <v>0.89583333333333337</v>
      </c>
      <c r="F1133" t="s">
        <v>55</v>
      </c>
      <c r="G1133">
        <f>VLOOKUP(Table4[[#This Row],[Home]],'NHL Model'!$A$6:$B$38,2,FALSE)</f>
        <v>-0.12212311954851815</v>
      </c>
      <c r="H1133" t="s">
        <v>17</v>
      </c>
      <c r="I1133">
        <f>VLOOKUP(Table4[[#This Row],[Visitor]],'NHL Model'!$A$6:$B$38,2,FALSE)</f>
        <v>-0.61980804137564283</v>
      </c>
      <c r="J1133">
        <f ca="1">($B$1+Table4[[#This Row],[Home Differential]])-Table4[[#This Row],[Away Differential]]</f>
        <v>0.66025723148944304</v>
      </c>
      <c r="K1133" t="str">
        <f ca="1">IF(Table4[[#This Row],[HomeIce Differential]]&gt;0,Table4[[#This Row],[Home]],Table4[[#This Row],[Visitor]])</f>
        <v>Utah Mammoth</v>
      </c>
      <c r="L1133" s="11">
        <f ca="1"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0.69975686603320186</v>
      </c>
      <c r="M1133" t="str">
        <f ca="1">IF(OR((NHL2025_26Results[[#This Row],[Winning Team]]="")),"-",IF(Table4[[#This Row],[Predicted Winner]]=NHL2025_26Results[[#This Row],[Winning Team]],"YES","NO"))</f>
        <v>-</v>
      </c>
      <c r="N1133" t="str">
        <f ca="1">IF(Table4[[#This Row],[Adjusted Correct]]="-", "",IF(Table4[[#This Row],[Adjusted Correct]]="YES",(Table4[[#This Row],[Strength of Win]]-1)^2,(Table4[[#This Row],[Strength of Win]]-0)^2))</f>
        <v/>
      </c>
      <c r="P1133" s="11"/>
    </row>
    <row r="1134" spans="4:16" x14ac:dyDescent="0.2">
      <c r="D1134" s="1">
        <v>46105</v>
      </c>
      <c r="E1134" s="2">
        <v>0.91666666666666663</v>
      </c>
      <c r="F1134" t="s">
        <v>38</v>
      </c>
      <c r="G1134">
        <f>VLOOKUP(Table4[[#This Row],[Home]],'NHL Model'!$A$6:$B$38,2,FALSE)</f>
        <v>-0.6902088310934803</v>
      </c>
      <c r="H1134" t="s">
        <v>31</v>
      </c>
      <c r="I1134">
        <f>VLOOKUP(Table4[[#This Row],[Visitor]],'NHL Model'!$A$6:$B$38,2,FALSE)</f>
        <v>0.51775546328552802</v>
      </c>
      <c r="J1134">
        <f ca="1">($B$1+Table4[[#This Row],[Home Differential]])-Table4[[#This Row],[Away Differential]]</f>
        <v>-1.0453919847166899</v>
      </c>
      <c r="K1134" t="str">
        <f ca="1">IF(Table4[[#This Row],[HomeIce Differential]]&gt;0,Table4[[#This Row],[Home]],Table4[[#This Row],[Visitor]])</f>
        <v>Anaheim Ducks</v>
      </c>
      <c r="L1134" s="11">
        <f ca="1"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0.625617347621237</v>
      </c>
      <c r="M1134" t="str">
        <f ca="1">IF(OR((NHL2025_26Results[[#This Row],[Winning Team]]="")),"-",IF(Table4[[#This Row],[Predicted Winner]]=NHL2025_26Results[[#This Row],[Winning Team]],"YES","NO"))</f>
        <v>-</v>
      </c>
      <c r="N1134" t="str">
        <f ca="1">IF(Table4[[#This Row],[Adjusted Correct]]="-", "",IF(Table4[[#This Row],[Adjusted Correct]]="YES",(Table4[[#This Row],[Strength of Win]]-1)^2,(Table4[[#This Row],[Strength of Win]]-0)^2))</f>
        <v/>
      </c>
      <c r="P1134" s="11"/>
    </row>
    <row r="1135" spans="4:16" x14ac:dyDescent="0.2">
      <c r="D1135" s="1">
        <v>46105</v>
      </c>
      <c r="E1135" s="2">
        <v>0.83333333333333337</v>
      </c>
      <c r="F1135" t="s">
        <v>40</v>
      </c>
      <c r="G1135">
        <f>VLOOKUP(Table4[[#This Row],[Home]],'NHL Model'!$A$6:$B$38,2,FALSE)</f>
        <v>0.105105258369765</v>
      </c>
      <c r="H1135" t="s">
        <v>20</v>
      </c>
      <c r="I1135">
        <f>VLOOKUP(Table4[[#This Row],[Visitor]],'NHL Model'!$A$6:$B$38,2,FALSE)</f>
        <v>-6.3745791019188943E-4</v>
      </c>
      <c r="J1135">
        <f ca="1">($B$1+Table4[[#This Row],[Home Differential]])-Table4[[#This Row],[Away Differential]]</f>
        <v>0.2683150259422753</v>
      </c>
      <c r="K1135" t="str">
        <f ca="1">IF(Table4[[#This Row],[HomeIce Differential]]&gt;0,Table4[[#This Row],[Home]],Table4[[#This Row],[Visitor]])</f>
        <v>Winnipeg Jets</v>
      </c>
      <c r="L1135" s="11">
        <f ca="1"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0.59273292710520309</v>
      </c>
      <c r="M1135" t="str">
        <f ca="1">IF(OR((NHL2025_26Results[[#This Row],[Winning Team]]="")),"-",IF(Table4[[#This Row],[Predicted Winner]]=NHL2025_26Results[[#This Row],[Winning Team]],"YES","NO"))</f>
        <v>-</v>
      </c>
      <c r="N1135" t="str">
        <f ca="1">IF(Table4[[#This Row],[Adjusted Correct]]="-", "",IF(Table4[[#This Row],[Adjusted Correct]]="YES",(Table4[[#This Row],[Strength of Win]]-1)^2,(Table4[[#This Row],[Strength of Win]]-0)^2))</f>
        <v/>
      </c>
      <c r="P1135" s="11"/>
    </row>
    <row r="1136" spans="4:16" x14ac:dyDescent="0.2">
      <c r="D1136" s="1">
        <v>46106</v>
      </c>
      <c r="E1136" s="2">
        <v>0.79166666666666663</v>
      </c>
      <c r="F1136" t="s">
        <v>23</v>
      </c>
      <c r="G1136">
        <f>VLOOKUP(Table4[[#This Row],[Home]],'NHL Model'!$A$6:$B$38,2,FALSE)</f>
        <v>-0.8683412362501769</v>
      </c>
      <c r="H1136" t="s">
        <v>21</v>
      </c>
      <c r="I1136">
        <f>VLOOKUP(Table4[[#This Row],[Visitor]],'NHL Model'!$A$6:$B$38,2,FALSE)</f>
        <v>4.029141914856392E-2</v>
      </c>
      <c r="J1136">
        <f ca="1">($B$1+Table4[[#This Row],[Home Differential]])-Table4[[#This Row],[Away Differential]]</f>
        <v>-0.74606034573642244</v>
      </c>
      <c r="K1136" t="str">
        <f ca="1">IF(Table4[[#This Row],[HomeIce Differential]]&gt;0,Table4[[#This Row],[Home]],Table4[[#This Row],[Visitor]])</f>
        <v>Boston Bruins</v>
      </c>
      <c r="L1136" s="11">
        <f ca="1"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0.56337312483523982</v>
      </c>
      <c r="M1136" t="str">
        <f ca="1">IF(OR((NHL2025_26Results[[#This Row],[Winning Team]]="")),"-",IF(Table4[[#This Row],[Predicted Winner]]=NHL2025_26Results[[#This Row],[Winning Team]],"YES","NO"))</f>
        <v>-</v>
      </c>
      <c r="N1136" t="str">
        <f ca="1">IF(Table4[[#This Row],[Adjusted Correct]]="-", "",IF(Table4[[#This Row],[Adjusted Correct]]="YES",(Table4[[#This Row],[Strength of Win]]-1)^2,(Table4[[#This Row],[Strength of Win]]-0)^2))</f>
        <v/>
      </c>
      <c r="P1136" s="11"/>
    </row>
    <row r="1137" spans="4:16" x14ac:dyDescent="0.2">
      <c r="D1137" s="1">
        <v>46106</v>
      </c>
      <c r="E1137" s="2">
        <v>0.8125</v>
      </c>
      <c r="F1137" t="s">
        <v>19</v>
      </c>
      <c r="G1137">
        <f>VLOOKUP(Table4[[#This Row],[Home]],'NHL Model'!$A$6:$B$38,2,FALSE)</f>
        <v>-0.635565543477981</v>
      </c>
      <c r="H1137" t="s">
        <v>15</v>
      </c>
      <c r="I1137">
        <f>VLOOKUP(Table4[[#This Row],[Visitor]],'NHL Model'!$A$6:$B$38,2,FALSE)</f>
        <v>-0.30719665303039001</v>
      </c>
      <c r="J1137">
        <f ca="1">($B$1+Table4[[#This Row],[Home Differential]])-Table4[[#This Row],[Away Differential]]</f>
        <v>-0.1657965807852726</v>
      </c>
      <c r="K1137" t="str">
        <f ca="1">IF(Table4[[#This Row],[HomeIce Differential]]&gt;0,Table4[[#This Row],[Home]],Table4[[#This Row],[Visitor]])</f>
        <v>New York Rangers</v>
      </c>
      <c r="L1137" s="11">
        <f ca="1"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0.62538219129839789</v>
      </c>
      <c r="M1137" t="str">
        <f ca="1">IF(OR((NHL2025_26Results[[#This Row],[Winning Team]]="")),"-",IF(Table4[[#This Row],[Predicted Winner]]=NHL2025_26Results[[#This Row],[Winning Team]],"YES","NO"))</f>
        <v>-</v>
      </c>
      <c r="N1137" t="str">
        <f ca="1">IF(Table4[[#This Row],[Adjusted Correct]]="-", "",IF(Table4[[#This Row],[Adjusted Correct]]="YES",(Table4[[#This Row],[Strength of Win]]-1)^2,(Table4[[#This Row],[Strength of Win]]-0)^2))</f>
        <v/>
      </c>
      <c r="P1137" s="11"/>
    </row>
    <row r="1138" spans="4:16" x14ac:dyDescent="0.2">
      <c r="D1138" s="1">
        <v>46107</v>
      </c>
      <c r="E1138" s="2">
        <v>0.875</v>
      </c>
      <c r="F1138" t="s">
        <v>16</v>
      </c>
      <c r="G1138">
        <f>VLOOKUP(Table4[[#This Row],[Home]],'NHL Model'!$A$6:$B$38,2,FALSE)</f>
        <v>-1.3903684122795328</v>
      </c>
      <c r="H1138" t="s">
        <v>31</v>
      </c>
      <c r="I1138">
        <f>VLOOKUP(Table4[[#This Row],[Visitor]],'NHL Model'!$A$6:$B$38,2,FALSE)</f>
        <v>0.51775546328552802</v>
      </c>
      <c r="J1138">
        <f ca="1">($B$1+Table4[[#This Row],[Home Differential]])-Table4[[#This Row],[Away Differential]]</f>
        <v>-1.7455515659027423</v>
      </c>
      <c r="K1138" t="str">
        <f ca="1">IF(Table4[[#This Row],[HomeIce Differential]]&gt;0,Table4[[#This Row],[Home]],Table4[[#This Row],[Visitor]])</f>
        <v>Anaheim Ducks</v>
      </c>
      <c r="L1138" s="11">
        <f ca="1"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0.72263052383970017</v>
      </c>
      <c r="M1138" t="str">
        <f ca="1">IF(OR((NHL2025_26Results[[#This Row],[Winning Team]]="")),"-",IF(Table4[[#This Row],[Predicted Winner]]=NHL2025_26Results[[#This Row],[Winning Team]],"YES","NO"))</f>
        <v>-</v>
      </c>
      <c r="N1138" t="str">
        <f ca="1">IF(Table4[[#This Row],[Adjusted Correct]]="-", "",IF(Table4[[#This Row],[Adjusted Correct]]="YES",(Table4[[#This Row],[Strength of Win]]-1)^2,(Table4[[#This Row],[Strength of Win]]-0)^2))</f>
        <v/>
      </c>
      <c r="P1138" s="11"/>
    </row>
    <row r="1139" spans="4:16" x14ac:dyDescent="0.2">
      <c r="D1139" s="1">
        <v>46107</v>
      </c>
      <c r="E1139" s="2">
        <v>0.79166666666666663</v>
      </c>
      <c r="F1139" t="s">
        <v>11</v>
      </c>
      <c r="G1139">
        <f>VLOOKUP(Table4[[#This Row],[Home]],'NHL Model'!$A$6:$B$38,2,FALSE)</f>
        <v>-0.28105923893144158</v>
      </c>
      <c r="H1139" t="s">
        <v>34</v>
      </c>
      <c r="I1139">
        <f>VLOOKUP(Table4[[#This Row],[Visitor]],'NHL Model'!$A$6:$B$38,2,FALSE)</f>
        <v>-0.53650300840565446</v>
      </c>
      <c r="J1139">
        <f ca="1">($B$1+Table4[[#This Row],[Home Differential]])-Table4[[#This Row],[Away Differential]]</f>
        <v>0.41801607913653127</v>
      </c>
      <c r="K1139" t="str">
        <f ca="1">IF(Table4[[#This Row],[HomeIce Differential]]&gt;0,Table4[[#This Row],[Home]],Table4[[#This Row],[Visitor]])</f>
        <v>Florida Panthers</v>
      </c>
      <c r="L1139" s="11">
        <f ca="1"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0.64963572582436568</v>
      </c>
      <c r="M1139" t="str">
        <f ca="1">IF(OR((NHL2025_26Results[[#This Row],[Winning Team]]="")),"-",IF(Table4[[#This Row],[Predicted Winner]]=NHL2025_26Results[[#This Row],[Winning Team]],"YES","NO"))</f>
        <v>-</v>
      </c>
      <c r="N1139" t="str">
        <f ca="1">IF(Table4[[#This Row],[Adjusted Correct]]="-", "",IF(Table4[[#This Row],[Adjusted Correct]]="YES",(Table4[[#This Row],[Strength of Win]]-1)^2,(Table4[[#This Row],[Strength of Win]]-0)^2))</f>
        <v/>
      </c>
      <c r="P1139" s="11"/>
    </row>
    <row r="1140" spans="4:16" x14ac:dyDescent="0.2">
      <c r="D1140" s="1">
        <v>46107</v>
      </c>
      <c r="E1140" s="2">
        <v>0.79166666666666663</v>
      </c>
      <c r="F1140" t="s">
        <v>18</v>
      </c>
      <c r="G1140">
        <f>VLOOKUP(Table4[[#This Row],[Home]],'NHL Model'!$A$6:$B$38,2,FALSE)</f>
        <v>-0.52437726201848234</v>
      </c>
      <c r="H1140" t="s">
        <v>28</v>
      </c>
      <c r="I1140">
        <f>VLOOKUP(Table4[[#This Row],[Visitor]],'NHL Model'!$A$6:$B$38,2,FALSE)</f>
        <v>-0.40822279081308277</v>
      </c>
      <c r="J1140">
        <f ca="1">($B$1+Table4[[#This Row],[Home Differential]])-Table4[[#This Row],[Away Differential]]</f>
        <v>4.6417838456918825E-2</v>
      </c>
      <c r="K1140" t="str">
        <f ca="1">IF(Table4[[#This Row],[HomeIce Differential]]&gt;0,Table4[[#This Row],[Home]],Table4[[#This Row],[Visitor]])</f>
        <v>Montreal Canadiens</v>
      </c>
      <c r="L1140" s="11">
        <f ca="1"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0.52566236291727286</v>
      </c>
      <c r="M1140" t="str">
        <f ca="1">IF(OR((NHL2025_26Results[[#This Row],[Winning Team]]="")),"-",IF(Table4[[#This Row],[Predicted Winner]]=NHL2025_26Results[[#This Row],[Winning Team]],"YES","NO"))</f>
        <v>-</v>
      </c>
      <c r="N1140" t="str">
        <f ca="1">IF(Table4[[#This Row],[Adjusted Correct]]="-", "",IF(Table4[[#This Row],[Adjusted Correct]]="YES",(Table4[[#This Row],[Strength of Win]]-1)^2,(Table4[[#This Row],[Strength of Win]]-0)^2))</f>
        <v/>
      </c>
      <c r="P1140" s="11"/>
    </row>
    <row r="1141" spans="4:16" x14ac:dyDescent="0.2">
      <c r="D1141" s="1">
        <v>46107</v>
      </c>
      <c r="E1141" s="2">
        <v>0.83333333333333337</v>
      </c>
      <c r="F1141" t="s">
        <v>29</v>
      </c>
      <c r="G1141">
        <f>VLOOKUP(Table4[[#This Row],[Home]],'NHL Model'!$A$6:$B$38,2,FALSE)</f>
        <v>-1.3516250707060606</v>
      </c>
      <c r="H1141" t="s">
        <v>24</v>
      </c>
      <c r="I1141">
        <f>VLOOKUP(Table4[[#This Row],[Visitor]],'NHL Model'!$A$6:$B$38,2,FALSE)</f>
        <v>0.559441163373953</v>
      </c>
      <c r="J1141">
        <f ca="1">($B$1+Table4[[#This Row],[Home Differential]])-Table4[[#This Row],[Away Differential]]</f>
        <v>-1.7484939244176951</v>
      </c>
      <c r="K1141" t="str">
        <f ca="1">IF(Table4[[#This Row],[HomeIce Differential]]&gt;0,Table4[[#This Row],[Home]],Table4[[#This Row],[Visitor]])</f>
        <v>New Jersey Devils</v>
      </c>
      <c r="L1141" s="11">
        <f ca="1"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0.76858477180925722</v>
      </c>
      <c r="M1141" t="str">
        <f ca="1">IF(OR((NHL2025_26Results[[#This Row],[Winning Team]]="")),"-",IF(Table4[[#This Row],[Predicted Winner]]=NHL2025_26Results[[#This Row],[Winning Team]],"YES","NO"))</f>
        <v>-</v>
      </c>
      <c r="N1141" t="str">
        <f ca="1">IF(Table4[[#This Row],[Adjusted Correct]]="-", "",IF(Table4[[#This Row],[Adjusted Correct]]="YES",(Table4[[#This Row],[Strength of Win]]-1)^2,(Table4[[#This Row],[Strength of Win]]-0)^2))</f>
        <v/>
      </c>
      <c r="P1141" s="11"/>
    </row>
    <row r="1142" spans="4:16" x14ac:dyDescent="0.2">
      <c r="D1142" s="1">
        <v>46107</v>
      </c>
      <c r="E1142" s="2">
        <v>0.79166666666666663</v>
      </c>
      <c r="F1142" t="s">
        <v>30</v>
      </c>
      <c r="G1142">
        <f>VLOOKUP(Table4[[#This Row],[Home]],'NHL Model'!$A$6:$B$38,2,FALSE)</f>
        <v>-6.4729560818359025E-2</v>
      </c>
      <c r="H1142" t="s">
        <v>39</v>
      </c>
      <c r="I1142">
        <f>VLOOKUP(Table4[[#This Row],[Visitor]],'NHL Model'!$A$6:$B$38,2,FALSE)</f>
        <v>0.19809534061227302</v>
      </c>
      <c r="J1142">
        <f ca="1">($B$1+Table4[[#This Row],[Home Differential]])-Table4[[#This Row],[Away Differential]]</f>
        <v>-0.10025259176831365</v>
      </c>
      <c r="K1142" t="str">
        <f ca="1">IF(Table4[[#This Row],[HomeIce Differential]]&gt;0,Table4[[#This Row],[Home]],Table4[[#This Row],[Visitor]])</f>
        <v>Dallas Stars</v>
      </c>
      <c r="L1142" s="11">
        <f ca="1"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0.56637705303221142</v>
      </c>
      <c r="M1142" t="str">
        <f ca="1">IF(OR((NHL2025_26Results[[#This Row],[Winning Team]]="")),"-",IF(Table4[[#This Row],[Predicted Winner]]=NHL2025_26Results[[#This Row],[Winning Team]],"YES","NO"))</f>
        <v>-</v>
      </c>
      <c r="N1142" t="str">
        <f ca="1">IF(Table4[[#This Row],[Adjusted Correct]]="-", "",IF(Table4[[#This Row],[Adjusted Correct]]="YES",(Table4[[#This Row],[Strength of Win]]-1)^2,(Table4[[#This Row],[Strength of Win]]-0)^2))</f>
        <v/>
      </c>
      <c r="P1142" s="11"/>
    </row>
    <row r="1143" spans="4:16" x14ac:dyDescent="0.2">
      <c r="D1143" s="1">
        <v>46107</v>
      </c>
      <c r="E1143" s="2">
        <v>0.79166666666666663</v>
      </c>
      <c r="F1143" t="s">
        <v>36</v>
      </c>
      <c r="G1143">
        <f>VLOOKUP(Table4[[#This Row],[Home]],'NHL Model'!$A$6:$B$38,2,FALSE)</f>
        <v>-0.40651947573390851</v>
      </c>
      <c r="H1143" t="s">
        <v>14</v>
      </c>
      <c r="I1143">
        <f>VLOOKUP(Table4[[#This Row],[Visitor]],'NHL Model'!$A$6:$B$38,2,FALSE)</f>
        <v>0.26289091192875702</v>
      </c>
      <c r="J1143">
        <f ca="1">($B$1+Table4[[#This Row],[Home Differential]])-Table4[[#This Row],[Away Differential]]</f>
        <v>-0.50683807800034719</v>
      </c>
      <c r="K1143" t="str">
        <f ca="1">IF(Table4[[#This Row],[HomeIce Differential]]&gt;0,Table4[[#This Row],[Home]],Table4[[#This Row],[Visitor]])</f>
        <v>Pittsburgh Penguins</v>
      </c>
      <c r="L1143" s="11">
        <f ca="1"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0.52773132779297649</v>
      </c>
      <c r="M1143" t="str">
        <f ca="1">IF(OR((NHL2025_26Results[[#This Row],[Winning Team]]="")),"-",IF(Table4[[#This Row],[Predicted Winner]]=NHL2025_26Results[[#This Row],[Winning Team]],"YES","NO"))</f>
        <v>-</v>
      </c>
      <c r="N1143" t="str">
        <f ca="1">IF(Table4[[#This Row],[Adjusted Correct]]="-", "",IF(Table4[[#This Row],[Adjusted Correct]]="YES",(Table4[[#This Row],[Strength of Win]]-1)^2,(Table4[[#This Row],[Strength of Win]]-0)^2))</f>
        <v/>
      </c>
      <c r="P1143" s="11"/>
    </row>
    <row r="1144" spans="4:16" x14ac:dyDescent="0.2">
      <c r="D1144" s="1">
        <v>46107</v>
      </c>
      <c r="E1144" s="2">
        <v>0.79166666666666663</v>
      </c>
      <c r="F1144" t="s">
        <v>27</v>
      </c>
      <c r="G1144">
        <f>VLOOKUP(Table4[[#This Row],[Home]],'NHL Model'!$A$6:$B$38,2,FALSE)</f>
        <v>-0.51358590497437617</v>
      </c>
      <c r="H1144" t="s">
        <v>10</v>
      </c>
      <c r="I1144">
        <f>VLOOKUP(Table4[[#This Row],[Visitor]],'NHL Model'!$A$6:$B$38,2,FALSE)</f>
        <v>0.30570968833820172</v>
      </c>
      <c r="J1144">
        <f ca="1">($B$1+Table4[[#This Row],[Home Differential]])-Table4[[#This Row],[Away Differential]]</f>
        <v>-0.65672328365025945</v>
      </c>
      <c r="K1144" t="str">
        <f ca="1">IF(Table4[[#This Row],[HomeIce Differential]]&gt;0,Table4[[#This Row],[Home]],Table4[[#This Row],[Visitor]])</f>
        <v>Chicago Blackhawks</v>
      </c>
      <c r="L1144" s="11">
        <f ca="1"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0.56925557042413566</v>
      </c>
      <c r="M1144" t="str">
        <f ca="1">IF(OR((NHL2025_26Results[[#This Row],[Winning Team]]="")),"-",IF(Table4[[#This Row],[Predicted Winner]]=NHL2025_26Results[[#This Row],[Winning Team]],"YES","NO"))</f>
        <v>-</v>
      </c>
      <c r="N1144" t="str">
        <f ca="1">IF(Table4[[#This Row],[Adjusted Correct]]="-", "",IF(Table4[[#This Row],[Adjusted Correct]]="YES",(Table4[[#This Row],[Strength of Win]]-1)^2,(Table4[[#This Row],[Strength of Win]]-0)^2))</f>
        <v/>
      </c>
      <c r="P1144" s="11"/>
    </row>
    <row r="1145" spans="4:16" x14ac:dyDescent="0.2">
      <c r="D1145" s="1">
        <v>46107</v>
      </c>
      <c r="E1145" s="2">
        <v>0.83333333333333337</v>
      </c>
      <c r="F1145" t="s">
        <v>35</v>
      </c>
      <c r="G1145">
        <f>VLOOKUP(Table4[[#This Row],[Home]],'NHL Model'!$A$6:$B$38,2,FALSE)</f>
        <v>-1.6211574240381006</v>
      </c>
      <c r="H1145" t="s">
        <v>33</v>
      </c>
      <c r="I1145">
        <f>VLOOKUP(Table4[[#This Row],[Visitor]],'NHL Model'!$A$6:$B$38,2,FALSE)</f>
        <v>-0.39418177254008485</v>
      </c>
      <c r="J1145">
        <f ca="1">($B$1+Table4[[#This Row],[Home Differential]])-Table4[[#This Row],[Away Differential]]</f>
        <v>-1.0644033418356973</v>
      </c>
      <c r="K1145" t="str">
        <f ca="1">IF(Table4[[#This Row],[HomeIce Differential]]&gt;0,Table4[[#This Row],[Home]],Table4[[#This Row],[Visitor]])</f>
        <v>San Jose Sharks</v>
      </c>
      <c r="L1145" s="11">
        <f ca="1"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0.60748230509694057</v>
      </c>
      <c r="M1145" t="str">
        <f ca="1">IF(OR((NHL2025_26Results[[#This Row],[Winning Team]]="")),"-",IF(Table4[[#This Row],[Predicted Winner]]=NHL2025_26Results[[#This Row],[Winning Team]],"YES","NO"))</f>
        <v>-</v>
      </c>
      <c r="N1145" t="str">
        <f ca="1">IF(Table4[[#This Row],[Adjusted Correct]]="-", "",IF(Table4[[#This Row],[Adjusted Correct]]="YES",(Table4[[#This Row],[Strength of Win]]-1)^2,(Table4[[#This Row],[Strength of Win]]-0)^2))</f>
        <v/>
      </c>
      <c r="P1145" s="11"/>
    </row>
    <row r="1146" spans="4:16" x14ac:dyDescent="0.2">
      <c r="D1146" s="1">
        <v>46107</v>
      </c>
      <c r="E1146" s="2">
        <v>0.79166666666666663</v>
      </c>
      <c r="F1146" t="s">
        <v>37</v>
      </c>
      <c r="G1146">
        <f>VLOOKUP(Table4[[#This Row],[Home]],'NHL Model'!$A$6:$B$38,2,FALSE)</f>
        <v>-0.11309445867623392</v>
      </c>
      <c r="H1146" t="s">
        <v>32</v>
      </c>
      <c r="I1146">
        <f>VLOOKUP(Table4[[#This Row],[Visitor]],'NHL Model'!$A$6:$B$38,2,FALSE)</f>
        <v>-0.361361309178443</v>
      </c>
      <c r="J1146">
        <f ca="1">($B$1+Table4[[#This Row],[Home Differential]])-Table4[[#This Row],[Away Differential]]</f>
        <v>0.41083916016452748</v>
      </c>
      <c r="K1146" t="str">
        <f ca="1">IF(Table4[[#This Row],[HomeIce Differential]]&gt;0,Table4[[#This Row],[Home]],Table4[[#This Row],[Visitor]])</f>
        <v>Tampa Bay Lightning</v>
      </c>
      <c r="L1146" s="11">
        <f ca="1"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0.59692532518796682</v>
      </c>
      <c r="M1146" t="str">
        <f ca="1">IF(OR((NHL2025_26Results[[#This Row],[Winning Team]]="")),"-",IF(Table4[[#This Row],[Predicted Winner]]=NHL2025_26Results[[#This Row],[Winning Team]],"YES","NO"))</f>
        <v>-</v>
      </c>
      <c r="N1146" t="str">
        <f ca="1">IF(Table4[[#This Row],[Adjusted Correct]]="-", "",IF(Table4[[#This Row],[Adjusted Correct]]="YES",(Table4[[#This Row],[Strength of Win]]-1)^2,(Table4[[#This Row],[Strength of Win]]-0)^2))</f>
        <v/>
      </c>
      <c r="P1146" s="11"/>
    </row>
    <row r="1147" spans="4:16" x14ac:dyDescent="0.2">
      <c r="D1147" s="1">
        <v>46107</v>
      </c>
      <c r="E1147" s="2">
        <v>0.875</v>
      </c>
      <c r="F1147" t="s">
        <v>55</v>
      </c>
      <c r="G1147">
        <f>VLOOKUP(Table4[[#This Row],[Home]],'NHL Model'!$A$6:$B$38,2,FALSE)</f>
        <v>-0.12212311954851815</v>
      </c>
      <c r="H1147" t="s">
        <v>22</v>
      </c>
      <c r="I1147">
        <f>VLOOKUP(Table4[[#This Row],[Visitor]],'NHL Model'!$A$6:$B$38,2,FALSE)</f>
        <v>-6.1308839486784707E-2</v>
      </c>
      <c r="J1147">
        <f ca="1">($B$1+Table4[[#This Row],[Home Differential]])-Table4[[#This Row],[Away Differential]]</f>
        <v>0.10175802960058494</v>
      </c>
      <c r="K1147" t="str">
        <f ca="1">IF(Table4[[#This Row],[HomeIce Differential]]&gt;0,Table4[[#This Row],[Home]],Table4[[#This Row],[Visitor]])</f>
        <v>Utah Mammoth</v>
      </c>
      <c r="L1147" s="11">
        <f ca="1"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0.62237196272454143</v>
      </c>
      <c r="M1147" t="str">
        <f ca="1">IF(OR((NHL2025_26Results[[#This Row],[Winning Team]]="")),"-",IF(Table4[[#This Row],[Predicted Winner]]=NHL2025_26Results[[#This Row],[Winning Team]],"YES","NO"))</f>
        <v>-</v>
      </c>
      <c r="N1147" t="str">
        <f ca="1">IF(Table4[[#This Row],[Adjusted Correct]]="-", "",IF(Table4[[#This Row],[Adjusted Correct]]="YES",(Table4[[#This Row],[Strength of Win]]-1)^2,(Table4[[#This Row],[Strength of Win]]-0)^2))</f>
        <v/>
      </c>
      <c r="P1147" s="11"/>
    </row>
    <row r="1148" spans="4:16" x14ac:dyDescent="0.2">
      <c r="D1148" s="1">
        <v>46107</v>
      </c>
      <c r="E1148" s="2">
        <v>0.91666666666666663</v>
      </c>
      <c r="F1148" t="s">
        <v>38</v>
      </c>
      <c r="G1148">
        <f>VLOOKUP(Table4[[#This Row],[Home]],'NHL Model'!$A$6:$B$38,2,FALSE)</f>
        <v>-0.6902088310934803</v>
      </c>
      <c r="H1148" t="s">
        <v>13</v>
      </c>
      <c r="I1148">
        <f>VLOOKUP(Table4[[#This Row],[Visitor]],'NHL Model'!$A$6:$B$38,2,FALSE)</f>
        <v>-7.5459708298993802E-2</v>
      </c>
      <c r="J1148">
        <f ca="1">($B$1+Table4[[#This Row],[Home Differential]])-Table4[[#This Row],[Away Differential]]</f>
        <v>-0.45217681313216812</v>
      </c>
      <c r="K1148" t="str">
        <f ca="1">IF(Table4[[#This Row],[HomeIce Differential]]&gt;0,Table4[[#This Row],[Home]],Table4[[#This Row],[Visitor]])</f>
        <v>Los Angeles Kings</v>
      </c>
      <c r="L1148" s="11">
        <f ca="1"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0.64404836399695953</v>
      </c>
      <c r="M1148" t="str">
        <f ca="1">IF(OR((NHL2025_26Results[[#This Row],[Winning Team]]="")),"-",IF(Table4[[#This Row],[Predicted Winner]]=NHL2025_26Results[[#This Row],[Winning Team]],"YES","NO"))</f>
        <v>-</v>
      </c>
      <c r="N1148" t="str">
        <f ca="1">IF(Table4[[#This Row],[Adjusted Correct]]="-", "",IF(Table4[[#This Row],[Adjusted Correct]]="YES",(Table4[[#This Row],[Strength of Win]]-1)^2,(Table4[[#This Row],[Strength of Win]]-0)^2))</f>
        <v/>
      </c>
      <c r="P1148" s="11"/>
    </row>
    <row r="1149" spans="4:16" x14ac:dyDescent="0.2">
      <c r="D1149" s="1">
        <v>46107</v>
      </c>
      <c r="E1149" s="2">
        <v>0.89583333333333337</v>
      </c>
      <c r="F1149" t="s">
        <v>20</v>
      </c>
      <c r="G1149">
        <f>VLOOKUP(Table4[[#This Row],[Home]],'NHL Model'!$A$6:$B$38,2,FALSE)</f>
        <v>-6.3745791019188943E-4</v>
      </c>
      <c r="H1149" t="s">
        <v>17</v>
      </c>
      <c r="I1149">
        <f>VLOOKUP(Table4[[#This Row],[Visitor]],'NHL Model'!$A$6:$B$38,2,FALSE)</f>
        <v>-0.61980804137564283</v>
      </c>
      <c r="J1149">
        <f ca="1">($B$1+Table4[[#This Row],[Home Differential]])-Table4[[#This Row],[Away Differential]]</f>
        <v>0.78174289312776934</v>
      </c>
      <c r="K1149" t="str">
        <f ca="1">IF(Table4[[#This Row],[HomeIce Differential]]&gt;0,Table4[[#This Row],[Home]],Table4[[#This Row],[Visitor]])</f>
        <v>Vegas Golden Knights</v>
      </c>
      <c r="L1149" s="11">
        <f ca="1"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0.64831725093308801</v>
      </c>
      <c r="M1149" t="str">
        <f ca="1">IF(OR((NHL2025_26Results[[#This Row],[Winning Team]]="")),"-",IF(Table4[[#This Row],[Predicted Winner]]=NHL2025_26Results[[#This Row],[Winning Team]],"YES","NO"))</f>
        <v>-</v>
      </c>
      <c r="N1149" t="str">
        <f ca="1">IF(Table4[[#This Row],[Adjusted Correct]]="-", "",IF(Table4[[#This Row],[Adjusted Correct]]="YES",(Table4[[#This Row],[Strength of Win]]-1)^2,(Table4[[#This Row],[Strength of Win]]-0)^2))</f>
        <v/>
      </c>
      <c r="P1149" s="11"/>
    </row>
    <row r="1150" spans="4:16" x14ac:dyDescent="0.2">
      <c r="D1150" s="1">
        <v>46107</v>
      </c>
      <c r="E1150" s="2">
        <v>0.83333333333333337</v>
      </c>
      <c r="F1150" t="s">
        <v>40</v>
      </c>
      <c r="G1150">
        <f>VLOOKUP(Table4[[#This Row],[Home]],'NHL Model'!$A$6:$B$38,2,FALSE)</f>
        <v>0.105105258369765</v>
      </c>
      <c r="H1150" t="s">
        <v>12</v>
      </c>
      <c r="I1150">
        <f>VLOOKUP(Table4[[#This Row],[Visitor]],'NHL Model'!$A$6:$B$38,2,FALSE)</f>
        <v>1.5475013591489768</v>
      </c>
      <c r="J1150">
        <f ca="1">($B$1+Table4[[#This Row],[Home Differential]])-Table4[[#This Row],[Away Differential]]</f>
        <v>-1.2798237911168933</v>
      </c>
      <c r="K1150" t="str">
        <f ca="1">IF(Table4[[#This Row],[HomeIce Differential]]&gt;0,Table4[[#This Row],[Home]],Table4[[#This Row],[Visitor]])</f>
        <v>Colorado Avalanche</v>
      </c>
      <c r="L1150" s="11">
        <f ca="1"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0.66712659313420675</v>
      </c>
      <c r="M1150" t="str">
        <f ca="1">IF(OR((NHL2025_26Results[[#This Row],[Winning Team]]="")),"-",IF(Table4[[#This Row],[Predicted Winner]]=NHL2025_26Results[[#This Row],[Winning Team]],"YES","NO"))</f>
        <v>-</v>
      </c>
      <c r="N1150" t="str">
        <f ca="1">IF(Table4[[#This Row],[Adjusted Correct]]="-", "",IF(Table4[[#This Row],[Adjusted Correct]]="YES",(Table4[[#This Row],[Strength of Win]]-1)^2,(Table4[[#This Row],[Strength of Win]]-0)^2))</f>
        <v/>
      </c>
      <c r="P1150" s="11"/>
    </row>
    <row r="1151" spans="4:16" x14ac:dyDescent="0.2">
      <c r="D1151" s="1">
        <v>46108</v>
      </c>
      <c r="E1151" s="2">
        <v>0.79166666666666663</v>
      </c>
      <c r="F1151" t="s">
        <v>23</v>
      </c>
      <c r="G1151">
        <f>VLOOKUP(Table4[[#This Row],[Home]],'NHL Model'!$A$6:$B$38,2,FALSE)</f>
        <v>-0.8683412362501769</v>
      </c>
      <c r="H1151" t="s">
        <v>26</v>
      </c>
      <c r="I1151">
        <f>VLOOKUP(Table4[[#This Row],[Visitor]],'NHL Model'!$A$6:$B$38,2,FALSE)</f>
        <v>-0.513643833119658</v>
      </c>
      <c r="J1151">
        <f ca="1">($B$1+Table4[[#This Row],[Home Differential]])-Table4[[#This Row],[Away Differential]]</f>
        <v>-0.1921250934682005</v>
      </c>
      <c r="K1151" t="str">
        <f ca="1">IF(Table4[[#This Row],[HomeIce Differential]]&gt;0,Table4[[#This Row],[Home]],Table4[[#This Row],[Visitor]])</f>
        <v>Detroit Red Wings</v>
      </c>
      <c r="L1151" s="11">
        <f ca="1"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0.53371998776971596</v>
      </c>
      <c r="M1151" t="str">
        <f ca="1">IF(OR((NHL2025_26Results[[#This Row],[Winning Team]]="")),"-",IF(Table4[[#This Row],[Predicted Winner]]=NHL2025_26Results[[#This Row],[Winning Team]],"YES","NO"))</f>
        <v>-</v>
      </c>
      <c r="N1151" t="str">
        <f ca="1">IF(Table4[[#This Row],[Adjusted Correct]]="-", "",IF(Table4[[#This Row],[Adjusted Correct]]="YES",(Table4[[#This Row],[Strength of Win]]-1)^2,(Table4[[#This Row],[Strength of Win]]-0)^2))</f>
        <v/>
      </c>
      <c r="P1151" s="11"/>
    </row>
    <row r="1152" spans="4:16" x14ac:dyDescent="0.2">
      <c r="D1152" s="1">
        <v>46108</v>
      </c>
      <c r="E1152" s="2">
        <v>0.79166666666666663</v>
      </c>
      <c r="F1152" t="s">
        <v>15</v>
      </c>
      <c r="G1152">
        <f>VLOOKUP(Table4[[#This Row],[Home]],'NHL Model'!$A$6:$B$38,2,FALSE)</f>
        <v>-0.30719665303039001</v>
      </c>
      <c r="H1152" t="s">
        <v>10</v>
      </c>
      <c r="I1152">
        <f>VLOOKUP(Table4[[#This Row],[Visitor]],'NHL Model'!$A$6:$B$38,2,FALSE)</f>
        <v>0.30570968833820172</v>
      </c>
      <c r="J1152">
        <f ca="1">($B$1+Table4[[#This Row],[Home Differential]])-Table4[[#This Row],[Away Differential]]</f>
        <v>-0.45033403170627334</v>
      </c>
      <c r="K1152" t="str">
        <f ca="1">IF(Table4[[#This Row],[HomeIce Differential]]&gt;0,Table4[[#This Row],[Home]],Table4[[#This Row],[Visitor]])</f>
        <v>Chicago Blackhawks</v>
      </c>
      <c r="L1152" s="11">
        <f ca="1"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0.54316691259640038</v>
      </c>
      <c r="M1152" t="str">
        <f ca="1">IF(OR((NHL2025_26Results[[#This Row],[Winning Team]]="")),"-",IF(Table4[[#This Row],[Predicted Winner]]=NHL2025_26Results[[#This Row],[Winning Team]],"YES","NO"))</f>
        <v>-</v>
      </c>
      <c r="N1152" t="str">
        <f ca="1">IF(Table4[[#This Row],[Adjusted Correct]]="-", "",IF(Table4[[#This Row],[Adjusted Correct]]="YES",(Table4[[#This Row],[Strength of Win]]-1)^2,(Table4[[#This Row],[Strength of Win]]-0)^2))</f>
        <v/>
      </c>
      <c r="P1152" s="11"/>
    </row>
    <row r="1153" spans="4:16" x14ac:dyDescent="0.2">
      <c r="D1153" s="1">
        <v>46109</v>
      </c>
      <c r="E1153" s="2">
        <v>0.70833333333333337</v>
      </c>
      <c r="F1153" t="s">
        <v>21</v>
      </c>
      <c r="G1153">
        <f>VLOOKUP(Table4[[#This Row],[Home]],'NHL Model'!$A$6:$B$38,2,FALSE)</f>
        <v>4.029141914856392E-2</v>
      </c>
      <c r="H1153" t="s">
        <v>34</v>
      </c>
      <c r="I1153">
        <f>VLOOKUP(Table4[[#This Row],[Visitor]],'NHL Model'!$A$6:$B$38,2,FALSE)</f>
        <v>-0.53650300840565446</v>
      </c>
      <c r="J1153">
        <f ca="1">($B$1+Table4[[#This Row],[Home Differential]])-Table4[[#This Row],[Away Differential]]</f>
        <v>0.73936673721653678</v>
      </c>
      <c r="K1153" t="str">
        <f ca="1">IF(Table4[[#This Row],[HomeIce Differential]]&gt;0,Table4[[#This Row],[Home]],Table4[[#This Row],[Visitor]])</f>
        <v>Boston Bruins</v>
      </c>
      <c r="L1153" s="11">
        <f ca="1"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0.71500309463959333</v>
      </c>
      <c r="M1153" t="str">
        <f ca="1">IF(OR((NHL2025_26Results[[#This Row],[Winning Team]]="")),"-",IF(Table4[[#This Row],[Predicted Winner]]=NHL2025_26Results[[#This Row],[Winning Team]],"YES","NO"))</f>
        <v>-</v>
      </c>
      <c r="N1153" t="str">
        <f ca="1">IF(Table4[[#This Row],[Adjusted Correct]]="-", "",IF(Table4[[#This Row],[Adjusted Correct]]="YES",(Table4[[#This Row],[Strength of Win]]-1)^2,(Table4[[#This Row],[Strength of Win]]-0)^2))</f>
        <v/>
      </c>
      <c r="P1153" s="11"/>
    </row>
    <row r="1154" spans="4:16" x14ac:dyDescent="0.2">
      <c r="D1154" s="1">
        <v>46109</v>
      </c>
      <c r="E1154" s="2">
        <v>0.72916666666666663</v>
      </c>
      <c r="F1154" t="s">
        <v>23</v>
      </c>
      <c r="G1154">
        <f>VLOOKUP(Table4[[#This Row],[Home]],'NHL Model'!$A$6:$B$38,2,FALSE)</f>
        <v>-0.8683412362501769</v>
      </c>
      <c r="H1154" t="s">
        <v>32</v>
      </c>
      <c r="I1154">
        <f>VLOOKUP(Table4[[#This Row],[Visitor]],'NHL Model'!$A$6:$B$38,2,FALSE)</f>
        <v>-0.361361309178443</v>
      </c>
      <c r="J1154">
        <f ca="1">($B$1+Table4[[#This Row],[Home Differential]])-Table4[[#This Row],[Away Differential]]</f>
        <v>-0.3444076174094155</v>
      </c>
      <c r="K1154" t="str">
        <f ca="1">IF(Table4[[#This Row],[HomeIce Differential]]&gt;0,Table4[[#This Row],[Home]],Table4[[#This Row],[Visitor]])</f>
        <v>Seattle Kraken</v>
      </c>
      <c r="L1154" s="11">
        <f ca="1"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0.50772065937042732</v>
      </c>
      <c r="M1154" t="str">
        <f ca="1">IF(OR((NHL2025_26Results[[#This Row],[Winning Team]]="")),"-",IF(Table4[[#This Row],[Predicted Winner]]=NHL2025_26Results[[#This Row],[Winning Team]],"YES","NO"))</f>
        <v>-</v>
      </c>
      <c r="N1154" t="str">
        <f ca="1">IF(Table4[[#This Row],[Adjusted Correct]]="-", "",IF(Table4[[#This Row],[Adjusted Correct]]="YES",(Table4[[#This Row],[Strength of Win]]-1)^2,(Table4[[#This Row],[Strength of Win]]-0)^2))</f>
        <v/>
      </c>
      <c r="P1154" s="11"/>
    </row>
    <row r="1155" spans="4:16" x14ac:dyDescent="0.2">
      <c r="D1155" s="1">
        <v>46109</v>
      </c>
      <c r="E1155" s="2">
        <v>0.70833333333333337</v>
      </c>
      <c r="F1155" t="s">
        <v>25</v>
      </c>
      <c r="G1155">
        <f>VLOOKUP(Table4[[#This Row],[Home]],'NHL Model'!$A$6:$B$38,2,FALSE)</f>
        <v>0.67193921242367816</v>
      </c>
      <c r="H1155" t="s">
        <v>24</v>
      </c>
      <c r="I1155">
        <f>VLOOKUP(Table4[[#This Row],[Visitor]],'NHL Model'!$A$6:$B$38,2,FALSE)</f>
        <v>0.559441163373953</v>
      </c>
      <c r="J1155">
        <f ca="1">($B$1+Table4[[#This Row],[Home Differential]])-Table4[[#This Row],[Away Differential]]</f>
        <v>0.27507035871204355</v>
      </c>
      <c r="K1155" t="str">
        <f ca="1">IF(Table4[[#This Row],[HomeIce Differential]]&gt;0,Table4[[#This Row],[Home]],Table4[[#This Row],[Visitor]])</f>
        <v>Carolina Hurricanes</v>
      </c>
      <c r="L1155" s="11">
        <f ca="1"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0.56442917090738942</v>
      </c>
      <c r="M1155" t="str">
        <f ca="1">IF(OR((NHL2025_26Results[[#This Row],[Winning Team]]="")),"-",IF(Table4[[#This Row],[Predicted Winner]]=NHL2025_26Results[[#This Row],[Winning Team]],"YES","NO"))</f>
        <v>-</v>
      </c>
      <c r="N1155" t="str">
        <f ca="1">IF(Table4[[#This Row],[Adjusted Correct]]="-", "",IF(Table4[[#This Row],[Adjusted Correct]]="YES",(Table4[[#This Row],[Strength of Win]]-1)^2,(Table4[[#This Row],[Strength of Win]]-0)^2))</f>
        <v/>
      </c>
      <c r="P1155" s="11"/>
    </row>
    <row r="1156" spans="4:16" x14ac:dyDescent="0.2">
      <c r="D1156" s="1">
        <v>46109</v>
      </c>
      <c r="E1156" s="2">
        <v>0.70833333333333337</v>
      </c>
      <c r="F1156" t="s">
        <v>28</v>
      </c>
      <c r="G1156">
        <f>VLOOKUP(Table4[[#This Row],[Home]],'NHL Model'!$A$6:$B$38,2,FALSE)</f>
        <v>-0.40822279081308277</v>
      </c>
      <c r="H1156" t="s">
        <v>33</v>
      </c>
      <c r="I1156">
        <f>VLOOKUP(Table4[[#This Row],[Visitor]],'NHL Model'!$A$6:$B$38,2,FALSE)</f>
        <v>-0.39418177254008485</v>
      </c>
      <c r="J1156">
        <f ca="1">($B$1+Table4[[#This Row],[Home Differential]])-Table4[[#This Row],[Away Differential]]</f>
        <v>0.14853129138932047</v>
      </c>
      <c r="K1156" t="str">
        <f ca="1">IF(Table4[[#This Row],[HomeIce Differential]]&gt;0,Table4[[#This Row],[Home]],Table4[[#This Row],[Visitor]])</f>
        <v>Columbus Blue Jackets</v>
      </c>
      <c r="L1156" s="11">
        <f ca="1"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0.56058029731036285</v>
      </c>
      <c r="M1156" t="str">
        <f ca="1">IF(OR((NHL2025_26Results[[#This Row],[Winning Team]]="")),"-",IF(Table4[[#This Row],[Predicted Winner]]=NHL2025_26Results[[#This Row],[Winning Team]],"YES","NO"))</f>
        <v>-</v>
      </c>
      <c r="N1156" t="str">
        <f ca="1">IF(Table4[[#This Row],[Adjusted Correct]]="-", "",IF(Table4[[#This Row],[Adjusted Correct]]="YES",(Table4[[#This Row],[Strength of Win]]-1)^2,(Table4[[#This Row],[Strength of Win]]-0)^2))</f>
        <v/>
      </c>
      <c r="P1156" s="11"/>
    </row>
    <row r="1157" spans="4:16" x14ac:dyDescent="0.2">
      <c r="D1157" s="1">
        <v>46109</v>
      </c>
      <c r="E1157" s="2">
        <v>0.91666666666666663</v>
      </c>
      <c r="F1157" t="s">
        <v>16</v>
      </c>
      <c r="G1157">
        <f>VLOOKUP(Table4[[#This Row],[Home]],'NHL Model'!$A$6:$B$38,2,FALSE)</f>
        <v>-1.3903684122795328</v>
      </c>
      <c r="H1157" t="s">
        <v>38</v>
      </c>
      <c r="I1157">
        <f>VLOOKUP(Table4[[#This Row],[Visitor]],'NHL Model'!$A$6:$B$38,2,FALSE)</f>
        <v>-0.6902088310934803</v>
      </c>
      <c r="J1157">
        <f ca="1">($B$1+Table4[[#This Row],[Home Differential]])-Table4[[#This Row],[Away Differential]]</f>
        <v>-0.53758727152373409</v>
      </c>
      <c r="K1157" t="str">
        <f ca="1">IF(Table4[[#This Row],[HomeIce Differential]]&gt;0,Table4[[#This Row],[Home]],Table4[[#This Row],[Visitor]])</f>
        <v>Vancouver Canucks</v>
      </c>
      <c r="L1157" s="11">
        <f ca="1"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0.5769999369878106</v>
      </c>
      <c r="M1157" t="str">
        <f ca="1">IF(OR((NHL2025_26Results[[#This Row],[Winning Team]]="")),"-",IF(Table4[[#This Row],[Predicted Winner]]=NHL2025_26Results[[#This Row],[Winning Team]],"YES","NO"))</f>
        <v>-</v>
      </c>
      <c r="N1157" t="str">
        <f ca="1">IF(Table4[[#This Row],[Adjusted Correct]]="-", "",IF(Table4[[#This Row],[Adjusted Correct]]="YES",(Table4[[#This Row],[Strength of Win]]-1)^2,(Table4[[#This Row],[Strength of Win]]-0)^2))</f>
        <v/>
      </c>
      <c r="P1157" s="11"/>
    </row>
    <row r="1158" spans="4:16" x14ac:dyDescent="0.2">
      <c r="D1158" s="1">
        <v>46109</v>
      </c>
      <c r="E1158" s="2">
        <v>0.79166666666666663</v>
      </c>
      <c r="F1158" t="s">
        <v>12</v>
      </c>
      <c r="G1158">
        <f>VLOOKUP(Table4[[#This Row],[Home]],'NHL Model'!$A$6:$B$38,2,FALSE)</f>
        <v>1.5475013591489768</v>
      </c>
      <c r="H1158" t="s">
        <v>40</v>
      </c>
      <c r="I1158">
        <f>VLOOKUP(Table4[[#This Row],[Visitor]],'NHL Model'!$A$6:$B$38,2,FALSE)</f>
        <v>0.105105258369765</v>
      </c>
      <c r="J1158">
        <f ca="1">($B$1+Table4[[#This Row],[Home Differential]])-Table4[[#This Row],[Away Differential]]</f>
        <v>1.6049684104415303</v>
      </c>
      <c r="K1158" t="str">
        <f ca="1">IF(Table4[[#This Row],[HomeIce Differential]]&gt;0,Table4[[#This Row],[Home]],Table4[[#This Row],[Visitor]])</f>
        <v>Colorado Avalanche</v>
      </c>
      <c r="L1158" s="11">
        <f ca="1"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0.78689840788856369</v>
      </c>
      <c r="M1158" t="str">
        <f ca="1">IF(OR((NHL2025_26Results[[#This Row],[Winning Team]]="")),"-",IF(Table4[[#This Row],[Predicted Winner]]=NHL2025_26Results[[#This Row],[Winning Team]],"YES","NO"))</f>
        <v>-</v>
      </c>
      <c r="N1158" t="str">
        <f ca="1">IF(Table4[[#This Row],[Adjusted Correct]]="-", "",IF(Table4[[#This Row],[Adjusted Correct]]="YES",(Table4[[#This Row],[Strength of Win]]-1)^2,(Table4[[#This Row],[Strength of Win]]-0)^2))</f>
        <v/>
      </c>
      <c r="P1158" s="11"/>
    </row>
    <row r="1159" spans="4:16" x14ac:dyDescent="0.2">
      <c r="D1159" s="1">
        <v>46109</v>
      </c>
      <c r="E1159" s="2">
        <v>0.83333333333333337</v>
      </c>
      <c r="F1159" t="s">
        <v>26</v>
      </c>
      <c r="G1159">
        <f>VLOOKUP(Table4[[#This Row],[Home]],'NHL Model'!$A$6:$B$38,2,FALSE)</f>
        <v>-0.513643833119658</v>
      </c>
      <c r="H1159" t="s">
        <v>27</v>
      </c>
      <c r="I1159">
        <f>VLOOKUP(Table4[[#This Row],[Visitor]],'NHL Model'!$A$6:$B$38,2,FALSE)</f>
        <v>-0.51358590497437617</v>
      </c>
      <c r="J1159">
        <f ca="1">($B$1+Table4[[#This Row],[Home Differential]])-Table4[[#This Row],[Away Differential]]</f>
        <v>0.16251438151703657</v>
      </c>
      <c r="K1159" t="str">
        <f ca="1">IF(Table4[[#This Row],[HomeIce Differential]]&gt;0,Table4[[#This Row],[Home]],Table4[[#This Row],[Visitor]])</f>
        <v>Detroit Red Wings</v>
      </c>
      <c r="L1159" s="11">
        <f ca="1"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0.58855551144735596</v>
      </c>
      <c r="M1159" t="str">
        <f ca="1">IF(OR((NHL2025_26Results[[#This Row],[Winning Team]]="")),"-",IF(Table4[[#This Row],[Predicted Winner]]=NHL2025_26Results[[#This Row],[Winning Team]],"YES","NO"))</f>
        <v>-</v>
      </c>
      <c r="N1159" t="str">
        <f ca="1">IF(Table4[[#This Row],[Adjusted Correct]]="-", "",IF(Table4[[#This Row],[Adjusted Correct]]="YES",(Table4[[#This Row],[Strength of Win]]-1)^2,(Table4[[#This Row],[Strength of Win]]-0)^2))</f>
        <v/>
      </c>
      <c r="P1159" s="11"/>
    </row>
    <row r="1160" spans="4:16" x14ac:dyDescent="0.2">
      <c r="D1160" s="1">
        <v>46109</v>
      </c>
      <c r="E1160" s="2">
        <v>0.64583333333333337</v>
      </c>
      <c r="F1160" t="s">
        <v>17</v>
      </c>
      <c r="G1160">
        <f>VLOOKUP(Table4[[#This Row],[Home]],'NHL Model'!$A$6:$B$38,2,FALSE)</f>
        <v>-0.61980804137564283</v>
      </c>
      <c r="H1160" t="s">
        <v>31</v>
      </c>
      <c r="I1160">
        <f>VLOOKUP(Table4[[#This Row],[Visitor]],'NHL Model'!$A$6:$B$38,2,FALSE)</f>
        <v>0.51775546328552802</v>
      </c>
      <c r="J1160">
        <f ca="1">($B$1+Table4[[#This Row],[Home Differential]])-Table4[[#This Row],[Away Differential]]</f>
        <v>-0.97499119499885245</v>
      </c>
      <c r="K1160" t="str">
        <f ca="1">IF(Table4[[#This Row],[HomeIce Differential]]&gt;0,Table4[[#This Row],[Home]],Table4[[#This Row],[Visitor]])</f>
        <v>Anaheim Ducks</v>
      </c>
      <c r="L1160" s="11">
        <f ca="1"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0.57953792192231546</v>
      </c>
      <c r="M1160" t="str">
        <f ca="1">IF(OR((NHL2025_26Results[[#This Row],[Winning Team]]="")),"-",IF(Table4[[#This Row],[Predicted Winner]]=NHL2025_26Results[[#This Row],[Winning Team]],"YES","NO"))</f>
        <v>-</v>
      </c>
      <c r="N1160" t="str">
        <f ca="1">IF(Table4[[#This Row],[Adjusted Correct]]="-", "",IF(Table4[[#This Row],[Adjusted Correct]]="YES",(Table4[[#This Row],[Strength of Win]]-1)^2,(Table4[[#This Row],[Strength of Win]]-0)^2))</f>
        <v/>
      </c>
      <c r="P1160" s="11"/>
    </row>
    <row r="1161" spans="4:16" x14ac:dyDescent="0.2">
      <c r="D1161" s="1">
        <v>46109</v>
      </c>
      <c r="E1161" s="2">
        <v>0.875</v>
      </c>
      <c r="F1161" t="s">
        <v>13</v>
      </c>
      <c r="G1161">
        <f>VLOOKUP(Table4[[#This Row],[Home]],'NHL Model'!$A$6:$B$38,2,FALSE)</f>
        <v>-7.5459708298993802E-2</v>
      </c>
      <c r="H1161" t="s">
        <v>55</v>
      </c>
      <c r="I1161">
        <f>VLOOKUP(Table4[[#This Row],[Visitor]],'NHL Model'!$A$6:$B$38,2,FALSE)</f>
        <v>-0.12212311954851815</v>
      </c>
      <c r="J1161">
        <f ca="1">($B$1+Table4[[#This Row],[Home Differential]])-Table4[[#This Row],[Away Differential]]</f>
        <v>0.20923572091184273</v>
      </c>
      <c r="K1161" t="str">
        <f ca="1">IF(Table4[[#This Row],[HomeIce Differential]]&gt;0,Table4[[#This Row],[Home]],Table4[[#This Row],[Visitor]])</f>
        <v>Los Angeles Kings</v>
      </c>
      <c r="L1161" s="11">
        <f ca="1"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0.56899142196930652</v>
      </c>
      <c r="M1161" t="str">
        <f ca="1">IF(OR((NHL2025_26Results[[#This Row],[Winning Team]]="")),"-",IF(Table4[[#This Row],[Predicted Winner]]=NHL2025_26Results[[#This Row],[Winning Team]],"YES","NO"))</f>
        <v>-</v>
      </c>
      <c r="N1161" t="str">
        <f ca="1">IF(Table4[[#This Row],[Adjusted Correct]]="-", "",IF(Table4[[#This Row],[Adjusted Correct]]="YES",(Table4[[#This Row],[Strength of Win]]-1)^2,(Table4[[#This Row],[Strength of Win]]-0)^2))</f>
        <v/>
      </c>
      <c r="P1161" s="11"/>
    </row>
    <row r="1162" spans="4:16" x14ac:dyDescent="0.2">
      <c r="D1162" s="1">
        <v>46109</v>
      </c>
      <c r="E1162" s="2">
        <v>0.79166666666666663</v>
      </c>
      <c r="F1162" t="s">
        <v>29</v>
      </c>
      <c r="G1162">
        <f>VLOOKUP(Table4[[#This Row],[Home]],'NHL Model'!$A$6:$B$38,2,FALSE)</f>
        <v>-1.3516250707060606</v>
      </c>
      <c r="H1162" t="s">
        <v>18</v>
      </c>
      <c r="I1162">
        <f>VLOOKUP(Table4[[#This Row],[Visitor]],'NHL Model'!$A$6:$B$38,2,FALSE)</f>
        <v>-0.52437726201848234</v>
      </c>
      <c r="J1162">
        <f ca="1">($B$1+Table4[[#This Row],[Home Differential]])-Table4[[#This Row],[Away Differential]]</f>
        <v>-0.66467549902525991</v>
      </c>
      <c r="K1162" t="str">
        <f ca="1">IF(Table4[[#This Row],[HomeIce Differential]]&gt;0,Table4[[#This Row],[Home]],Table4[[#This Row],[Visitor]])</f>
        <v>Montreal Canadiens</v>
      </c>
      <c r="L1162" s="11">
        <f ca="1"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0.62857723589310766</v>
      </c>
      <c r="M1162" t="str">
        <f ca="1">IF(OR((NHL2025_26Results[[#This Row],[Winning Team]]="")),"-",IF(Table4[[#This Row],[Predicted Winner]]=NHL2025_26Results[[#This Row],[Winning Team]],"YES","NO"))</f>
        <v>-</v>
      </c>
      <c r="N1162" t="str">
        <f ca="1">IF(Table4[[#This Row],[Adjusted Correct]]="-", "",IF(Table4[[#This Row],[Adjusted Correct]]="YES",(Table4[[#This Row],[Strength of Win]]-1)^2,(Table4[[#This Row],[Strength of Win]]-0)^2))</f>
        <v/>
      </c>
      <c r="P1162" s="11"/>
    </row>
    <row r="1163" spans="4:16" x14ac:dyDescent="0.2">
      <c r="D1163" s="1">
        <v>46109</v>
      </c>
      <c r="E1163" s="2">
        <v>0.54166666666666663</v>
      </c>
      <c r="F1163" t="s">
        <v>30</v>
      </c>
      <c r="G1163">
        <f>VLOOKUP(Table4[[#This Row],[Home]],'NHL Model'!$A$6:$B$38,2,FALSE)</f>
        <v>-6.4729560818359025E-2</v>
      </c>
      <c r="H1163" t="s">
        <v>11</v>
      </c>
      <c r="I1163">
        <f>VLOOKUP(Table4[[#This Row],[Visitor]],'NHL Model'!$A$6:$B$38,2,FALSE)</f>
        <v>-0.28105923893144158</v>
      </c>
      <c r="J1163">
        <f ca="1">($B$1+Table4[[#This Row],[Home Differential]])-Table4[[#This Row],[Away Differential]]</f>
        <v>0.37890198777540096</v>
      </c>
      <c r="K1163" t="str">
        <f ca="1">IF(Table4[[#This Row],[HomeIce Differential]]&gt;0,Table4[[#This Row],[Home]],Table4[[#This Row],[Visitor]])</f>
        <v>New York Islanders</v>
      </c>
      <c r="L1163" s="11">
        <f ca="1"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0.59250015324693983</v>
      </c>
      <c r="M1163" t="str">
        <f ca="1">IF(OR((NHL2025_26Results[[#This Row],[Winning Team]]="")),"-",IF(Table4[[#This Row],[Predicted Winner]]=NHL2025_26Results[[#This Row],[Winning Team]],"YES","NO"))</f>
        <v>-</v>
      </c>
      <c r="N1163" t="str">
        <f ca="1">IF(Table4[[#This Row],[Adjusted Correct]]="-", "",IF(Table4[[#This Row],[Adjusted Correct]]="YES",(Table4[[#This Row],[Strength of Win]]-1)^2,(Table4[[#This Row],[Strength of Win]]-0)^2))</f>
        <v/>
      </c>
      <c r="P1163" s="11"/>
    </row>
    <row r="1164" spans="4:16" x14ac:dyDescent="0.2">
      <c r="D1164" s="1">
        <v>46109</v>
      </c>
      <c r="E1164" s="2">
        <v>0.70833333333333337</v>
      </c>
      <c r="F1164" t="s">
        <v>14</v>
      </c>
      <c r="G1164">
        <f>VLOOKUP(Table4[[#This Row],[Home]],'NHL Model'!$A$6:$B$38,2,FALSE)</f>
        <v>0.26289091192875702</v>
      </c>
      <c r="H1164" t="s">
        <v>39</v>
      </c>
      <c r="I1164">
        <f>VLOOKUP(Table4[[#This Row],[Visitor]],'NHL Model'!$A$6:$B$38,2,FALSE)</f>
        <v>0.19809534061227302</v>
      </c>
      <c r="J1164">
        <f ca="1">($B$1+Table4[[#This Row],[Home Differential]])-Table4[[#This Row],[Away Differential]]</f>
        <v>0.22736788097880239</v>
      </c>
      <c r="K1164" t="str">
        <f ca="1">IF(Table4[[#This Row],[HomeIce Differential]]&gt;0,Table4[[#This Row],[Home]],Table4[[#This Row],[Visitor]])</f>
        <v>Pittsburgh Penguins</v>
      </c>
      <c r="L1164" s="11">
        <f ca="1"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0.51537475758717333</v>
      </c>
      <c r="M1164" t="str">
        <f ca="1">IF(OR((NHL2025_26Results[[#This Row],[Winning Team]]="")),"-",IF(Table4[[#This Row],[Predicted Winner]]=NHL2025_26Results[[#This Row],[Winning Team]],"YES","NO"))</f>
        <v>-</v>
      </c>
      <c r="N1164" t="str">
        <f ca="1">IF(Table4[[#This Row],[Adjusted Correct]]="-", "",IF(Table4[[#This Row],[Adjusted Correct]]="YES",(Table4[[#This Row],[Strength of Win]]-1)^2,(Table4[[#This Row],[Strength of Win]]-0)^2))</f>
        <v/>
      </c>
      <c r="P1164" s="11"/>
    </row>
    <row r="1165" spans="4:16" x14ac:dyDescent="0.2">
      <c r="D1165" s="1">
        <v>46109</v>
      </c>
      <c r="E1165" s="2">
        <v>0.79166666666666663</v>
      </c>
      <c r="F1165" t="s">
        <v>35</v>
      </c>
      <c r="G1165">
        <f>VLOOKUP(Table4[[#This Row],[Home]],'NHL Model'!$A$6:$B$38,2,FALSE)</f>
        <v>-1.6211574240381006</v>
      </c>
      <c r="H1165" t="s">
        <v>19</v>
      </c>
      <c r="I1165">
        <f>VLOOKUP(Table4[[#This Row],[Visitor]],'NHL Model'!$A$6:$B$38,2,FALSE)</f>
        <v>-0.635565543477981</v>
      </c>
      <c r="J1165">
        <f ca="1">($B$1+Table4[[#This Row],[Home Differential]])-Table4[[#This Row],[Away Differential]]</f>
        <v>-0.8230195708978012</v>
      </c>
      <c r="K1165" t="str">
        <f ca="1">IF(Table4[[#This Row],[HomeIce Differential]]&gt;0,Table4[[#This Row],[Home]],Table4[[#This Row],[Visitor]])</f>
        <v>Toronto Maple Leafs</v>
      </c>
      <c r="L1165" s="11">
        <f ca="1"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0.57403649226294817</v>
      </c>
      <c r="M1165" t="str">
        <f ca="1">IF(OR((NHL2025_26Results[[#This Row],[Winning Team]]="")),"-",IF(Table4[[#This Row],[Predicted Winner]]=NHL2025_26Results[[#This Row],[Winning Team]],"YES","NO"))</f>
        <v>-</v>
      </c>
      <c r="N1165" t="str">
        <f ca="1">IF(Table4[[#This Row],[Adjusted Correct]]="-", "",IF(Table4[[#This Row],[Adjusted Correct]]="YES",(Table4[[#This Row],[Strength of Win]]-1)^2,(Table4[[#This Row],[Strength of Win]]-0)^2))</f>
        <v/>
      </c>
      <c r="P1165" s="11"/>
    </row>
    <row r="1166" spans="4:16" x14ac:dyDescent="0.2">
      <c r="D1166" s="1">
        <v>46109</v>
      </c>
      <c r="E1166" s="2">
        <v>0.54166666666666663</v>
      </c>
      <c r="F1166" t="s">
        <v>37</v>
      </c>
      <c r="G1166">
        <f>VLOOKUP(Table4[[#This Row],[Home]],'NHL Model'!$A$6:$B$38,2,FALSE)</f>
        <v>-0.11309445867623392</v>
      </c>
      <c r="H1166" t="s">
        <v>36</v>
      </c>
      <c r="I1166">
        <f>VLOOKUP(Table4[[#This Row],[Visitor]],'NHL Model'!$A$6:$B$38,2,FALSE)</f>
        <v>-0.40651947573390851</v>
      </c>
      <c r="J1166">
        <f ca="1">($B$1+Table4[[#This Row],[Home Differential]])-Table4[[#This Row],[Away Differential]]</f>
        <v>0.45599732671999299</v>
      </c>
      <c r="K1166" t="str">
        <f ca="1">IF(Table4[[#This Row],[HomeIce Differential]]&gt;0,Table4[[#This Row],[Home]],Table4[[#This Row],[Visitor]])</f>
        <v>Tampa Bay Lightning</v>
      </c>
      <c r="L1166" s="11">
        <f ca="1"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0.60318238041861427</v>
      </c>
      <c r="M1166" t="str">
        <f ca="1">IF(OR((NHL2025_26Results[[#This Row],[Winning Team]]="")),"-",IF(Table4[[#This Row],[Predicted Winner]]=NHL2025_26Results[[#This Row],[Winning Team]],"YES","NO"))</f>
        <v>-</v>
      </c>
      <c r="N1166" t="str">
        <f ca="1">IF(Table4[[#This Row],[Adjusted Correct]]="-", "",IF(Table4[[#This Row],[Adjusted Correct]]="YES",(Table4[[#This Row],[Strength of Win]]-1)^2,(Table4[[#This Row],[Strength of Win]]-0)^2))</f>
        <v/>
      </c>
      <c r="P1166" s="11"/>
    </row>
    <row r="1167" spans="4:16" x14ac:dyDescent="0.2">
      <c r="D1167" s="1">
        <v>46109</v>
      </c>
      <c r="E1167" s="2">
        <v>0.9375</v>
      </c>
      <c r="F1167" t="s">
        <v>20</v>
      </c>
      <c r="G1167">
        <f>VLOOKUP(Table4[[#This Row],[Home]],'NHL Model'!$A$6:$B$38,2,FALSE)</f>
        <v>-6.3745791019188943E-4</v>
      </c>
      <c r="H1167" t="s">
        <v>22</v>
      </c>
      <c r="I1167">
        <f>VLOOKUP(Table4[[#This Row],[Visitor]],'NHL Model'!$A$6:$B$38,2,FALSE)</f>
        <v>-6.1308839486784707E-2</v>
      </c>
      <c r="J1167">
        <f ca="1">($B$1+Table4[[#This Row],[Home Differential]])-Table4[[#This Row],[Away Differential]]</f>
        <v>0.22324369123891119</v>
      </c>
      <c r="K1167" t="str">
        <f ca="1">IF(Table4[[#This Row],[HomeIce Differential]]&gt;0,Table4[[#This Row],[Home]],Table4[[#This Row],[Visitor]])</f>
        <v>Vegas Golden Knights</v>
      </c>
      <c r="L1167" s="11">
        <f ca="1"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0.57093234762442768</v>
      </c>
      <c r="M1167" t="str">
        <f ca="1">IF(OR((NHL2025_26Results[[#This Row],[Winning Team]]="")),"-",IF(Table4[[#This Row],[Predicted Winner]]=NHL2025_26Results[[#This Row],[Winning Team]],"YES","NO"))</f>
        <v>-</v>
      </c>
      <c r="N1167" t="str">
        <f ca="1">IF(Table4[[#This Row],[Adjusted Correct]]="-", "",IF(Table4[[#This Row],[Adjusted Correct]]="YES",(Table4[[#This Row],[Strength of Win]]-1)^2,(Table4[[#This Row],[Strength of Win]]-0)^2))</f>
        <v/>
      </c>
      <c r="P1167" s="11"/>
    </row>
    <row r="1168" spans="4:16" x14ac:dyDescent="0.2">
      <c r="D1168" s="1">
        <v>46110</v>
      </c>
      <c r="E1168" s="2">
        <v>0.70833333333333337</v>
      </c>
      <c r="F1168" t="s">
        <v>25</v>
      </c>
      <c r="G1168">
        <f>VLOOKUP(Table4[[#This Row],[Home]],'NHL Model'!$A$6:$B$38,2,FALSE)</f>
        <v>0.67193921242367816</v>
      </c>
      <c r="H1168" t="s">
        <v>18</v>
      </c>
      <c r="I1168">
        <f>VLOOKUP(Table4[[#This Row],[Visitor]],'NHL Model'!$A$6:$B$38,2,FALSE)</f>
        <v>-0.52437726201848234</v>
      </c>
      <c r="J1168">
        <f ca="1">($B$1+Table4[[#This Row],[Home Differential]])-Table4[[#This Row],[Away Differential]]</f>
        <v>1.358888784104479</v>
      </c>
      <c r="K1168" t="str">
        <f ca="1">IF(Table4[[#This Row],[HomeIce Differential]]&gt;0,Table4[[#This Row],[Home]],Table4[[#This Row],[Visitor]])</f>
        <v>Carolina Hurricanes</v>
      </c>
      <c r="L1168" s="11">
        <f ca="1"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0.70441484682951416</v>
      </c>
      <c r="M1168" t="str">
        <f ca="1">IF(OR((NHL2025_26Results[[#This Row],[Winning Team]]="")),"-",IF(Table4[[#This Row],[Predicted Winner]]=NHL2025_26Results[[#This Row],[Winning Team]],"YES","NO"))</f>
        <v>-</v>
      </c>
      <c r="N1168" t="str">
        <f ca="1">IF(Table4[[#This Row],[Adjusted Correct]]="-", "",IF(Table4[[#This Row],[Adjusted Correct]]="YES",(Table4[[#This Row],[Strength of Win]]-1)^2,(Table4[[#This Row],[Strength of Win]]-0)^2))</f>
        <v/>
      </c>
      <c r="P1168" s="11"/>
    </row>
    <row r="1169" spans="4:16" x14ac:dyDescent="0.2">
      <c r="D1169" s="1">
        <v>46110</v>
      </c>
      <c r="E1169" s="2">
        <v>0.70833333333333337</v>
      </c>
      <c r="F1169" t="s">
        <v>28</v>
      </c>
      <c r="G1169">
        <f>VLOOKUP(Table4[[#This Row],[Home]],'NHL Model'!$A$6:$B$38,2,FALSE)</f>
        <v>-0.40822279081308277</v>
      </c>
      <c r="H1169" t="s">
        <v>21</v>
      </c>
      <c r="I1169">
        <f>VLOOKUP(Table4[[#This Row],[Visitor]],'NHL Model'!$A$6:$B$38,2,FALSE)</f>
        <v>4.029141914856392E-2</v>
      </c>
      <c r="J1169">
        <f ca="1">($B$1+Table4[[#This Row],[Home Differential]])-Table4[[#This Row],[Away Differential]]</f>
        <v>-0.28594190029932831</v>
      </c>
      <c r="K1169" t="str">
        <f ca="1">IF(Table4[[#This Row],[HomeIce Differential]]&gt;0,Table4[[#This Row],[Home]],Table4[[#This Row],[Visitor]])</f>
        <v>Boston Bruins</v>
      </c>
      <c r="L1169" s="11">
        <f ca="1"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0.49961972771263075</v>
      </c>
      <c r="M1169" t="str">
        <f ca="1">IF(OR((NHL2025_26Results[[#This Row],[Winning Team]]="")),"-",IF(Table4[[#This Row],[Predicted Winner]]=NHL2025_26Results[[#This Row],[Winning Team]],"YES","NO"))</f>
        <v>-</v>
      </c>
      <c r="N1169" t="str">
        <f ca="1">IF(Table4[[#This Row],[Adjusted Correct]]="-", "",IF(Table4[[#This Row],[Adjusted Correct]]="YES",(Table4[[#This Row],[Strength of Win]]-1)^2,(Table4[[#This Row],[Strength of Win]]-0)^2))</f>
        <v/>
      </c>
      <c r="P1169" s="11"/>
    </row>
    <row r="1170" spans="4:16" x14ac:dyDescent="0.2">
      <c r="D1170" s="1">
        <v>46110</v>
      </c>
      <c r="E1170" s="2">
        <v>0.79166666666666663</v>
      </c>
      <c r="F1170" t="s">
        <v>24</v>
      </c>
      <c r="G1170">
        <f>VLOOKUP(Table4[[#This Row],[Home]],'NHL Model'!$A$6:$B$38,2,FALSE)</f>
        <v>0.559441163373953</v>
      </c>
      <c r="H1170" t="s">
        <v>10</v>
      </c>
      <c r="I1170">
        <f>VLOOKUP(Table4[[#This Row],[Visitor]],'NHL Model'!$A$6:$B$38,2,FALSE)</f>
        <v>0.30570968833820172</v>
      </c>
      <c r="J1170">
        <f ca="1">($B$1+Table4[[#This Row],[Home Differential]])-Table4[[#This Row],[Away Differential]]</f>
        <v>0.41630378469806967</v>
      </c>
      <c r="K1170" t="str">
        <f ca="1">IF(Table4[[#This Row],[HomeIce Differential]]&gt;0,Table4[[#This Row],[Home]],Table4[[#This Row],[Visitor]])</f>
        <v>New Jersey Devils</v>
      </c>
      <c r="L1170" s="11">
        <f ca="1"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0.69404613262672044</v>
      </c>
      <c r="M1170" t="str">
        <f ca="1">IF(OR((NHL2025_26Results[[#This Row],[Winning Team]]="")),"-",IF(Table4[[#This Row],[Predicted Winner]]=NHL2025_26Results[[#This Row],[Winning Team]],"YES","NO"))</f>
        <v>-</v>
      </c>
      <c r="N1170" t="str">
        <f ca="1">IF(Table4[[#This Row],[Adjusted Correct]]="-", "",IF(Table4[[#This Row],[Adjusted Correct]]="YES",(Table4[[#This Row],[Strength of Win]]-1)^2,(Table4[[#This Row],[Strength of Win]]-0)^2))</f>
        <v/>
      </c>
      <c r="P1170" s="11"/>
    </row>
    <row r="1171" spans="4:16" x14ac:dyDescent="0.2">
      <c r="D1171" s="1">
        <v>46110</v>
      </c>
      <c r="E1171" s="2">
        <v>0.54166666666666663</v>
      </c>
      <c r="F1171" t="s">
        <v>15</v>
      </c>
      <c r="G1171">
        <f>VLOOKUP(Table4[[#This Row],[Home]],'NHL Model'!$A$6:$B$38,2,FALSE)</f>
        <v>-0.30719665303039001</v>
      </c>
      <c r="H1171" t="s">
        <v>11</v>
      </c>
      <c r="I1171">
        <f>VLOOKUP(Table4[[#This Row],[Visitor]],'NHL Model'!$A$6:$B$38,2,FALSE)</f>
        <v>-0.28105923893144158</v>
      </c>
      <c r="J1171">
        <f ca="1">($B$1+Table4[[#This Row],[Home Differential]])-Table4[[#This Row],[Away Differential]]</f>
        <v>0.13643489556336996</v>
      </c>
      <c r="K1171" t="str">
        <f ca="1">IF(Table4[[#This Row],[HomeIce Differential]]&gt;0,Table4[[#This Row],[Home]],Table4[[#This Row],[Visitor]])</f>
        <v>New York Rangers</v>
      </c>
      <c r="L1171" s="11">
        <f ca="1"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0.5589042368644237</v>
      </c>
      <c r="M1171" t="str">
        <f ca="1">IF(OR((NHL2025_26Results[[#This Row],[Winning Team]]="")),"-",IF(Table4[[#This Row],[Predicted Winner]]=NHL2025_26Results[[#This Row],[Winning Team]],"YES","NO"))</f>
        <v>-</v>
      </c>
      <c r="N1171" t="str">
        <f ca="1">IF(Table4[[#This Row],[Adjusted Correct]]="-", "",IF(Table4[[#This Row],[Adjusted Correct]]="YES",(Table4[[#This Row],[Strength of Win]]-1)^2,(Table4[[#This Row],[Strength of Win]]-0)^2))</f>
        <v/>
      </c>
      <c r="P1171" s="11"/>
    </row>
    <row r="1172" spans="4:16" x14ac:dyDescent="0.2">
      <c r="D1172" s="1">
        <v>46110</v>
      </c>
      <c r="E1172" s="2">
        <v>0.79166666666666663</v>
      </c>
      <c r="F1172" t="s">
        <v>27</v>
      </c>
      <c r="G1172">
        <f>VLOOKUP(Table4[[#This Row],[Home]],'NHL Model'!$A$6:$B$38,2,FALSE)</f>
        <v>-0.51358590497437617</v>
      </c>
      <c r="H1172" t="s">
        <v>39</v>
      </c>
      <c r="I1172">
        <f>VLOOKUP(Table4[[#This Row],[Visitor]],'NHL Model'!$A$6:$B$38,2,FALSE)</f>
        <v>0.19809534061227302</v>
      </c>
      <c r="J1172">
        <f ca="1">($B$1+Table4[[#This Row],[Home Differential]])-Table4[[#This Row],[Away Differential]]</f>
        <v>-0.54910893592433085</v>
      </c>
      <c r="K1172" t="str">
        <f ca="1">IF(Table4[[#This Row],[HomeIce Differential]]&gt;0,Table4[[#This Row],[Home]],Table4[[#This Row],[Visitor]])</f>
        <v>Dallas Stars</v>
      </c>
      <c r="L1172" s="11">
        <f ca="1"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0.6260838006011723</v>
      </c>
      <c r="M1172" t="str">
        <f ca="1">IF(OR((NHL2025_26Results[[#This Row],[Winning Team]]="")),"-",IF(Table4[[#This Row],[Predicted Winner]]=NHL2025_26Results[[#This Row],[Winning Team]],"YES","NO"))</f>
        <v>-</v>
      </c>
      <c r="N1172" t="str">
        <f ca="1">IF(Table4[[#This Row],[Adjusted Correct]]="-", "",IF(Table4[[#This Row],[Adjusted Correct]]="YES",(Table4[[#This Row],[Strength of Win]]-1)^2,(Table4[[#This Row],[Strength of Win]]-0)^2))</f>
        <v/>
      </c>
      <c r="P1172" s="11"/>
    </row>
    <row r="1173" spans="4:16" x14ac:dyDescent="0.2">
      <c r="D1173" s="1">
        <v>46110</v>
      </c>
      <c r="E1173" s="2">
        <v>0.70833333333333337</v>
      </c>
      <c r="F1173" t="s">
        <v>37</v>
      </c>
      <c r="G1173">
        <f>VLOOKUP(Table4[[#This Row],[Home]],'NHL Model'!$A$6:$B$38,2,FALSE)</f>
        <v>-0.11309445867623392</v>
      </c>
      <c r="H1173" t="s">
        <v>29</v>
      </c>
      <c r="I1173">
        <f>VLOOKUP(Table4[[#This Row],[Visitor]],'NHL Model'!$A$6:$B$38,2,FALSE)</f>
        <v>-1.3516250707060606</v>
      </c>
      <c r="J1173">
        <f ca="1">($B$1+Table4[[#This Row],[Home Differential]])-Table4[[#This Row],[Away Differential]]</f>
        <v>1.4011029216921451</v>
      </c>
      <c r="K1173" t="str">
        <f ca="1">IF(Table4[[#This Row],[HomeIce Differential]]&gt;0,Table4[[#This Row],[Home]],Table4[[#This Row],[Visitor]])</f>
        <v>Tampa Bay Lightning</v>
      </c>
      <c r="L1173" s="11">
        <f ca="1"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0.73413494908127852</v>
      </c>
      <c r="M1173" t="str">
        <f ca="1">IF(OR((NHL2025_26Results[[#This Row],[Winning Team]]="")),"-",IF(Table4[[#This Row],[Predicted Winner]]=NHL2025_26Results[[#This Row],[Winning Team]],"YES","NO"))</f>
        <v>-</v>
      </c>
      <c r="N1173" t="str">
        <f ca="1">IF(Table4[[#This Row],[Adjusted Correct]]="-", "",IF(Table4[[#This Row],[Adjusted Correct]]="YES",(Table4[[#This Row],[Strength of Win]]-1)^2,(Table4[[#This Row],[Strength of Win]]-0)^2))</f>
        <v/>
      </c>
      <c r="P1173" s="11"/>
    </row>
    <row r="1174" spans="4:16" x14ac:dyDescent="0.2">
      <c r="D1174" s="1">
        <v>46111</v>
      </c>
      <c r="E1174" s="2">
        <v>0.91666666666666663</v>
      </c>
      <c r="F1174" t="s">
        <v>31</v>
      </c>
      <c r="G1174">
        <f>VLOOKUP(Table4[[#This Row],[Home]],'NHL Model'!$A$6:$B$38,2,FALSE)</f>
        <v>0.51775546328552802</v>
      </c>
      <c r="H1174" t="s">
        <v>19</v>
      </c>
      <c r="I1174">
        <f>VLOOKUP(Table4[[#This Row],[Visitor]],'NHL Model'!$A$6:$B$38,2,FALSE)</f>
        <v>-0.635565543477981</v>
      </c>
      <c r="J1174">
        <f ca="1">($B$1+Table4[[#This Row],[Home Differential]])-Table4[[#This Row],[Away Differential]]</f>
        <v>1.3158933164258273</v>
      </c>
      <c r="K1174" t="str">
        <f ca="1">IF(Table4[[#This Row],[HomeIce Differential]]&gt;0,Table4[[#This Row],[Home]],Table4[[#This Row],[Visitor]])</f>
        <v>Anaheim Ducks</v>
      </c>
      <c r="L1174" s="11">
        <f ca="1"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0.82665831691521741</v>
      </c>
      <c r="M1174" t="str">
        <f ca="1">IF(OR((NHL2025_26Results[[#This Row],[Winning Team]]="")),"-",IF(Table4[[#This Row],[Predicted Winner]]=NHL2025_26Results[[#This Row],[Winning Team]],"YES","NO"))</f>
        <v>-</v>
      </c>
      <c r="N1174" t="str">
        <f ca="1">IF(Table4[[#This Row],[Adjusted Correct]]="-", "",IF(Table4[[#This Row],[Adjusted Correct]]="YES",(Table4[[#This Row],[Strength of Win]]-1)^2,(Table4[[#This Row],[Strength of Win]]-0)^2))</f>
        <v/>
      </c>
      <c r="P1174" s="11"/>
    </row>
    <row r="1175" spans="4:16" x14ac:dyDescent="0.2">
      <c r="D1175" s="1">
        <v>46111</v>
      </c>
      <c r="E1175" s="2">
        <v>0.85416666666666663</v>
      </c>
      <c r="F1175" t="s">
        <v>12</v>
      </c>
      <c r="G1175">
        <f>VLOOKUP(Table4[[#This Row],[Home]],'NHL Model'!$A$6:$B$38,2,FALSE)</f>
        <v>1.5475013591489768</v>
      </c>
      <c r="H1175" t="s">
        <v>16</v>
      </c>
      <c r="I1175">
        <f>VLOOKUP(Table4[[#This Row],[Visitor]],'NHL Model'!$A$6:$B$38,2,FALSE)</f>
        <v>-1.3903684122795328</v>
      </c>
      <c r="J1175">
        <f ca="1">($B$1+Table4[[#This Row],[Home Differential]])-Table4[[#This Row],[Away Differential]]</f>
        <v>3.100442081090828</v>
      </c>
      <c r="K1175" t="str">
        <f ca="1">IF(Table4[[#This Row],[HomeIce Differential]]&gt;0,Table4[[#This Row],[Home]],Table4[[#This Row],[Visitor]])</f>
        <v>Colorado Avalanche</v>
      </c>
      <c r="L1175" s="11">
        <f ca="1"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1</v>
      </c>
      <c r="M1175" t="str">
        <f ca="1">IF(OR((NHL2025_26Results[[#This Row],[Winning Team]]="")),"-",IF(Table4[[#This Row],[Predicted Winner]]=NHL2025_26Results[[#This Row],[Winning Team]],"YES","NO"))</f>
        <v>-</v>
      </c>
      <c r="N1175" t="str">
        <f ca="1">IF(Table4[[#This Row],[Adjusted Correct]]="-", "",IF(Table4[[#This Row],[Adjusted Correct]]="YES",(Table4[[#This Row],[Strength of Win]]-1)^2,(Table4[[#This Row],[Strength of Win]]-0)^2))</f>
        <v/>
      </c>
      <c r="P1175" s="11"/>
    </row>
    <row r="1176" spans="4:16" x14ac:dyDescent="0.2">
      <c r="D1176" s="1">
        <v>46111</v>
      </c>
      <c r="E1176" s="2">
        <v>0.79166666666666663</v>
      </c>
      <c r="F1176" t="s">
        <v>30</v>
      </c>
      <c r="G1176">
        <f>VLOOKUP(Table4[[#This Row],[Home]],'NHL Model'!$A$6:$B$38,2,FALSE)</f>
        <v>-6.4729560818359025E-2</v>
      </c>
      <c r="H1176" t="s">
        <v>14</v>
      </c>
      <c r="I1176">
        <f>VLOOKUP(Table4[[#This Row],[Visitor]],'NHL Model'!$A$6:$B$38,2,FALSE)</f>
        <v>0.26289091192875702</v>
      </c>
      <c r="J1176">
        <f ca="1">($B$1+Table4[[#This Row],[Home Differential]])-Table4[[#This Row],[Away Differential]]</f>
        <v>-0.16504816308479764</v>
      </c>
      <c r="K1176" t="str">
        <f ca="1">IF(Table4[[#This Row],[HomeIce Differential]]&gt;0,Table4[[#This Row],[Home]],Table4[[#This Row],[Visitor]])</f>
        <v>Pittsburgh Penguins</v>
      </c>
      <c r="L1176" s="11">
        <f ca="1"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0.48286885298742249</v>
      </c>
      <c r="M1176" t="str">
        <f ca="1">IF(OR((NHL2025_26Results[[#This Row],[Winning Team]]="")),"-",IF(Table4[[#This Row],[Predicted Winner]]=NHL2025_26Results[[#This Row],[Winning Team]],"YES","NO"))</f>
        <v>-</v>
      </c>
      <c r="N1176" t="str">
        <f ca="1">IF(Table4[[#This Row],[Adjusted Correct]]="-", "",IF(Table4[[#This Row],[Adjusted Correct]]="YES",(Table4[[#This Row],[Strength of Win]]-1)^2,(Table4[[#This Row],[Strength of Win]]-0)^2))</f>
        <v/>
      </c>
      <c r="P1176" s="11"/>
    </row>
    <row r="1177" spans="4:16" x14ac:dyDescent="0.2">
      <c r="D1177" s="1">
        <v>46111</v>
      </c>
      <c r="E1177" s="2">
        <v>0.91666666666666663</v>
      </c>
      <c r="F1177" t="s">
        <v>33</v>
      </c>
      <c r="G1177">
        <f>VLOOKUP(Table4[[#This Row],[Home]],'NHL Model'!$A$6:$B$38,2,FALSE)</f>
        <v>-0.39418177254008485</v>
      </c>
      <c r="H1177" t="s">
        <v>35</v>
      </c>
      <c r="I1177">
        <f>VLOOKUP(Table4[[#This Row],[Visitor]],'NHL Model'!$A$6:$B$38,2,FALSE)</f>
        <v>-1.6211574240381006</v>
      </c>
      <c r="J1177">
        <f ca="1">($B$1+Table4[[#This Row],[Home Differential]])-Table4[[#This Row],[Away Differential]]</f>
        <v>1.3895479611603341</v>
      </c>
      <c r="K1177" t="str">
        <f ca="1">IF(Table4[[#This Row],[HomeIce Differential]]&gt;0,Table4[[#This Row],[Home]],Table4[[#This Row],[Visitor]])</f>
        <v>San Jose Sharks</v>
      </c>
      <c r="L1177" s="11">
        <f ca="1"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0.73253390918638628</v>
      </c>
      <c r="M1177" t="str">
        <f ca="1">IF(OR((NHL2025_26Results[[#This Row],[Winning Team]]="")),"-",IF(Table4[[#This Row],[Predicted Winner]]=NHL2025_26Results[[#This Row],[Winning Team]],"YES","NO"))</f>
        <v>-</v>
      </c>
      <c r="N1177" t="str">
        <f ca="1">IF(Table4[[#This Row],[Adjusted Correct]]="-", "",IF(Table4[[#This Row],[Adjusted Correct]]="YES",(Table4[[#This Row],[Strength of Win]]-1)^2,(Table4[[#This Row],[Strength of Win]]-0)^2))</f>
        <v/>
      </c>
      <c r="P1177" s="11"/>
    </row>
    <row r="1178" spans="4:16" x14ac:dyDescent="0.2">
      <c r="D1178" s="1">
        <v>46111</v>
      </c>
      <c r="E1178" s="2">
        <v>0.91666666666666663</v>
      </c>
      <c r="F1178" t="s">
        <v>20</v>
      </c>
      <c r="G1178">
        <f>VLOOKUP(Table4[[#This Row],[Home]],'NHL Model'!$A$6:$B$38,2,FALSE)</f>
        <v>-6.3745791019188943E-4</v>
      </c>
      <c r="H1178" t="s">
        <v>38</v>
      </c>
      <c r="I1178">
        <f>VLOOKUP(Table4[[#This Row],[Visitor]],'NHL Model'!$A$6:$B$38,2,FALSE)</f>
        <v>-0.6902088310934803</v>
      </c>
      <c r="J1178">
        <f ca="1">($B$1+Table4[[#This Row],[Home Differential]])-Table4[[#This Row],[Away Differential]]</f>
        <v>0.85214368284560682</v>
      </c>
      <c r="K1178" t="str">
        <f ca="1">IF(Table4[[#This Row],[HomeIce Differential]]&gt;0,Table4[[#This Row],[Home]],Table4[[#This Row],[Visitor]])</f>
        <v>Vegas Golden Knights</v>
      </c>
      <c r="L1178" s="11">
        <f ca="1"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0.61555932749315301</v>
      </c>
      <c r="M1178" t="str">
        <f ca="1">IF(OR((NHL2025_26Results[[#This Row],[Winning Team]]="")),"-",IF(Table4[[#This Row],[Predicted Winner]]=NHL2025_26Results[[#This Row],[Winning Team]],"YES","NO"))</f>
        <v>-</v>
      </c>
      <c r="N1178" t="str">
        <f ca="1">IF(Table4[[#This Row],[Adjusted Correct]]="-", "",IF(Table4[[#This Row],[Adjusted Correct]]="YES",(Table4[[#This Row],[Strength of Win]]-1)^2,(Table4[[#This Row],[Strength of Win]]-0)^2))</f>
        <v/>
      </c>
      <c r="P1178" s="11"/>
    </row>
    <row r="1179" spans="4:16" x14ac:dyDescent="0.2">
      <c r="D1179" s="1">
        <v>46112</v>
      </c>
      <c r="E1179" s="2">
        <v>0.79166666666666663</v>
      </c>
      <c r="F1179" t="s">
        <v>21</v>
      </c>
      <c r="G1179">
        <f>VLOOKUP(Table4[[#This Row],[Home]],'NHL Model'!$A$6:$B$38,2,FALSE)</f>
        <v>4.029141914856392E-2</v>
      </c>
      <c r="H1179" t="s">
        <v>39</v>
      </c>
      <c r="I1179">
        <f>VLOOKUP(Table4[[#This Row],[Visitor]],'NHL Model'!$A$6:$B$38,2,FALSE)</f>
        <v>0.19809534061227302</v>
      </c>
      <c r="J1179">
        <f ca="1">($B$1+Table4[[#This Row],[Home Differential]])-Table4[[#This Row],[Away Differential]]</f>
        <v>4.768388198609308E-3</v>
      </c>
      <c r="K1179" t="str">
        <f ca="1">IF(Table4[[#This Row],[HomeIce Differential]]&gt;0,Table4[[#This Row],[Home]],Table4[[#This Row],[Visitor]])</f>
        <v>Boston Bruins</v>
      </c>
      <c r="L1179" s="11">
        <f ca="1"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0.52239983193344108</v>
      </c>
      <c r="M1179" t="str">
        <f ca="1">IF(OR((NHL2025_26Results[[#This Row],[Winning Team]]="")),"-",IF(Table4[[#This Row],[Predicted Winner]]=NHL2025_26Results[[#This Row],[Winning Team]],"YES","NO"))</f>
        <v>-</v>
      </c>
      <c r="N1179" t="str">
        <f ca="1">IF(Table4[[#This Row],[Adjusted Correct]]="-", "",IF(Table4[[#This Row],[Adjusted Correct]]="YES",(Table4[[#This Row],[Strength of Win]]-1)^2,(Table4[[#This Row],[Strength of Win]]-0)^2))</f>
        <v/>
      </c>
      <c r="P1179" s="11"/>
    </row>
    <row r="1180" spans="4:16" x14ac:dyDescent="0.2">
      <c r="D1180" s="1">
        <v>46112</v>
      </c>
      <c r="E1180" s="2">
        <v>0.79166666666666663</v>
      </c>
      <c r="F1180" t="s">
        <v>23</v>
      </c>
      <c r="G1180">
        <f>VLOOKUP(Table4[[#This Row],[Home]],'NHL Model'!$A$6:$B$38,2,FALSE)</f>
        <v>-0.8683412362501769</v>
      </c>
      <c r="H1180" t="s">
        <v>30</v>
      </c>
      <c r="I1180">
        <f>VLOOKUP(Table4[[#This Row],[Visitor]],'NHL Model'!$A$6:$B$38,2,FALSE)</f>
        <v>-6.4729560818359025E-2</v>
      </c>
      <c r="J1180">
        <f ca="1">($B$1+Table4[[#This Row],[Home Differential]])-Table4[[#This Row],[Away Differential]]</f>
        <v>-0.64103936576949949</v>
      </c>
      <c r="K1180" t="str">
        <f ca="1">IF(Table4[[#This Row],[HomeIce Differential]]&gt;0,Table4[[#This Row],[Home]],Table4[[#This Row],[Visitor]])</f>
        <v>New York Islanders</v>
      </c>
      <c r="L1180" s="11">
        <f ca="1"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0.59133412096374416</v>
      </c>
      <c r="M1180" t="str">
        <f ca="1">IF(OR((NHL2025_26Results[[#This Row],[Winning Team]]="")),"-",IF(Table4[[#This Row],[Predicted Winner]]=NHL2025_26Results[[#This Row],[Winning Team]],"YES","NO"))</f>
        <v>-</v>
      </c>
      <c r="N1180" t="str">
        <f ca="1">IF(Table4[[#This Row],[Adjusted Correct]]="-", "",IF(Table4[[#This Row],[Adjusted Correct]]="YES",(Table4[[#This Row],[Strength of Win]]-1)^2,(Table4[[#This Row],[Strength of Win]]-0)^2))</f>
        <v/>
      </c>
      <c r="P1180" s="11"/>
    </row>
    <row r="1181" spans="4:16" x14ac:dyDescent="0.2">
      <c r="D1181" s="1">
        <v>46112</v>
      </c>
      <c r="E1181" s="2">
        <v>0.8125</v>
      </c>
      <c r="F1181" t="s">
        <v>28</v>
      </c>
      <c r="G1181">
        <f>VLOOKUP(Table4[[#This Row],[Home]],'NHL Model'!$A$6:$B$38,2,FALSE)</f>
        <v>-0.40822279081308277</v>
      </c>
      <c r="H1181" t="s">
        <v>25</v>
      </c>
      <c r="I1181">
        <f>VLOOKUP(Table4[[#This Row],[Visitor]],'NHL Model'!$A$6:$B$38,2,FALSE)</f>
        <v>0.67193921242367816</v>
      </c>
      <c r="J1181">
        <f ca="1">($B$1+Table4[[#This Row],[Home Differential]])-Table4[[#This Row],[Away Differential]]</f>
        <v>-0.91758969357444253</v>
      </c>
      <c r="K1181" t="str">
        <f ca="1">IF(Table4[[#This Row],[HomeIce Differential]]&gt;0,Table4[[#This Row],[Home]],Table4[[#This Row],[Visitor]])</f>
        <v>Carolina Hurricanes</v>
      </c>
      <c r="L1181" s="11">
        <f ca="1"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0.67962618996908863</v>
      </c>
      <c r="M1181" t="str">
        <f ca="1">IF(OR((NHL2025_26Results[[#This Row],[Winning Team]]="")),"-",IF(Table4[[#This Row],[Predicted Winner]]=NHL2025_26Results[[#This Row],[Winning Team]],"YES","NO"))</f>
        <v>-</v>
      </c>
      <c r="N1181" t="str">
        <f ca="1">IF(Table4[[#This Row],[Adjusted Correct]]="-", "",IF(Table4[[#This Row],[Adjusted Correct]]="YES",(Table4[[#This Row],[Strength of Win]]-1)^2,(Table4[[#This Row],[Strength of Win]]-0)^2))</f>
        <v/>
      </c>
      <c r="P1181" s="11"/>
    </row>
    <row r="1182" spans="4:16" x14ac:dyDescent="0.2">
      <c r="D1182" s="1">
        <v>46112</v>
      </c>
      <c r="E1182" s="2">
        <v>0.85416666666666663</v>
      </c>
      <c r="F1182" t="s">
        <v>10</v>
      </c>
      <c r="G1182">
        <f>VLOOKUP(Table4[[#This Row],[Home]],'NHL Model'!$A$6:$B$38,2,FALSE)</f>
        <v>0.30570968833820172</v>
      </c>
      <c r="H1182" t="s">
        <v>40</v>
      </c>
      <c r="I1182">
        <f>VLOOKUP(Table4[[#This Row],[Visitor]],'NHL Model'!$A$6:$B$38,2,FALSE)</f>
        <v>0.105105258369765</v>
      </c>
      <c r="J1182">
        <f ca="1">($B$1+Table4[[#This Row],[Home Differential]])-Table4[[#This Row],[Away Differential]]</f>
        <v>0.36317673963075514</v>
      </c>
      <c r="K1182" t="str">
        <f ca="1">IF(Table4[[#This Row],[HomeIce Differential]]&gt;0,Table4[[#This Row],[Home]],Table4[[#This Row],[Visitor]])</f>
        <v>Chicago Blackhawks</v>
      </c>
      <c r="L1182" s="11">
        <f ca="1"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0.5240054943978607</v>
      </c>
      <c r="M1182" t="str">
        <f ca="1">IF(OR((NHL2025_26Results[[#This Row],[Winning Team]]="")),"-",IF(Table4[[#This Row],[Predicted Winner]]=NHL2025_26Results[[#This Row],[Winning Team]],"YES","NO"))</f>
        <v>-</v>
      </c>
      <c r="N1182" t="str">
        <f ca="1">IF(Table4[[#This Row],[Adjusted Correct]]="-", "",IF(Table4[[#This Row],[Adjusted Correct]]="YES",(Table4[[#This Row],[Strength of Win]]-1)^2,(Table4[[#This Row],[Strength of Win]]-0)^2))</f>
        <v/>
      </c>
      <c r="P1182" s="11"/>
    </row>
    <row r="1183" spans="4:16" x14ac:dyDescent="0.2">
      <c r="D1183" s="1">
        <v>46112</v>
      </c>
      <c r="E1183" s="2">
        <v>0.875</v>
      </c>
      <c r="F1183" t="s">
        <v>17</v>
      </c>
      <c r="G1183">
        <f>VLOOKUP(Table4[[#This Row],[Home]],'NHL Model'!$A$6:$B$38,2,FALSE)</f>
        <v>-0.61980804137564283</v>
      </c>
      <c r="H1183" t="s">
        <v>32</v>
      </c>
      <c r="I1183">
        <f>VLOOKUP(Table4[[#This Row],[Visitor]],'NHL Model'!$A$6:$B$38,2,FALSE)</f>
        <v>-0.361361309178443</v>
      </c>
      <c r="J1183">
        <f ca="1">($B$1+Table4[[#This Row],[Home Differential]])-Table4[[#This Row],[Away Differential]]</f>
        <v>-9.5874422534881432E-2</v>
      </c>
      <c r="K1183" t="str">
        <f ca="1">IF(Table4[[#This Row],[HomeIce Differential]]&gt;0,Table4[[#This Row],[Home]],Table4[[#This Row],[Visitor]])</f>
        <v>Seattle Kraken</v>
      </c>
      <c r="L1183" s="11">
        <f ca="1"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0.4372473655473193</v>
      </c>
      <c r="M1183" t="str">
        <f ca="1">IF(OR((NHL2025_26Results[[#This Row],[Winning Team]]="")),"-",IF(Table4[[#This Row],[Predicted Winner]]=NHL2025_26Results[[#This Row],[Winning Team]],"YES","NO"))</f>
        <v>-</v>
      </c>
      <c r="N1183" t="str">
        <f ca="1">IF(Table4[[#This Row],[Adjusted Correct]]="-", "",IF(Table4[[#This Row],[Adjusted Correct]]="YES",(Table4[[#This Row],[Strength of Win]]-1)^2,(Table4[[#This Row],[Strength of Win]]-0)^2))</f>
        <v/>
      </c>
      <c r="P1183" s="11"/>
    </row>
    <row r="1184" spans="4:16" x14ac:dyDescent="0.2">
      <c r="D1184" s="1">
        <v>46112</v>
      </c>
      <c r="E1184" s="2">
        <v>0.79166666666666663</v>
      </c>
      <c r="F1184" t="s">
        <v>11</v>
      </c>
      <c r="G1184">
        <f>VLOOKUP(Table4[[#This Row],[Home]],'NHL Model'!$A$6:$B$38,2,FALSE)</f>
        <v>-0.28105923893144158</v>
      </c>
      <c r="H1184" t="s">
        <v>36</v>
      </c>
      <c r="I1184">
        <f>VLOOKUP(Table4[[#This Row],[Visitor]],'NHL Model'!$A$6:$B$38,2,FALSE)</f>
        <v>-0.40651947573390851</v>
      </c>
      <c r="J1184">
        <f ca="1">($B$1+Table4[[#This Row],[Home Differential]])-Table4[[#This Row],[Away Differential]]</f>
        <v>0.28803254646478532</v>
      </c>
      <c r="K1184" t="str">
        <f ca="1">IF(Table4[[#This Row],[HomeIce Differential]]&gt;0,Table4[[#This Row],[Home]],Table4[[#This Row],[Visitor]])</f>
        <v>Florida Panthers</v>
      </c>
      <c r="L1184" s="11">
        <f ca="1"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0.63162538118376066</v>
      </c>
      <c r="M1184" t="str">
        <f ca="1">IF(OR((NHL2025_26Results[[#This Row],[Winning Team]]="")),"-",IF(Table4[[#This Row],[Predicted Winner]]=NHL2025_26Results[[#This Row],[Winning Team]],"YES","NO"))</f>
        <v>-</v>
      </c>
      <c r="N1184" t="str">
        <f ca="1">IF(Table4[[#This Row],[Adjusted Correct]]="-", "",IF(Table4[[#This Row],[Adjusted Correct]]="YES",(Table4[[#This Row],[Strength of Win]]-1)^2,(Table4[[#This Row],[Strength of Win]]-0)^2))</f>
        <v/>
      </c>
      <c r="P1184" s="11"/>
    </row>
    <row r="1185" spans="4:16" x14ac:dyDescent="0.2">
      <c r="D1185" s="1">
        <v>46112</v>
      </c>
      <c r="E1185" s="2">
        <v>0.79166666666666663</v>
      </c>
      <c r="F1185" t="s">
        <v>15</v>
      </c>
      <c r="G1185">
        <f>VLOOKUP(Table4[[#This Row],[Home]],'NHL Model'!$A$6:$B$38,2,FALSE)</f>
        <v>-0.30719665303039001</v>
      </c>
      <c r="H1185" t="s">
        <v>24</v>
      </c>
      <c r="I1185">
        <f>VLOOKUP(Table4[[#This Row],[Visitor]],'NHL Model'!$A$6:$B$38,2,FALSE)</f>
        <v>0.559441163373953</v>
      </c>
      <c r="J1185">
        <f ca="1">($B$1+Table4[[#This Row],[Home Differential]])-Table4[[#This Row],[Away Differential]]</f>
        <v>-0.70406550674202462</v>
      </c>
      <c r="K1185" t="str">
        <f ca="1">IF(Table4[[#This Row],[HomeIce Differential]]&gt;0,Table4[[#This Row],[Home]],Table4[[#This Row],[Visitor]])</f>
        <v>New Jersey Devils</v>
      </c>
      <c r="L1185" s="11">
        <f ca="1"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0.62387016551921504</v>
      </c>
      <c r="M1185" t="str">
        <f ca="1">IF(OR((NHL2025_26Results[[#This Row],[Winning Team]]="")),"-",IF(Table4[[#This Row],[Predicted Winner]]=NHL2025_26Results[[#This Row],[Winning Team]],"YES","NO"))</f>
        <v>-</v>
      </c>
      <c r="N1185" t="str">
        <f ca="1">IF(Table4[[#This Row],[Adjusted Correct]]="-", "",IF(Table4[[#This Row],[Adjusted Correct]]="YES",(Table4[[#This Row],[Strength of Win]]-1)^2,(Table4[[#This Row],[Strength of Win]]-0)^2))</f>
        <v/>
      </c>
      <c r="P1185" s="11"/>
    </row>
    <row r="1186" spans="4:16" x14ac:dyDescent="0.2">
      <c r="D1186" s="1">
        <v>46112</v>
      </c>
      <c r="E1186" s="2">
        <v>0.79166666666666663</v>
      </c>
      <c r="F1186" t="s">
        <v>14</v>
      </c>
      <c r="G1186">
        <f>VLOOKUP(Table4[[#This Row],[Home]],'NHL Model'!$A$6:$B$38,2,FALSE)</f>
        <v>0.26289091192875702</v>
      </c>
      <c r="H1186" t="s">
        <v>26</v>
      </c>
      <c r="I1186">
        <f>VLOOKUP(Table4[[#This Row],[Visitor]],'NHL Model'!$A$6:$B$38,2,FALSE)</f>
        <v>-0.513643833119658</v>
      </c>
      <c r="J1186">
        <f ca="1">($B$1+Table4[[#This Row],[Home Differential]])-Table4[[#This Row],[Away Differential]]</f>
        <v>0.93910705471073341</v>
      </c>
      <c r="K1186" t="str">
        <f ca="1">IF(Table4[[#This Row],[HomeIce Differential]]&gt;0,Table4[[#This Row],[Home]],Table4[[#This Row],[Visitor]])</f>
        <v>Pittsburgh Penguins</v>
      </c>
      <c r="L1186" s="11">
        <f ca="1"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0.6595331836434386</v>
      </c>
      <c r="M1186" t="str">
        <f ca="1">IF(OR((NHL2025_26Results[[#This Row],[Winning Team]]="")),"-",IF(Table4[[#This Row],[Predicted Winner]]=NHL2025_26Results[[#This Row],[Winning Team]],"YES","NO"))</f>
        <v>-</v>
      </c>
      <c r="N1186" t="str">
        <f ca="1">IF(Table4[[#This Row],[Adjusted Correct]]="-", "",IF(Table4[[#This Row],[Adjusted Correct]]="YES",(Table4[[#This Row],[Strength of Win]]-1)^2,(Table4[[#This Row],[Strength of Win]]-0)^2))</f>
        <v/>
      </c>
      <c r="P1186" s="11"/>
    </row>
    <row r="1187" spans="4:16" x14ac:dyDescent="0.2">
      <c r="D1187" s="1">
        <v>46112</v>
      </c>
      <c r="E1187" s="2">
        <v>0.79166666666666663</v>
      </c>
      <c r="F1187" t="s">
        <v>37</v>
      </c>
      <c r="G1187">
        <f>VLOOKUP(Table4[[#This Row],[Home]],'NHL Model'!$A$6:$B$38,2,FALSE)</f>
        <v>-0.11309445867623392</v>
      </c>
      <c r="H1187" t="s">
        <v>18</v>
      </c>
      <c r="I1187">
        <f>VLOOKUP(Table4[[#This Row],[Visitor]],'NHL Model'!$A$6:$B$38,2,FALSE)</f>
        <v>-0.52437726201848234</v>
      </c>
      <c r="J1187">
        <f ca="1">($B$1+Table4[[#This Row],[Home Differential]])-Table4[[#This Row],[Away Differential]]</f>
        <v>0.57385511300456682</v>
      </c>
      <c r="K1187" t="str">
        <f ca="1">IF(Table4[[#This Row],[HomeIce Differential]]&gt;0,Table4[[#This Row],[Home]],Table4[[#This Row],[Visitor]])</f>
        <v>Tampa Bay Lightning</v>
      </c>
      <c r="L1187" s="11">
        <f ca="1"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0.54303191114344807</v>
      </c>
      <c r="M1187" t="str">
        <f ca="1">IF(OR((NHL2025_26Results[[#This Row],[Winning Team]]="")),"-",IF(Table4[[#This Row],[Predicted Winner]]=NHL2025_26Results[[#This Row],[Winning Team]],"YES","NO"))</f>
        <v>-</v>
      </c>
      <c r="N1187" t="str">
        <f ca="1">IF(Table4[[#This Row],[Adjusted Correct]]="-", "",IF(Table4[[#This Row],[Adjusted Correct]]="YES",(Table4[[#This Row],[Strength of Win]]-1)^2,(Table4[[#This Row],[Strength of Win]]-0)^2))</f>
        <v/>
      </c>
      <c r="P1187" s="11"/>
    </row>
    <row r="1188" spans="4:16" x14ac:dyDescent="0.2">
      <c r="D1188" s="1">
        <v>46112</v>
      </c>
      <c r="E1188" s="2">
        <v>0.79166666666666663</v>
      </c>
      <c r="F1188" t="s">
        <v>22</v>
      </c>
      <c r="G1188">
        <f>VLOOKUP(Table4[[#This Row],[Home]],'NHL Model'!$A$6:$B$38,2,FALSE)</f>
        <v>-6.1308839486784707E-2</v>
      </c>
      <c r="H1188" t="s">
        <v>27</v>
      </c>
      <c r="I1188">
        <f>VLOOKUP(Table4[[#This Row],[Visitor]],'NHL Model'!$A$6:$B$38,2,FALSE)</f>
        <v>-0.51358590497437617</v>
      </c>
      <c r="J1188">
        <f ca="1">($B$1+Table4[[#This Row],[Home Differential]])-Table4[[#This Row],[Away Differential]]</f>
        <v>0.61484937514990989</v>
      </c>
      <c r="K1188" t="str">
        <f ca="1">IF(Table4[[#This Row],[HomeIce Differential]]&gt;0,Table4[[#This Row],[Home]],Table4[[#This Row],[Visitor]])</f>
        <v>Washington Capitals</v>
      </c>
      <c r="L1188" s="11">
        <f ca="1"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0.62519270803691229</v>
      </c>
      <c r="M1188" t="str">
        <f ca="1">IF(OR((NHL2025_26Results[[#This Row],[Winning Team]]="")),"-",IF(Table4[[#This Row],[Predicted Winner]]=NHL2025_26Results[[#This Row],[Winning Team]],"YES","NO"))</f>
        <v>-</v>
      </c>
      <c r="N1188" t="str">
        <f ca="1">IF(Table4[[#This Row],[Adjusted Correct]]="-", "",IF(Table4[[#This Row],[Adjusted Correct]]="YES",(Table4[[#This Row],[Strength of Win]]-1)^2,(Table4[[#This Row],[Strength of Win]]-0)^2))</f>
        <v/>
      </c>
      <c r="P1188" s="11"/>
    </row>
    <row r="1189" spans="4:16" x14ac:dyDescent="0.2">
      <c r="D1189" s="1">
        <v>46113</v>
      </c>
      <c r="E1189" s="2">
        <v>0.85416666666666663</v>
      </c>
      <c r="F1189" t="s">
        <v>12</v>
      </c>
      <c r="G1189">
        <f>VLOOKUP(Table4[[#This Row],[Home]],'NHL Model'!$A$6:$B$38,2,FALSE)</f>
        <v>1.5475013591489768</v>
      </c>
      <c r="H1189" t="s">
        <v>38</v>
      </c>
      <c r="I1189">
        <f>VLOOKUP(Table4[[#This Row],[Visitor]],'NHL Model'!$A$6:$B$38,2,FALSE)</f>
        <v>-0.6902088310934803</v>
      </c>
      <c r="J1189">
        <f ca="1">($B$1+Table4[[#This Row],[Home Differential]])-Table4[[#This Row],[Away Differential]]</f>
        <v>2.4002824999047756</v>
      </c>
      <c r="K1189" t="str">
        <f ca="1">IF(Table4[[#This Row],[HomeIce Differential]]&gt;0,Table4[[#This Row],[Home]],Table4[[#This Row],[Visitor]])</f>
        <v>Colorado Avalanche</v>
      </c>
      <c r="L1189" s="11">
        <f ca="1"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0.92036619616571547</v>
      </c>
      <c r="M1189" t="str">
        <f ca="1">IF(OR((NHL2025_26Results[[#This Row],[Winning Team]]="")),"-",IF(Table4[[#This Row],[Predicted Winner]]=NHL2025_26Results[[#This Row],[Winning Team]],"YES","NO"))</f>
        <v>-</v>
      </c>
      <c r="N1189" t="str">
        <f ca="1">IF(Table4[[#This Row],[Adjusted Correct]]="-", "",IF(Table4[[#This Row],[Adjusted Correct]]="YES",(Table4[[#This Row],[Strength of Win]]-1)^2,(Table4[[#This Row],[Strength of Win]]-0)^2))</f>
        <v/>
      </c>
      <c r="P1189" s="11"/>
    </row>
    <row r="1190" spans="4:16" x14ac:dyDescent="0.2">
      <c r="D1190" s="1">
        <v>46113</v>
      </c>
      <c r="E1190" s="2">
        <v>0.875</v>
      </c>
      <c r="F1190" t="s">
        <v>13</v>
      </c>
      <c r="G1190">
        <f>VLOOKUP(Table4[[#This Row],[Home]],'NHL Model'!$A$6:$B$38,2,FALSE)</f>
        <v>-7.5459708298993802E-2</v>
      </c>
      <c r="H1190" t="s">
        <v>35</v>
      </c>
      <c r="I1190">
        <f>VLOOKUP(Table4[[#This Row],[Visitor]],'NHL Model'!$A$6:$B$38,2,FALSE)</f>
        <v>-1.6211574240381006</v>
      </c>
      <c r="J1190">
        <f ca="1">($B$1+Table4[[#This Row],[Home Differential]])-Table4[[#This Row],[Away Differential]]</f>
        <v>1.7082700254014251</v>
      </c>
      <c r="K1190" t="str">
        <f ca="1">IF(Table4[[#This Row],[HomeIce Differential]]&gt;0,Table4[[#This Row],[Home]],Table4[[#This Row],[Visitor]])</f>
        <v>Los Angeles Kings</v>
      </c>
      <c r="L1190" s="11">
        <f ca="1"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0.7766956126234158</v>
      </c>
      <c r="M1190" t="str">
        <f ca="1">IF(OR((NHL2025_26Results[[#This Row],[Winning Team]]="")),"-",IF(Table4[[#This Row],[Predicted Winner]]=NHL2025_26Results[[#This Row],[Winning Team]],"YES","NO"))</f>
        <v>-</v>
      </c>
      <c r="N1190" t="str">
        <f ca="1">IF(Table4[[#This Row],[Adjusted Correct]]="-", "",IF(Table4[[#This Row],[Adjusted Correct]]="YES",(Table4[[#This Row],[Strength of Win]]-1)^2,(Table4[[#This Row],[Strength of Win]]-0)^2))</f>
        <v/>
      </c>
      <c r="P1190" s="11"/>
    </row>
    <row r="1191" spans="4:16" x14ac:dyDescent="0.2">
      <c r="D1191" s="1">
        <v>46113</v>
      </c>
      <c r="E1191" s="2">
        <v>0.91666666666666663</v>
      </c>
      <c r="F1191" t="s">
        <v>33</v>
      </c>
      <c r="G1191">
        <f>VLOOKUP(Table4[[#This Row],[Home]],'NHL Model'!$A$6:$B$38,2,FALSE)</f>
        <v>-0.39418177254008485</v>
      </c>
      <c r="H1191" t="s">
        <v>31</v>
      </c>
      <c r="I1191">
        <f>VLOOKUP(Table4[[#This Row],[Visitor]],'NHL Model'!$A$6:$B$38,2,FALSE)</f>
        <v>0.51775546328552802</v>
      </c>
      <c r="J1191">
        <f ca="1">($B$1+Table4[[#This Row],[Home Differential]])-Table4[[#This Row],[Away Differential]]</f>
        <v>-0.74936492616329442</v>
      </c>
      <c r="K1191" t="str">
        <f ca="1">IF(Table4[[#This Row],[HomeIce Differential]]&gt;0,Table4[[#This Row],[Home]],Table4[[#This Row],[Visitor]])</f>
        <v>Anaheim Ducks</v>
      </c>
      <c r="L1191" s="11">
        <f ca="1"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0.58460023385379367</v>
      </c>
      <c r="M1191" t="str">
        <f ca="1">IF(OR((NHL2025_26Results[[#This Row],[Winning Team]]="")),"-",IF(Table4[[#This Row],[Predicted Winner]]=NHL2025_26Results[[#This Row],[Winning Team]],"YES","NO"))</f>
        <v>-</v>
      </c>
      <c r="N1191" t="str">
        <f ca="1">IF(Table4[[#This Row],[Adjusted Correct]]="-", "",IF(Table4[[#This Row],[Adjusted Correct]]="YES",(Table4[[#This Row],[Strength of Win]]-1)^2,(Table4[[#This Row],[Strength of Win]]-0)^2))</f>
        <v/>
      </c>
      <c r="P1191" s="11"/>
    </row>
    <row r="1192" spans="4:16" x14ac:dyDescent="0.2">
      <c r="D1192" s="1">
        <v>46114</v>
      </c>
      <c r="E1192" s="2">
        <v>0.79166666666666663</v>
      </c>
      <c r="F1192" t="s">
        <v>25</v>
      </c>
      <c r="G1192">
        <f>VLOOKUP(Table4[[#This Row],[Home]],'NHL Model'!$A$6:$B$38,2,FALSE)</f>
        <v>0.67193921242367816</v>
      </c>
      <c r="H1192" t="s">
        <v>28</v>
      </c>
      <c r="I1192">
        <f>VLOOKUP(Table4[[#This Row],[Visitor]],'NHL Model'!$A$6:$B$38,2,FALSE)</f>
        <v>-0.40822279081308277</v>
      </c>
      <c r="J1192">
        <f ca="1">($B$1+Table4[[#This Row],[Home Differential]])-Table4[[#This Row],[Away Differential]]</f>
        <v>1.2427343128990793</v>
      </c>
      <c r="K1192" t="str">
        <f ca="1">IF(Table4[[#This Row],[HomeIce Differential]]&gt;0,Table4[[#This Row],[Home]],Table4[[#This Row],[Visitor]])</f>
        <v>Carolina Hurricanes</v>
      </c>
      <c r="L1192" s="11">
        <f ca="1"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0.74362017764180188</v>
      </c>
      <c r="M1192" t="str">
        <f ca="1">IF(OR((NHL2025_26Results[[#This Row],[Winning Team]]="")),"-",IF(Table4[[#This Row],[Predicted Winner]]=NHL2025_26Results[[#This Row],[Winning Team]],"YES","NO"))</f>
        <v>-</v>
      </c>
      <c r="N1192" t="str">
        <f ca="1">IF(Table4[[#This Row],[Adjusted Correct]]="-", "",IF(Table4[[#This Row],[Adjusted Correct]]="YES",(Table4[[#This Row],[Strength of Win]]-1)^2,(Table4[[#This Row],[Strength of Win]]-0)^2))</f>
        <v/>
      </c>
      <c r="P1192" s="11"/>
    </row>
    <row r="1193" spans="4:16" x14ac:dyDescent="0.2">
      <c r="D1193" s="1">
        <v>46114</v>
      </c>
      <c r="E1193" s="2">
        <v>0.83333333333333337</v>
      </c>
      <c r="F1193" t="s">
        <v>39</v>
      </c>
      <c r="G1193">
        <f>VLOOKUP(Table4[[#This Row],[Home]],'NHL Model'!$A$6:$B$38,2,FALSE)</f>
        <v>0.19809534061227302</v>
      </c>
      <c r="H1193" t="s">
        <v>40</v>
      </c>
      <c r="I1193">
        <f>VLOOKUP(Table4[[#This Row],[Visitor]],'NHL Model'!$A$6:$B$38,2,FALSE)</f>
        <v>0.105105258369765</v>
      </c>
      <c r="J1193">
        <f ca="1">($B$1+Table4[[#This Row],[Home Differential]])-Table4[[#This Row],[Away Differential]]</f>
        <v>0.25556239190482644</v>
      </c>
      <c r="K1193" t="str">
        <f ca="1">IF(Table4[[#This Row],[HomeIce Differential]]&gt;0,Table4[[#This Row],[Home]],Table4[[#This Row],[Visitor]])</f>
        <v>Dallas Stars</v>
      </c>
      <c r="L1193" s="11">
        <f ca="1"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0.53541038361379889</v>
      </c>
      <c r="M1193" t="str">
        <f ca="1">IF(OR((NHL2025_26Results[[#This Row],[Winning Team]]="")),"-",IF(Table4[[#This Row],[Predicted Winner]]=NHL2025_26Results[[#This Row],[Winning Team]],"YES","NO"))</f>
        <v>-</v>
      </c>
      <c r="N1193" t="str">
        <f ca="1">IF(Table4[[#This Row],[Adjusted Correct]]="-", "",IF(Table4[[#This Row],[Adjusted Correct]]="YES",(Table4[[#This Row],[Strength of Win]]-1)^2,(Table4[[#This Row],[Strength of Win]]-0)^2))</f>
        <v/>
      </c>
      <c r="P1193" s="11"/>
    </row>
    <row r="1194" spans="4:16" x14ac:dyDescent="0.2">
      <c r="D1194" s="1">
        <v>46114</v>
      </c>
      <c r="E1194" s="2">
        <v>0.875</v>
      </c>
      <c r="F1194" t="s">
        <v>17</v>
      </c>
      <c r="G1194">
        <f>VLOOKUP(Table4[[#This Row],[Home]],'NHL Model'!$A$6:$B$38,2,FALSE)</f>
        <v>-0.61980804137564283</v>
      </c>
      <c r="H1194" t="s">
        <v>10</v>
      </c>
      <c r="I1194">
        <f>VLOOKUP(Table4[[#This Row],[Visitor]],'NHL Model'!$A$6:$B$38,2,FALSE)</f>
        <v>0.30570968833820172</v>
      </c>
      <c r="J1194">
        <f ca="1">($B$1+Table4[[#This Row],[Home Differential]])-Table4[[#This Row],[Away Differential]]</f>
        <v>-0.76294542005152621</v>
      </c>
      <c r="K1194" t="str">
        <f ca="1">IF(Table4[[#This Row],[HomeIce Differential]]&gt;0,Table4[[#This Row],[Home]],Table4[[#This Row],[Visitor]])</f>
        <v>Chicago Blackhawks</v>
      </c>
      <c r="L1194" s="11">
        <f ca="1"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0.55015714261983362</v>
      </c>
      <c r="M1194" t="str">
        <f ca="1">IF(OR((NHL2025_26Results[[#This Row],[Winning Team]]="")),"-",IF(Table4[[#This Row],[Predicted Winner]]=NHL2025_26Results[[#This Row],[Winning Team]],"YES","NO"))</f>
        <v>-</v>
      </c>
      <c r="N1194" t="str">
        <f ca="1">IF(Table4[[#This Row],[Adjusted Correct]]="-", "",IF(Table4[[#This Row],[Adjusted Correct]]="YES",(Table4[[#This Row],[Strength of Win]]-1)^2,(Table4[[#This Row],[Strength of Win]]-0)^2))</f>
        <v/>
      </c>
      <c r="P1194" s="11"/>
    </row>
    <row r="1195" spans="4:16" x14ac:dyDescent="0.2">
      <c r="D1195" s="1">
        <v>46114</v>
      </c>
      <c r="E1195" s="2">
        <v>0.79166666666666663</v>
      </c>
      <c r="F1195" t="s">
        <v>11</v>
      </c>
      <c r="G1195">
        <f>VLOOKUP(Table4[[#This Row],[Home]],'NHL Model'!$A$6:$B$38,2,FALSE)</f>
        <v>-0.28105923893144158</v>
      </c>
      <c r="H1195" t="s">
        <v>21</v>
      </c>
      <c r="I1195">
        <f>VLOOKUP(Table4[[#This Row],[Visitor]],'NHL Model'!$A$6:$B$38,2,FALSE)</f>
        <v>4.029141914856392E-2</v>
      </c>
      <c r="J1195">
        <f ca="1">($B$1+Table4[[#This Row],[Home Differential]])-Table4[[#This Row],[Away Differential]]</f>
        <v>-0.15877834841768712</v>
      </c>
      <c r="K1195" t="str">
        <f ca="1">IF(Table4[[#This Row],[HomeIce Differential]]&gt;0,Table4[[#This Row],[Home]],Table4[[#This Row],[Visitor]])</f>
        <v>Boston Bruins</v>
      </c>
      <c r="L1195" s="11">
        <f ca="1"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0.43028413951169919</v>
      </c>
      <c r="M1195" t="str">
        <f ca="1">IF(OR((NHL2025_26Results[[#This Row],[Winning Team]]="")),"-",IF(Table4[[#This Row],[Predicted Winner]]=NHL2025_26Results[[#This Row],[Winning Team]],"YES","NO"))</f>
        <v>-</v>
      </c>
      <c r="N1195" t="str">
        <f ca="1">IF(Table4[[#This Row],[Adjusted Correct]]="-", "",IF(Table4[[#This Row],[Adjusted Correct]]="YES",(Table4[[#This Row],[Strength of Win]]-1)^2,(Table4[[#This Row],[Strength of Win]]-0)^2))</f>
        <v/>
      </c>
      <c r="P1195" s="11"/>
    </row>
    <row r="1196" spans="4:16" x14ac:dyDescent="0.2">
      <c r="D1196" s="1">
        <v>46114</v>
      </c>
      <c r="E1196" s="2">
        <v>0.9375</v>
      </c>
      <c r="F1196" t="s">
        <v>13</v>
      </c>
      <c r="G1196">
        <f>VLOOKUP(Table4[[#This Row],[Home]],'NHL Model'!$A$6:$B$38,2,FALSE)</f>
        <v>-7.5459708298993802E-2</v>
      </c>
      <c r="H1196" t="s">
        <v>29</v>
      </c>
      <c r="I1196">
        <f>VLOOKUP(Table4[[#This Row],[Visitor]],'NHL Model'!$A$6:$B$38,2,FALSE)</f>
        <v>-1.3516250707060606</v>
      </c>
      <c r="J1196">
        <f ca="1">($B$1+Table4[[#This Row],[Home Differential]])-Table4[[#This Row],[Away Differential]]</f>
        <v>1.4387376720693852</v>
      </c>
      <c r="K1196" t="str">
        <f ca="1">IF(Table4[[#This Row],[HomeIce Differential]]&gt;0,Table4[[#This Row],[Home]],Table4[[#This Row],[Visitor]])</f>
        <v>Los Angeles Kings</v>
      </c>
      <c r="L1196" s="11">
        <f ca="1"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0.73934956981688327</v>
      </c>
      <c r="M1196" t="str">
        <f ca="1">IF(OR((NHL2025_26Results[[#This Row],[Winning Team]]="")),"-",IF(Table4[[#This Row],[Predicted Winner]]=NHL2025_26Results[[#This Row],[Winning Team]],"YES","NO"))</f>
        <v>-</v>
      </c>
      <c r="N1196" t="str">
        <f ca="1">IF(Table4[[#This Row],[Adjusted Correct]]="-", "",IF(Table4[[#This Row],[Adjusted Correct]]="YES",(Table4[[#This Row],[Strength of Win]]-1)^2,(Table4[[#This Row],[Strength of Win]]-0)^2))</f>
        <v/>
      </c>
      <c r="P1196" s="11"/>
    </row>
    <row r="1197" spans="4:16" x14ac:dyDescent="0.2">
      <c r="D1197" s="1">
        <v>46114</v>
      </c>
      <c r="E1197" s="2">
        <v>0.83333333333333337</v>
      </c>
      <c r="F1197" t="s">
        <v>34</v>
      </c>
      <c r="G1197">
        <f>VLOOKUP(Table4[[#This Row],[Home]],'NHL Model'!$A$6:$B$38,2,FALSE)</f>
        <v>-0.53650300840565446</v>
      </c>
      <c r="H1197" t="s">
        <v>38</v>
      </c>
      <c r="I1197">
        <f>VLOOKUP(Table4[[#This Row],[Visitor]],'NHL Model'!$A$6:$B$38,2,FALSE)</f>
        <v>-0.6902088310934803</v>
      </c>
      <c r="J1197">
        <f ca="1">($B$1+Table4[[#This Row],[Home Differential]])-Table4[[#This Row],[Away Differential]]</f>
        <v>0.31627813235014424</v>
      </c>
      <c r="K1197" t="str">
        <f ca="1">IF(Table4[[#This Row],[HomeIce Differential]]&gt;0,Table4[[#This Row],[Home]],Table4[[#This Row],[Visitor]])</f>
        <v>Minnesota Wild</v>
      </c>
      <c r="L1197" s="11">
        <f ca="1"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0.54131051268502439</v>
      </c>
      <c r="M1197" t="str">
        <f ca="1">IF(OR((NHL2025_26Results[[#This Row],[Winning Team]]="")),"-",IF(Table4[[#This Row],[Predicted Winner]]=NHL2025_26Results[[#This Row],[Winning Team]],"YES","NO"))</f>
        <v>-</v>
      </c>
      <c r="N1197" t="str">
        <f ca="1">IF(Table4[[#This Row],[Adjusted Correct]]="-", "",IF(Table4[[#This Row],[Adjusted Correct]]="YES",(Table4[[#This Row],[Strength of Win]]-1)^2,(Table4[[#This Row],[Strength of Win]]-0)^2))</f>
        <v/>
      </c>
      <c r="P1197" s="11"/>
    </row>
    <row r="1198" spans="4:16" x14ac:dyDescent="0.2">
      <c r="D1198" s="1">
        <v>46114</v>
      </c>
      <c r="E1198" s="2">
        <v>0.8125</v>
      </c>
      <c r="F1198" t="s">
        <v>24</v>
      </c>
      <c r="G1198">
        <f>VLOOKUP(Table4[[#This Row],[Home]],'NHL Model'!$A$6:$B$38,2,FALSE)</f>
        <v>0.559441163373953</v>
      </c>
      <c r="H1198" t="s">
        <v>22</v>
      </c>
      <c r="I1198">
        <f>VLOOKUP(Table4[[#This Row],[Visitor]],'NHL Model'!$A$6:$B$38,2,FALSE)</f>
        <v>-6.1308839486784707E-2</v>
      </c>
      <c r="J1198">
        <f ca="1">($B$1+Table4[[#This Row],[Home Differential]])-Table4[[#This Row],[Away Differential]]</f>
        <v>0.78332231252305606</v>
      </c>
      <c r="K1198" t="str">
        <f ca="1">IF(Table4[[#This Row],[HomeIce Differential]]&gt;0,Table4[[#This Row],[Home]],Table4[[#This Row],[Visitor]])</f>
        <v>New Jersey Devils</v>
      </c>
      <c r="L1198" s="11">
        <f ca="1"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0.76396680478502266</v>
      </c>
      <c r="M1198" t="str">
        <f ca="1">IF(OR((NHL2025_26Results[[#This Row],[Winning Team]]="")),"-",IF(Table4[[#This Row],[Predicted Winner]]=NHL2025_26Results[[#This Row],[Winning Team]],"YES","NO"))</f>
        <v>-</v>
      </c>
      <c r="N1198" t="str">
        <f ca="1">IF(Table4[[#This Row],[Adjusted Correct]]="-", "",IF(Table4[[#This Row],[Adjusted Correct]]="YES",(Table4[[#This Row],[Strength of Win]]-1)^2,(Table4[[#This Row],[Strength of Win]]-0)^2))</f>
        <v/>
      </c>
      <c r="P1198" s="11"/>
    </row>
    <row r="1199" spans="4:16" x14ac:dyDescent="0.2">
      <c r="D1199" s="1">
        <v>46114</v>
      </c>
      <c r="E1199" s="2">
        <v>0.79166666666666663</v>
      </c>
      <c r="F1199" t="s">
        <v>15</v>
      </c>
      <c r="G1199">
        <f>VLOOKUP(Table4[[#This Row],[Home]],'NHL Model'!$A$6:$B$38,2,FALSE)</f>
        <v>-0.30719665303039001</v>
      </c>
      <c r="H1199" t="s">
        <v>18</v>
      </c>
      <c r="I1199">
        <f>VLOOKUP(Table4[[#This Row],[Visitor]],'NHL Model'!$A$6:$B$38,2,FALSE)</f>
        <v>-0.52437726201848234</v>
      </c>
      <c r="J1199">
        <f ca="1">($B$1+Table4[[#This Row],[Home Differential]])-Table4[[#This Row],[Away Differential]]</f>
        <v>0.37975291865041072</v>
      </c>
      <c r="K1199" t="str">
        <f ca="1">IF(Table4[[#This Row],[HomeIce Differential]]&gt;0,Table4[[#This Row],[Home]],Table4[[#This Row],[Visitor]])</f>
        <v>New York Rangers</v>
      </c>
      <c r="L1199" s="11">
        <f ca="1"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0.51613737039693453</v>
      </c>
      <c r="M1199" t="str">
        <f ca="1">IF(OR((NHL2025_26Results[[#This Row],[Winning Team]]="")),"-",IF(Table4[[#This Row],[Predicted Winner]]=NHL2025_26Results[[#This Row],[Winning Team]],"YES","NO"))</f>
        <v>-</v>
      </c>
      <c r="N1199" t="str">
        <f ca="1">IF(Table4[[#This Row],[Adjusted Correct]]="-", "",IF(Table4[[#This Row],[Adjusted Correct]]="YES",(Table4[[#This Row],[Strength of Win]]-1)^2,(Table4[[#This Row],[Strength of Win]]-0)^2))</f>
        <v/>
      </c>
      <c r="P1199" s="11"/>
    </row>
    <row r="1200" spans="4:16" x14ac:dyDescent="0.2">
      <c r="D1200" s="1">
        <v>46114</v>
      </c>
      <c r="E1200" s="2">
        <v>0.79166666666666663</v>
      </c>
      <c r="F1200" t="s">
        <v>36</v>
      </c>
      <c r="G1200">
        <f>VLOOKUP(Table4[[#This Row],[Home]],'NHL Model'!$A$6:$B$38,2,FALSE)</f>
        <v>-0.40651947573390851</v>
      </c>
      <c r="H1200" t="s">
        <v>23</v>
      </c>
      <c r="I1200">
        <f>VLOOKUP(Table4[[#This Row],[Visitor]],'NHL Model'!$A$6:$B$38,2,FALSE)</f>
        <v>-0.8683412362501769</v>
      </c>
      <c r="J1200">
        <f ca="1">($B$1+Table4[[#This Row],[Home Differential]])-Table4[[#This Row],[Away Differential]]</f>
        <v>0.62439407017858684</v>
      </c>
      <c r="K1200" t="str">
        <f ca="1">IF(Table4[[#This Row],[HomeIce Differential]]&gt;0,Table4[[#This Row],[Home]],Table4[[#This Row],[Visitor]])</f>
        <v>Ottawa Senators</v>
      </c>
      <c r="L1200" s="11">
        <f ca="1"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0.62901068743356547</v>
      </c>
      <c r="M1200" t="str">
        <f ca="1">IF(OR((NHL2025_26Results[[#This Row],[Winning Team]]="")),"-",IF(Table4[[#This Row],[Predicted Winner]]=NHL2025_26Results[[#This Row],[Winning Team]],"YES","NO"))</f>
        <v>-</v>
      </c>
      <c r="N1200" t="str">
        <f ca="1">IF(Table4[[#This Row],[Adjusted Correct]]="-", "",IF(Table4[[#This Row],[Adjusted Correct]]="YES",(Table4[[#This Row],[Strength of Win]]-1)^2,(Table4[[#This Row],[Strength of Win]]-0)^2))</f>
        <v/>
      </c>
      <c r="P1200" s="11"/>
    </row>
    <row r="1201" spans="4:16" x14ac:dyDescent="0.2">
      <c r="D1201" s="1">
        <v>46114</v>
      </c>
      <c r="E1201" s="2">
        <v>0.79166666666666663</v>
      </c>
      <c r="F1201" t="s">
        <v>27</v>
      </c>
      <c r="G1201">
        <f>VLOOKUP(Table4[[#This Row],[Home]],'NHL Model'!$A$6:$B$38,2,FALSE)</f>
        <v>-0.51358590497437617</v>
      </c>
      <c r="H1201" t="s">
        <v>26</v>
      </c>
      <c r="I1201">
        <f>VLOOKUP(Table4[[#This Row],[Visitor]],'NHL Model'!$A$6:$B$38,2,FALSE)</f>
        <v>-0.513643833119658</v>
      </c>
      <c r="J1201">
        <f ca="1">($B$1+Table4[[#This Row],[Home Differential]])-Table4[[#This Row],[Away Differential]]</f>
        <v>0.16263023780760022</v>
      </c>
      <c r="K1201" t="str">
        <f ca="1">IF(Table4[[#This Row],[HomeIce Differential]]&gt;0,Table4[[#This Row],[Home]],Table4[[#This Row],[Visitor]])</f>
        <v>Philadelphia Flyers</v>
      </c>
      <c r="L1201" s="11">
        <f ca="1"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0.51794667252784343</v>
      </c>
      <c r="M1201" t="str">
        <f ca="1">IF(OR((NHL2025_26Results[[#This Row],[Winning Team]]="")),"-",IF(Table4[[#This Row],[Predicted Winner]]=NHL2025_26Results[[#This Row],[Winning Team]],"YES","NO"))</f>
        <v>-</v>
      </c>
      <c r="N1201" t="str">
        <f ca="1">IF(Table4[[#This Row],[Adjusted Correct]]="-", "",IF(Table4[[#This Row],[Adjusted Correct]]="YES",(Table4[[#This Row],[Strength of Win]]-1)^2,(Table4[[#This Row],[Strength of Win]]-0)^2))</f>
        <v/>
      </c>
      <c r="P1201" s="11"/>
    </row>
    <row r="1202" spans="4:16" x14ac:dyDescent="0.2">
      <c r="D1202" s="1">
        <v>46114</v>
      </c>
      <c r="E1202" s="2">
        <v>0.91666666666666663</v>
      </c>
      <c r="F1202" t="s">
        <v>32</v>
      </c>
      <c r="G1202">
        <f>VLOOKUP(Table4[[#This Row],[Home]],'NHL Model'!$A$6:$B$38,2,FALSE)</f>
        <v>-0.361361309178443</v>
      </c>
      <c r="H1202" t="s">
        <v>55</v>
      </c>
      <c r="I1202">
        <f>VLOOKUP(Table4[[#This Row],[Visitor]],'NHL Model'!$A$6:$B$38,2,FALSE)</f>
        <v>-0.12212311954851815</v>
      </c>
      <c r="J1202">
        <f ca="1">($B$1+Table4[[#This Row],[Home Differential]])-Table4[[#This Row],[Away Differential]]</f>
        <v>-7.666587996760646E-2</v>
      </c>
      <c r="K1202" t="str">
        <f ca="1">IF(Table4[[#This Row],[HomeIce Differential]]&gt;0,Table4[[#This Row],[Home]],Table4[[#This Row],[Visitor]])</f>
        <v>Utah Mammoth</v>
      </c>
      <c r="L1202" s="11">
        <f ca="1"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0.44458498606048558</v>
      </c>
      <c r="M1202" t="str">
        <f ca="1">IF(OR((NHL2025_26Results[[#This Row],[Winning Team]]="")),"-",IF(Table4[[#This Row],[Predicted Winner]]=NHL2025_26Results[[#This Row],[Winning Team]],"YES","NO"))</f>
        <v>-</v>
      </c>
      <c r="N1202" t="str">
        <f ca="1">IF(Table4[[#This Row],[Adjusted Correct]]="-", "",IF(Table4[[#This Row],[Adjusted Correct]]="YES",(Table4[[#This Row],[Strength of Win]]-1)^2,(Table4[[#This Row],[Strength of Win]]-0)^2))</f>
        <v/>
      </c>
      <c r="P1202" s="11"/>
    </row>
    <row r="1203" spans="4:16" x14ac:dyDescent="0.2">
      <c r="D1203" s="1">
        <v>46114</v>
      </c>
      <c r="E1203" s="2">
        <v>0.91666666666666663</v>
      </c>
      <c r="F1203" t="s">
        <v>33</v>
      </c>
      <c r="G1203">
        <f>VLOOKUP(Table4[[#This Row],[Home]],'NHL Model'!$A$6:$B$38,2,FALSE)</f>
        <v>-0.39418177254008485</v>
      </c>
      <c r="H1203" t="s">
        <v>19</v>
      </c>
      <c r="I1203">
        <f>VLOOKUP(Table4[[#This Row],[Visitor]],'NHL Model'!$A$6:$B$38,2,FALSE)</f>
        <v>-0.635565543477981</v>
      </c>
      <c r="J1203">
        <f ca="1">($B$1+Table4[[#This Row],[Home Differential]])-Table4[[#This Row],[Away Differential]]</f>
        <v>0.40395608060021454</v>
      </c>
      <c r="K1203" t="str">
        <f ca="1">IF(Table4[[#This Row],[HomeIce Differential]]&gt;0,Table4[[#This Row],[Home]],Table4[[#This Row],[Visitor]])</f>
        <v>San Jose Sharks</v>
      </c>
      <c r="L1203" s="11">
        <f ca="1"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0.59597161487871531</v>
      </c>
      <c r="M1203" t="str">
        <f ca="1">IF(OR((NHL2025_26Results[[#This Row],[Winning Team]]="")),"-",IF(Table4[[#This Row],[Predicted Winner]]=NHL2025_26Results[[#This Row],[Winning Team]],"YES","NO"))</f>
        <v>-</v>
      </c>
      <c r="N1203" t="str">
        <f ca="1">IF(Table4[[#This Row],[Adjusted Correct]]="-", "",IF(Table4[[#This Row],[Adjusted Correct]]="YES",(Table4[[#This Row],[Strength of Win]]-1)^2,(Table4[[#This Row],[Strength of Win]]-0)^2))</f>
        <v/>
      </c>
      <c r="P1203" s="11"/>
    </row>
    <row r="1204" spans="4:16" x14ac:dyDescent="0.2">
      <c r="D1204" s="1">
        <v>46114</v>
      </c>
      <c r="E1204" s="2">
        <v>0.79166666666666663</v>
      </c>
      <c r="F1204" t="s">
        <v>37</v>
      </c>
      <c r="G1204">
        <f>VLOOKUP(Table4[[#This Row],[Home]],'NHL Model'!$A$6:$B$38,2,FALSE)</f>
        <v>-0.11309445867623392</v>
      </c>
      <c r="H1204" t="s">
        <v>14</v>
      </c>
      <c r="I1204">
        <f>VLOOKUP(Table4[[#This Row],[Visitor]],'NHL Model'!$A$6:$B$38,2,FALSE)</f>
        <v>0.26289091192875702</v>
      </c>
      <c r="J1204">
        <f ca="1">($B$1+Table4[[#This Row],[Home Differential]])-Table4[[#This Row],[Away Differential]]</f>
        <v>-0.21341306094267254</v>
      </c>
      <c r="K1204" t="str">
        <f ca="1">IF(Table4[[#This Row],[HomeIce Differential]]&gt;0,Table4[[#This Row],[Home]],Table4[[#This Row],[Visitor]])</f>
        <v>Pittsburgh Penguins</v>
      </c>
      <c r="L1204" s="11">
        <f ca="1"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0.48957022862342509</v>
      </c>
      <c r="M1204" t="str">
        <f ca="1">IF(OR((NHL2025_26Results[[#This Row],[Winning Team]]="")),"-",IF(Table4[[#This Row],[Predicted Winner]]=NHL2025_26Results[[#This Row],[Winning Team]],"YES","NO"))</f>
        <v>-</v>
      </c>
      <c r="N1204" t="str">
        <f ca="1">IF(Table4[[#This Row],[Adjusted Correct]]="-", "",IF(Table4[[#This Row],[Adjusted Correct]]="YES",(Table4[[#This Row],[Strength of Win]]-1)^2,(Table4[[#This Row],[Strength of Win]]-0)^2))</f>
        <v/>
      </c>
      <c r="P1204" s="11"/>
    </row>
    <row r="1205" spans="4:16" x14ac:dyDescent="0.2">
      <c r="D1205" s="1">
        <v>46114</v>
      </c>
      <c r="E1205" s="2">
        <v>0.91666666666666663</v>
      </c>
      <c r="F1205" t="s">
        <v>20</v>
      </c>
      <c r="G1205">
        <f>VLOOKUP(Table4[[#This Row],[Home]],'NHL Model'!$A$6:$B$38,2,FALSE)</f>
        <v>-6.3745791019188943E-4</v>
      </c>
      <c r="H1205" t="s">
        <v>16</v>
      </c>
      <c r="I1205">
        <f>VLOOKUP(Table4[[#This Row],[Visitor]],'NHL Model'!$A$6:$B$38,2,FALSE)</f>
        <v>-1.3903684122795328</v>
      </c>
      <c r="J1205">
        <f ca="1">($B$1+Table4[[#This Row],[Home Differential]])-Table4[[#This Row],[Away Differential]]</f>
        <v>1.5523032640316592</v>
      </c>
      <c r="K1205" t="str">
        <f ca="1">IF(Table4[[#This Row],[HomeIce Differential]]&gt;0,Table4[[#This Row],[Home]],Table4[[#This Row],[Visitor]])</f>
        <v>Vegas Golden Knights</v>
      </c>
      <c r="L1205" s="11">
        <f ca="1"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0.75508506652568641</v>
      </c>
      <c r="M1205" t="str">
        <f ca="1">IF(OR((NHL2025_26Results[[#This Row],[Winning Team]]="")),"-",IF(Table4[[#This Row],[Predicted Winner]]=NHL2025_26Results[[#This Row],[Winning Team]],"YES","NO"))</f>
        <v>-</v>
      </c>
      <c r="N1205" t="str">
        <f ca="1">IF(Table4[[#This Row],[Adjusted Correct]]="-", "",IF(Table4[[#This Row],[Adjusted Correct]]="YES",(Table4[[#This Row],[Strength of Win]]-1)^2,(Table4[[#This Row],[Strength of Win]]-0)^2))</f>
        <v/>
      </c>
      <c r="P1205" s="11"/>
    </row>
    <row r="1206" spans="4:16" x14ac:dyDescent="0.2">
      <c r="D1206" s="1">
        <v>46115</v>
      </c>
      <c r="E1206" s="2">
        <v>0.91666666666666663</v>
      </c>
      <c r="F1206" t="s">
        <v>31</v>
      </c>
      <c r="G1206">
        <f>VLOOKUP(Table4[[#This Row],[Home]],'NHL Model'!$A$6:$B$38,2,FALSE)</f>
        <v>0.51775546328552802</v>
      </c>
      <c r="H1206" t="s">
        <v>35</v>
      </c>
      <c r="I1206">
        <f>VLOOKUP(Table4[[#This Row],[Visitor]],'NHL Model'!$A$6:$B$38,2,FALSE)</f>
        <v>-1.6211574240381006</v>
      </c>
      <c r="J1206">
        <f ca="1">($B$1+Table4[[#This Row],[Home Differential]])-Table4[[#This Row],[Away Differential]]</f>
        <v>2.3014851969859471</v>
      </c>
      <c r="K1206" t="str">
        <f ca="1">IF(Table4[[#This Row],[HomeIce Differential]]&gt;0,Table4[[#This Row],[Home]],Table4[[#This Row],[Visitor]])</f>
        <v>Anaheim Ducks</v>
      </c>
      <c r="L1206" s="11">
        <f ca="1"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0.96322061122288838</v>
      </c>
      <c r="M1206" t="str">
        <f ca="1">IF(OR((NHL2025_26Results[[#This Row],[Winning Team]]="")),"-",IF(Table4[[#This Row],[Predicted Winner]]=NHL2025_26Results[[#This Row],[Winning Team]],"YES","NO"))</f>
        <v>-</v>
      </c>
      <c r="N1206" t="str">
        <f ca="1">IF(Table4[[#This Row],[Adjusted Correct]]="-", "",IF(Table4[[#This Row],[Adjusted Correct]]="YES",(Table4[[#This Row],[Strength of Win]]-1)^2,(Table4[[#This Row],[Strength of Win]]-0)^2))</f>
        <v/>
      </c>
      <c r="P1206" s="11"/>
    </row>
    <row r="1207" spans="4:16" x14ac:dyDescent="0.2">
      <c r="D1207" s="1">
        <v>46115</v>
      </c>
      <c r="E1207" s="2">
        <v>0.79166666666666663</v>
      </c>
      <c r="F1207" t="s">
        <v>30</v>
      </c>
      <c r="G1207">
        <f>VLOOKUP(Table4[[#This Row],[Home]],'NHL Model'!$A$6:$B$38,2,FALSE)</f>
        <v>-6.4729560818359025E-2</v>
      </c>
      <c r="H1207" t="s">
        <v>27</v>
      </c>
      <c r="I1207">
        <f>VLOOKUP(Table4[[#This Row],[Visitor]],'NHL Model'!$A$6:$B$38,2,FALSE)</f>
        <v>-0.51358590497437617</v>
      </c>
      <c r="J1207">
        <f ca="1">($B$1+Table4[[#This Row],[Home Differential]])-Table4[[#This Row],[Away Differential]]</f>
        <v>0.61142865381833555</v>
      </c>
      <c r="K1207" t="str">
        <f ca="1">IF(Table4[[#This Row],[HomeIce Differential]]&gt;0,Table4[[#This Row],[Home]],Table4[[#This Row],[Visitor]])</f>
        <v>New York Islanders</v>
      </c>
      <c r="L1207" s="11">
        <f ca="1"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0.62471873745898754</v>
      </c>
      <c r="M1207" t="str">
        <f ca="1">IF(OR((NHL2025_26Results[[#This Row],[Winning Team]]="")),"-",IF(Table4[[#This Row],[Predicted Winner]]=NHL2025_26Results[[#This Row],[Winning Team]],"YES","NO"))</f>
        <v>-</v>
      </c>
      <c r="N1207" t="str">
        <f ca="1">IF(Table4[[#This Row],[Adjusted Correct]]="-", "",IF(Table4[[#This Row],[Adjusted Correct]]="YES",(Table4[[#This Row],[Strength of Win]]-1)^2,(Table4[[#This Row],[Strength of Win]]-0)^2))</f>
        <v/>
      </c>
      <c r="P1207" s="11"/>
    </row>
    <row r="1208" spans="4:16" x14ac:dyDescent="0.2">
      <c r="D1208" s="1">
        <v>46116</v>
      </c>
      <c r="E1208" s="2">
        <v>0.91666666666666663</v>
      </c>
      <c r="F1208" t="s">
        <v>31</v>
      </c>
      <c r="G1208">
        <f>VLOOKUP(Table4[[#This Row],[Home]],'NHL Model'!$A$6:$B$38,2,FALSE)</f>
        <v>0.51775546328552802</v>
      </c>
      <c r="H1208" t="s">
        <v>16</v>
      </c>
      <c r="I1208">
        <f>VLOOKUP(Table4[[#This Row],[Visitor]],'NHL Model'!$A$6:$B$38,2,FALSE)</f>
        <v>-1.3903684122795328</v>
      </c>
      <c r="J1208">
        <f ca="1">($B$1+Table4[[#This Row],[Home Differential]])-Table4[[#This Row],[Away Differential]]</f>
        <v>2.0706961852273791</v>
      </c>
      <c r="K1208" t="str">
        <f ca="1">IF(Table4[[#This Row],[HomeIce Differential]]&gt;0,Table4[[#This Row],[Home]],Table4[[#This Row],[Visitor]])</f>
        <v>Anaheim Ducks</v>
      </c>
      <c r="L1208" s="11">
        <f ca="1"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0.93124279406713151</v>
      </c>
      <c r="M1208" t="str">
        <f ca="1">IF(OR((NHL2025_26Results[[#This Row],[Winning Team]]="")),"-",IF(Table4[[#This Row],[Predicted Winner]]=NHL2025_26Results[[#This Row],[Winning Team]],"YES","NO"))</f>
        <v>-</v>
      </c>
      <c r="N1208" t="str">
        <f ca="1">IF(Table4[[#This Row],[Adjusted Correct]]="-", "",IF(Table4[[#This Row],[Adjusted Correct]]="YES",(Table4[[#This Row],[Strength of Win]]-1)^2,(Table4[[#This Row],[Strength of Win]]-0)^2))</f>
        <v/>
      </c>
      <c r="P1208" s="11"/>
    </row>
    <row r="1209" spans="4:16" x14ac:dyDescent="0.2">
      <c r="D1209" s="1">
        <v>46116</v>
      </c>
      <c r="E1209" s="2">
        <v>0.79166666666666663</v>
      </c>
      <c r="F1209" t="s">
        <v>25</v>
      </c>
      <c r="G1209">
        <f>VLOOKUP(Table4[[#This Row],[Home]],'NHL Model'!$A$6:$B$38,2,FALSE)</f>
        <v>0.67193921242367816</v>
      </c>
      <c r="H1209" t="s">
        <v>30</v>
      </c>
      <c r="I1209">
        <f>VLOOKUP(Table4[[#This Row],[Visitor]],'NHL Model'!$A$6:$B$38,2,FALSE)</f>
        <v>-6.4729560818359025E-2</v>
      </c>
      <c r="J1209">
        <f ca="1">($B$1+Table4[[#This Row],[Home Differential]])-Table4[[#This Row],[Away Differential]]</f>
        <v>0.89924108290435556</v>
      </c>
      <c r="K1209" t="str">
        <f ca="1">IF(Table4[[#This Row],[HomeIce Differential]]&gt;0,Table4[[#This Row],[Home]],Table4[[#This Row],[Visitor]])</f>
        <v>Carolina Hurricanes</v>
      </c>
      <c r="L1209" s="11">
        <f ca="1"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0.67459764314144288</v>
      </c>
      <c r="M1209" t="str">
        <f ca="1">IF(OR((NHL2025_26Results[[#This Row],[Winning Team]]="")),"-",IF(Table4[[#This Row],[Predicted Winner]]=NHL2025_26Results[[#This Row],[Winning Team]],"YES","NO"))</f>
        <v>-</v>
      </c>
      <c r="N1209" t="str">
        <f ca="1">IF(Table4[[#This Row],[Adjusted Correct]]="-", "",IF(Table4[[#This Row],[Adjusted Correct]]="YES",(Table4[[#This Row],[Strength of Win]]-1)^2,(Table4[[#This Row],[Strength of Win]]-0)^2))</f>
        <v/>
      </c>
      <c r="P1209" s="11"/>
    </row>
    <row r="1210" spans="4:16" x14ac:dyDescent="0.2">
      <c r="D1210" s="1">
        <v>46116</v>
      </c>
      <c r="E1210" s="2">
        <v>0.79166666666666663</v>
      </c>
      <c r="F1210" t="s">
        <v>28</v>
      </c>
      <c r="G1210">
        <f>VLOOKUP(Table4[[#This Row],[Home]],'NHL Model'!$A$6:$B$38,2,FALSE)</f>
        <v>-0.40822279081308277</v>
      </c>
      <c r="H1210" t="s">
        <v>40</v>
      </c>
      <c r="I1210">
        <f>VLOOKUP(Table4[[#This Row],[Visitor]],'NHL Model'!$A$6:$B$38,2,FALSE)</f>
        <v>0.105105258369765</v>
      </c>
      <c r="J1210">
        <f ca="1">($B$1+Table4[[#This Row],[Home Differential]])-Table4[[#This Row],[Away Differential]]</f>
        <v>-0.35075573952052941</v>
      </c>
      <c r="K1210" t="str">
        <f ca="1">IF(Table4[[#This Row],[HomeIce Differential]]&gt;0,Table4[[#This Row],[Home]],Table4[[#This Row],[Visitor]])</f>
        <v>Winnipeg Jets</v>
      </c>
      <c r="L1210" s="11">
        <f ca="1"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0.57491603616330322</v>
      </c>
      <c r="M1210" t="str">
        <f ca="1">IF(OR((NHL2025_26Results[[#This Row],[Winning Team]]="")),"-",IF(Table4[[#This Row],[Predicted Winner]]=NHL2025_26Results[[#This Row],[Winning Team]],"YES","NO"))</f>
        <v>-</v>
      </c>
      <c r="N1210" t="str">
        <f ca="1">IF(Table4[[#This Row],[Adjusted Correct]]="-", "",IF(Table4[[#This Row],[Adjusted Correct]]="YES",(Table4[[#This Row],[Strength of Win]]-1)^2,(Table4[[#This Row],[Strength of Win]]-0)^2))</f>
        <v/>
      </c>
      <c r="P1210" s="11"/>
    </row>
    <row r="1211" spans="4:16" x14ac:dyDescent="0.2">
      <c r="D1211" s="1">
        <v>46116</v>
      </c>
      <c r="E1211" s="2">
        <v>0.625</v>
      </c>
      <c r="F1211" t="s">
        <v>39</v>
      </c>
      <c r="G1211">
        <f>VLOOKUP(Table4[[#This Row],[Home]],'NHL Model'!$A$6:$B$38,2,FALSE)</f>
        <v>0.19809534061227302</v>
      </c>
      <c r="H1211" t="s">
        <v>12</v>
      </c>
      <c r="I1211">
        <f>VLOOKUP(Table4[[#This Row],[Visitor]],'NHL Model'!$A$6:$B$38,2,FALSE)</f>
        <v>1.5475013591489768</v>
      </c>
      <c r="J1211">
        <f ca="1">($B$1+Table4[[#This Row],[Home Differential]])-Table4[[#This Row],[Away Differential]]</f>
        <v>-1.1868337088743854</v>
      </c>
      <c r="K1211" t="str">
        <f ca="1">IF(Table4[[#This Row],[HomeIce Differential]]&gt;0,Table4[[#This Row],[Home]],Table4[[#This Row],[Visitor]])</f>
        <v>Colorado Avalanche</v>
      </c>
      <c r="L1211" s="11">
        <f ca="1"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0.6644460931977838</v>
      </c>
      <c r="M1211" t="str">
        <f ca="1">IF(OR((NHL2025_26Results[[#This Row],[Winning Team]]="")),"-",IF(Table4[[#This Row],[Predicted Winner]]=NHL2025_26Results[[#This Row],[Winning Team]],"YES","NO"))</f>
        <v>-</v>
      </c>
      <c r="N1211" t="str">
        <f ca="1">IF(Table4[[#This Row],[Adjusted Correct]]="-", "",IF(Table4[[#This Row],[Adjusted Correct]]="YES",(Table4[[#This Row],[Strength of Win]]-1)^2,(Table4[[#This Row],[Strength of Win]]-0)^2))</f>
        <v/>
      </c>
      <c r="P1211" s="11"/>
    </row>
    <row r="1212" spans="4:16" x14ac:dyDescent="0.2">
      <c r="D1212" s="1">
        <v>46116</v>
      </c>
      <c r="E1212" s="2">
        <v>0.91666666666666663</v>
      </c>
      <c r="F1212" t="s">
        <v>17</v>
      </c>
      <c r="G1212">
        <f>VLOOKUP(Table4[[#This Row],[Home]],'NHL Model'!$A$6:$B$38,2,FALSE)</f>
        <v>-0.61980804137564283</v>
      </c>
      <c r="H1212" t="s">
        <v>20</v>
      </c>
      <c r="I1212">
        <f>VLOOKUP(Table4[[#This Row],[Visitor]],'NHL Model'!$A$6:$B$38,2,FALSE)</f>
        <v>-6.3745791019188943E-4</v>
      </c>
      <c r="J1212">
        <f ca="1">($B$1+Table4[[#This Row],[Home Differential]])-Table4[[#This Row],[Away Differential]]</f>
        <v>-0.45659827380313256</v>
      </c>
      <c r="K1212" t="str">
        <f ca="1">IF(Table4[[#This Row],[HomeIce Differential]]&gt;0,Table4[[#This Row],[Home]],Table4[[#This Row],[Visitor]])</f>
        <v>Vegas Golden Knights</v>
      </c>
      <c r="L1212" s="11">
        <f ca="1"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0.50771009128808686</v>
      </c>
      <c r="M1212" t="str">
        <f ca="1">IF(OR((NHL2025_26Results[[#This Row],[Winning Team]]="")),"-",IF(Table4[[#This Row],[Predicted Winner]]=NHL2025_26Results[[#This Row],[Winning Team]],"YES","NO"))</f>
        <v>-</v>
      </c>
      <c r="N1212" t="str">
        <f ca="1">IF(Table4[[#This Row],[Adjusted Correct]]="-", "",IF(Table4[[#This Row],[Adjusted Correct]]="YES",(Table4[[#This Row],[Strength of Win]]-1)^2,(Table4[[#This Row],[Strength of Win]]-0)^2))</f>
        <v/>
      </c>
      <c r="P1212" s="11"/>
    </row>
    <row r="1213" spans="4:16" x14ac:dyDescent="0.2">
      <c r="D1213" s="1">
        <v>46116</v>
      </c>
      <c r="E1213" s="2">
        <v>0.79166666666666663</v>
      </c>
      <c r="F1213" t="s">
        <v>13</v>
      </c>
      <c r="G1213">
        <f>VLOOKUP(Table4[[#This Row],[Home]],'NHL Model'!$A$6:$B$38,2,FALSE)</f>
        <v>-7.5459708298993802E-2</v>
      </c>
      <c r="H1213" t="s">
        <v>19</v>
      </c>
      <c r="I1213">
        <f>VLOOKUP(Table4[[#This Row],[Visitor]],'NHL Model'!$A$6:$B$38,2,FALSE)</f>
        <v>-0.635565543477981</v>
      </c>
      <c r="J1213">
        <f ca="1">($B$1+Table4[[#This Row],[Home Differential]])-Table4[[#This Row],[Away Differential]]</f>
        <v>0.72267814484130555</v>
      </c>
      <c r="K1213" t="str">
        <f ca="1">IF(Table4[[#This Row],[HomeIce Differential]]&gt;0,Table4[[#This Row],[Home]],Table4[[#This Row],[Visitor]])</f>
        <v>Los Angeles Kings</v>
      </c>
      <c r="L1213" s="11">
        <f ca="1"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0.64013331831574483</v>
      </c>
      <c r="M1213" t="str">
        <f ca="1">IF(OR((NHL2025_26Results[[#This Row],[Winning Team]]="")),"-",IF(Table4[[#This Row],[Predicted Winner]]=NHL2025_26Results[[#This Row],[Winning Team]],"YES","NO"))</f>
        <v>-</v>
      </c>
      <c r="N1213" t="str">
        <f ca="1">IF(Table4[[#This Row],[Adjusted Correct]]="-", "",IF(Table4[[#This Row],[Adjusted Correct]]="YES",(Table4[[#This Row],[Strength of Win]]-1)^2,(Table4[[#This Row],[Strength of Win]]-0)^2))</f>
        <v/>
      </c>
      <c r="P1213" s="11"/>
    </row>
    <row r="1214" spans="4:16" x14ac:dyDescent="0.2">
      <c r="D1214" s="1">
        <v>46116</v>
      </c>
      <c r="E1214" s="2">
        <v>0.79166666666666663</v>
      </c>
      <c r="F1214" t="s">
        <v>24</v>
      </c>
      <c r="G1214">
        <f>VLOOKUP(Table4[[#This Row],[Home]],'NHL Model'!$A$6:$B$38,2,FALSE)</f>
        <v>0.559441163373953</v>
      </c>
      <c r="H1214" t="s">
        <v>18</v>
      </c>
      <c r="I1214">
        <f>VLOOKUP(Table4[[#This Row],[Visitor]],'NHL Model'!$A$6:$B$38,2,FALSE)</f>
        <v>-0.52437726201848234</v>
      </c>
      <c r="J1214">
        <f ca="1">($B$1+Table4[[#This Row],[Home Differential]])-Table4[[#This Row],[Away Differential]]</f>
        <v>1.2463907350547538</v>
      </c>
      <c r="K1214" t="str">
        <f ca="1">IF(Table4[[#This Row],[HomeIce Differential]]&gt;0,Table4[[#This Row],[Home]],Table4[[#This Row],[Visitor]])</f>
        <v>New Jersey Devils</v>
      </c>
      <c r="L1214" s="11">
        <f ca="1"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0.75603156851580056</v>
      </c>
      <c r="M1214" t="str">
        <f ca="1">IF(OR((NHL2025_26Results[[#This Row],[Winning Team]]="")),"-",IF(Table4[[#This Row],[Predicted Winner]]=NHL2025_26Results[[#This Row],[Winning Team]],"YES","NO"))</f>
        <v>-</v>
      </c>
      <c r="N1214" t="str">
        <f ca="1">IF(Table4[[#This Row],[Adjusted Correct]]="-", "",IF(Table4[[#This Row],[Adjusted Correct]]="YES",(Table4[[#This Row],[Strength of Win]]-1)^2,(Table4[[#This Row],[Strength of Win]]-0)^2))</f>
        <v/>
      </c>
      <c r="P1214" s="11"/>
    </row>
    <row r="1215" spans="4:16" x14ac:dyDescent="0.2">
      <c r="D1215" s="1">
        <v>46116</v>
      </c>
      <c r="E1215" s="2">
        <v>0.52083333333333337</v>
      </c>
      <c r="F1215" t="s">
        <v>15</v>
      </c>
      <c r="G1215">
        <f>VLOOKUP(Table4[[#This Row],[Home]],'NHL Model'!$A$6:$B$38,2,FALSE)</f>
        <v>-0.30719665303039001</v>
      </c>
      <c r="H1215" t="s">
        <v>26</v>
      </c>
      <c r="I1215">
        <f>VLOOKUP(Table4[[#This Row],[Visitor]],'NHL Model'!$A$6:$B$38,2,FALSE)</f>
        <v>-0.513643833119658</v>
      </c>
      <c r="J1215">
        <f ca="1">($B$1+Table4[[#This Row],[Home Differential]])-Table4[[#This Row],[Away Differential]]</f>
        <v>0.36901948975158638</v>
      </c>
      <c r="K1215" t="str">
        <f ca="1">IF(Table4[[#This Row],[HomeIce Differential]]&gt;0,Table4[[#This Row],[Home]],Table4[[#This Row],[Visitor]])</f>
        <v>New York Rangers</v>
      </c>
      <c r="L1215" s="11">
        <f ca="1"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0.54403145604216463</v>
      </c>
      <c r="M1215" t="str">
        <f ca="1">IF(OR((NHL2025_26Results[[#This Row],[Winning Team]]="")),"-",IF(Table4[[#This Row],[Predicted Winner]]=NHL2025_26Results[[#This Row],[Winning Team]],"YES","NO"))</f>
        <v>-</v>
      </c>
      <c r="N1215" t="str">
        <f ca="1">IF(Table4[[#This Row],[Adjusted Correct]]="-", "",IF(Table4[[#This Row],[Adjusted Correct]]="YES",(Table4[[#This Row],[Strength of Win]]-1)^2,(Table4[[#This Row],[Strength of Win]]-0)^2))</f>
        <v/>
      </c>
      <c r="P1215" s="11"/>
    </row>
    <row r="1216" spans="4:16" x14ac:dyDescent="0.2">
      <c r="D1216" s="1">
        <v>46116</v>
      </c>
      <c r="E1216" s="2">
        <v>0.54166666666666663</v>
      </c>
      <c r="F1216" t="s">
        <v>36</v>
      </c>
      <c r="G1216">
        <f>VLOOKUP(Table4[[#This Row],[Home]],'NHL Model'!$A$6:$B$38,2,FALSE)</f>
        <v>-0.40651947573390851</v>
      </c>
      <c r="H1216" t="s">
        <v>34</v>
      </c>
      <c r="I1216">
        <f>VLOOKUP(Table4[[#This Row],[Visitor]],'NHL Model'!$A$6:$B$38,2,FALSE)</f>
        <v>-0.53650300840565446</v>
      </c>
      <c r="J1216">
        <f ca="1">($B$1+Table4[[#This Row],[Home Differential]])-Table4[[#This Row],[Away Differential]]</f>
        <v>0.29255584233406434</v>
      </c>
      <c r="K1216" t="str">
        <f ca="1">IF(Table4[[#This Row],[HomeIce Differential]]&gt;0,Table4[[#This Row],[Home]],Table4[[#This Row],[Visitor]])</f>
        <v>Ottawa Senators</v>
      </c>
      <c r="L1216" s="11">
        <f ca="1"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0.58303162588966773</v>
      </c>
      <c r="M1216" t="str">
        <f ca="1">IF(OR((NHL2025_26Results[[#This Row],[Winning Team]]="")),"-",IF(Table4[[#This Row],[Predicted Winner]]=NHL2025_26Results[[#This Row],[Winning Team]],"YES","NO"))</f>
        <v>-</v>
      </c>
      <c r="N1216" t="str">
        <f ca="1">IF(Table4[[#This Row],[Adjusted Correct]]="-", "",IF(Table4[[#This Row],[Adjusted Correct]]="YES",(Table4[[#This Row],[Strength of Win]]-1)^2,(Table4[[#This Row],[Strength of Win]]-0)^2))</f>
        <v/>
      </c>
      <c r="P1216" s="11"/>
    </row>
    <row r="1217" spans="4:16" x14ac:dyDescent="0.2">
      <c r="D1217" s="1">
        <v>46116</v>
      </c>
      <c r="E1217" s="2">
        <v>0.70833333333333337</v>
      </c>
      <c r="F1217" t="s">
        <v>14</v>
      </c>
      <c r="G1217">
        <f>VLOOKUP(Table4[[#This Row],[Home]],'NHL Model'!$A$6:$B$38,2,FALSE)</f>
        <v>0.26289091192875702</v>
      </c>
      <c r="H1217" t="s">
        <v>11</v>
      </c>
      <c r="I1217">
        <f>VLOOKUP(Table4[[#This Row],[Visitor]],'NHL Model'!$A$6:$B$38,2,FALSE)</f>
        <v>-0.28105923893144158</v>
      </c>
      <c r="J1217">
        <f ca="1">($B$1+Table4[[#This Row],[Home Differential]])-Table4[[#This Row],[Away Differential]]</f>
        <v>0.70652246052251699</v>
      </c>
      <c r="K1217" t="str">
        <f ca="1">IF(Table4[[#This Row],[HomeIce Differential]]&gt;0,Table4[[#This Row],[Home]],Table4[[#This Row],[Visitor]])</f>
        <v>Pittsburgh Penguins</v>
      </c>
      <c r="L1217" s="11">
        <f ca="1"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0.6739316746385321</v>
      </c>
      <c r="M1217" t="str">
        <f ca="1">IF(OR((NHL2025_26Results[[#This Row],[Winning Team]]="")),"-",IF(Table4[[#This Row],[Predicted Winner]]=NHL2025_26Results[[#This Row],[Winning Team]],"YES","NO"))</f>
        <v>-</v>
      </c>
      <c r="N1217" t="str">
        <f ca="1">IF(Table4[[#This Row],[Adjusted Correct]]="-", "",IF(Table4[[#This Row],[Adjusted Correct]]="YES",(Table4[[#This Row],[Strength of Win]]-1)^2,(Table4[[#This Row],[Strength of Win]]-0)^2))</f>
        <v/>
      </c>
      <c r="P1217" s="11"/>
    </row>
    <row r="1218" spans="4:16" x14ac:dyDescent="0.2">
      <c r="D1218" s="1">
        <v>46116</v>
      </c>
      <c r="E1218" s="2">
        <v>0.91666666666666663</v>
      </c>
      <c r="F1218" t="s">
        <v>32</v>
      </c>
      <c r="G1218">
        <f>VLOOKUP(Table4[[#This Row],[Home]],'NHL Model'!$A$6:$B$38,2,FALSE)</f>
        <v>-0.361361309178443</v>
      </c>
      <c r="H1218" t="s">
        <v>10</v>
      </c>
      <c r="I1218">
        <f>VLOOKUP(Table4[[#This Row],[Visitor]],'NHL Model'!$A$6:$B$38,2,FALSE)</f>
        <v>0.30570968833820172</v>
      </c>
      <c r="J1218">
        <f ca="1">($B$1+Table4[[#This Row],[Home Differential]])-Table4[[#This Row],[Away Differential]]</f>
        <v>-0.50449868785432628</v>
      </c>
      <c r="K1218" t="str">
        <f ca="1">IF(Table4[[#This Row],[HomeIce Differential]]&gt;0,Table4[[#This Row],[Home]],Table4[[#This Row],[Visitor]])</f>
        <v>Chicago Blackhawks</v>
      </c>
      <c r="L1218" s="11">
        <f ca="1"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0.5244481187693546</v>
      </c>
      <c r="M1218" t="str">
        <f ca="1">IF(OR((NHL2025_26Results[[#This Row],[Winning Team]]="")),"-",IF(Table4[[#This Row],[Predicted Winner]]=NHL2025_26Results[[#This Row],[Winning Team]],"YES","NO"))</f>
        <v>-</v>
      </c>
      <c r="N1218" t="str">
        <f ca="1">IF(Table4[[#This Row],[Adjusted Correct]]="-", "",IF(Table4[[#This Row],[Adjusted Correct]]="YES",(Table4[[#This Row],[Strength of Win]]-1)^2,(Table4[[#This Row],[Strength of Win]]-0)^2))</f>
        <v/>
      </c>
      <c r="P1218" s="11"/>
    </row>
    <row r="1219" spans="4:16" x14ac:dyDescent="0.2">
      <c r="D1219" s="1">
        <v>46116</v>
      </c>
      <c r="E1219" s="2">
        <v>0.91666666666666663</v>
      </c>
      <c r="F1219" t="s">
        <v>33</v>
      </c>
      <c r="G1219">
        <f>VLOOKUP(Table4[[#This Row],[Home]],'NHL Model'!$A$6:$B$38,2,FALSE)</f>
        <v>-0.39418177254008485</v>
      </c>
      <c r="H1219" t="s">
        <v>29</v>
      </c>
      <c r="I1219">
        <f>VLOOKUP(Table4[[#This Row],[Visitor]],'NHL Model'!$A$6:$B$38,2,FALSE)</f>
        <v>-1.3516250707060606</v>
      </c>
      <c r="J1219">
        <f ca="1">($B$1+Table4[[#This Row],[Home Differential]])-Table4[[#This Row],[Away Differential]]</f>
        <v>1.1200156078282941</v>
      </c>
      <c r="K1219" t="str">
        <f ca="1">IF(Table4[[#This Row],[HomeIce Differential]]&gt;0,Table4[[#This Row],[Home]],Table4[[#This Row],[Visitor]])</f>
        <v>San Jose Sharks</v>
      </c>
      <c r="L1219" s="11">
        <f ca="1"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0.69518786637985364</v>
      </c>
      <c r="M1219" t="str">
        <f ca="1">IF(OR((NHL2025_26Results[[#This Row],[Winning Team]]="")),"-",IF(Table4[[#This Row],[Predicted Winner]]=NHL2025_26Results[[#This Row],[Winning Team]],"YES","NO"))</f>
        <v>-</v>
      </c>
      <c r="N1219" t="str">
        <f ca="1">IF(Table4[[#This Row],[Adjusted Correct]]="-", "",IF(Table4[[#This Row],[Adjusted Correct]]="YES",(Table4[[#This Row],[Strength of Win]]-1)^2,(Table4[[#This Row],[Strength of Win]]-0)^2))</f>
        <v/>
      </c>
      <c r="P1219" s="11"/>
    </row>
    <row r="1220" spans="4:16" x14ac:dyDescent="0.2">
      <c r="D1220" s="1">
        <v>46116</v>
      </c>
      <c r="E1220" s="2">
        <v>0.70833333333333337</v>
      </c>
      <c r="F1220" t="s">
        <v>37</v>
      </c>
      <c r="G1220">
        <f>VLOOKUP(Table4[[#This Row],[Home]],'NHL Model'!$A$6:$B$38,2,FALSE)</f>
        <v>-0.11309445867623392</v>
      </c>
      <c r="H1220" t="s">
        <v>21</v>
      </c>
      <c r="I1220">
        <f>VLOOKUP(Table4[[#This Row],[Visitor]],'NHL Model'!$A$6:$B$38,2,FALSE)</f>
        <v>4.029141914856392E-2</v>
      </c>
      <c r="J1220">
        <f ca="1">($B$1+Table4[[#This Row],[Home Differential]])-Table4[[#This Row],[Away Differential]]</f>
        <v>9.1864318375205478E-3</v>
      </c>
      <c r="K1220" t="str">
        <f ca="1">IF(Table4[[#This Row],[HomeIce Differential]]&gt;0,Table4[[#This Row],[Home]],Table4[[#This Row],[Visitor]])</f>
        <v>Tampa Bay Lightning</v>
      </c>
      <c r="L1220" s="11">
        <f ca="1"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0.54127285972315431</v>
      </c>
      <c r="M1220" t="str">
        <f ca="1">IF(OR((NHL2025_26Results[[#This Row],[Winning Team]]="")),"-",IF(Table4[[#This Row],[Predicted Winner]]=NHL2025_26Results[[#This Row],[Winning Team]],"YES","NO"))</f>
        <v>-</v>
      </c>
      <c r="N1220" t="str">
        <f ca="1">IF(Table4[[#This Row],[Adjusted Correct]]="-", "",IF(Table4[[#This Row],[Adjusted Correct]]="YES",(Table4[[#This Row],[Strength of Win]]-1)^2,(Table4[[#This Row],[Strength of Win]]-0)^2))</f>
        <v/>
      </c>
      <c r="P1220" s="11"/>
    </row>
    <row r="1221" spans="4:16" x14ac:dyDescent="0.2">
      <c r="D1221" s="1">
        <v>46116</v>
      </c>
      <c r="E1221" s="2">
        <v>0.79166666666666663</v>
      </c>
      <c r="F1221" t="s">
        <v>38</v>
      </c>
      <c r="G1221">
        <f>VLOOKUP(Table4[[#This Row],[Home]],'NHL Model'!$A$6:$B$38,2,FALSE)</f>
        <v>-0.6902088310934803</v>
      </c>
      <c r="H1221" t="s">
        <v>55</v>
      </c>
      <c r="I1221">
        <f>VLOOKUP(Table4[[#This Row],[Visitor]],'NHL Model'!$A$6:$B$38,2,FALSE)</f>
        <v>-0.12212311954851815</v>
      </c>
      <c r="J1221">
        <f ca="1">($B$1+Table4[[#This Row],[Home Differential]])-Table4[[#This Row],[Away Differential]]</f>
        <v>-0.40551340188264373</v>
      </c>
      <c r="K1221" t="str">
        <f ca="1">IF(Table4[[#This Row],[HomeIce Differential]]&gt;0,Table4[[#This Row],[Home]],Table4[[#This Row],[Visitor]])</f>
        <v>Utah Mammoth</v>
      </c>
      <c r="L1221" s="11">
        <f ca="1"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0.51618739523516655</v>
      </c>
      <c r="M1221" t="str">
        <f ca="1">IF(OR((NHL2025_26Results[[#This Row],[Winning Team]]="")),"-",IF(Table4[[#This Row],[Predicted Winner]]=NHL2025_26Results[[#This Row],[Winning Team]],"YES","NO"))</f>
        <v>-</v>
      </c>
      <c r="N1221" t="str">
        <f ca="1">IF(Table4[[#This Row],[Adjusted Correct]]="-", "",IF(Table4[[#This Row],[Adjusted Correct]]="YES",(Table4[[#This Row],[Strength of Win]]-1)^2,(Table4[[#This Row],[Strength of Win]]-0)^2))</f>
        <v/>
      </c>
      <c r="P1221" s="11"/>
    </row>
    <row r="1222" spans="4:16" x14ac:dyDescent="0.2">
      <c r="D1222" s="1">
        <v>46116</v>
      </c>
      <c r="E1222" s="2">
        <v>0.79166666666666663</v>
      </c>
      <c r="F1222" t="s">
        <v>22</v>
      </c>
      <c r="G1222">
        <f>VLOOKUP(Table4[[#This Row],[Home]],'NHL Model'!$A$6:$B$38,2,FALSE)</f>
        <v>-6.1308839486784707E-2</v>
      </c>
      <c r="H1222" t="s">
        <v>23</v>
      </c>
      <c r="I1222">
        <f>VLOOKUP(Table4[[#This Row],[Visitor]],'NHL Model'!$A$6:$B$38,2,FALSE)</f>
        <v>-0.8683412362501769</v>
      </c>
      <c r="J1222">
        <f ca="1">($B$1+Table4[[#This Row],[Home Differential]])-Table4[[#This Row],[Away Differential]]</f>
        <v>0.96960470642571062</v>
      </c>
      <c r="K1222" t="str">
        <f ca="1">IF(Table4[[#This Row],[HomeIce Differential]]&gt;0,Table4[[#This Row],[Home]],Table4[[#This Row],[Visitor]])</f>
        <v>Washington Capitals</v>
      </c>
      <c r="L1222" s="11">
        <f ca="1"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0.67434713281704428</v>
      </c>
      <c r="M1222" t="str">
        <f ca="1">IF(OR((NHL2025_26Results[[#This Row],[Winning Team]]="")),"-",IF(Table4[[#This Row],[Predicted Winner]]=NHL2025_26Results[[#This Row],[Winning Team]],"YES","NO"))</f>
        <v>-</v>
      </c>
      <c r="N1222" t="str">
        <f ca="1">IF(Table4[[#This Row],[Adjusted Correct]]="-", "",IF(Table4[[#This Row],[Adjusted Correct]]="YES",(Table4[[#This Row],[Strength of Win]]-1)^2,(Table4[[#This Row],[Strength of Win]]-0)^2))</f>
        <v/>
      </c>
      <c r="P1222" s="11"/>
    </row>
    <row r="1223" spans="4:16" x14ac:dyDescent="0.2">
      <c r="D1223" s="1">
        <v>46117</v>
      </c>
      <c r="E1223" s="2">
        <v>0.89583333333333337</v>
      </c>
      <c r="F1223" t="s">
        <v>12</v>
      </c>
      <c r="G1223">
        <f>VLOOKUP(Table4[[#This Row],[Home]],'NHL Model'!$A$6:$B$38,2,FALSE)</f>
        <v>1.5475013591489768</v>
      </c>
      <c r="H1223" t="s">
        <v>35</v>
      </c>
      <c r="I1223">
        <f>VLOOKUP(Table4[[#This Row],[Visitor]],'NHL Model'!$A$6:$B$38,2,FALSE)</f>
        <v>-1.6211574240381006</v>
      </c>
      <c r="J1223">
        <f ca="1">($B$1+Table4[[#This Row],[Home Differential]])-Table4[[#This Row],[Away Differential]]</f>
        <v>3.3312310928493956</v>
      </c>
      <c r="K1223" t="str">
        <f ca="1">IF(Table4[[#This Row],[HomeIce Differential]]&gt;0,Table4[[#This Row],[Home]],Table4[[#This Row],[Visitor]])</f>
        <v>Colorado Avalanche</v>
      </c>
      <c r="L1223" s="11">
        <f ca="1"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1</v>
      </c>
      <c r="M1223" t="str">
        <f ca="1">IF(OR((NHL2025_26Results[[#This Row],[Winning Team]]="")),"-",IF(Table4[[#This Row],[Predicted Winner]]=NHL2025_26Results[[#This Row],[Winning Team]],"YES","NO"))</f>
        <v>-</v>
      </c>
      <c r="N1223" t="str">
        <f ca="1">IF(Table4[[#This Row],[Adjusted Correct]]="-", "",IF(Table4[[#This Row],[Adjusted Correct]]="YES",(Table4[[#This Row],[Strength of Win]]-1)^2,(Table4[[#This Row],[Strength of Win]]-0)^2))</f>
        <v/>
      </c>
      <c r="P1223" s="11"/>
    </row>
    <row r="1224" spans="4:16" x14ac:dyDescent="0.2">
      <c r="D1224" s="1">
        <v>46117</v>
      </c>
      <c r="E1224" s="2">
        <v>0.54166666666666663</v>
      </c>
      <c r="F1224" t="s">
        <v>26</v>
      </c>
      <c r="G1224">
        <f>VLOOKUP(Table4[[#This Row],[Home]],'NHL Model'!$A$6:$B$38,2,FALSE)</f>
        <v>-0.513643833119658</v>
      </c>
      <c r="H1224" t="s">
        <v>34</v>
      </c>
      <c r="I1224">
        <f>VLOOKUP(Table4[[#This Row],[Visitor]],'NHL Model'!$A$6:$B$38,2,FALSE)</f>
        <v>-0.53650300840565446</v>
      </c>
      <c r="J1224">
        <f ca="1">($B$1+Table4[[#This Row],[Home Differential]])-Table4[[#This Row],[Away Differential]]</f>
        <v>0.18543148494831485</v>
      </c>
      <c r="K1224" t="str">
        <f ca="1">IF(Table4[[#This Row],[HomeIce Differential]]&gt;0,Table4[[#This Row],[Home]],Table4[[#This Row],[Visitor]])</f>
        <v>Detroit Red Wings</v>
      </c>
      <c r="L1224" s="11">
        <f ca="1"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0.5917308746835902</v>
      </c>
      <c r="M1224" t="str">
        <f ca="1">IF(OR((NHL2025_26Results[[#This Row],[Winning Team]]="")),"-",IF(Table4[[#This Row],[Predicted Winner]]=NHL2025_26Results[[#This Row],[Winning Team]],"YES","NO"))</f>
        <v>-</v>
      </c>
      <c r="N1224" t="str">
        <f ca="1">IF(Table4[[#This Row],[Adjusted Correct]]="-", "",IF(Table4[[#This Row],[Adjusted Correct]]="YES",(Table4[[#This Row],[Strength of Win]]-1)^2,(Table4[[#This Row],[Strength of Win]]-0)^2))</f>
        <v/>
      </c>
      <c r="P1224" s="11"/>
    </row>
    <row r="1225" spans="4:16" x14ac:dyDescent="0.2">
      <c r="D1225" s="1">
        <v>46117</v>
      </c>
      <c r="E1225" s="2">
        <v>0.79166666666666663</v>
      </c>
      <c r="F1225" t="s">
        <v>18</v>
      </c>
      <c r="G1225">
        <f>VLOOKUP(Table4[[#This Row],[Home]],'NHL Model'!$A$6:$B$38,2,FALSE)</f>
        <v>-0.52437726201848234</v>
      </c>
      <c r="H1225" t="s">
        <v>24</v>
      </c>
      <c r="I1225">
        <f>VLOOKUP(Table4[[#This Row],[Visitor]],'NHL Model'!$A$6:$B$38,2,FALSE)</f>
        <v>0.559441163373953</v>
      </c>
      <c r="J1225">
        <f ca="1">($B$1+Table4[[#This Row],[Home Differential]])-Table4[[#This Row],[Away Differential]]</f>
        <v>-0.92124611573011694</v>
      </c>
      <c r="K1225" t="str">
        <f ca="1">IF(Table4[[#This Row],[HomeIce Differential]]&gt;0,Table4[[#This Row],[Home]],Table4[[#This Row],[Visitor]])</f>
        <v>New Jersey Devils</v>
      </c>
      <c r="L1225" s="11">
        <f ca="1"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0.65396242056670573</v>
      </c>
      <c r="M1225" t="str">
        <f ca="1">IF(OR((NHL2025_26Results[[#This Row],[Winning Team]]="")),"-",IF(Table4[[#This Row],[Predicted Winner]]=NHL2025_26Results[[#This Row],[Winning Team]],"YES","NO"))</f>
        <v>-</v>
      </c>
      <c r="N1225" t="str">
        <f ca="1">IF(Table4[[#This Row],[Adjusted Correct]]="-", "",IF(Table4[[#This Row],[Adjusted Correct]]="YES",(Table4[[#This Row],[Strength of Win]]-1)^2,(Table4[[#This Row],[Strength of Win]]-0)^2))</f>
        <v/>
      </c>
      <c r="P1225" s="11"/>
    </row>
    <row r="1226" spans="4:16" x14ac:dyDescent="0.2">
      <c r="D1226" s="1">
        <v>46117</v>
      </c>
      <c r="E1226" s="2">
        <v>0.79166666666666663</v>
      </c>
      <c r="F1226" t="s">
        <v>15</v>
      </c>
      <c r="G1226">
        <f>VLOOKUP(Table4[[#This Row],[Home]],'NHL Model'!$A$6:$B$38,2,FALSE)</f>
        <v>-0.30719665303039001</v>
      </c>
      <c r="H1226" t="s">
        <v>22</v>
      </c>
      <c r="I1226">
        <f>VLOOKUP(Table4[[#This Row],[Visitor]],'NHL Model'!$A$6:$B$38,2,FALSE)</f>
        <v>-6.1308839486784707E-2</v>
      </c>
      <c r="J1226">
        <f ca="1">($B$1+Table4[[#This Row],[Home Differential]])-Table4[[#This Row],[Away Differential]]</f>
        <v>-8.3315503881286918E-2</v>
      </c>
      <c r="K1226" t="str">
        <f ca="1">IF(Table4[[#This Row],[HomeIce Differential]]&gt;0,Table4[[#This Row],[Home]],Table4[[#This Row],[Visitor]])</f>
        <v>Washington Capitals</v>
      </c>
      <c r="L1226" s="11">
        <f ca="1"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0.47154408491571803</v>
      </c>
      <c r="M1226" t="str">
        <f ca="1">IF(OR((NHL2025_26Results[[#This Row],[Winning Team]]="")),"-",IF(Table4[[#This Row],[Predicted Winner]]=NHL2025_26Results[[#This Row],[Winning Team]],"YES","NO"))</f>
        <v>-</v>
      </c>
      <c r="N1226" t="str">
        <f ca="1">IF(Table4[[#This Row],[Adjusted Correct]]="-", "",IF(Table4[[#This Row],[Adjusted Correct]]="YES",(Table4[[#This Row],[Strength of Win]]-1)^2,(Table4[[#This Row],[Strength of Win]]-0)^2))</f>
        <v/>
      </c>
      <c r="P1226" s="11"/>
    </row>
    <row r="1227" spans="4:16" x14ac:dyDescent="0.2">
      <c r="D1227" s="1">
        <v>46117</v>
      </c>
      <c r="E1227" s="2">
        <v>0.70833333333333337</v>
      </c>
      <c r="F1227" t="s">
        <v>36</v>
      </c>
      <c r="G1227">
        <f>VLOOKUP(Table4[[#This Row],[Home]],'NHL Model'!$A$6:$B$38,2,FALSE)</f>
        <v>-0.40651947573390851</v>
      </c>
      <c r="H1227" t="s">
        <v>25</v>
      </c>
      <c r="I1227">
        <f>VLOOKUP(Table4[[#This Row],[Visitor]],'NHL Model'!$A$6:$B$38,2,FALSE)</f>
        <v>0.67193921242367816</v>
      </c>
      <c r="J1227">
        <f ca="1">($B$1+Table4[[#This Row],[Home Differential]])-Table4[[#This Row],[Away Differential]]</f>
        <v>-0.91588637849526822</v>
      </c>
      <c r="K1227" t="str">
        <f ca="1">IF(Table4[[#This Row],[HomeIce Differential]]&gt;0,Table4[[#This Row],[Home]],Table4[[#This Row],[Visitor]])</f>
        <v>Carolina Hurricanes</v>
      </c>
      <c r="L1227" s="11">
        <f ca="1"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0.6769039930618912</v>
      </c>
      <c r="M1227" t="str">
        <f ca="1">IF(OR((NHL2025_26Results[[#This Row],[Winning Team]]="")),"-",IF(Table4[[#This Row],[Predicted Winner]]=NHL2025_26Results[[#This Row],[Winning Team]],"YES","NO"))</f>
        <v>-</v>
      </c>
      <c r="N1227" t="str">
        <f ca="1">IF(Table4[[#This Row],[Adjusted Correct]]="-", "",IF(Table4[[#This Row],[Adjusted Correct]]="YES",(Table4[[#This Row],[Strength of Win]]-1)^2,(Table4[[#This Row],[Strength of Win]]-0)^2))</f>
        <v/>
      </c>
      <c r="P1227" s="11"/>
    </row>
    <row r="1228" spans="4:16" x14ac:dyDescent="0.2">
      <c r="D1228" s="1">
        <v>46117</v>
      </c>
      <c r="E1228" s="2">
        <v>0.64583333333333337</v>
      </c>
      <c r="F1228" t="s">
        <v>27</v>
      </c>
      <c r="G1228">
        <f>VLOOKUP(Table4[[#This Row],[Home]],'NHL Model'!$A$6:$B$38,2,FALSE)</f>
        <v>-0.51358590497437617</v>
      </c>
      <c r="H1228" t="s">
        <v>21</v>
      </c>
      <c r="I1228">
        <f>VLOOKUP(Table4[[#This Row],[Visitor]],'NHL Model'!$A$6:$B$38,2,FALSE)</f>
        <v>4.029141914856392E-2</v>
      </c>
      <c r="J1228">
        <f ca="1">($B$1+Table4[[#This Row],[Home Differential]])-Table4[[#This Row],[Away Differential]]</f>
        <v>-0.39130501446062171</v>
      </c>
      <c r="K1228" t="str">
        <f ca="1">IF(Table4[[#This Row],[HomeIce Differential]]&gt;0,Table4[[#This Row],[Home]],Table4[[#This Row],[Visitor]])</f>
        <v>Boston Bruins</v>
      </c>
      <c r="L1228" s="11">
        <f ca="1"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0.51172322085076793</v>
      </c>
      <c r="M1228" t="str">
        <f ca="1">IF(OR((NHL2025_26Results[[#This Row],[Winning Team]]="")),"-",IF(Table4[[#This Row],[Predicted Winner]]=NHL2025_26Results[[#This Row],[Winning Team]],"YES","NO"))</f>
        <v>-</v>
      </c>
      <c r="N1228" t="str">
        <f ca="1">IF(Table4[[#This Row],[Adjusted Correct]]="-", "",IF(Table4[[#This Row],[Adjusted Correct]]="YES",(Table4[[#This Row],[Strength of Win]]-1)^2,(Table4[[#This Row],[Strength of Win]]-0)^2))</f>
        <v/>
      </c>
      <c r="P1228" s="11"/>
    </row>
    <row r="1229" spans="4:16" x14ac:dyDescent="0.2">
      <c r="D1229" s="1">
        <v>46117</v>
      </c>
      <c r="E1229" s="2">
        <v>0.625</v>
      </c>
      <c r="F1229" t="s">
        <v>14</v>
      </c>
      <c r="G1229">
        <f>VLOOKUP(Table4[[#This Row],[Home]],'NHL Model'!$A$6:$B$38,2,FALSE)</f>
        <v>0.26289091192875702</v>
      </c>
      <c r="H1229" t="s">
        <v>11</v>
      </c>
      <c r="I1229">
        <f>VLOOKUP(Table4[[#This Row],[Visitor]],'NHL Model'!$A$6:$B$38,2,FALSE)</f>
        <v>-0.28105923893144158</v>
      </c>
      <c r="J1229">
        <f ca="1">($B$1+Table4[[#This Row],[Home Differential]])-Table4[[#This Row],[Away Differential]]</f>
        <v>0.70652246052251699</v>
      </c>
      <c r="K1229" t="str">
        <f ca="1">IF(Table4[[#This Row],[HomeIce Differential]]&gt;0,Table4[[#This Row],[Home]],Table4[[#This Row],[Visitor]])</f>
        <v>Pittsburgh Penguins</v>
      </c>
      <c r="L1229" s="11">
        <f ca="1"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0.6739316746385321</v>
      </c>
      <c r="M1229" t="str">
        <f ca="1">IF(OR((NHL2025_26Results[[#This Row],[Winning Team]]="")),"-",IF(Table4[[#This Row],[Predicted Winner]]=NHL2025_26Results[[#This Row],[Winning Team]],"YES","NO"))</f>
        <v>-</v>
      </c>
      <c r="N1229" t="str">
        <f ca="1">IF(Table4[[#This Row],[Adjusted Correct]]="-", "",IF(Table4[[#This Row],[Adjusted Correct]]="YES",(Table4[[#This Row],[Strength of Win]]-1)^2,(Table4[[#This Row],[Strength of Win]]-0)^2))</f>
        <v/>
      </c>
      <c r="P1229" s="11"/>
    </row>
    <row r="1230" spans="4:16" x14ac:dyDescent="0.2">
      <c r="D1230" s="1">
        <v>46118</v>
      </c>
      <c r="E1230" s="2">
        <v>0.79166666666666663</v>
      </c>
      <c r="F1230" t="s">
        <v>23</v>
      </c>
      <c r="G1230">
        <f>VLOOKUP(Table4[[#This Row],[Home]],'NHL Model'!$A$6:$B$38,2,FALSE)</f>
        <v>-0.8683412362501769</v>
      </c>
      <c r="H1230" t="s">
        <v>37</v>
      </c>
      <c r="I1230">
        <f>VLOOKUP(Table4[[#This Row],[Visitor]],'NHL Model'!$A$6:$B$38,2,FALSE)</f>
        <v>-0.11309445867623392</v>
      </c>
      <c r="J1230">
        <f ca="1">($B$1+Table4[[#This Row],[Home Differential]])-Table4[[#This Row],[Away Differential]]</f>
        <v>-0.59267446791162459</v>
      </c>
      <c r="K1230" t="str">
        <f ca="1">IF(Table4[[#This Row],[HomeIce Differential]]&gt;0,Table4[[#This Row],[Home]],Table4[[#This Row],[Visitor]])</f>
        <v>Tampa Bay Lightning</v>
      </c>
      <c r="L1230" s="11">
        <f ca="1"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0.5892195739944015</v>
      </c>
      <c r="M1230" t="str">
        <f ca="1">IF(OR((NHL2025_26Results[[#This Row],[Winning Team]]="")),"-",IF(Table4[[#This Row],[Predicted Winner]]=NHL2025_26Results[[#This Row],[Winning Team]],"YES","NO"))</f>
        <v>-</v>
      </c>
      <c r="N1230" t="str">
        <f ca="1">IF(Table4[[#This Row],[Adjusted Correct]]="-", "",IF(Table4[[#This Row],[Adjusted Correct]]="YES",(Table4[[#This Row],[Strength of Win]]-1)^2,(Table4[[#This Row],[Strength of Win]]-0)^2))</f>
        <v/>
      </c>
      <c r="P1230" s="11"/>
    </row>
    <row r="1231" spans="4:16" x14ac:dyDescent="0.2">
      <c r="D1231" s="1">
        <v>46118</v>
      </c>
      <c r="E1231" s="2">
        <v>0.9375</v>
      </c>
      <c r="F1231" t="s">
        <v>13</v>
      </c>
      <c r="G1231">
        <f>VLOOKUP(Table4[[#This Row],[Home]],'NHL Model'!$A$6:$B$38,2,FALSE)</f>
        <v>-7.5459708298993802E-2</v>
      </c>
      <c r="H1231" t="s">
        <v>29</v>
      </c>
      <c r="I1231">
        <f>VLOOKUP(Table4[[#This Row],[Visitor]],'NHL Model'!$A$6:$B$38,2,FALSE)</f>
        <v>-1.3516250707060606</v>
      </c>
      <c r="J1231">
        <f ca="1">($B$1+Table4[[#This Row],[Home Differential]])-Table4[[#This Row],[Away Differential]]</f>
        <v>1.4387376720693852</v>
      </c>
      <c r="K1231" t="str">
        <f ca="1">IF(Table4[[#This Row],[HomeIce Differential]]&gt;0,Table4[[#This Row],[Home]],Table4[[#This Row],[Visitor]])</f>
        <v>Los Angeles Kings</v>
      </c>
      <c r="L1231" s="11">
        <f ca="1"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0.73934956981688327</v>
      </c>
      <c r="M1231" t="str">
        <f ca="1">IF(OR((NHL2025_26Results[[#This Row],[Winning Team]]="")),"-",IF(Table4[[#This Row],[Predicted Winner]]=NHL2025_26Results[[#This Row],[Winning Team]],"YES","NO"))</f>
        <v>-</v>
      </c>
      <c r="N1231" t="str">
        <f ca="1">IF(Table4[[#This Row],[Adjusted Correct]]="-", "",IF(Table4[[#This Row],[Adjusted Correct]]="YES",(Table4[[#This Row],[Strength of Win]]-1)^2,(Table4[[#This Row],[Strength of Win]]-0)^2))</f>
        <v/>
      </c>
      <c r="P1231" s="11"/>
    </row>
    <row r="1232" spans="4:16" x14ac:dyDescent="0.2">
      <c r="D1232" s="1">
        <v>46118</v>
      </c>
      <c r="E1232" s="2">
        <v>0.91666666666666663</v>
      </c>
      <c r="F1232" t="s">
        <v>33</v>
      </c>
      <c r="G1232">
        <f>VLOOKUP(Table4[[#This Row],[Home]],'NHL Model'!$A$6:$B$38,2,FALSE)</f>
        <v>-0.39418177254008485</v>
      </c>
      <c r="H1232" t="s">
        <v>10</v>
      </c>
      <c r="I1232">
        <f>VLOOKUP(Table4[[#This Row],[Visitor]],'NHL Model'!$A$6:$B$38,2,FALSE)</f>
        <v>0.30570968833820172</v>
      </c>
      <c r="J1232">
        <f ca="1">($B$1+Table4[[#This Row],[Home Differential]])-Table4[[#This Row],[Away Differential]]</f>
        <v>-0.53731915121596818</v>
      </c>
      <c r="K1232" t="str">
        <f ca="1">IF(Table4[[#This Row],[HomeIce Differential]]&gt;0,Table4[[#This Row],[Home]],Table4[[#This Row],[Visitor]])</f>
        <v>Chicago Blackhawks</v>
      </c>
      <c r="L1232" s="11">
        <f ca="1"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0.55521945455131183</v>
      </c>
      <c r="M1232" t="str">
        <f ca="1">IF(OR((NHL2025_26Results[[#This Row],[Winning Team]]="")),"-",IF(Table4[[#This Row],[Predicted Winner]]=NHL2025_26Results[[#This Row],[Winning Team]],"YES","NO"))</f>
        <v>-</v>
      </c>
      <c r="N1232" t="str">
        <f ca="1">IF(Table4[[#This Row],[Adjusted Correct]]="-", "",IF(Table4[[#This Row],[Adjusted Correct]]="YES",(Table4[[#This Row],[Strength of Win]]-1)^2,(Table4[[#This Row],[Strength of Win]]-0)^2))</f>
        <v/>
      </c>
      <c r="P1232" s="11"/>
    </row>
    <row r="1233" spans="4:16" x14ac:dyDescent="0.2">
      <c r="D1233" s="1">
        <v>46118</v>
      </c>
      <c r="E1233" s="2">
        <v>0.8125</v>
      </c>
      <c r="F1233" t="s">
        <v>40</v>
      </c>
      <c r="G1233">
        <f>VLOOKUP(Table4[[#This Row],[Home]],'NHL Model'!$A$6:$B$38,2,FALSE)</f>
        <v>0.105105258369765</v>
      </c>
      <c r="H1233" t="s">
        <v>32</v>
      </c>
      <c r="I1233">
        <f>VLOOKUP(Table4[[#This Row],[Visitor]],'NHL Model'!$A$6:$B$38,2,FALSE)</f>
        <v>-0.361361309178443</v>
      </c>
      <c r="J1233">
        <f ca="1">($B$1+Table4[[#This Row],[Home Differential]])-Table4[[#This Row],[Away Differential]]</f>
        <v>0.62903887721052643</v>
      </c>
      <c r="K1233" t="str">
        <f ca="1">IF(Table4[[#This Row],[HomeIce Differential]]&gt;0,Table4[[#This Row],[Home]],Table4[[#This Row],[Visitor]])</f>
        <v>Winnipeg Jets</v>
      </c>
      <c r="L1233" s="11">
        <f ca="1"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0.66319565284597071</v>
      </c>
      <c r="M1233" t="str">
        <f ca="1">IF(OR((NHL2025_26Results[[#This Row],[Winning Team]]="")),"-",IF(Table4[[#This Row],[Predicted Winner]]=NHL2025_26Results[[#This Row],[Winning Team]],"YES","NO"))</f>
        <v>-</v>
      </c>
      <c r="N1233" t="str">
        <f ca="1">IF(Table4[[#This Row],[Adjusted Correct]]="-", "",IF(Table4[[#This Row],[Adjusted Correct]]="YES",(Table4[[#This Row],[Strength of Win]]-1)^2,(Table4[[#This Row],[Strength of Win]]-0)^2))</f>
        <v/>
      </c>
      <c r="P1233" s="11"/>
    </row>
    <row r="1234" spans="4:16" x14ac:dyDescent="0.2">
      <c r="D1234" s="1">
        <v>46119</v>
      </c>
      <c r="E1234" s="2">
        <v>0.91666666666666663</v>
      </c>
      <c r="F1234" t="s">
        <v>31</v>
      </c>
      <c r="G1234">
        <f>VLOOKUP(Table4[[#This Row],[Home]],'NHL Model'!$A$6:$B$38,2,FALSE)</f>
        <v>0.51775546328552802</v>
      </c>
      <c r="H1234" t="s">
        <v>29</v>
      </c>
      <c r="I1234">
        <f>VLOOKUP(Table4[[#This Row],[Visitor]],'NHL Model'!$A$6:$B$38,2,FALSE)</f>
        <v>-1.3516250707060606</v>
      </c>
      <c r="J1234">
        <f ca="1">($B$1+Table4[[#This Row],[Home Differential]])-Table4[[#This Row],[Away Differential]]</f>
        <v>2.0319528436539072</v>
      </c>
      <c r="K1234" t="str">
        <f ca="1">IF(Table4[[#This Row],[HomeIce Differential]]&gt;0,Table4[[#This Row],[Home]],Table4[[#This Row],[Visitor]])</f>
        <v>Anaheim Ducks</v>
      </c>
      <c r="L1234" s="11">
        <f ca="1"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0.92587456841635574</v>
      </c>
      <c r="M1234" t="str">
        <f ca="1">IF(OR((NHL2025_26Results[[#This Row],[Winning Team]]="")),"-",IF(Table4[[#This Row],[Predicted Winner]]=NHL2025_26Results[[#This Row],[Winning Team]],"YES","NO"))</f>
        <v>-</v>
      </c>
      <c r="N1234" t="str">
        <f ca="1">IF(Table4[[#This Row],[Adjusted Correct]]="-", "",IF(Table4[[#This Row],[Adjusted Correct]]="YES",(Table4[[#This Row],[Strength of Win]]-1)^2,(Table4[[#This Row],[Strength of Win]]-0)^2))</f>
        <v/>
      </c>
      <c r="P1234" s="11"/>
    </row>
    <row r="1235" spans="4:16" x14ac:dyDescent="0.2">
      <c r="D1235" s="1">
        <v>46119</v>
      </c>
      <c r="E1235" s="2">
        <v>0.79166666666666663</v>
      </c>
      <c r="F1235" t="s">
        <v>25</v>
      </c>
      <c r="G1235">
        <f>VLOOKUP(Table4[[#This Row],[Home]],'NHL Model'!$A$6:$B$38,2,FALSE)</f>
        <v>0.67193921242367816</v>
      </c>
      <c r="H1235" t="s">
        <v>21</v>
      </c>
      <c r="I1235">
        <f>VLOOKUP(Table4[[#This Row],[Visitor]],'NHL Model'!$A$6:$B$38,2,FALSE)</f>
        <v>4.029141914856392E-2</v>
      </c>
      <c r="J1235">
        <f ca="1">($B$1+Table4[[#This Row],[Home Differential]])-Table4[[#This Row],[Away Differential]]</f>
        <v>0.79422010293743261</v>
      </c>
      <c r="K1235" t="str">
        <f ca="1">IF(Table4[[#This Row],[HomeIce Differential]]&gt;0,Table4[[#This Row],[Home]],Table4[[#This Row],[Visitor]])</f>
        <v>Carolina Hurricanes</v>
      </c>
      <c r="L1235" s="11">
        <f ca="1"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0.70176205278723769</v>
      </c>
      <c r="M1235" t="str">
        <f ca="1">IF(OR((NHL2025_26Results[[#This Row],[Winning Team]]="")),"-",IF(Table4[[#This Row],[Predicted Winner]]=NHL2025_26Results[[#This Row],[Winning Team]],"YES","NO"))</f>
        <v>-</v>
      </c>
      <c r="N1235" t="str">
        <f ca="1">IF(Table4[[#This Row],[Adjusted Correct]]="-", "",IF(Table4[[#This Row],[Adjusted Correct]]="YES",(Table4[[#This Row],[Strength of Win]]-1)^2,(Table4[[#This Row],[Strength of Win]]-0)^2))</f>
        <v/>
      </c>
      <c r="P1235" s="11"/>
    </row>
    <row r="1236" spans="4:16" x14ac:dyDescent="0.2">
      <c r="D1236" s="1">
        <v>46119</v>
      </c>
      <c r="E1236" s="2">
        <v>0.83333333333333337</v>
      </c>
      <c r="F1236" t="s">
        <v>39</v>
      </c>
      <c r="G1236">
        <f>VLOOKUP(Table4[[#This Row],[Home]],'NHL Model'!$A$6:$B$38,2,FALSE)</f>
        <v>0.19809534061227302</v>
      </c>
      <c r="H1236" t="s">
        <v>16</v>
      </c>
      <c r="I1236">
        <f>VLOOKUP(Table4[[#This Row],[Visitor]],'NHL Model'!$A$6:$B$38,2,FALSE)</f>
        <v>-1.3903684122795328</v>
      </c>
      <c r="J1236">
        <f ca="1">($B$1+Table4[[#This Row],[Home Differential]])-Table4[[#This Row],[Away Differential]]</f>
        <v>1.7510360625541241</v>
      </c>
      <c r="K1236" t="str">
        <f ca="1">IF(Table4[[#This Row],[HomeIce Differential]]&gt;0,Table4[[#This Row],[Home]],Table4[[#This Row],[Visitor]])</f>
        <v>Dallas Stars</v>
      </c>
      <c r="L1236" s="11">
        <f ca="1"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0.80865895344874372</v>
      </c>
      <c r="M1236" t="str">
        <f ca="1">IF(OR((NHL2025_26Results[[#This Row],[Winning Team]]="")),"-",IF(Table4[[#This Row],[Predicted Winner]]=NHL2025_26Results[[#This Row],[Winning Team]],"YES","NO"))</f>
        <v>-</v>
      </c>
      <c r="N1236" t="str">
        <f ca="1">IF(Table4[[#This Row],[Adjusted Correct]]="-", "",IF(Table4[[#This Row],[Adjusted Correct]]="YES",(Table4[[#This Row],[Strength of Win]]-1)^2,(Table4[[#This Row],[Strength of Win]]-0)^2))</f>
        <v/>
      </c>
      <c r="P1236" s="11"/>
    </row>
    <row r="1237" spans="4:16" x14ac:dyDescent="0.2">
      <c r="D1237" s="1">
        <v>46119</v>
      </c>
      <c r="E1237" s="2">
        <v>0.79166666666666663</v>
      </c>
      <c r="F1237" t="s">
        <v>26</v>
      </c>
      <c r="G1237">
        <f>VLOOKUP(Table4[[#This Row],[Home]],'NHL Model'!$A$6:$B$38,2,FALSE)</f>
        <v>-0.513643833119658</v>
      </c>
      <c r="H1237" t="s">
        <v>28</v>
      </c>
      <c r="I1237">
        <f>VLOOKUP(Table4[[#This Row],[Visitor]],'NHL Model'!$A$6:$B$38,2,FALSE)</f>
        <v>-0.40822279081308277</v>
      </c>
      <c r="J1237">
        <f ca="1">($B$1+Table4[[#This Row],[Home Differential]])-Table4[[#This Row],[Away Differential]]</f>
        <v>5.7151267355743163E-2</v>
      </c>
      <c r="K1237" t="str">
        <f ca="1">IF(Table4[[#This Row],[HomeIce Differential]]&gt;0,Table4[[#This Row],[Home]],Table4[[#This Row],[Visitor]])</f>
        <v>Detroit Red Wings</v>
      </c>
      <c r="L1237" s="11">
        <f ca="1"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0.55337334871036759</v>
      </c>
      <c r="M1237" t="str">
        <f ca="1">IF(OR((NHL2025_26Results[[#This Row],[Winning Team]]="")),"-",IF(Table4[[#This Row],[Predicted Winner]]=NHL2025_26Results[[#This Row],[Winning Team]],"YES","NO"))</f>
        <v>-</v>
      </c>
      <c r="N1237" t="str">
        <f ca="1">IF(Table4[[#This Row],[Adjusted Correct]]="-", "",IF(Table4[[#This Row],[Adjusted Correct]]="YES",(Table4[[#This Row],[Strength of Win]]-1)^2,(Table4[[#This Row],[Strength of Win]]-0)^2))</f>
        <v/>
      </c>
      <c r="P1237" s="11"/>
    </row>
    <row r="1238" spans="4:16" x14ac:dyDescent="0.2">
      <c r="D1238" s="1">
        <v>46119</v>
      </c>
      <c r="E1238" s="2">
        <v>0.83333333333333337</v>
      </c>
      <c r="F1238" t="s">
        <v>34</v>
      </c>
      <c r="G1238">
        <f>VLOOKUP(Table4[[#This Row],[Home]],'NHL Model'!$A$6:$B$38,2,FALSE)</f>
        <v>-0.53650300840565446</v>
      </c>
      <c r="H1238" t="s">
        <v>32</v>
      </c>
      <c r="I1238">
        <f>VLOOKUP(Table4[[#This Row],[Visitor]],'NHL Model'!$A$6:$B$38,2,FALSE)</f>
        <v>-0.361361309178443</v>
      </c>
      <c r="J1238">
        <f ca="1">($B$1+Table4[[#This Row],[Home Differential]])-Table4[[#This Row],[Away Differential]]</f>
        <v>-1.2569389564893063E-2</v>
      </c>
      <c r="K1238" t="str">
        <f ca="1">IF(Table4[[#This Row],[HomeIce Differential]]&gt;0,Table4[[#This Row],[Home]],Table4[[#This Row],[Visitor]])</f>
        <v>Seattle Kraken</v>
      </c>
      <c r="L1238" s="11">
        <f ca="1"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0.46174159782652957</v>
      </c>
      <c r="M1238" t="str">
        <f ca="1">IF(OR((NHL2025_26Results[[#This Row],[Winning Team]]="")),"-",IF(Table4[[#This Row],[Predicted Winner]]=NHL2025_26Results[[#This Row],[Winning Team]],"YES","NO"))</f>
        <v>-</v>
      </c>
      <c r="N1238" t="str">
        <f ca="1">IF(Table4[[#This Row],[Adjusted Correct]]="-", "",IF(Table4[[#This Row],[Adjusted Correct]]="YES",(Table4[[#This Row],[Strength of Win]]-1)^2,(Table4[[#This Row],[Strength of Win]]-0)^2))</f>
        <v/>
      </c>
      <c r="P1238" s="11"/>
    </row>
    <row r="1239" spans="4:16" x14ac:dyDescent="0.2">
      <c r="D1239" s="1">
        <v>46119</v>
      </c>
      <c r="E1239" s="2">
        <v>0.79166666666666663</v>
      </c>
      <c r="F1239" t="s">
        <v>18</v>
      </c>
      <c r="G1239">
        <f>VLOOKUP(Table4[[#This Row],[Home]],'NHL Model'!$A$6:$B$38,2,FALSE)</f>
        <v>-0.52437726201848234</v>
      </c>
      <c r="H1239" t="s">
        <v>11</v>
      </c>
      <c r="I1239">
        <f>VLOOKUP(Table4[[#This Row],[Visitor]],'NHL Model'!$A$6:$B$38,2,FALSE)</f>
        <v>-0.28105923893144158</v>
      </c>
      <c r="J1239">
        <f ca="1">($B$1+Table4[[#This Row],[Home Differential]])-Table4[[#This Row],[Away Differential]]</f>
        <v>-8.0745713424722365E-2</v>
      </c>
      <c r="K1239" t="str">
        <f ca="1">IF(Table4[[#This Row],[HomeIce Differential]]&gt;0,Table4[[#This Row],[Home]],Table4[[#This Row],[Visitor]])</f>
        <v>Florida Panthers</v>
      </c>
      <c r="L1239" s="11">
        <f ca="1"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0.47118801818306699</v>
      </c>
      <c r="M1239" t="str">
        <f ca="1">IF(OR((NHL2025_26Results[[#This Row],[Winning Team]]="")),"-",IF(Table4[[#This Row],[Predicted Winner]]=NHL2025_26Results[[#This Row],[Winning Team]],"YES","NO"))</f>
        <v>-</v>
      </c>
      <c r="N1239" t="str">
        <f ca="1">IF(Table4[[#This Row],[Adjusted Correct]]="-", "",IF(Table4[[#This Row],[Adjusted Correct]]="YES",(Table4[[#This Row],[Strength of Win]]-1)^2,(Table4[[#This Row],[Strength of Win]]-0)^2))</f>
        <v/>
      </c>
      <c r="P1239" s="11"/>
    </row>
    <row r="1240" spans="4:16" x14ac:dyDescent="0.2">
      <c r="D1240" s="1">
        <v>46119</v>
      </c>
      <c r="E1240" s="2">
        <v>0.79166666666666663</v>
      </c>
      <c r="F1240" t="s">
        <v>24</v>
      </c>
      <c r="G1240">
        <f>VLOOKUP(Table4[[#This Row],[Home]],'NHL Model'!$A$6:$B$38,2,FALSE)</f>
        <v>0.559441163373953</v>
      </c>
      <c r="H1240" t="s">
        <v>27</v>
      </c>
      <c r="I1240">
        <f>VLOOKUP(Table4[[#This Row],[Visitor]],'NHL Model'!$A$6:$B$38,2,FALSE)</f>
        <v>-0.51358590497437617</v>
      </c>
      <c r="J1240">
        <f ca="1">($B$1+Table4[[#This Row],[Home Differential]])-Table4[[#This Row],[Away Differential]]</f>
        <v>1.2355993780106476</v>
      </c>
      <c r="K1240" t="str">
        <f ca="1">IF(Table4[[#This Row],[HomeIce Differential]]&gt;0,Table4[[#This Row],[Home]],Table4[[#This Row],[Visitor]])</f>
        <v>New Jersey Devils</v>
      </c>
      <c r="L1240" s="11">
        <f ca="1"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0.82663371077721204</v>
      </c>
      <c r="M1240" t="str">
        <f ca="1">IF(OR((NHL2025_26Results[[#This Row],[Winning Team]]="")),"-",IF(Table4[[#This Row],[Predicted Winner]]=NHL2025_26Results[[#This Row],[Winning Team]],"YES","NO"))</f>
        <v>-</v>
      </c>
      <c r="N1240" t="str">
        <f ca="1">IF(Table4[[#This Row],[Adjusted Correct]]="-", "",IF(Table4[[#This Row],[Adjusted Correct]]="YES",(Table4[[#This Row],[Strength of Win]]-1)^2,(Table4[[#This Row],[Strength of Win]]-0)^2))</f>
        <v/>
      </c>
      <c r="P1240" s="11"/>
    </row>
    <row r="1241" spans="4:16" x14ac:dyDescent="0.2">
      <c r="D1241" s="1">
        <v>46119</v>
      </c>
      <c r="E1241" s="2">
        <v>0.79166666666666663</v>
      </c>
      <c r="F1241" t="s">
        <v>36</v>
      </c>
      <c r="G1241">
        <f>VLOOKUP(Table4[[#This Row],[Home]],'NHL Model'!$A$6:$B$38,2,FALSE)</f>
        <v>-0.40651947573390851</v>
      </c>
      <c r="H1241" t="s">
        <v>37</v>
      </c>
      <c r="I1241">
        <f>VLOOKUP(Table4[[#This Row],[Visitor]],'NHL Model'!$A$6:$B$38,2,FALSE)</f>
        <v>-0.11309445867623392</v>
      </c>
      <c r="J1241">
        <f ca="1">($B$1+Table4[[#This Row],[Home Differential]])-Table4[[#This Row],[Away Differential]]</f>
        <v>-0.1308527073953562</v>
      </c>
      <c r="K1241" t="str">
        <f ca="1">IF(Table4[[#This Row],[HomeIce Differential]]&gt;0,Table4[[#This Row],[Home]],Table4[[#This Row],[Visitor]])</f>
        <v>Tampa Bay Lightning</v>
      </c>
      <c r="L1241" s="11">
        <f ca="1"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0.52271793229247143</v>
      </c>
      <c r="M1241" t="str">
        <f ca="1">IF(OR((NHL2025_26Results[[#This Row],[Winning Team]]="")),"-",IF(Table4[[#This Row],[Predicted Winner]]=NHL2025_26Results[[#This Row],[Winning Team]],"YES","NO"))</f>
        <v>-</v>
      </c>
      <c r="N1241" t="str">
        <f ca="1">IF(Table4[[#This Row],[Adjusted Correct]]="-", "",IF(Table4[[#This Row],[Adjusted Correct]]="YES",(Table4[[#This Row],[Strength of Win]]-1)^2,(Table4[[#This Row],[Strength of Win]]-0)^2))</f>
        <v/>
      </c>
      <c r="P1241" s="11"/>
    </row>
    <row r="1242" spans="4:16" x14ac:dyDescent="0.2">
      <c r="D1242" s="1">
        <v>46119</v>
      </c>
      <c r="E1242" s="2">
        <v>0.83333333333333337</v>
      </c>
      <c r="F1242" t="s">
        <v>35</v>
      </c>
      <c r="G1242">
        <f>VLOOKUP(Table4[[#This Row],[Home]],'NHL Model'!$A$6:$B$38,2,FALSE)</f>
        <v>-1.6211574240381006</v>
      </c>
      <c r="H1242" t="s">
        <v>12</v>
      </c>
      <c r="I1242">
        <f>VLOOKUP(Table4[[#This Row],[Visitor]],'NHL Model'!$A$6:$B$38,2,FALSE)</f>
        <v>1.5475013591489768</v>
      </c>
      <c r="J1242">
        <f ca="1">($B$1+Table4[[#This Row],[Home Differential]])-Table4[[#This Row],[Away Differential]]</f>
        <v>-3.0060864735247588</v>
      </c>
      <c r="K1242" t="str">
        <f ca="1">IF(Table4[[#This Row],[HomeIce Differential]]&gt;0,Table4[[#This Row],[Home]],Table4[[#This Row],[Visitor]])</f>
        <v>Colorado Avalanche</v>
      </c>
      <c r="L1242" s="11">
        <f ca="1"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0.94283511538218923</v>
      </c>
      <c r="M1242" t="str">
        <f ca="1">IF(OR((NHL2025_26Results[[#This Row],[Winning Team]]="")),"-",IF(Table4[[#This Row],[Predicted Winner]]=NHL2025_26Results[[#This Row],[Winning Team]],"YES","NO"))</f>
        <v>-</v>
      </c>
      <c r="N1242" t="str">
        <f ca="1">IF(Table4[[#This Row],[Adjusted Correct]]="-", "",IF(Table4[[#This Row],[Adjusted Correct]]="YES",(Table4[[#This Row],[Strength of Win]]-1)^2,(Table4[[#This Row],[Strength of Win]]-0)^2))</f>
        <v/>
      </c>
      <c r="P1242" s="11"/>
    </row>
    <row r="1243" spans="4:16" x14ac:dyDescent="0.2">
      <c r="D1243" s="1">
        <v>46119</v>
      </c>
      <c r="E1243" s="2">
        <v>0.89583333333333337</v>
      </c>
      <c r="F1243" t="s">
        <v>55</v>
      </c>
      <c r="G1243">
        <f>VLOOKUP(Table4[[#This Row],[Home]],'NHL Model'!$A$6:$B$38,2,FALSE)</f>
        <v>-0.12212311954851815</v>
      </c>
      <c r="H1243" t="s">
        <v>17</v>
      </c>
      <c r="I1243">
        <f>VLOOKUP(Table4[[#This Row],[Visitor]],'NHL Model'!$A$6:$B$38,2,FALSE)</f>
        <v>-0.61980804137564283</v>
      </c>
      <c r="J1243">
        <f ca="1">($B$1+Table4[[#This Row],[Home Differential]])-Table4[[#This Row],[Away Differential]]</f>
        <v>0.66025723148944304</v>
      </c>
      <c r="K1243" t="str">
        <f ca="1">IF(Table4[[#This Row],[HomeIce Differential]]&gt;0,Table4[[#This Row],[Home]],Table4[[#This Row],[Visitor]])</f>
        <v>Utah Mammoth</v>
      </c>
      <c r="L1243" s="11">
        <f ca="1"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0.69975686603320186</v>
      </c>
      <c r="M1243" t="str">
        <f ca="1">IF(OR((NHL2025_26Results[[#This Row],[Winning Team]]="")),"-",IF(Table4[[#This Row],[Predicted Winner]]=NHL2025_26Results[[#This Row],[Winning Team]],"YES","NO"))</f>
        <v>-</v>
      </c>
      <c r="N1243" t="str">
        <f ca="1">IF(Table4[[#This Row],[Adjusted Correct]]="-", "",IF(Table4[[#This Row],[Adjusted Correct]]="YES",(Table4[[#This Row],[Strength of Win]]-1)^2,(Table4[[#This Row],[Strength of Win]]-0)^2))</f>
        <v/>
      </c>
      <c r="P1243" s="11"/>
    </row>
    <row r="1244" spans="4:16" x14ac:dyDescent="0.2">
      <c r="D1244" s="1">
        <v>46119</v>
      </c>
      <c r="E1244" s="2">
        <v>0.91666666666666663</v>
      </c>
      <c r="F1244" t="s">
        <v>38</v>
      </c>
      <c r="G1244">
        <f>VLOOKUP(Table4[[#This Row],[Home]],'NHL Model'!$A$6:$B$38,2,FALSE)</f>
        <v>-0.6902088310934803</v>
      </c>
      <c r="H1244" t="s">
        <v>20</v>
      </c>
      <c r="I1244">
        <f>VLOOKUP(Table4[[#This Row],[Visitor]],'NHL Model'!$A$6:$B$38,2,FALSE)</f>
        <v>-6.3745791019188943E-4</v>
      </c>
      <c r="J1244">
        <f ca="1">($B$1+Table4[[#This Row],[Home Differential]])-Table4[[#This Row],[Away Differential]]</f>
        <v>-0.52699906352097003</v>
      </c>
      <c r="K1244" t="str">
        <f ca="1">IF(Table4[[#This Row],[HomeIce Differential]]&gt;0,Table4[[#This Row],[Home]],Table4[[#This Row],[Visitor]])</f>
        <v>Vegas Golden Knights</v>
      </c>
      <c r="L1244" s="11">
        <f ca="1"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0.5537895169870084</v>
      </c>
      <c r="M1244" t="str">
        <f ca="1">IF(OR((NHL2025_26Results[[#This Row],[Winning Team]]="")),"-",IF(Table4[[#This Row],[Predicted Winner]]=NHL2025_26Results[[#This Row],[Winning Team]],"YES","NO"))</f>
        <v>-</v>
      </c>
      <c r="N1244" t="str">
        <f ca="1">IF(Table4[[#This Row],[Adjusted Correct]]="-", "",IF(Table4[[#This Row],[Adjusted Correct]]="YES",(Table4[[#This Row],[Strength of Win]]-1)^2,(Table4[[#This Row],[Strength of Win]]-0)^2))</f>
        <v/>
      </c>
      <c r="P1244" s="11"/>
    </row>
    <row r="1245" spans="4:16" x14ac:dyDescent="0.2">
      <c r="D1245" s="1">
        <v>46120</v>
      </c>
      <c r="E1245" s="2">
        <v>0.79166666666666663</v>
      </c>
      <c r="F1245" t="s">
        <v>15</v>
      </c>
      <c r="G1245">
        <f>VLOOKUP(Table4[[#This Row],[Home]],'NHL Model'!$A$6:$B$38,2,FALSE)</f>
        <v>-0.30719665303039001</v>
      </c>
      <c r="H1245" t="s">
        <v>23</v>
      </c>
      <c r="I1245">
        <f>VLOOKUP(Table4[[#This Row],[Visitor]],'NHL Model'!$A$6:$B$38,2,FALSE)</f>
        <v>-0.8683412362501769</v>
      </c>
      <c r="J1245">
        <f ca="1">($B$1+Table4[[#This Row],[Home Differential]])-Table4[[#This Row],[Away Differential]]</f>
        <v>0.72371689288210528</v>
      </c>
      <c r="K1245" t="str">
        <f ca="1">IF(Table4[[#This Row],[HomeIce Differential]]&gt;0,Table4[[#This Row],[Home]],Table4[[#This Row],[Visitor]])</f>
        <v>New York Rangers</v>
      </c>
      <c r="L1245" s="11">
        <f ca="1"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0.64027724585660351</v>
      </c>
      <c r="M1245" t="str">
        <f ca="1">IF(OR((NHL2025_26Results[[#This Row],[Winning Team]]="")),"-",IF(Table4[[#This Row],[Predicted Winner]]=NHL2025_26Results[[#This Row],[Winning Team]],"YES","NO"))</f>
        <v>-</v>
      </c>
      <c r="N1245" t="str">
        <f ca="1">IF(Table4[[#This Row],[Adjusted Correct]]="-", "",IF(Table4[[#This Row],[Adjusted Correct]]="YES",(Table4[[#This Row],[Strength of Win]]-1)^2,(Table4[[#This Row],[Strength of Win]]-0)^2))</f>
        <v/>
      </c>
      <c r="P1245" s="11"/>
    </row>
    <row r="1246" spans="4:16" x14ac:dyDescent="0.2">
      <c r="D1246" s="1">
        <v>46120</v>
      </c>
      <c r="E1246" s="2">
        <v>0.91666666666666663</v>
      </c>
      <c r="F1246" t="s">
        <v>33</v>
      </c>
      <c r="G1246">
        <f>VLOOKUP(Table4[[#This Row],[Home]],'NHL Model'!$A$6:$B$38,2,FALSE)</f>
        <v>-0.39418177254008485</v>
      </c>
      <c r="H1246" t="s">
        <v>17</v>
      </c>
      <c r="I1246">
        <f>VLOOKUP(Table4[[#This Row],[Visitor]],'NHL Model'!$A$6:$B$38,2,FALSE)</f>
        <v>-0.61980804137564283</v>
      </c>
      <c r="J1246">
        <f ca="1">($B$1+Table4[[#This Row],[Home Differential]])-Table4[[#This Row],[Away Differential]]</f>
        <v>0.38819857849787637</v>
      </c>
      <c r="K1246" t="str">
        <f ca="1">IF(Table4[[#This Row],[HomeIce Differential]]&gt;0,Table4[[#This Row],[Home]],Table4[[#This Row],[Visitor]])</f>
        <v>San Jose Sharks</v>
      </c>
      <c r="L1246" s="11">
        <f ca="1"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0.593788276438031</v>
      </c>
      <c r="M1246" t="str">
        <f ca="1">IF(OR((NHL2025_26Results[[#This Row],[Winning Team]]="")),"-",IF(Table4[[#This Row],[Predicted Winner]]=NHL2025_26Results[[#This Row],[Winning Team]],"YES","NO"))</f>
        <v>-</v>
      </c>
      <c r="N1246" t="str">
        <f ca="1">IF(Table4[[#This Row],[Adjusted Correct]]="-", "",IF(Table4[[#This Row],[Adjusted Correct]]="YES",(Table4[[#This Row],[Strength of Win]]-1)^2,(Table4[[#This Row],[Strength of Win]]-0)^2))</f>
        <v/>
      </c>
      <c r="P1246" s="11"/>
    </row>
    <row r="1247" spans="4:16" x14ac:dyDescent="0.2">
      <c r="D1247" s="1">
        <v>46120</v>
      </c>
      <c r="E1247" s="2">
        <v>0.8125</v>
      </c>
      <c r="F1247" t="s">
        <v>19</v>
      </c>
      <c r="G1247">
        <f>VLOOKUP(Table4[[#This Row],[Home]],'NHL Model'!$A$6:$B$38,2,FALSE)</f>
        <v>-0.635565543477981</v>
      </c>
      <c r="H1247" t="s">
        <v>22</v>
      </c>
      <c r="I1247">
        <f>VLOOKUP(Table4[[#This Row],[Visitor]],'NHL Model'!$A$6:$B$38,2,FALSE)</f>
        <v>-6.1308839486784707E-2</v>
      </c>
      <c r="J1247">
        <f ca="1">($B$1+Table4[[#This Row],[Home Differential]])-Table4[[#This Row],[Away Differential]]</f>
        <v>-0.41168439432887788</v>
      </c>
      <c r="K1247" t="str">
        <f ca="1">IF(Table4[[#This Row],[HomeIce Differential]]&gt;0,Table4[[#This Row],[Home]],Table4[[#This Row],[Visitor]])</f>
        <v>Washington Capitals</v>
      </c>
      <c r="L1247" s="11">
        <f ca="1"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0.51704243970462183</v>
      </c>
      <c r="M1247" t="str">
        <f ca="1">IF(OR((NHL2025_26Results[[#This Row],[Winning Team]]="")),"-",IF(Table4[[#This Row],[Predicted Winner]]=NHL2025_26Results[[#This Row],[Winning Team]],"YES","NO"))</f>
        <v>-</v>
      </c>
      <c r="N1247" t="str">
        <f ca="1">IF(Table4[[#This Row],[Adjusted Correct]]="-", "",IF(Table4[[#This Row],[Adjusted Correct]]="YES",(Table4[[#This Row],[Strength of Win]]-1)^2,(Table4[[#This Row],[Strength of Win]]-0)^2))</f>
        <v/>
      </c>
      <c r="P1247" s="11"/>
    </row>
    <row r="1248" spans="4:16" x14ac:dyDescent="0.2">
      <c r="D1248" s="1">
        <v>46121</v>
      </c>
      <c r="E1248" s="2">
        <v>0.91666666666666663</v>
      </c>
      <c r="F1248" t="s">
        <v>31</v>
      </c>
      <c r="G1248">
        <f>VLOOKUP(Table4[[#This Row],[Home]],'NHL Model'!$A$6:$B$38,2,FALSE)</f>
        <v>0.51775546328552802</v>
      </c>
      <c r="H1248" t="s">
        <v>33</v>
      </c>
      <c r="I1248">
        <f>VLOOKUP(Table4[[#This Row],[Visitor]],'NHL Model'!$A$6:$B$38,2,FALSE)</f>
        <v>-0.39418177254008485</v>
      </c>
      <c r="J1248">
        <f ca="1">($B$1+Table4[[#This Row],[Home Differential]])-Table4[[#This Row],[Away Differential]]</f>
        <v>1.0745095454879312</v>
      </c>
      <c r="K1248" t="str">
        <f ca="1">IF(Table4[[#This Row],[HomeIce Differential]]&gt;0,Table4[[#This Row],[Home]],Table4[[#This Row],[Visitor]])</f>
        <v>Anaheim Ducks</v>
      </c>
      <c r="L1248" s="11">
        <f ca="1"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0.7932125040812249</v>
      </c>
      <c r="M1248" t="str">
        <f ca="1">IF(OR((NHL2025_26Results[[#This Row],[Winning Team]]="")),"-",IF(Table4[[#This Row],[Predicted Winner]]=NHL2025_26Results[[#This Row],[Winning Team]],"YES","NO"))</f>
        <v>-</v>
      </c>
      <c r="N1248" t="str">
        <f ca="1">IF(Table4[[#This Row],[Adjusted Correct]]="-", "",IF(Table4[[#This Row],[Adjusted Correct]]="YES",(Table4[[#This Row],[Strength of Win]]-1)^2,(Table4[[#This Row],[Strength of Win]]-0)^2))</f>
        <v/>
      </c>
      <c r="P1248" s="11"/>
    </row>
    <row r="1249" spans="4:16" x14ac:dyDescent="0.2">
      <c r="D1249" s="1">
        <v>46121</v>
      </c>
      <c r="E1249" s="2">
        <v>0.79166666666666663</v>
      </c>
      <c r="F1249" t="s">
        <v>23</v>
      </c>
      <c r="G1249">
        <f>VLOOKUP(Table4[[#This Row],[Home]],'NHL Model'!$A$6:$B$38,2,FALSE)</f>
        <v>-0.8683412362501769</v>
      </c>
      <c r="H1249" t="s">
        <v>28</v>
      </c>
      <c r="I1249">
        <f>VLOOKUP(Table4[[#This Row],[Visitor]],'NHL Model'!$A$6:$B$38,2,FALSE)</f>
        <v>-0.40822279081308277</v>
      </c>
      <c r="J1249">
        <f ca="1">($B$1+Table4[[#This Row],[Home Differential]])-Table4[[#This Row],[Away Differential]]</f>
        <v>-0.29754613577477573</v>
      </c>
      <c r="K1249" t="str">
        <f ca="1">IF(Table4[[#This Row],[HomeIce Differential]]&gt;0,Table4[[#This Row],[Home]],Table4[[#This Row],[Visitor]])</f>
        <v>Columbus Blue Jackets</v>
      </c>
      <c r="L1249" s="11">
        <f ca="1"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0.52199682584711704</v>
      </c>
      <c r="M1249" t="str">
        <f ca="1">IF(OR((NHL2025_26Results[[#This Row],[Winning Team]]="")),"-",IF(Table4[[#This Row],[Predicted Winner]]=NHL2025_26Results[[#This Row],[Winning Team]],"YES","NO"))</f>
        <v>-</v>
      </c>
      <c r="N1249" t="str">
        <f ca="1">IF(Table4[[#This Row],[Adjusted Correct]]="-", "",IF(Table4[[#This Row],[Adjusted Correct]]="YES",(Table4[[#This Row],[Strength of Win]]-1)^2,(Table4[[#This Row],[Strength of Win]]-0)^2))</f>
        <v/>
      </c>
      <c r="P1249" s="11"/>
    </row>
    <row r="1250" spans="4:16" x14ac:dyDescent="0.2">
      <c r="D1250" s="1">
        <v>46121</v>
      </c>
      <c r="E1250" s="2">
        <v>0.85416666666666663</v>
      </c>
      <c r="F1250" t="s">
        <v>10</v>
      </c>
      <c r="G1250">
        <f>VLOOKUP(Table4[[#This Row],[Home]],'NHL Model'!$A$6:$B$38,2,FALSE)</f>
        <v>0.30570968833820172</v>
      </c>
      <c r="H1250" t="s">
        <v>25</v>
      </c>
      <c r="I1250">
        <f>VLOOKUP(Table4[[#This Row],[Visitor]],'NHL Model'!$A$6:$B$38,2,FALSE)</f>
        <v>0.67193921242367816</v>
      </c>
      <c r="J1250">
        <f ca="1">($B$1+Table4[[#This Row],[Home Differential]])-Table4[[#This Row],[Away Differential]]</f>
        <v>-0.20365721442315804</v>
      </c>
      <c r="K1250" t="str">
        <f ca="1">IF(Table4[[#This Row],[HomeIce Differential]]&gt;0,Table4[[#This Row],[Home]],Table4[[#This Row],[Visitor]])</f>
        <v>Carolina Hurricanes</v>
      </c>
      <c r="L1250" s="11">
        <f ca="1"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0.58070465940792482</v>
      </c>
      <c r="M1250" t="str">
        <f ca="1">IF(OR((NHL2025_26Results[[#This Row],[Winning Team]]="")),"-",IF(Table4[[#This Row],[Predicted Winner]]=NHL2025_26Results[[#This Row],[Winning Team]],"YES","NO"))</f>
        <v>-</v>
      </c>
      <c r="N1250" t="str">
        <f ca="1">IF(Table4[[#This Row],[Adjusted Correct]]="-", "",IF(Table4[[#This Row],[Adjusted Correct]]="YES",(Table4[[#This Row],[Strength of Win]]-1)^2,(Table4[[#This Row],[Strength of Win]]-0)^2))</f>
        <v/>
      </c>
      <c r="P1250" s="11"/>
    </row>
    <row r="1251" spans="4:16" x14ac:dyDescent="0.2">
      <c r="D1251" s="1">
        <v>46121</v>
      </c>
      <c r="E1251" s="2">
        <v>0.875</v>
      </c>
      <c r="F1251" t="s">
        <v>12</v>
      </c>
      <c r="G1251">
        <f>VLOOKUP(Table4[[#This Row],[Home]],'NHL Model'!$A$6:$B$38,2,FALSE)</f>
        <v>1.5475013591489768</v>
      </c>
      <c r="H1251" t="s">
        <v>16</v>
      </c>
      <c r="I1251">
        <f>VLOOKUP(Table4[[#This Row],[Visitor]],'NHL Model'!$A$6:$B$38,2,FALSE)</f>
        <v>-1.3903684122795328</v>
      </c>
      <c r="J1251">
        <f ca="1">($B$1+Table4[[#This Row],[Home Differential]])-Table4[[#This Row],[Away Differential]]</f>
        <v>3.100442081090828</v>
      </c>
      <c r="K1251" t="str">
        <f ca="1">IF(Table4[[#This Row],[HomeIce Differential]]&gt;0,Table4[[#This Row],[Home]],Table4[[#This Row],[Visitor]])</f>
        <v>Colorado Avalanche</v>
      </c>
      <c r="L1251" s="11">
        <f ca="1"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1</v>
      </c>
      <c r="M1251" t="str">
        <f ca="1">IF(OR((NHL2025_26Results[[#This Row],[Winning Team]]="")),"-",IF(Table4[[#This Row],[Predicted Winner]]=NHL2025_26Results[[#This Row],[Winning Team]],"YES","NO"))</f>
        <v>-</v>
      </c>
      <c r="N1251" t="str">
        <f ca="1">IF(Table4[[#This Row],[Adjusted Correct]]="-", "",IF(Table4[[#This Row],[Adjusted Correct]]="YES",(Table4[[#This Row],[Strength of Win]]-1)^2,(Table4[[#This Row],[Strength of Win]]-0)^2))</f>
        <v/>
      </c>
      <c r="P1251" s="11"/>
    </row>
    <row r="1252" spans="4:16" x14ac:dyDescent="0.2">
      <c r="D1252" s="1">
        <v>46121</v>
      </c>
      <c r="E1252" s="2">
        <v>0.875</v>
      </c>
      <c r="F1252" t="s">
        <v>39</v>
      </c>
      <c r="G1252">
        <f>VLOOKUP(Table4[[#This Row],[Home]],'NHL Model'!$A$6:$B$38,2,FALSE)</f>
        <v>0.19809534061227302</v>
      </c>
      <c r="H1252" t="s">
        <v>34</v>
      </c>
      <c r="I1252">
        <f>VLOOKUP(Table4[[#This Row],[Visitor]],'NHL Model'!$A$6:$B$38,2,FALSE)</f>
        <v>-0.53650300840565446</v>
      </c>
      <c r="J1252">
        <f ca="1">($B$1+Table4[[#This Row],[Home Differential]])-Table4[[#This Row],[Away Differential]]</f>
        <v>0.89717065868024592</v>
      </c>
      <c r="K1252" t="str">
        <f ca="1">IF(Table4[[#This Row],[HomeIce Differential]]&gt;0,Table4[[#This Row],[Home]],Table4[[#This Row],[Visitor]])</f>
        <v>Dallas Stars</v>
      </c>
      <c r="L1252" s="11">
        <f ca="1"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0.69034850377590873</v>
      </c>
      <c r="M1252" t="str">
        <f ca="1">IF(OR((NHL2025_26Results[[#This Row],[Winning Team]]="")),"-",IF(Table4[[#This Row],[Predicted Winner]]=NHL2025_26Results[[#This Row],[Winning Team]],"YES","NO"))</f>
        <v>-</v>
      </c>
      <c r="N1252" t="str">
        <f ca="1">IF(Table4[[#This Row],[Adjusted Correct]]="-", "",IF(Table4[[#This Row],[Adjusted Correct]]="YES",(Table4[[#This Row],[Strength of Win]]-1)^2,(Table4[[#This Row],[Strength of Win]]-0)^2))</f>
        <v/>
      </c>
      <c r="P1252" s="11"/>
    </row>
    <row r="1253" spans="4:16" x14ac:dyDescent="0.2">
      <c r="D1253" s="1">
        <v>46121</v>
      </c>
      <c r="E1253" s="2">
        <v>0.77083333333333337</v>
      </c>
      <c r="F1253" t="s">
        <v>26</v>
      </c>
      <c r="G1253">
        <f>VLOOKUP(Table4[[#This Row],[Home]],'NHL Model'!$A$6:$B$38,2,FALSE)</f>
        <v>-0.513643833119658</v>
      </c>
      <c r="H1253" t="s">
        <v>27</v>
      </c>
      <c r="I1253">
        <f>VLOOKUP(Table4[[#This Row],[Visitor]],'NHL Model'!$A$6:$B$38,2,FALSE)</f>
        <v>-0.51358590497437617</v>
      </c>
      <c r="J1253">
        <f ca="1">($B$1+Table4[[#This Row],[Home Differential]])-Table4[[#This Row],[Away Differential]]</f>
        <v>0.16251438151703657</v>
      </c>
      <c r="K1253" t="str">
        <f ca="1">IF(Table4[[#This Row],[HomeIce Differential]]&gt;0,Table4[[#This Row],[Home]],Table4[[#This Row],[Visitor]])</f>
        <v>Detroit Red Wings</v>
      </c>
      <c r="L1253" s="11">
        <f ca="1"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0.58855551144735596</v>
      </c>
      <c r="M1253" t="str">
        <f ca="1">IF(OR((NHL2025_26Results[[#This Row],[Winning Team]]="")),"-",IF(Table4[[#This Row],[Predicted Winner]]=NHL2025_26Results[[#This Row],[Winning Team]],"YES","NO"))</f>
        <v>-</v>
      </c>
      <c r="N1253" t="str">
        <f ca="1">IF(Table4[[#This Row],[Adjusted Correct]]="-", "",IF(Table4[[#This Row],[Adjusted Correct]]="YES",(Table4[[#This Row],[Strength of Win]]-1)^2,(Table4[[#This Row],[Strength of Win]]-0)^2))</f>
        <v/>
      </c>
      <c r="P1253" s="11"/>
    </row>
    <row r="1254" spans="4:16" x14ac:dyDescent="0.2">
      <c r="D1254" s="1">
        <v>46121</v>
      </c>
      <c r="E1254" s="2">
        <v>0.9375</v>
      </c>
      <c r="F1254" t="s">
        <v>13</v>
      </c>
      <c r="G1254">
        <f>VLOOKUP(Table4[[#This Row],[Home]],'NHL Model'!$A$6:$B$38,2,FALSE)</f>
        <v>-7.5459708298993802E-2</v>
      </c>
      <c r="H1254" t="s">
        <v>38</v>
      </c>
      <c r="I1254">
        <f>VLOOKUP(Table4[[#This Row],[Visitor]],'NHL Model'!$A$6:$B$38,2,FALSE)</f>
        <v>-0.6902088310934803</v>
      </c>
      <c r="J1254">
        <f ca="1">($B$1+Table4[[#This Row],[Home Differential]])-Table4[[#This Row],[Away Differential]]</f>
        <v>0.77732143245680485</v>
      </c>
      <c r="K1254" t="str">
        <f ca="1">IF(Table4[[#This Row],[HomeIce Differential]]&gt;0,Table4[[#This Row],[Home]],Table4[[#This Row],[Visitor]])</f>
        <v>Los Angeles Kings</v>
      </c>
      <c r="L1254" s="11">
        <f ca="1"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0.60519205643512552</v>
      </c>
      <c r="M1254" t="str">
        <f ca="1">IF(OR((NHL2025_26Results[[#This Row],[Winning Team]]="")),"-",IF(Table4[[#This Row],[Predicted Winner]]=NHL2025_26Results[[#This Row],[Winning Team]],"YES","NO"))</f>
        <v>-</v>
      </c>
      <c r="N1254" t="str">
        <f ca="1">IF(Table4[[#This Row],[Adjusted Correct]]="-", "",IF(Table4[[#This Row],[Adjusted Correct]]="YES",(Table4[[#This Row],[Strength of Win]]-1)^2,(Table4[[#This Row],[Strength of Win]]-0)^2))</f>
        <v/>
      </c>
      <c r="P1254" s="11"/>
    </row>
    <row r="1255" spans="4:16" x14ac:dyDescent="0.2">
      <c r="D1255" s="1">
        <v>46121</v>
      </c>
      <c r="E1255" s="2">
        <v>0.79166666666666663</v>
      </c>
      <c r="F1255" t="s">
        <v>18</v>
      </c>
      <c r="G1255">
        <f>VLOOKUP(Table4[[#This Row],[Home]],'NHL Model'!$A$6:$B$38,2,FALSE)</f>
        <v>-0.52437726201848234</v>
      </c>
      <c r="H1255" t="s">
        <v>37</v>
      </c>
      <c r="I1255">
        <f>VLOOKUP(Table4[[#This Row],[Visitor]],'NHL Model'!$A$6:$B$38,2,FALSE)</f>
        <v>-0.11309445867623392</v>
      </c>
      <c r="J1255">
        <f ca="1">($B$1+Table4[[#This Row],[Home Differential]])-Table4[[#This Row],[Away Differential]]</f>
        <v>-0.24871049367993003</v>
      </c>
      <c r="K1255" t="str">
        <f ca="1">IF(Table4[[#This Row],[HomeIce Differential]]&gt;0,Table4[[#This Row],[Home]],Table4[[#This Row],[Visitor]])</f>
        <v>Tampa Bay Lightning</v>
      </c>
      <c r="L1255" s="11">
        <f ca="1"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0.5415603852300116</v>
      </c>
      <c r="M1255" t="str">
        <f ca="1">IF(OR((NHL2025_26Results[[#This Row],[Winning Team]]="")),"-",IF(Table4[[#This Row],[Predicted Winner]]=NHL2025_26Results[[#This Row],[Winning Team]],"YES","NO"))</f>
        <v>-</v>
      </c>
      <c r="N1255" t="str">
        <f ca="1">IF(Table4[[#This Row],[Adjusted Correct]]="-", "",IF(Table4[[#This Row],[Adjusted Correct]]="YES",(Table4[[#This Row],[Strength of Win]]-1)^2,(Table4[[#This Row],[Strength of Win]]-0)^2))</f>
        <v/>
      </c>
      <c r="P1255" s="11"/>
    </row>
    <row r="1256" spans="4:16" x14ac:dyDescent="0.2">
      <c r="D1256" s="1">
        <v>46121</v>
      </c>
      <c r="E1256" s="2">
        <v>0.79166666666666663</v>
      </c>
      <c r="F1256" t="s">
        <v>24</v>
      </c>
      <c r="G1256">
        <f>VLOOKUP(Table4[[#This Row],[Home]],'NHL Model'!$A$6:$B$38,2,FALSE)</f>
        <v>0.559441163373953</v>
      </c>
      <c r="H1256" t="s">
        <v>14</v>
      </c>
      <c r="I1256">
        <f>VLOOKUP(Table4[[#This Row],[Visitor]],'NHL Model'!$A$6:$B$38,2,FALSE)</f>
        <v>0.26289091192875702</v>
      </c>
      <c r="J1256">
        <f ca="1">($B$1+Table4[[#This Row],[Home Differential]])-Table4[[#This Row],[Away Differential]]</f>
        <v>0.45912256110751437</v>
      </c>
      <c r="K1256" t="str">
        <f ca="1">IF(Table4[[#This Row],[HomeIce Differential]]&gt;0,Table4[[#This Row],[Home]],Table4[[#This Row],[Visitor]])</f>
        <v>New Jersey Devils</v>
      </c>
      <c r="L1256" s="11">
        <f ca="1"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0.71904612033080206</v>
      </c>
      <c r="M1256" t="str">
        <f ca="1">IF(OR((NHL2025_26Results[[#This Row],[Winning Team]]="")),"-",IF(Table4[[#This Row],[Predicted Winner]]=NHL2025_26Results[[#This Row],[Winning Team]],"YES","NO"))</f>
        <v>-</v>
      </c>
      <c r="N1256" t="str">
        <f ca="1">IF(Table4[[#This Row],[Adjusted Correct]]="-", "",IF(Table4[[#This Row],[Adjusted Correct]]="YES",(Table4[[#This Row],[Strength of Win]]-1)^2,(Table4[[#This Row],[Strength of Win]]-0)^2))</f>
        <v/>
      </c>
      <c r="P1256" s="11"/>
    </row>
    <row r="1257" spans="4:16" x14ac:dyDescent="0.2">
      <c r="D1257" s="1">
        <v>46121</v>
      </c>
      <c r="E1257" s="2">
        <v>0.79166666666666663</v>
      </c>
      <c r="F1257" t="s">
        <v>30</v>
      </c>
      <c r="G1257">
        <f>VLOOKUP(Table4[[#This Row],[Home]],'NHL Model'!$A$6:$B$38,2,FALSE)</f>
        <v>-6.4729560818359025E-2</v>
      </c>
      <c r="H1257" t="s">
        <v>19</v>
      </c>
      <c r="I1257">
        <f>VLOOKUP(Table4[[#This Row],[Visitor]],'NHL Model'!$A$6:$B$38,2,FALSE)</f>
        <v>-0.635565543477981</v>
      </c>
      <c r="J1257">
        <f ca="1">($B$1+Table4[[#This Row],[Home Differential]])-Table4[[#This Row],[Away Differential]]</f>
        <v>0.73340829232194038</v>
      </c>
      <c r="K1257" t="str">
        <f ca="1">IF(Table4[[#This Row],[HomeIce Differential]]&gt;0,Table4[[#This Row],[Home]],Table4[[#This Row],[Visitor]])</f>
        <v>New York Islanders</v>
      </c>
      <c r="L1257" s="11">
        <f ca="1"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0.64162007321614278</v>
      </c>
      <c r="M1257" t="str">
        <f ca="1">IF(OR((NHL2025_26Results[[#This Row],[Winning Team]]="")),"-",IF(Table4[[#This Row],[Predicted Winner]]=NHL2025_26Results[[#This Row],[Winning Team]],"YES","NO"))</f>
        <v>-</v>
      </c>
      <c r="N1257" t="str">
        <f ca="1">IF(Table4[[#This Row],[Adjusted Correct]]="-", "",IF(Table4[[#This Row],[Adjusted Correct]]="YES",(Table4[[#This Row],[Strength of Win]]-1)^2,(Table4[[#This Row],[Strength of Win]]-0)^2))</f>
        <v/>
      </c>
      <c r="P1257" s="11"/>
    </row>
    <row r="1258" spans="4:16" x14ac:dyDescent="0.2">
      <c r="D1258" s="1">
        <v>46121</v>
      </c>
      <c r="E1258" s="2">
        <v>0.79166666666666663</v>
      </c>
      <c r="F1258" t="s">
        <v>36</v>
      </c>
      <c r="G1258">
        <f>VLOOKUP(Table4[[#This Row],[Home]],'NHL Model'!$A$6:$B$38,2,FALSE)</f>
        <v>-0.40651947573390851</v>
      </c>
      <c r="H1258" t="s">
        <v>11</v>
      </c>
      <c r="I1258">
        <f>VLOOKUP(Table4[[#This Row],[Visitor]],'NHL Model'!$A$6:$B$38,2,FALSE)</f>
        <v>-0.28105923893144158</v>
      </c>
      <c r="J1258">
        <f ca="1">($B$1+Table4[[#This Row],[Home Differential]])-Table4[[#This Row],[Away Differential]]</f>
        <v>3.7112072859851464E-2</v>
      </c>
      <c r="K1258" t="str">
        <f ca="1">IF(Table4[[#This Row],[HomeIce Differential]]&gt;0,Table4[[#This Row],[Home]],Table4[[#This Row],[Visitor]])</f>
        <v>Ottawa Senators</v>
      </c>
      <c r="L1258" s="11">
        <f ca="1"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0.54763767844138567</v>
      </c>
      <c r="M1258" t="str">
        <f ca="1">IF(OR((NHL2025_26Results[[#This Row],[Winning Team]]="")),"-",IF(Table4[[#This Row],[Predicted Winner]]=NHL2025_26Results[[#This Row],[Winning Team]],"YES","NO"))</f>
        <v>-</v>
      </c>
      <c r="N1258" t="str">
        <f ca="1">IF(Table4[[#This Row],[Adjusted Correct]]="-", "",IF(Table4[[#This Row],[Adjusted Correct]]="YES",(Table4[[#This Row],[Strength of Win]]-1)^2,(Table4[[#This Row],[Strength of Win]]-0)^2))</f>
        <v/>
      </c>
      <c r="P1258" s="11"/>
    </row>
    <row r="1259" spans="4:16" x14ac:dyDescent="0.2">
      <c r="D1259" s="1">
        <v>46121</v>
      </c>
      <c r="E1259" s="2">
        <v>0.91666666666666663</v>
      </c>
      <c r="F1259" t="s">
        <v>32</v>
      </c>
      <c r="G1259">
        <f>VLOOKUP(Table4[[#This Row],[Home]],'NHL Model'!$A$6:$B$38,2,FALSE)</f>
        <v>-0.361361309178443</v>
      </c>
      <c r="H1259" t="s">
        <v>20</v>
      </c>
      <c r="I1259">
        <f>VLOOKUP(Table4[[#This Row],[Visitor]],'NHL Model'!$A$6:$B$38,2,FALSE)</f>
        <v>-6.3745791019188943E-4</v>
      </c>
      <c r="J1259">
        <f ca="1">($B$1+Table4[[#This Row],[Home Differential]])-Table4[[#This Row],[Away Differential]]</f>
        <v>-0.19815154160593271</v>
      </c>
      <c r="K1259" t="str">
        <f ca="1">IF(Table4[[#This Row],[HomeIce Differential]]&gt;0,Table4[[#This Row],[Home]],Table4[[#This Row],[Visitor]])</f>
        <v>Vegas Golden Knights</v>
      </c>
      <c r="L1259" s="11">
        <f ca="1"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0.4820010674376079</v>
      </c>
      <c r="M1259" t="str">
        <f ca="1">IF(OR((NHL2025_26Results[[#This Row],[Winning Team]]="")),"-",IF(Table4[[#This Row],[Predicted Winner]]=NHL2025_26Results[[#This Row],[Winning Team]],"YES","NO"))</f>
        <v>-</v>
      </c>
      <c r="N1259" t="str">
        <f ca="1">IF(Table4[[#This Row],[Adjusted Correct]]="-", "",IF(Table4[[#This Row],[Adjusted Correct]]="YES",(Table4[[#This Row],[Strength of Win]]-1)^2,(Table4[[#This Row],[Strength of Win]]-0)^2))</f>
        <v/>
      </c>
      <c r="P1259" s="11"/>
    </row>
    <row r="1260" spans="4:16" x14ac:dyDescent="0.2">
      <c r="D1260" s="1">
        <v>46121</v>
      </c>
      <c r="E1260" s="2">
        <v>0.83333333333333337</v>
      </c>
      <c r="F1260" t="s">
        <v>35</v>
      </c>
      <c r="G1260">
        <f>VLOOKUP(Table4[[#This Row],[Home]],'NHL Model'!$A$6:$B$38,2,FALSE)</f>
        <v>-1.6211574240381006</v>
      </c>
      <c r="H1260" t="s">
        <v>40</v>
      </c>
      <c r="I1260">
        <f>VLOOKUP(Table4[[#This Row],[Visitor]],'NHL Model'!$A$6:$B$38,2,FALSE)</f>
        <v>0.105105258369765</v>
      </c>
      <c r="J1260">
        <f ca="1">($B$1+Table4[[#This Row],[Home Differential]])-Table4[[#This Row],[Away Differential]]</f>
        <v>-1.5636903727455471</v>
      </c>
      <c r="K1260" t="str">
        <f ca="1">IF(Table4[[#This Row],[HomeIce Differential]]&gt;0,Table4[[#This Row],[Home]],Table4[[#This Row],[Visitor]])</f>
        <v>Winnipeg Jets</v>
      </c>
      <c r="L1260" s="11">
        <f ca="1"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0.74297863857060653</v>
      </c>
      <c r="M1260" t="str">
        <f ca="1">IF(OR((NHL2025_26Results[[#This Row],[Winning Team]]="")),"-",IF(Table4[[#This Row],[Predicted Winner]]=NHL2025_26Results[[#This Row],[Winning Team]],"YES","NO"))</f>
        <v>-</v>
      </c>
      <c r="N1260" t="str">
        <f ca="1">IF(Table4[[#This Row],[Adjusted Correct]]="-", "",IF(Table4[[#This Row],[Adjusted Correct]]="YES",(Table4[[#This Row],[Strength of Win]]-1)^2,(Table4[[#This Row],[Strength of Win]]-0)^2))</f>
        <v/>
      </c>
      <c r="P1260" s="11"/>
    </row>
    <row r="1261" spans="4:16" x14ac:dyDescent="0.2">
      <c r="D1261" s="1">
        <v>46121</v>
      </c>
      <c r="E1261" s="2">
        <v>0.875</v>
      </c>
      <c r="F1261" t="s">
        <v>55</v>
      </c>
      <c r="G1261">
        <f>VLOOKUP(Table4[[#This Row],[Home]],'NHL Model'!$A$6:$B$38,2,FALSE)</f>
        <v>-0.12212311954851815</v>
      </c>
      <c r="H1261" t="s">
        <v>29</v>
      </c>
      <c r="I1261">
        <f>VLOOKUP(Table4[[#This Row],[Visitor]],'NHL Model'!$A$6:$B$38,2,FALSE)</f>
        <v>-1.3516250707060606</v>
      </c>
      <c r="J1261">
        <f ca="1">($B$1+Table4[[#This Row],[Home Differential]])-Table4[[#This Row],[Away Differential]]</f>
        <v>1.3920742608198609</v>
      </c>
      <c r="K1261" t="str">
        <f ca="1">IF(Table4[[#This Row],[HomeIce Differential]]&gt;0,Table4[[#This Row],[Home]],Table4[[#This Row],[Visitor]])</f>
        <v>Utah Mammoth</v>
      </c>
      <c r="L1261" s="11">
        <f ca="1"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0.8011564559750245</v>
      </c>
      <c r="M1261" t="str">
        <f ca="1">IF(OR((NHL2025_26Results[[#This Row],[Winning Team]]="")),"-",IF(Table4[[#This Row],[Predicted Winner]]=NHL2025_26Results[[#This Row],[Winning Team]],"YES","NO"))</f>
        <v>-</v>
      </c>
      <c r="N1261" t="str">
        <f ca="1">IF(Table4[[#This Row],[Adjusted Correct]]="-", "",IF(Table4[[#This Row],[Adjusted Correct]]="YES",(Table4[[#This Row],[Strength of Win]]-1)^2,(Table4[[#This Row],[Strength of Win]]-0)^2))</f>
        <v/>
      </c>
      <c r="P1261" s="11"/>
    </row>
    <row r="1262" spans="4:16" x14ac:dyDescent="0.2">
      <c r="D1262" s="1">
        <v>46123</v>
      </c>
      <c r="E1262" s="2">
        <v>0.52083333333333337</v>
      </c>
      <c r="F1262" t="s">
        <v>21</v>
      </c>
      <c r="G1262">
        <f>VLOOKUP(Table4[[#This Row],[Home]],'NHL Model'!$A$6:$B$38,2,FALSE)</f>
        <v>4.029141914856392E-2</v>
      </c>
      <c r="H1262" t="s">
        <v>37</v>
      </c>
      <c r="I1262">
        <f>VLOOKUP(Table4[[#This Row],[Visitor]],'NHL Model'!$A$6:$B$38,2,FALSE)</f>
        <v>-0.11309445867623392</v>
      </c>
      <c r="J1262">
        <f ca="1">($B$1+Table4[[#This Row],[Home Differential]])-Table4[[#This Row],[Away Differential]]</f>
        <v>0.31595818748711624</v>
      </c>
      <c r="K1262" t="str">
        <f ca="1">IF(Table4[[#This Row],[HomeIce Differential]]&gt;0,Table4[[#This Row],[Home]],Table4[[#This Row],[Visitor]])</f>
        <v>Boston Bruins</v>
      </c>
      <c r="L1262" s="11">
        <f ca="1"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0.61070787822455908</v>
      </c>
      <c r="M1262" t="str">
        <f ca="1">IF(OR((NHL2025_26Results[[#This Row],[Winning Team]]="")),"-",IF(Table4[[#This Row],[Predicted Winner]]=NHL2025_26Results[[#This Row],[Winning Team]],"YES","NO"))</f>
        <v>-</v>
      </c>
      <c r="N1262" t="str">
        <f ca="1">IF(Table4[[#This Row],[Adjusted Correct]]="-", "",IF(Table4[[#This Row],[Adjusted Correct]]="YES",(Table4[[#This Row],[Strength of Win]]-1)^2,(Table4[[#This Row],[Strength of Win]]-0)^2))</f>
        <v/>
      </c>
      <c r="P1262" s="11"/>
    </row>
    <row r="1263" spans="4:16" x14ac:dyDescent="0.2">
      <c r="D1263" s="1">
        <v>46123</v>
      </c>
      <c r="E1263" s="2">
        <v>0.70833333333333337</v>
      </c>
      <c r="F1263" t="s">
        <v>10</v>
      </c>
      <c r="G1263">
        <f>VLOOKUP(Table4[[#This Row],[Home]],'NHL Model'!$A$6:$B$38,2,FALSE)</f>
        <v>0.30570968833820172</v>
      </c>
      <c r="H1263" t="s">
        <v>35</v>
      </c>
      <c r="I1263">
        <f>VLOOKUP(Table4[[#This Row],[Visitor]],'NHL Model'!$A$6:$B$38,2,FALSE)</f>
        <v>-1.6211574240381006</v>
      </c>
      <c r="J1263">
        <f ca="1">($B$1+Table4[[#This Row],[Home Differential]])-Table4[[#This Row],[Away Differential]]</f>
        <v>2.0894394220386205</v>
      </c>
      <c r="K1263" t="str">
        <f ca="1">IF(Table4[[#This Row],[HomeIce Differential]]&gt;0,Table4[[#This Row],[Home]],Table4[[#This Row],[Visitor]])</f>
        <v>Chicago Blackhawks</v>
      </c>
      <c r="L1263" s="11">
        <f ca="1"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0.82950993501319004</v>
      </c>
      <c r="M1263" t="str">
        <f ca="1">IF(OR((NHL2025_26Results[[#This Row],[Winning Team]]="")),"-",IF(Table4[[#This Row],[Predicted Winner]]=NHL2025_26Results[[#This Row],[Winning Team]],"YES","NO"))</f>
        <v>-</v>
      </c>
      <c r="N1263" t="str">
        <f ca="1">IF(Table4[[#This Row],[Adjusted Correct]]="-", "",IF(Table4[[#This Row],[Adjusted Correct]]="YES",(Table4[[#This Row],[Strength of Win]]-1)^2,(Table4[[#This Row],[Strength of Win]]-0)^2))</f>
        <v/>
      </c>
      <c r="P1263" s="11"/>
    </row>
    <row r="1264" spans="4:16" x14ac:dyDescent="0.2">
      <c r="D1264" s="1">
        <v>46123</v>
      </c>
      <c r="E1264" s="2">
        <v>0.83333333333333337</v>
      </c>
      <c r="F1264" t="s">
        <v>12</v>
      </c>
      <c r="G1264">
        <f>VLOOKUP(Table4[[#This Row],[Home]],'NHL Model'!$A$6:$B$38,2,FALSE)</f>
        <v>1.5475013591489768</v>
      </c>
      <c r="H1264" t="s">
        <v>20</v>
      </c>
      <c r="I1264">
        <f>VLOOKUP(Table4[[#This Row],[Visitor]],'NHL Model'!$A$6:$B$38,2,FALSE)</f>
        <v>-6.3745791019188943E-4</v>
      </c>
      <c r="J1264">
        <f ca="1">($B$1+Table4[[#This Row],[Home Differential]])-Table4[[#This Row],[Away Differential]]</f>
        <v>1.7107111267214872</v>
      </c>
      <c r="K1264" t="str">
        <f ca="1">IF(Table4[[#This Row],[HomeIce Differential]]&gt;0,Table4[[#This Row],[Home]],Table4[[#This Row],[Visitor]])</f>
        <v>Colorado Avalanche</v>
      </c>
      <c r="L1264" s="11">
        <f ca="1"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0.84572950053514329</v>
      </c>
      <c r="M1264" t="str">
        <f ca="1">IF(OR((NHL2025_26Results[[#This Row],[Winning Team]]="")),"-",IF(Table4[[#This Row],[Predicted Winner]]=NHL2025_26Results[[#This Row],[Winning Team]],"YES","NO"))</f>
        <v>-</v>
      </c>
      <c r="N1264" t="str">
        <f ca="1">IF(Table4[[#This Row],[Adjusted Correct]]="-", "",IF(Table4[[#This Row],[Adjusted Correct]]="YES",(Table4[[#This Row],[Strength of Win]]-1)^2,(Table4[[#This Row],[Strength of Win]]-0)^2))</f>
        <v/>
      </c>
      <c r="P1264" s="11"/>
    </row>
    <row r="1265" spans="4:16" x14ac:dyDescent="0.2">
      <c r="D1265" s="1">
        <v>46123</v>
      </c>
      <c r="E1265" s="2">
        <v>0.70833333333333337</v>
      </c>
      <c r="F1265" t="s">
        <v>39</v>
      </c>
      <c r="G1265">
        <f>VLOOKUP(Table4[[#This Row],[Home]],'NHL Model'!$A$6:$B$38,2,FALSE)</f>
        <v>0.19809534061227302</v>
      </c>
      <c r="H1265" t="s">
        <v>15</v>
      </c>
      <c r="I1265">
        <f>VLOOKUP(Table4[[#This Row],[Visitor]],'NHL Model'!$A$6:$B$38,2,FALSE)</f>
        <v>-0.30719665303039001</v>
      </c>
      <c r="J1265">
        <f ca="1">($B$1+Table4[[#This Row],[Home Differential]])-Table4[[#This Row],[Away Differential]]</f>
        <v>0.66786430330498137</v>
      </c>
      <c r="K1265" t="str">
        <f ca="1">IF(Table4[[#This Row],[HomeIce Differential]]&gt;0,Table4[[#This Row],[Home]],Table4[[#This Row],[Visitor]])</f>
        <v>Dallas Stars</v>
      </c>
      <c r="L1265" s="11">
        <f ca="1"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0.5156153087357922</v>
      </c>
      <c r="M1265" t="str">
        <f ca="1">IF(OR((NHL2025_26Results[[#This Row],[Winning Team]]="")),"-",IF(Table4[[#This Row],[Predicted Winner]]=NHL2025_26Results[[#This Row],[Winning Team]],"YES","NO"))</f>
        <v>-</v>
      </c>
      <c r="N1265" t="str">
        <f ca="1">IF(Table4[[#This Row],[Adjusted Correct]]="-", "",IF(Table4[[#This Row],[Adjusted Correct]]="YES",(Table4[[#This Row],[Strength of Win]]-1)^2,(Table4[[#This Row],[Strength of Win]]-0)^2))</f>
        <v/>
      </c>
      <c r="P1265" s="11"/>
    </row>
    <row r="1266" spans="4:16" x14ac:dyDescent="0.2">
      <c r="D1266" s="1">
        <v>46123</v>
      </c>
      <c r="E1266" s="2">
        <v>0.70833333333333337</v>
      </c>
      <c r="F1266" t="s">
        <v>26</v>
      </c>
      <c r="G1266">
        <f>VLOOKUP(Table4[[#This Row],[Home]],'NHL Model'!$A$6:$B$38,2,FALSE)</f>
        <v>-0.513643833119658</v>
      </c>
      <c r="H1266" t="s">
        <v>24</v>
      </c>
      <c r="I1266">
        <f>VLOOKUP(Table4[[#This Row],[Visitor]],'NHL Model'!$A$6:$B$38,2,FALSE)</f>
        <v>0.559441163373953</v>
      </c>
      <c r="J1266">
        <f ca="1">($B$1+Table4[[#This Row],[Home Differential]])-Table4[[#This Row],[Away Differential]]</f>
        <v>-0.91051268683129261</v>
      </c>
      <c r="K1266" t="str">
        <f ca="1">IF(Table4[[#This Row],[HomeIce Differential]]&gt;0,Table4[[#This Row],[Home]],Table4[[#This Row],[Visitor]])</f>
        <v>New Jersey Devils</v>
      </c>
      <c r="L1266" s="11">
        <f ca="1"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0.62615942152370296</v>
      </c>
      <c r="M1266" t="str">
        <f ca="1">IF(OR((NHL2025_26Results[[#This Row],[Winning Team]]="")),"-",IF(Table4[[#This Row],[Predicted Winner]]=NHL2025_26Results[[#This Row],[Winning Team]],"YES","NO"))</f>
        <v>-</v>
      </c>
      <c r="N1266" t="str">
        <f ca="1">IF(Table4[[#This Row],[Adjusted Correct]]="-", "",IF(Table4[[#This Row],[Adjusted Correct]]="YES",(Table4[[#This Row],[Strength of Win]]-1)^2,(Table4[[#This Row],[Strength of Win]]-0)^2))</f>
        <v/>
      </c>
      <c r="P1266" s="11"/>
    </row>
    <row r="1267" spans="4:16" x14ac:dyDescent="0.2">
      <c r="D1267" s="1">
        <v>46123</v>
      </c>
      <c r="E1267" s="2">
        <v>0.66666666666666663</v>
      </c>
      <c r="F1267" t="s">
        <v>13</v>
      </c>
      <c r="G1267">
        <f>VLOOKUP(Table4[[#This Row],[Home]],'NHL Model'!$A$6:$B$38,2,FALSE)</f>
        <v>-7.5459708298993802E-2</v>
      </c>
      <c r="H1267" t="s">
        <v>17</v>
      </c>
      <c r="I1267">
        <f>VLOOKUP(Table4[[#This Row],[Visitor]],'NHL Model'!$A$6:$B$38,2,FALSE)</f>
        <v>-0.61980804137564283</v>
      </c>
      <c r="J1267">
        <f ca="1">($B$1+Table4[[#This Row],[Home Differential]])-Table4[[#This Row],[Away Differential]]</f>
        <v>0.70692064273896738</v>
      </c>
      <c r="K1267" t="str">
        <f ca="1">IF(Table4[[#This Row],[HomeIce Differential]]&gt;0,Table4[[#This Row],[Home]],Table4[[#This Row],[Visitor]])</f>
        <v>Los Angeles Kings</v>
      </c>
      <c r="L1267" s="11">
        <f ca="1"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0.63794997987506052</v>
      </c>
      <c r="M1267" t="str">
        <f ca="1">IF(OR((NHL2025_26Results[[#This Row],[Winning Team]]="")),"-",IF(Table4[[#This Row],[Predicted Winner]]=NHL2025_26Results[[#This Row],[Winning Team]],"YES","NO"))</f>
        <v>-</v>
      </c>
      <c r="N1267" t="str">
        <f ca="1">IF(Table4[[#This Row],[Adjusted Correct]]="-", "",IF(Table4[[#This Row],[Adjusted Correct]]="YES",(Table4[[#This Row],[Strength of Win]]-1)^2,(Table4[[#This Row],[Strength of Win]]-0)^2))</f>
        <v/>
      </c>
      <c r="P1267" s="11"/>
    </row>
    <row r="1268" spans="4:16" x14ac:dyDescent="0.2">
      <c r="D1268" s="1">
        <v>46123</v>
      </c>
      <c r="E1268" s="2">
        <v>0.79166666666666663</v>
      </c>
      <c r="F1268" t="s">
        <v>18</v>
      </c>
      <c r="G1268">
        <f>VLOOKUP(Table4[[#This Row],[Home]],'NHL Model'!$A$6:$B$38,2,FALSE)</f>
        <v>-0.52437726201848234</v>
      </c>
      <c r="H1268" t="s">
        <v>28</v>
      </c>
      <c r="I1268">
        <f>VLOOKUP(Table4[[#This Row],[Visitor]],'NHL Model'!$A$6:$B$38,2,FALSE)</f>
        <v>-0.40822279081308277</v>
      </c>
      <c r="J1268">
        <f ca="1">($B$1+Table4[[#This Row],[Home Differential]])-Table4[[#This Row],[Away Differential]]</f>
        <v>4.6417838456918825E-2</v>
      </c>
      <c r="K1268" t="str">
        <f ca="1">IF(Table4[[#This Row],[HomeIce Differential]]&gt;0,Table4[[#This Row],[Home]],Table4[[#This Row],[Visitor]])</f>
        <v>Montreal Canadiens</v>
      </c>
      <c r="L1268" s="11">
        <f ca="1"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0.52566236291727286</v>
      </c>
      <c r="M1268" t="str">
        <f ca="1">IF(OR((NHL2025_26Results[[#This Row],[Winning Team]]="")),"-",IF(Table4[[#This Row],[Predicted Winner]]=NHL2025_26Results[[#This Row],[Winning Team]],"YES","NO"))</f>
        <v>-</v>
      </c>
      <c r="N1268" t="str">
        <f ca="1">IF(Table4[[#This Row],[Adjusted Correct]]="-", "",IF(Table4[[#This Row],[Adjusted Correct]]="YES",(Table4[[#This Row],[Strength of Win]]-1)^2,(Table4[[#This Row],[Strength of Win]]-0)^2))</f>
        <v/>
      </c>
      <c r="P1268" s="11"/>
    </row>
    <row r="1269" spans="4:16" x14ac:dyDescent="0.2">
      <c r="D1269" s="1">
        <v>46123</v>
      </c>
      <c r="E1269" s="2">
        <v>0.70833333333333337</v>
      </c>
      <c r="F1269" t="s">
        <v>29</v>
      </c>
      <c r="G1269">
        <f>VLOOKUP(Table4[[#This Row],[Home]],'NHL Model'!$A$6:$B$38,2,FALSE)</f>
        <v>-1.3516250707060606</v>
      </c>
      <c r="H1269" t="s">
        <v>34</v>
      </c>
      <c r="I1269">
        <f>VLOOKUP(Table4[[#This Row],[Visitor]],'NHL Model'!$A$6:$B$38,2,FALSE)</f>
        <v>-0.53650300840565446</v>
      </c>
      <c r="J1269">
        <f ca="1">($B$1+Table4[[#This Row],[Home Differential]])-Table4[[#This Row],[Away Differential]]</f>
        <v>-0.65254975263808779</v>
      </c>
      <c r="K1269" t="str">
        <f ca="1">IF(Table4[[#This Row],[HomeIce Differential]]&gt;0,Table4[[#This Row],[Home]],Table4[[#This Row],[Visitor]])</f>
        <v>Minnesota Wild</v>
      </c>
      <c r="L1269" s="11">
        <f ca="1"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0.55041642197733653</v>
      </c>
      <c r="M1269" t="str">
        <f ca="1">IF(OR((NHL2025_26Results[[#This Row],[Winning Team]]="")),"-",IF(Table4[[#This Row],[Predicted Winner]]=NHL2025_26Results[[#This Row],[Winning Team]],"YES","NO"))</f>
        <v>-</v>
      </c>
      <c r="N1269" t="str">
        <f ca="1">IF(Table4[[#This Row],[Adjusted Correct]]="-", "",IF(Table4[[#This Row],[Adjusted Correct]]="YES",(Table4[[#This Row],[Strength of Win]]-1)^2,(Table4[[#This Row],[Strength of Win]]-0)^2))</f>
        <v/>
      </c>
      <c r="P1269" s="11"/>
    </row>
    <row r="1270" spans="4:16" x14ac:dyDescent="0.2">
      <c r="D1270" s="1">
        <v>46123</v>
      </c>
      <c r="E1270" s="2">
        <v>0.54166666666666663</v>
      </c>
      <c r="F1270" t="s">
        <v>30</v>
      </c>
      <c r="G1270">
        <f>VLOOKUP(Table4[[#This Row],[Home]],'NHL Model'!$A$6:$B$38,2,FALSE)</f>
        <v>-6.4729560818359025E-2</v>
      </c>
      <c r="H1270" t="s">
        <v>36</v>
      </c>
      <c r="I1270">
        <f>VLOOKUP(Table4[[#This Row],[Visitor]],'NHL Model'!$A$6:$B$38,2,FALSE)</f>
        <v>-0.40651947573390851</v>
      </c>
      <c r="J1270">
        <f ca="1">($B$1+Table4[[#This Row],[Home Differential]])-Table4[[#This Row],[Away Differential]]</f>
        <v>0.50436222457786783</v>
      </c>
      <c r="K1270" t="str">
        <f ca="1">IF(Table4[[#This Row],[HomeIce Differential]]&gt;0,Table4[[#This Row],[Home]],Table4[[#This Row],[Visitor]])</f>
        <v>New York Islanders</v>
      </c>
      <c r="L1270" s="11">
        <f ca="1"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0.60988375605461687</v>
      </c>
      <c r="M1270" t="str">
        <f ca="1">IF(OR((NHL2025_26Results[[#This Row],[Winning Team]]="")),"-",IF(Table4[[#This Row],[Predicted Winner]]=NHL2025_26Results[[#This Row],[Winning Team]],"YES","NO"))</f>
        <v>-</v>
      </c>
      <c r="N1270" t="str">
        <f ca="1">IF(Table4[[#This Row],[Adjusted Correct]]="-", "",IF(Table4[[#This Row],[Adjusted Correct]]="YES",(Table4[[#This Row],[Strength of Win]]-1)^2,(Table4[[#This Row],[Strength of Win]]-0)^2))</f>
        <v/>
      </c>
      <c r="P1270" s="11"/>
    </row>
    <row r="1271" spans="4:16" x14ac:dyDescent="0.2">
      <c r="D1271" s="1">
        <v>46123</v>
      </c>
      <c r="E1271" s="2">
        <v>0.625</v>
      </c>
      <c r="F1271" t="s">
        <v>14</v>
      </c>
      <c r="G1271">
        <f>VLOOKUP(Table4[[#This Row],[Home]],'NHL Model'!$A$6:$B$38,2,FALSE)</f>
        <v>0.26289091192875702</v>
      </c>
      <c r="H1271" t="s">
        <v>22</v>
      </c>
      <c r="I1271">
        <f>VLOOKUP(Table4[[#This Row],[Visitor]],'NHL Model'!$A$6:$B$38,2,FALSE)</f>
        <v>-6.1308839486784707E-2</v>
      </c>
      <c r="J1271">
        <f ca="1">($B$1+Table4[[#This Row],[Home Differential]])-Table4[[#This Row],[Away Differential]]</f>
        <v>0.48677206107786014</v>
      </c>
      <c r="K1271" t="str">
        <f ca="1">IF(Table4[[#This Row],[HomeIce Differential]]&gt;0,Table4[[#This Row],[Home]],Table4[[#This Row],[Visitor]])</f>
        <v>Pittsburgh Penguins</v>
      </c>
      <c r="L1271" s="11">
        <f ca="1"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0.64348335285839042</v>
      </c>
      <c r="M1271" t="str">
        <f ca="1">IF(OR((NHL2025_26Results[[#This Row],[Winning Team]]="")),"-",IF(Table4[[#This Row],[Predicted Winner]]=NHL2025_26Results[[#This Row],[Winning Team]],"YES","NO"))</f>
        <v>-</v>
      </c>
      <c r="N1271" t="str">
        <f ca="1">IF(Table4[[#This Row],[Adjusted Correct]]="-", "",IF(Table4[[#This Row],[Adjusted Correct]]="YES",(Table4[[#This Row],[Strength of Win]]-1)^2,(Table4[[#This Row],[Strength of Win]]-0)^2))</f>
        <v/>
      </c>
      <c r="P1271" s="11"/>
    </row>
    <row r="1272" spans="4:16" x14ac:dyDescent="0.2">
      <c r="D1272" s="1">
        <v>46123</v>
      </c>
      <c r="E1272" s="2">
        <v>0.79166666666666663</v>
      </c>
      <c r="F1272" t="s">
        <v>32</v>
      </c>
      <c r="G1272">
        <f>VLOOKUP(Table4[[#This Row],[Home]],'NHL Model'!$A$6:$B$38,2,FALSE)</f>
        <v>-0.361361309178443</v>
      </c>
      <c r="H1272" t="s">
        <v>16</v>
      </c>
      <c r="I1272">
        <f>VLOOKUP(Table4[[#This Row],[Visitor]],'NHL Model'!$A$6:$B$38,2,FALSE)</f>
        <v>-1.3903684122795328</v>
      </c>
      <c r="J1272">
        <f ca="1">($B$1+Table4[[#This Row],[Home Differential]])-Table4[[#This Row],[Away Differential]]</f>
        <v>1.1915794127634083</v>
      </c>
      <c r="K1272" t="str">
        <f ca="1">IF(Table4[[#This Row],[HomeIce Differential]]&gt;0,Table4[[#This Row],[Home]],Table4[[#This Row],[Visitor]])</f>
        <v>Seattle Kraken</v>
      </c>
      <c r="L1272" s="11">
        <f ca="1"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0.73114138743786683</v>
      </c>
      <c r="M1272" t="str">
        <f ca="1">IF(OR((NHL2025_26Results[[#This Row],[Winning Team]]="")),"-",IF(Table4[[#This Row],[Predicted Winner]]=NHL2025_26Results[[#This Row],[Winning Team]],"YES","NO"))</f>
        <v>-</v>
      </c>
      <c r="N1272" t="str">
        <f ca="1">IF(Table4[[#This Row],[Adjusted Correct]]="-", "",IF(Table4[[#This Row],[Adjusted Correct]]="YES",(Table4[[#This Row],[Strength of Win]]-1)^2,(Table4[[#This Row],[Strength of Win]]-0)^2))</f>
        <v/>
      </c>
      <c r="P1272" s="11"/>
    </row>
    <row r="1273" spans="4:16" x14ac:dyDescent="0.2">
      <c r="D1273" s="1">
        <v>46123</v>
      </c>
      <c r="E1273" s="2">
        <v>0.91666666666666663</v>
      </c>
      <c r="F1273" t="s">
        <v>33</v>
      </c>
      <c r="G1273">
        <f>VLOOKUP(Table4[[#This Row],[Home]],'NHL Model'!$A$6:$B$38,2,FALSE)</f>
        <v>-0.39418177254008485</v>
      </c>
      <c r="H1273" t="s">
        <v>38</v>
      </c>
      <c r="I1273">
        <f>VLOOKUP(Table4[[#This Row],[Visitor]],'NHL Model'!$A$6:$B$38,2,FALSE)</f>
        <v>-0.6902088310934803</v>
      </c>
      <c r="J1273">
        <f ca="1">($B$1+Table4[[#This Row],[Home Differential]])-Table4[[#This Row],[Away Differential]]</f>
        <v>0.45859936821571384</v>
      </c>
      <c r="K1273" t="str">
        <f ca="1">IF(Table4[[#This Row],[HomeIce Differential]]&gt;0,Table4[[#This Row],[Home]],Table4[[#This Row],[Visitor]])</f>
        <v>San Jose Sharks</v>
      </c>
      <c r="L1273" s="11">
        <f ca="1"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0.56103035299809589</v>
      </c>
      <c r="M1273" t="str">
        <f ca="1">IF(OR((NHL2025_26Results[[#This Row],[Winning Team]]="")),"-",IF(Table4[[#This Row],[Predicted Winner]]=NHL2025_26Results[[#This Row],[Winning Team]],"YES","NO"))</f>
        <v>-</v>
      </c>
      <c r="N1273" t="str">
        <f ca="1">IF(Table4[[#This Row],[Adjusted Correct]]="-", "",IF(Table4[[#This Row],[Adjusted Correct]]="YES",(Table4[[#This Row],[Strength of Win]]-1)^2,(Table4[[#This Row],[Strength of Win]]-0)^2))</f>
        <v/>
      </c>
      <c r="P1273" s="11"/>
    </row>
    <row r="1274" spans="4:16" x14ac:dyDescent="0.2">
      <c r="D1274" s="1">
        <v>46123</v>
      </c>
      <c r="E1274" s="2">
        <v>0.79166666666666663</v>
      </c>
      <c r="F1274" t="s">
        <v>19</v>
      </c>
      <c r="G1274">
        <f>VLOOKUP(Table4[[#This Row],[Home]],'NHL Model'!$A$6:$B$38,2,FALSE)</f>
        <v>-0.635565543477981</v>
      </c>
      <c r="H1274" t="s">
        <v>11</v>
      </c>
      <c r="I1274">
        <f>VLOOKUP(Table4[[#This Row],[Visitor]],'NHL Model'!$A$6:$B$38,2,FALSE)</f>
        <v>-0.28105923893144158</v>
      </c>
      <c r="J1274">
        <f ca="1">($B$1+Table4[[#This Row],[Home Differential]])-Table4[[#This Row],[Away Differential]]</f>
        <v>-0.19193399488422103</v>
      </c>
      <c r="K1274" t="str">
        <f ca="1">IF(Table4[[#This Row],[HomeIce Differential]]&gt;0,Table4[[#This Row],[Home]],Table4[[#This Row],[Visitor]])</f>
        <v>Florida Panthers</v>
      </c>
      <c r="L1274" s="11">
        <f ca="1"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0.48659411792448021</v>
      </c>
      <c r="M1274" t="str">
        <f ca="1">IF(OR((NHL2025_26Results[[#This Row],[Winning Team]]="")),"-",IF(Table4[[#This Row],[Predicted Winner]]=NHL2025_26Results[[#This Row],[Winning Team]],"YES","NO"))</f>
        <v>-</v>
      </c>
      <c r="N1274" t="str">
        <f ca="1">IF(Table4[[#This Row],[Adjusted Correct]]="-", "",IF(Table4[[#This Row],[Adjusted Correct]]="YES",(Table4[[#This Row],[Strength of Win]]-1)^2,(Table4[[#This Row],[Strength of Win]]-0)^2))</f>
        <v/>
      </c>
      <c r="P1274" s="11"/>
    </row>
    <row r="1275" spans="4:16" x14ac:dyDescent="0.2">
      <c r="D1275" s="1">
        <v>46123</v>
      </c>
      <c r="E1275" s="2">
        <v>0.70833333333333337</v>
      </c>
      <c r="F1275" t="s">
        <v>55</v>
      </c>
      <c r="G1275">
        <f>VLOOKUP(Table4[[#This Row],[Home]],'NHL Model'!$A$6:$B$38,2,FALSE)</f>
        <v>-0.12212311954851815</v>
      </c>
      <c r="H1275" t="s">
        <v>25</v>
      </c>
      <c r="I1275">
        <f>VLOOKUP(Table4[[#This Row],[Visitor]],'NHL Model'!$A$6:$B$38,2,FALSE)</f>
        <v>0.67193921242367816</v>
      </c>
      <c r="J1275">
        <f ca="1">($B$1+Table4[[#This Row],[Home Differential]])-Table4[[#This Row],[Away Differential]]</f>
        <v>-0.63149002230987794</v>
      </c>
      <c r="K1275" t="str">
        <f ca="1">IF(Table4[[#This Row],[HomeIce Differential]]&gt;0,Table4[[#This Row],[Home]],Table4[[#This Row],[Visitor]])</f>
        <v>Carolina Hurricanes</v>
      </c>
      <c r="L1275" s="11">
        <f ca="1"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0.57025703456663401</v>
      </c>
      <c r="M1275" t="str">
        <f ca="1">IF(OR((NHL2025_26Results[[#This Row],[Winning Team]]="")),"-",IF(Table4[[#This Row],[Predicted Winner]]=NHL2025_26Results[[#This Row],[Winning Team]],"YES","NO"))</f>
        <v>-</v>
      </c>
      <c r="N1275" t="str">
        <f ca="1">IF(Table4[[#This Row],[Adjusted Correct]]="-", "",IF(Table4[[#This Row],[Adjusted Correct]]="YES",(Table4[[#This Row],[Strength of Win]]-1)^2,(Table4[[#This Row],[Strength of Win]]-0)^2))</f>
        <v/>
      </c>
      <c r="P1275" s="11"/>
    </row>
    <row r="1276" spans="4:16" x14ac:dyDescent="0.2">
      <c r="D1276" s="1">
        <v>46123</v>
      </c>
      <c r="E1276" s="2">
        <v>0.79166666666666663</v>
      </c>
      <c r="F1276" t="s">
        <v>40</v>
      </c>
      <c r="G1276">
        <f>VLOOKUP(Table4[[#This Row],[Home]],'NHL Model'!$A$6:$B$38,2,FALSE)</f>
        <v>0.105105258369765</v>
      </c>
      <c r="H1276" t="s">
        <v>27</v>
      </c>
      <c r="I1276">
        <f>VLOOKUP(Table4[[#This Row],[Visitor]],'NHL Model'!$A$6:$B$38,2,FALSE)</f>
        <v>-0.51358590497437617</v>
      </c>
      <c r="J1276">
        <f ca="1">($B$1+Table4[[#This Row],[Home Differential]])-Table4[[#This Row],[Away Differential]]</f>
        <v>0.7812634730064596</v>
      </c>
      <c r="K1276" t="str">
        <f ca="1">IF(Table4[[#This Row],[HomeIce Differential]]&gt;0,Table4[[#This Row],[Home]],Table4[[#This Row],[Visitor]])</f>
        <v>Winnipeg Jets</v>
      </c>
      <c r="L1276" s="11">
        <f ca="1"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0.68428768948098884</v>
      </c>
      <c r="M1276" t="str">
        <f ca="1">IF(OR((NHL2025_26Results[[#This Row],[Winning Team]]="")),"-",IF(Table4[[#This Row],[Predicted Winner]]=NHL2025_26Results[[#This Row],[Winning Team]],"YES","NO"))</f>
        <v>-</v>
      </c>
      <c r="N1276" t="str">
        <f ca="1">IF(Table4[[#This Row],[Adjusted Correct]]="-", "",IF(Table4[[#This Row],[Adjusted Correct]]="YES",(Table4[[#This Row],[Strength of Win]]-1)^2,(Table4[[#This Row],[Strength of Win]]-0)^2))</f>
        <v/>
      </c>
      <c r="P1276" s="11"/>
    </row>
    <row r="1277" spans="4:16" x14ac:dyDescent="0.2">
      <c r="D1277" s="1">
        <v>46124</v>
      </c>
      <c r="E1277" s="2">
        <v>0.83333333333333337</v>
      </c>
      <c r="F1277" t="s">
        <v>31</v>
      </c>
      <c r="G1277">
        <f>VLOOKUP(Table4[[#This Row],[Home]],'NHL Model'!$A$6:$B$38,2,FALSE)</f>
        <v>0.51775546328552802</v>
      </c>
      <c r="H1277" t="s">
        <v>38</v>
      </c>
      <c r="I1277">
        <f>VLOOKUP(Table4[[#This Row],[Visitor]],'NHL Model'!$A$6:$B$38,2,FALSE)</f>
        <v>-0.6902088310934803</v>
      </c>
      <c r="J1277">
        <f ca="1">($B$1+Table4[[#This Row],[Home Differential]])-Table4[[#This Row],[Away Differential]]</f>
        <v>1.3705366040413267</v>
      </c>
      <c r="K1277" t="str">
        <f ca="1">IF(Table4[[#This Row],[HomeIce Differential]]&gt;0,Table4[[#This Row],[Home]],Table4[[#This Row],[Visitor]])</f>
        <v>Anaheim Ducks</v>
      </c>
      <c r="L1277" s="11">
        <f ca="1"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0.79429532533705627</v>
      </c>
      <c r="M1277" t="str">
        <f ca="1">IF(OR((NHL2025_26Results[[#This Row],[Winning Team]]="")),"-",IF(Table4[[#This Row],[Predicted Winner]]=NHL2025_26Results[[#This Row],[Winning Team]],"YES","NO"))</f>
        <v>-</v>
      </c>
      <c r="N1277" t="str">
        <f ca="1">IF(Table4[[#This Row],[Adjusted Correct]]="-", "",IF(Table4[[#This Row],[Adjusted Correct]]="YES",(Table4[[#This Row],[Strength of Win]]-1)^2,(Table4[[#This Row],[Strength of Win]]-0)^2))</f>
        <v/>
      </c>
      <c r="P1277" s="11"/>
    </row>
    <row r="1278" spans="4:16" x14ac:dyDescent="0.2">
      <c r="D1278" s="1">
        <v>46124</v>
      </c>
      <c r="E1278" s="2">
        <v>0.75</v>
      </c>
      <c r="F1278" t="s">
        <v>28</v>
      </c>
      <c r="G1278">
        <f>VLOOKUP(Table4[[#This Row],[Home]],'NHL Model'!$A$6:$B$38,2,FALSE)</f>
        <v>-0.40822279081308277</v>
      </c>
      <c r="H1278" t="s">
        <v>21</v>
      </c>
      <c r="I1278">
        <f>VLOOKUP(Table4[[#This Row],[Visitor]],'NHL Model'!$A$6:$B$38,2,FALSE)</f>
        <v>4.029141914856392E-2</v>
      </c>
      <c r="J1278">
        <f ca="1">($B$1+Table4[[#This Row],[Home Differential]])-Table4[[#This Row],[Away Differential]]</f>
        <v>-0.28594190029932831</v>
      </c>
      <c r="K1278" t="str">
        <f ca="1">IF(Table4[[#This Row],[HomeIce Differential]]&gt;0,Table4[[#This Row],[Home]],Table4[[#This Row],[Visitor]])</f>
        <v>Boston Bruins</v>
      </c>
      <c r="L1278" s="11">
        <f ca="1"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0.49961972771263075</v>
      </c>
      <c r="M1278" t="str">
        <f ca="1">IF(OR((NHL2025_26Results[[#This Row],[Winning Team]]="")),"-",IF(Table4[[#This Row],[Predicted Winner]]=NHL2025_26Results[[#This Row],[Winning Team]],"YES","NO"))</f>
        <v>-</v>
      </c>
      <c r="N1278" t="str">
        <f ca="1">IF(Table4[[#This Row],[Adjusted Correct]]="-", "",IF(Table4[[#This Row],[Adjusted Correct]]="YES",(Table4[[#This Row],[Strength of Win]]-1)^2,(Table4[[#This Row],[Strength of Win]]-0)^2))</f>
        <v/>
      </c>
      <c r="P1278" s="11"/>
    </row>
    <row r="1279" spans="4:16" x14ac:dyDescent="0.2">
      <c r="D1279" s="1">
        <v>46124</v>
      </c>
      <c r="E1279" s="2">
        <v>0.875</v>
      </c>
      <c r="F1279" t="s">
        <v>16</v>
      </c>
      <c r="G1279">
        <f>VLOOKUP(Table4[[#This Row],[Home]],'NHL Model'!$A$6:$B$38,2,FALSE)</f>
        <v>-1.3903684122795328</v>
      </c>
      <c r="H1279" t="s">
        <v>55</v>
      </c>
      <c r="I1279">
        <f>VLOOKUP(Table4[[#This Row],[Visitor]],'NHL Model'!$A$6:$B$38,2,FALSE)</f>
        <v>-0.12212311954851815</v>
      </c>
      <c r="J1279">
        <f ca="1">($B$1+Table4[[#This Row],[Home Differential]])-Table4[[#This Row],[Away Differential]]</f>
        <v>-1.1056729830686962</v>
      </c>
      <c r="K1279" t="str">
        <f ca="1">IF(Table4[[#This Row],[HomeIce Differential]]&gt;0,Table4[[#This Row],[Home]],Table4[[#This Row],[Visitor]])</f>
        <v>Utah Mammoth</v>
      </c>
      <c r="L1279" s="11">
        <f ca="1"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0.61320057145362961</v>
      </c>
      <c r="M1279" t="str">
        <f ca="1">IF(OR((NHL2025_26Results[[#This Row],[Winning Team]]="")),"-",IF(Table4[[#This Row],[Predicted Winner]]=NHL2025_26Results[[#This Row],[Winning Team]],"YES","NO"))</f>
        <v>-</v>
      </c>
      <c r="N1279" t="str">
        <f ca="1">IF(Table4[[#This Row],[Adjusted Correct]]="-", "",IF(Table4[[#This Row],[Adjusted Correct]]="YES",(Table4[[#This Row],[Strength of Win]]-1)^2,(Table4[[#This Row],[Strength of Win]]-0)^2))</f>
        <v/>
      </c>
      <c r="P1279" s="11"/>
    </row>
    <row r="1280" spans="4:16" x14ac:dyDescent="0.2">
      <c r="D1280" s="1">
        <v>46124</v>
      </c>
      <c r="E1280" s="2">
        <v>0.79166666666666663</v>
      </c>
      <c r="F1280" t="s">
        <v>24</v>
      </c>
      <c r="G1280">
        <f>VLOOKUP(Table4[[#This Row],[Home]],'NHL Model'!$A$6:$B$38,2,FALSE)</f>
        <v>0.559441163373953</v>
      </c>
      <c r="H1280" t="s">
        <v>36</v>
      </c>
      <c r="I1280">
        <f>VLOOKUP(Table4[[#This Row],[Visitor]],'NHL Model'!$A$6:$B$38,2,FALSE)</f>
        <v>-0.40651947573390851</v>
      </c>
      <c r="J1280">
        <f ca="1">($B$1+Table4[[#This Row],[Home Differential]])-Table4[[#This Row],[Away Differential]]</f>
        <v>1.1285329487701798</v>
      </c>
      <c r="K1280" t="str">
        <f ca="1">IF(Table4[[#This Row],[HomeIce Differential]]&gt;0,Table4[[#This Row],[Home]],Table4[[#This Row],[Visitor]])</f>
        <v>New Jersey Devils</v>
      </c>
      <c r="L1280" s="11">
        <f ca="1"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0.81179872937284125</v>
      </c>
      <c r="M1280" t="str">
        <f ca="1">IF(OR((NHL2025_26Results[[#This Row],[Winning Team]]="")),"-",IF(Table4[[#This Row],[Predicted Winner]]=NHL2025_26Results[[#This Row],[Winning Team]],"YES","NO"))</f>
        <v>-</v>
      </c>
      <c r="N1280" t="str">
        <f ca="1">IF(Table4[[#This Row],[Adjusted Correct]]="-", "",IF(Table4[[#This Row],[Adjusted Correct]]="YES",(Table4[[#This Row],[Strength of Win]]-1)^2,(Table4[[#This Row],[Strength of Win]]-0)^2))</f>
        <v/>
      </c>
      <c r="P1280" s="11"/>
    </row>
    <row r="1281" spans="4:16" x14ac:dyDescent="0.2">
      <c r="D1281" s="1">
        <v>46124</v>
      </c>
      <c r="E1281" s="2">
        <v>0.75</v>
      </c>
      <c r="F1281" t="s">
        <v>30</v>
      </c>
      <c r="G1281">
        <f>VLOOKUP(Table4[[#This Row],[Home]],'NHL Model'!$A$6:$B$38,2,FALSE)</f>
        <v>-6.4729560818359025E-2</v>
      </c>
      <c r="H1281" t="s">
        <v>18</v>
      </c>
      <c r="I1281">
        <f>VLOOKUP(Table4[[#This Row],[Visitor]],'NHL Model'!$A$6:$B$38,2,FALSE)</f>
        <v>-0.52437726201848234</v>
      </c>
      <c r="J1281">
        <f ca="1">($B$1+Table4[[#This Row],[Home Differential]])-Table4[[#This Row],[Away Differential]]</f>
        <v>0.62222001086244172</v>
      </c>
      <c r="K1281" t="str">
        <f ca="1">IF(Table4[[#This Row],[HomeIce Differential]]&gt;0,Table4[[#This Row],[Home]],Table4[[#This Row],[Visitor]])</f>
        <v>New York Islanders</v>
      </c>
      <c r="L1281" s="11">
        <f ca="1"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0.54973328677945066</v>
      </c>
      <c r="M1281" t="str">
        <f ca="1">IF(OR((NHL2025_26Results[[#This Row],[Winning Team]]="")),"-",IF(Table4[[#This Row],[Predicted Winner]]=NHL2025_26Results[[#This Row],[Winning Team]],"YES","NO"))</f>
        <v>-</v>
      </c>
      <c r="N1281" t="str">
        <f ca="1">IF(Table4[[#This Row],[Adjusted Correct]]="-", "",IF(Table4[[#This Row],[Adjusted Correct]]="YES",(Table4[[#This Row],[Strength of Win]]-1)^2,(Table4[[#This Row],[Strength of Win]]-0)^2))</f>
        <v/>
      </c>
      <c r="P1281" s="11"/>
    </row>
    <row r="1282" spans="4:16" x14ac:dyDescent="0.2">
      <c r="D1282" s="1">
        <v>46124</v>
      </c>
      <c r="E1282" s="2">
        <v>0.625</v>
      </c>
      <c r="F1282" t="s">
        <v>22</v>
      </c>
      <c r="G1282">
        <f>VLOOKUP(Table4[[#This Row],[Home]],'NHL Model'!$A$6:$B$38,2,FALSE)</f>
        <v>-6.1308839486784707E-2</v>
      </c>
      <c r="H1282" t="s">
        <v>14</v>
      </c>
      <c r="I1282">
        <f>VLOOKUP(Table4[[#This Row],[Visitor]],'NHL Model'!$A$6:$B$38,2,FALSE)</f>
        <v>0.26289091192875702</v>
      </c>
      <c r="J1282">
        <f ca="1">($B$1+Table4[[#This Row],[Home Differential]])-Table4[[#This Row],[Away Differential]]</f>
        <v>-0.16162744175322333</v>
      </c>
      <c r="K1282" t="str">
        <f ca="1">IF(Table4[[#This Row],[HomeIce Differential]]&gt;0,Table4[[#This Row],[Home]],Table4[[#This Row],[Visitor]])</f>
        <v>Pittsburgh Penguins</v>
      </c>
      <c r="L1282" s="11">
        <f ca="1"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0.48239488240949779</v>
      </c>
      <c r="M1282" t="str">
        <f ca="1">IF(OR((NHL2025_26Results[[#This Row],[Winning Team]]="")),"-",IF(Table4[[#This Row],[Predicted Winner]]=NHL2025_26Results[[#This Row],[Winning Team]],"YES","NO"))</f>
        <v>-</v>
      </c>
      <c r="N1282" t="str">
        <f ca="1">IF(Table4[[#This Row],[Adjusted Correct]]="-", "",IF(Table4[[#This Row],[Adjusted Correct]]="YES",(Table4[[#This Row],[Strength of Win]]-1)^2,(Table4[[#This Row],[Strength of Win]]-0)^2))</f>
        <v/>
      </c>
      <c r="P1282" s="11"/>
    </row>
    <row r="1283" spans="4:16" x14ac:dyDescent="0.2">
      <c r="D1283" s="1">
        <v>46125</v>
      </c>
      <c r="E1283" s="2">
        <v>0.85416666666666663</v>
      </c>
      <c r="F1283" t="s">
        <v>10</v>
      </c>
      <c r="G1283">
        <f>VLOOKUP(Table4[[#This Row],[Home]],'NHL Model'!$A$6:$B$38,2,FALSE)</f>
        <v>0.30570968833820172</v>
      </c>
      <c r="H1283" t="s">
        <v>23</v>
      </c>
      <c r="I1283">
        <f>VLOOKUP(Table4[[#This Row],[Visitor]],'NHL Model'!$A$6:$B$38,2,FALSE)</f>
        <v>-0.8683412362501769</v>
      </c>
      <c r="J1283">
        <f ca="1">($B$1+Table4[[#This Row],[Home Differential]])-Table4[[#This Row],[Away Differential]]</f>
        <v>1.336623234250697</v>
      </c>
      <c r="K1283" t="str">
        <f ca="1">IF(Table4[[#This Row],[HomeIce Differential]]&gt;0,Table4[[#This Row],[Home]],Table4[[#This Row],[Visitor]])</f>
        <v>Chicago Blackhawks</v>
      </c>
      <c r="L1283" s="11">
        <f ca="1"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0.72520072972849592</v>
      </c>
      <c r="M1283" t="str">
        <f ca="1">IF(OR((NHL2025_26Results[[#This Row],[Winning Team]]="")),"-",IF(Table4[[#This Row],[Predicted Winner]]=NHL2025_26Results[[#This Row],[Winning Team]],"YES","NO"))</f>
        <v>-</v>
      </c>
      <c r="N1283" t="str">
        <f ca="1">IF(Table4[[#This Row],[Adjusted Correct]]="-", "",IF(Table4[[#This Row],[Adjusted Correct]]="YES",(Table4[[#This Row],[Strength of Win]]-1)^2,(Table4[[#This Row],[Strength of Win]]-0)^2))</f>
        <v/>
      </c>
      <c r="P1283" s="11"/>
    </row>
    <row r="1284" spans="4:16" x14ac:dyDescent="0.2">
      <c r="D1284" s="1">
        <v>46125</v>
      </c>
      <c r="E1284" s="2">
        <v>0.89583333333333337</v>
      </c>
      <c r="F1284" t="s">
        <v>17</v>
      </c>
      <c r="G1284">
        <f>VLOOKUP(Table4[[#This Row],[Home]],'NHL Model'!$A$6:$B$38,2,FALSE)</f>
        <v>-0.61980804137564283</v>
      </c>
      <c r="H1284" t="s">
        <v>12</v>
      </c>
      <c r="I1284">
        <f>VLOOKUP(Table4[[#This Row],[Visitor]],'NHL Model'!$A$6:$B$38,2,FALSE)</f>
        <v>1.5475013591489768</v>
      </c>
      <c r="J1284">
        <f ca="1">($B$1+Table4[[#This Row],[Home Differential]])-Table4[[#This Row],[Away Differential]]</f>
        <v>-2.0047370908623012</v>
      </c>
      <c r="K1284" t="str">
        <f ca="1">IF(Table4[[#This Row],[HomeIce Differential]]&gt;0,Table4[[#This Row],[Home]],Table4[[#This Row],[Visitor]])</f>
        <v>Colorado Avalanche</v>
      </c>
      <c r="L1284" s="11">
        <f ca="1"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0.76756961152749659</v>
      </c>
      <c r="M1284" t="str">
        <f ca="1">IF(OR((NHL2025_26Results[[#This Row],[Winning Team]]="")),"-",IF(Table4[[#This Row],[Predicted Winner]]=NHL2025_26Results[[#This Row],[Winning Team]],"YES","NO"))</f>
        <v>-</v>
      </c>
      <c r="N1284" t="str">
        <f ca="1">IF(Table4[[#This Row],[Adjusted Correct]]="-", "",IF(Table4[[#This Row],[Adjusted Correct]]="YES",(Table4[[#This Row],[Strength of Win]]-1)^2,(Table4[[#This Row],[Strength of Win]]-0)^2))</f>
        <v/>
      </c>
      <c r="P1284" s="11"/>
    </row>
    <row r="1285" spans="4:16" x14ac:dyDescent="0.2">
      <c r="D1285" s="1">
        <v>46125</v>
      </c>
      <c r="E1285" s="2">
        <v>0.79166666666666663</v>
      </c>
      <c r="F1285" t="s">
        <v>11</v>
      </c>
      <c r="G1285">
        <f>VLOOKUP(Table4[[#This Row],[Home]],'NHL Model'!$A$6:$B$38,2,FALSE)</f>
        <v>-0.28105923893144158</v>
      </c>
      <c r="H1285" t="s">
        <v>15</v>
      </c>
      <c r="I1285">
        <f>VLOOKUP(Table4[[#This Row],[Visitor]],'NHL Model'!$A$6:$B$38,2,FALSE)</f>
        <v>-0.30719665303039001</v>
      </c>
      <c r="J1285">
        <f ca="1">($B$1+Table4[[#This Row],[Home Differential]])-Table4[[#This Row],[Away Differential]]</f>
        <v>0.18870972376126682</v>
      </c>
      <c r="K1285" t="str">
        <f ca="1">IF(Table4[[#This Row],[HomeIce Differential]]&gt;0,Table4[[#This Row],[Home]],Table4[[#This Row],[Visitor]])</f>
        <v>Florida Panthers</v>
      </c>
      <c r="L1285" s="11">
        <f ca="1"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0.47512695906175656</v>
      </c>
      <c r="M1285" t="str">
        <f ca="1">IF(OR((NHL2025_26Results[[#This Row],[Winning Team]]="")),"-",IF(Table4[[#This Row],[Predicted Winner]]=NHL2025_26Results[[#This Row],[Winning Team]],"YES","NO"))</f>
        <v>-</v>
      </c>
      <c r="N1285" t="str">
        <f ca="1">IF(Table4[[#This Row],[Adjusted Correct]]="-", "",IF(Table4[[#This Row],[Adjusted Correct]]="YES",(Table4[[#This Row],[Strength of Win]]-1)^2,(Table4[[#This Row],[Strength of Win]]-0)^2))</f>
        <v/>
      </c>
      <c r="P1285" s="11"/>
    </row>
    <row r="1286" spans="4:16" x14ac:dyDescent="0.2">
      <c r="D1286" s="1">
        <v>46125</v>
      </c>
      <c r="E1286" s="2">
        <v>0.83333333333333337</v>
      </c>
      <c r="F1286" t="s">
        <v>29</v>
      </c>
      <c r="G1286">
        <f>VLOOKUP(Table4[[#This Row],[Home]],'NHL Model'!$A$6:$B$38,2,FALSE)</f>
        <v>-1.3516250707060606</v>
      </c>
      <c r="H1286" t="s">
        <v>33</v>
      </c>
      <c r="I1286">
        <f>VLOOKUP(Table4[[#This Row],[Visitor]],'NHL Model'!$A$6:$B$38,2,FALSE)</f>
        <v>-0.39418177254008485</v>
      </c>
      <c r="J1286">
        <f ca="1">($B$1+Table4[[#This Row],[Home Differential]])-Table4[[#This Row],[Away Differential]]</f>
        <v>-0.79487098850365734</v>
      </c>
      <c r="K1286" t="str">
        <f ca="1">IF(Table4[[#This Row],[HomeIce Differential]]&gt;0,Table4[[#This Row],[Home]],Table4[[#This Row],[Visitor]])</f>
        <v>San Jose Sharks</v>
      </c>
      <c r="L1286" s="11">
        <f ca="1"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0.57013626229040804</v>
      </c>
      <c r="M1286" t="str">
        <f ca="1">IF(OR((NHL2025_26Results[[#This Row],[Winning Team]]="")),"-",IF(Table4[[#This Row],[Predicted Winner]]=NHL2025_26Results[[#This Row],[Winning Team]],"YES","NO"))</f>
        <v>-</v>
      </c>
      <c r="N1286" t="str">
        <f ca="1">IF(Table4[[#This Row],[Adjusted Correct]]="-", "",IF(Table4[[#This Row],[Adjusted Correct]]="YES",(Table4[[#This Row],[Strength of Win]]-1)^2,(Table4[[#This Row],[Strength of Win]]-0)^2))</f>
        <v/>
      </c>
      <c r="P1286" s="11"/>
    </row>
    <row r="1287" spans="4:16" x14ac:dyDescent="0.2">
      <c r="D1287" s="1">
        <v>46125</v>
      </c>
      <c r="E1287" s="2">
        <v>0.79166666666666663</v>
      </c>
      <c r="F1287" t="s">
        <v>27</v>
      </c>
      <c r="G1287">
        <f>VLOOKUP(Table4[[#This Row],[Home]],'NHL Model'!$A$6:$B$38,2,FALSE)</f>
        <v>-0.51358590497437617</v>
      </c>
      <c r="H1287" t="s">
        <v>25</v>
      </c>
      <c r="I1287">
        <f>VLOOKUP(Table4[[#This Row],[Visitor]],'NHL Model'!$A$6:$B$38,2,FALSE)</f>
        <v>0.67193921242367816</v>
      </c>
      <c r="J1287">
        <f ca="1">($B$1+Table4[[#This Row],[Home Differential]])-Table4[[#This Row],[Away Differential]]</f>
        <v>-1.0229528077357359</v>
      </c>
      <c r="K1287" t="str">
        <f ca="1">IF(Table4[[#This Row],[HomeIce Differential]]&gt;0,Table4[[#This Row],[Home]],Table4[[#This Row],[Visitor]])</f>
        <v>Carolina Hurricanes</v>
      </c>
      <c r="L1287" s="11">
        <f ca="1"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0.69173897446626198</v>
      </c>
      <c r="M1287" t="str">
        <f ca="1">IF(OR((NHL2025_26Results[[#This Row],[Winning Team]]="")),"-",IF(Table4[[#This Row],[Predicted Winner]]=NHL2025_26Results[[#This Row],[Winning Team]],"YES","NO"))</f>
        <v>-</v>
      </c>
      <c r="N1287" t="str">
        <f ca="1">IF(Table4[[#This Row],[Adjusted Correct]]="-", "",IF(Table4[[#This Row],[Adjusted Correct]]="YES",(Table4[[#This Row],[Strength of Win]]-1)^2,(Table4[[#This Row],[Strength of Win]]-0)^2))</f>
        <v/>
      </c>
      <c r="P1287" s="11"/>
    </row>
    <row r="1288" spans="4:16" x14ac:dyDescent="0.2">
      <c r="D1288" s="1">
        <v>46125</v>
      </c>
      <c r="E1288" s="2">
        <v>0.89583333333333337</v>
      </c>
      <c r="F1288" t="s">
        <v>32</v>
      </c>
      <c r="G1288">
        <f>VLOOKUP(Table4[[#This Row],[Home]],'NHL Model'!$A$6:$B$38,2,FALSE)</f>
        <v>-0.361361309178443</v>
      </c>
      <c r="H1288" t="s">
        <v>13</v>
      </c>
      <c r="I1288">
        <f>VLOOKUP(Table4[[#This Row],[Visitor]],'NHL Model'!$A$6:$B$38,2,FALSE)</f>
        <v>-7.5459708298993802E-2</v>
      </c>
      <c r="J1288">
        <f ca="1">($B$1+Table4[[#This Row],[Home Differential]])-Table4[[#This Row],[Away Differential]]</f>
        <v>-0.12332929121713081</v>
      </c>
      <c r="K1288" t="str">
        <f ca="1">IF(Table4[[#This Row],[HomeIce Differential]]&gt;0,Table4[[#This Row],[Home]],Table4[[#This Row],[Visitor]])</f>
        <v>Los Angeles Kings</v>
      </c>
      <c r="L1288" s="11">
        <f ca="1"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0.57264389738968136</v>
      </c>
      <c r="M1288" t="str">
        <f ca="1">IF(OR((NHL2025_26Results[[#This Row],[Winning Team]]="")),"-",IF(Table4[[#This Row],[Predicted Winner]]=NHL2025_26Results[[#This Row],[Winning Team]],"YES","NO"))</f>
        <v>-</v>
      </c>
      <c r="N1288" t="str">
        <f ca="1">IF(Table4[[#This Row],[Adjusted Correct]]="-", "",IF(Table4[[#This Row],[Adjusted Correct]]="YES",(Table4[[#This Row],[Strength of Win]]-1)^2,(Table4[[#This Row],[Strength of Win]]-0)^2))</f>
        <v/>
      </c>
      <c r="P1288" s="11"/>
    </row>
    <row r="1289" spans="4:16" x14ac:dyDescent="0.2">
      <c r="D1289" s="1">
        <v>46125</v>
      </c>
      <c r="E1289" s="2">
        <v>0.83333333333333337</v>
      </c>
      <c r="F1289" t="s">
        <v>35</v>
      </c>
      <c r="G1289">
        <f>VLOOKUP(Table4[[#This Row],[Home]],'NHL Model'!$A$6:$B$38,2,FALSE)</f>
        <v>-1.6211574240381006</v>
      </c>
      <c r="H1289" t="s">
        <v>34</v>
      </c>
      <c r="I1289">
        <f>VLOOKUP(Table4[[#This Row],[Visitor]],'NHL Model'!$A$6:$B$38,2,FALSE)</f>
        <v>-0.53650300840565446</v>
      </c>
      <c r="J1289">
        <f ca="1">($B$1+Table4[[#This Row],[Home Differential]])-Table4[[#This Row],[Away Differential]]</f>
        <v>-0.92208210597012774</v>
      </c>
      <c r="K1289" t="str">
        <f ca="1">IF(Table4[[#This Row],[HomeIce Differential]]&gt;0,Table4[[#This Row],[Home]],Table4[[#This Row],[Visitor]])</f>
        <v>Minnesota Wild</v>
      </c>
      <c r="L1289" s="11">
        <f ca="1"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0.58776246478386907</v>
      </c>
      <c r="M1289" t="str">
        <f ca="1">IF(OR((NHL2025_26Results[[#This Row],[Winning Team]]="")),"-",IF(Table4[[#This Row],[Predicted Winner]]=NHL2025_26Results[[#This Row],[Winning Team]],"YES","NO"))</f>
        <v>-</v>
      </c>
      <c r="N1289" t="str">
        <f ca="1">IF(Table4[[#This Row],[Adjusted Correct]]="-", "",IF(Table4[[#This Row],[Adjusted Correct]]="YES",(Table4[[#This Row],[Strength of Win]]-1)^2,(Table4[[#This Row],[Strength of Win]]-0)^2))</f>
        <v/>
      </c>
      <c r="P1289" s="11"/>
    </row>
    <row r="1290" spans="4:16" x14ac:dyDescent="0.2">
      <c r="D1290" s="1">
        <v>46125</v>
      </c>
      <c r="E1290" s="2">
        <v>0.79166666666666663</v>
      </c>
      <c r="F1290" t="s">
        <v>37</v>
      </c>
      <c r="G1290">
        <f>VLOOKUP(Table4[[#This Row],[Home]],'NHL Model'!$A$6:$B$38,2,FALSE)</f>
        <v>-0.11309445867623392</v>
      </c>
      <c r="H1290" t="s">
        <v>26</v>
      </c>
      <c r="I1290">
        <f>VLOOKUP(Table4[[#This Row],[Visitor]],'NHL Model'!$A$6:$B$38,2,FALSE)</f>
        <v>-0.513643833119658</v>
      </c>
      <c r="J1290">
        <f ca="1">($B$1+Table4[[#This Row],[Home Differential]])-Table4[[#This Row],[Away Differential]]</f>
        <v>0.56312168410574248</v>
      </c>
      <c r="K1290" t="str">
        <f ca="1">IF(Table4[[#This Row],[HomeIce Differential]]&gt;0,Table4[[#This Row],[Home]],Table4[[#This Row],[Visitor]])</f>
        <v>Tampa Bay Lightning</v>
      </c>
      <c r="L1290" s="11">
        <f ca="1"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0.57092599678867817</v>
      </c>
      <c r="M1290" t="str">
        <f ca="1">IF(OR((NHL2025_26Results[[#This Row],[Winning Team]]="")),"-",IF(Table4[[#This Row],[Predicted Winner]]=NHL2025_26Results[[#This Row],[Winning Team]],"YES","NO"))</f>
        <v>-</v>
      </c>
      <c r="N1290" t="str">
        <f ca="1">IF(Table4[[#This Row],[Adjusted Correct]]="-", "",IF(Table4[[#This Row],[Adjusted Correct]]="YES",(Table4[[#This Row],[Strength of Win]]-1)^2,(Table4[[#This Row],[Strength of Win]]-0)^2))</f>
        <v/>
      </c>
      <c r="P1290" s="11"/>
    </row>
    <row r="1291" spans="4:16" x14ac:dyDescent="0.2">
      <c r="D1291" s="1">
        <v>46125</v>
      </c>
      <c r="E1291" s="2">
        <v>0.8125</v>
      </c>
      <c r="F1291" t="s">
        <v>19</v>
      </c>
      <c r="G1291">
        <f>VLOOKUP(Table4[[#This Row],[Home]],'NHL Model'!$A$6:$B$38,2,FALSE)</f>
        <v>-0.635565543477981</v>
      </c>
      <c r="H1291" t="s">
        <v>39</v>
      </c>
      <c r="I1291">
        <f>VLOOKUP(Table4[[#This Row],[Visitor]],'NHL Model'!$A$6:$B$38,2,FALSE)</f>
        <v>0.19809534061227302</v>
      </c>
      <c r="J1291">
        <f ca="1">($B$1+Table4[[#This Row],[Home Differential]])-Table4[[#This Row],[Away Differential]]</f>
        <v>-0.67108857442793557</v>
      </c>
      <c r="K1291" t="str">
        <f ca="1">IF(Table4[[#This Row],[HomeIce Differential]]&gt;0,Table4[[#This Row],[Home]],Table4[[#This Row],[Visitor]])</f>
        <v>Dallas Stars</v>
      </c>
      <c r="L1291" s="11">
        <f ca="1"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0.64547132420363129</v>
      </c>
      <c r="M1291" t="str">
        <f ca="1">IF(OR((NHL2025_26Results[[#This Row],[Winning Team]]="")),"-",IF(Table4[[#This Row],[Predicted Winner]]=NHL2025_26Results[[#This Row],[Winning Team]],"YES","NO"))</f>
        <v>-</v>
      </c>
      <c r="N1291" t="str">
        <f ca="1">IF(Table4[[#This Row],[Adjusted Correct]]="-", "",IF(Table4[[#This Row],[Adjusted Correct]]="YES",(Table4[[#This Row],[Strength of Win]]-1)^2,(Table4[[#This Row],[Strength of Win]]-0)^2))</f>
        <v/>
      </c>
      <c r="P1291" s="11"/>
    </row>
    <row r="1292" spans="4:16" x14ac:dyDescent="0.2">
      <c r="D1292" s="1">
        <v>46125</v>
      </c>
      <c r="E1292" s="2">
        <v>0.91666666666666663</v>
      </c>
      <c r="F1292" t="s">
        <v>20</v>
      </c>
      <c r="G1292">
        <f>VLOOKUP(Table4[[#This Row],[Home]],'NHL Model'!$A$6:$B$38,2,FALSE)</f>
        <v>-6.3745791019188943E-4</v>
      </c>
      <c r="H1292" t="s">
        <v>40</v>
      </c>
      <c r="I1292">
        <f>VLOOKUP(Table4[[#This Row],[Visitor]],'NHL Model'!$A$6:$B$38,2,FALSE)</f>
        <v>0.105105258369765</v>
      </c>
      <c r="J1292">
        <f ca="1">($B$1+Table4[[#This Row],[Home Differential]])-Table4[[#This Row],[Away Differential]]</f>
        <v>5.6829593382361487E-2</v>
      </c>
      <c r="K1292" t="str">
        <f ca="1">IF(Table4[[#This Row],[HomeIce Differential]]&gt;0,Table4[[#This Row],[Home]],Table4[[#This Row],[Visitor]])</f>
        <v>Vegas Golden Knights</v>
      </c>
      <c r="L1292" s="11">
        <f ca="1"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0.48155844306611389</v>
      </c>
      <c r="M1292" t="str">
        <f ca="1">IF(OR((NHL2025_26Results[[#This Row],[Winning Team]]="")),"-",IF(Table4[[#This Row],[Predicted Winner]]=NHL2025_26Results[[#This Row],[Winning Team]],"YES","NO"))</f>
        <v>-</v>
      </c>
      <c r="N1292" t="str">
        <f ca="1">IF(Table4[[#This Row],[Adjusted Correct]]="-", "",IF(Table4[[#This Row],[Adjusted Correct]]="YES",(Table4[[#This Row],[Strength of Win]]-1)^2,(Table4[[#This Row],[Strength of Win]]-0)^2))</f>
        <v/>
      </c>
      <c r="P1292" s="11"/>
    </row>
    <row r="1293" spans="4:16" x14ac:dyDescent="0.2">
      <c r="D1293" s="1">
        <v>46126</v>
      </c>
      <c r="E1293" s="2">
        <v>0.79166666666666663</v>
      </c>
      <c r="F1293" t="s">
        <v>21</v>
      </c>
      <c r="G1293">
        <f>VLOOKUP(Table4[[#This Row],[Home]],'NHL Model'!$A$6:$B$38,2,FALSE)</f>
        <v>4.029141914856392E-2</v>
      </c>
      <c r="H1293" t="s">
        <v>24</v>
      </c>
      <c r="I1293">
        <f>VLOOKUP(Table4[[#This Row],[Visitor]],'NHL Model'!$A$6:$B$38,2,FALSE)</f>
        <v>0.559441163373953</v>
      </c>
      <c r="J1293">
        <f ca="1">($B$1+Table4[[#This Row],[Home Differential]])-Table4[[#This Row],[Away Differential]]</f>
        <v>-0.35657743456307067</v>
      </c>
      <c r="K1293" t="str">
        <f ca="1">IF(Table4[[#This Row],[HomeIce Differential]]&gt;0,Table4[[#This Row],[Home]],Table4[[#This Row],[Visitor]])</f>
        <v>New Jersey Devils</v>
      </c>
      <c r="L1293" s="11">
        <f ca="1"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0.5014616874979968</v>
      </c>
      <c r="M1293" t="str">
        <f ca="1">IF(OR((NHL2025_26Results[[#This Row],[Winning Team]]="")),"-",IF(Table4[[#This Row],[Predicted Winner]]=NHL2025_26Results[[#This Row],[Winning Team]],"YES","NO"))</f>
        <v>-</v>
      </c>
      <c r="N1293" t="str">
        <f ca="1">IF(Table4[[#This Row],[Adjusted Correct]]="-", "",IF(Table4[[#This Row],[Adjusted Correct]]="YES",(Table4[[#This Row],[Strength of Win]]-1)^2,(Table4[[#This Row],[Strength of Win]]-0)^2))</f>
        <v/>
      </c>
      <c r="P1293" s="11"/>
    </row>
    <row r="1294" spans="4:16" x14ac:dyDescent="0.2">
      <c r="D1294" s="1">
        <v>46126</v>
      </c>
      <c r="E1294" s="2">
        <v>0.79166666666666663</v>
      </c>
      <c r="F1294" t="s">
        <v>28</v>
      </c>
      <c r="G1294">
        <f>VLOOKUP(Table4[[#This Row],[Home]],'NHL Model'!$A$6:$B$38,2,FALSE)</f>
        <v>-0.40822279081308277</v>
      </c>
      <c r="H1294" t="s">
        <v>22</v>
      </c>
      <c r="I1294">
        <f>VLOOKUP(Table4[[#This Row],[Visitor]],'NHL Model'!$A$6:$B$38,2,FALSE)</f>
        <v>-6.1308839486784707E-2</v>
      </c>
      <c r="J1294">
        <f ca="1">($B$1+Table4[[#This Row],[Home Differential]])-Table4[[#This Row],[Away Differential]]</f>
        <v>-0.18434164166397968</v>
      </c>
      <c r="K1294" t="str">
        <f ca="1">IF(Table4[[#This Row],[HomeIce Differential]]&gt;0,Table4[[#This Row],[Home]],Table4[[#This Row],[Visitor]])</f>
        <v>Washington Capitals</v>
      </c>
      <c r="L1294" s="11">
        <f ca="1"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0.48554213160498944</v>
      </c>
      <c r="M1294" t="str">
        <f ca="1">IF(OR((NHL2025_26Results[[#This Row],[Winning Team]]="")),"-",IF(Table4[[#This Row],[Predicted Winner]]=NHL2025_26Results[[#This Row],[Winning Team]],"YES","NO"))</f>
        <v>-</v>
      </c>
      <c r="N1294" t="str">
        <f ca="1">IF(Table4[[#This Row],[Adjusted Correct]]="-", "",IF(Table4[[#This Row],[Adjusted Correct]]="YES",(Table4[[#This Row],[Strength of Win]]-1)^2,(Table4[[#This Row],[Strength of Win]]-0)^2))</f>
        <v/>
      </c>
      <c r="P1294" s="11"/>
    </row>
    <row r="1295" spans="4:16" x14ac:dyDescent="0.2">
      <c r="D1295" s="1">
        <v>46126</v>
      </c>
      <c r="E1295" s="2">
        <v>0.875</v>
      </c>
      <c r="F1295" t="s">
        <v>16</v>
      </c>
      <c r="G1295">
        <f>VLOOKUP(Table4[[#This Row],[Home]],'NHL Model'!$A$6:$B$38,2,FALSE)</f>
        <v>-1.3903684122795328</v>
      </c>
      <c r="H1295" t="s">
        <v>12</v>
      </c>
      <c r="I1295">
        <f>VLOOKUP(Table4[[#This Row],[Visitor]],'NHL Model'!$A$6:$B$38,2,FALSE)</f>
        <v>1.5475013591489768</v>
      </c>
      <c r="J1295">
        <f ca="1">($B$1+Table4[[#This Row],[Home Differential]])-Table4[[#This Row],[Away Differential]]</f>
        <v>-2.7752974617661912</v>
      </c>
      <c r="K1295" t="str">
        <f ca="1">IF(Table4[[#This Row],[HomeIce Differential]]&gt;0,Table4[[#This Row],[Home]],Table4[[#This Row],[Visitor]])</f>
        <v>Colorado Avalanche</v>
      </c>
      <c r="L1295" s="11">
        <f ca="1"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0.91085729822643235</v>
      </c>
      <c r="M1295" t="str">
        <f ca="1">IF(OR((NHL2025_26Results[[#This Row],[Winning Team]]="")),"-",IF(Table4[[#This Row],[Predicted Winner]]=NHL2025_26Results[[#This Row],[Winning Team]],"YES","NO"))</f>
        <v>-</v>
      </c>
      <c r="N1295" t="str">
        <f ca="1">IF(Table4[[#This Row],[Adjusted Correct]]="-", "",IF(Table4[[#This Row],[Adjusted Correct]]="YES",(Table4[[#This Row],[Strength of Win]]-1)^2,(Table4[[#This Row],[Strength of Win]]-0)^2))</f>
        <v/>
      </c>
      <c r="P1295" s="11"/>
    </row>
    <row r="1296" spans="4:16" x14ac:dyDescent="0.2">
      <c r="D1296" s="1">
        <v>46126</v>
      </c>
      <c r="E1296" s="2">
        <v>0.83333333333333337</v>
      </c>
      <c r="F1296" t="s">
        <v>34</v>
      </c>
      <c r="G1296">
        <f>VLOOKUP(Table4[[#This Row],[Home]],'NHL Model'!$A$6:$B$38,2,FALSE)</f>
        <v>-0.53650300840565446</v>
      </c>
      <c r="H1296" t="s">
        <v>31</v>
      </c>
      <c r="I1296">
        <f>VLOOKUP(Table4[[#This Row],[Visitor]],'NHL Model'!$A$6:$B$38,2,FALSE)</f>
        <v>0.51775546328552802</v>
      </c>
      <c r="J1296">
        <f ca="1">($B$1+Table4[[#This Row],[Home Differential]])-Table4[[#This Row],[Away Differential]]</f>
        <v>-0.89168616202886408</v>
      </c>
      <c r="K1296" t="str">
        <f ca="1">IF(Table4[[#This Row],[HomeIce Differential]]&gt;0,Table4[[#This Row],[Home]],Table4[[#This Row],[Visitor]])</f>
        <v>Anaheim Ducks</v>
      </c>
      <c r="L1296" s="11">
        <f ca="1"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0.60432007416686506</v>
      </c>
      <c r="M1296" t="str">
        <f ca="1">IF(OR((NHL2025_26Results[[#This Row],[Winning Team]]="")),"-",IF(Table4[[#This Row],[Predicted Winner]]=NHL2025_26Results[[#This Row],[Winning Team]],"YES","NO"))</f>
        <v>-</v>
      </c>
      <c r="N1296" t="str">
        <f ca="1">IF(Table4[[#This Row],[Adjusted Correct]]="-", "",IF(Table4[[#This Row],[Adjusted Correct]]="YES",(Table4[[#This Row],[Strength of Win]]-1)^2,(Table4[[#This Row],[Strength of Win]]-0)^2))</f>
        <v/>
      </c>
      <c r="P1296" s="11"/>
    </row>
    <row r="1297" spans="4:16" x14ac:dyDescent="0.2">
      <c r="D1297" s="1">
        <v>46126</v>
      </c>
      <c r="E1297" s="2">
        <v>0.79166666666666663</v>
      </c>
      <c r="F1297" t="s">
        <v>30</v>
      </c>
      <c r="G1297">
        <f>VLOOKUP(Table4[[#This Row],[Home]],'NHL Model'!$A$6:$B$38,2,FALSE)</f>
        <v>-6.4729560818359025E-2</v>
      </c>
      <c r="H1297" t="s">
        <v>25</v>
      </c>
      <c r="I1297">
        <f>VLOOKUP(Table4[[#This Row],[Visitor]],'NHL Model'!$A$6:$B$38,2,FALSE)</f>
        <v>0.67193921242367816</v>
      </c>
      <c r="J1297">
        <f ca="1">($B$1+Table4[[#This Row],[Home Differential]])-Table4[[#This Row],[Away Differential]]</f>
        <v>-0.57409646357971877</v>
      </c>
      <c r="K1297" t="str">
        <f ca="1">IF(Table4[[#This Row],[HomeIce Differential]]&gt;0,Table4[[#This Row],[Home]],Table4[[#This Row],[Visitor]])</f>
        <v>Carolina Hurricanes</v>
      </c>
      <c r="L1297" s="11">
        <f ca="1"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0.6320322268973011</v>
      </c>
      <c r="M1297" t="str">
        <f ca="1">IF(OR((NHL2025_26Results[[#This Row],[Winning Team]]="")),"-",IF(Table4[[#This Row],[Predicted Winner]]=NHL2025_26Results[[#This Row],[Winning Team]],"YES","NO"))</f>
        <v>-</v>
      </c>
      <c r="N1297" t="str">
        <f ca="1">IF(Table4[[#This Row],[Adjusted Correct]]="-", "",IF(Table4[[#This Row],[Adjusted Correct]]="YES",(Table4[[#This Row],[Strength of Win]]-1)^2,(Table4[[#This Row],[Strength of Win]]-0)^2))</f>
        <v/>
      </c>
      <c r="P1297" s="11"/>
    </row>
    <row r="1298" spans="4:16" x14ac:dyDescent="0.2">
      <c r="D1298" s="1">
        <v>46126</v>
      </c>
      <c r="E1298" s="2">
        <v>0.79166666666666663</v>
      </c>
      <c r="F1298" t="s">
        <v>27</v>
      </c>
      <c r="G1298">
        <f>VLOOKUP(Table4[[#This Row],[Home]],'NHL Model'!$A$6:$B$38,2,FALSE)</f>
        <v>-0.51358590497437617</v>
      </c>
      <c r="H1298" t="s">
        <v>18</v>
      </c>
      <c r="I1298">
        <f>VLOOKUP(Table4[[#This Row],[Visitor]],'NHL Model'!$A$6:$B$38,2,FALSE)</f>
        <v>-0.52437726201848234</v>
      </c>
      <c r="J1298">
        <f ca="1">($B$1+Table4[[#This Row],[Home Differential]])-Table4[[#This Row],[Away Differential]]</f>
        <v>0.17336366670642456</v>
      </c>
      <c r="K1298" t="str">
        <f ca="1">IF(Table4[[#This Row],[HomeIce Differential]]&gt;0,Table4[[#This Row],[Home]],Table4[[#This Row],[Visitor]])</f>
        <v>Philadelphia Flyers</v>
      </c>
      <c r="L1298" s="11">
        <f ca="1"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0.49004045553619291</v>
      </c>
      <c r="M1298" t="str">
        <f ca="1">IF(OR((NHL2025_26Results[[#This Row],[Winning Team]]="")),"-",IF(Table4[[#This Row],[Predicted Winner]]=NHL2025_26Results[[#This Row],[Winning Team]],"YES","NO"))</f>
        <v>-</v>
      </c>
      <c r="N1298" t="str">
        <f ca="1">IF(Table4[[#This Row],[Adjusted Correct]]="-", "",IF(Table4[[#This Row],[Adjusted Correct]]="YES",(Table4[[#This Row],[Strength of Win]]-1)^2,(Table4[[#This Row],[Strength of Win]]-0)^2))</f>
        <v/>
      </c>
      <c r="P1298" s="11"/>
    </row>
    <row r="1299" spans="4:16" x14ac:dyDescent="0.2">
      <c r="D1299" s="1">
        <v>46126</v>
      </c>
      <c r="E1299" s="2">
        <v>0.89583333333333337</v>
      </c>
      <c r="F1299" t="s">
        <v>35</v>
      </c>
      <c r="G1299">
        <f>VLOOKUP(Table4[[#This Row],[Home]],'NHL Model'!$A$6:$B$38,2,FALSE)</f>
        <v>-1.6211574240381006</v>
      </c>
      <c r="H1299" t="s">
        <v>14</v>
      </c>
      <c r="I1299">
        <f>VLOOKUP(Table4[[#This Row],[Visitor]],'NHL Model'!$A$6:$B$38,2,FALSE)</f>
        <v>0.26289091192875702</v>
      </c>
      <c r="J1299">
        <f ca="1">($B$1+Table4[[#This Row],[Home Differential]])-Table4[[#This Row],[Away Differential]]</f>
        <v>-1.7214760263045392</v>
      </c>
      <c r="K1299" t="str">
        <f ca="1">IF(Table4[[#This Row],[HomeIce Differential]]&gt;0,Table4[[#This Row],[Home]],Table4[[#This Row],[Visitor]])</f>
        <v>Pittsburgh Penguins</v>
      </c>
      <c r="L1299" s="11">
        <f ca="1"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0.69852541846651339</v>
      </c>
      <c r="M1299" t="str">
        <f ca="1">IF(OR((NHL2025_26Results[[#This Row],[Winning Team]]="")),"-",IF(Table4[[#This Row],[Predicted Winner]]=NHL2025_26Results[[#This Row],[Winning Team]],"YES","NO"))</f>
        <v>-</v>
      </c>
      <c r="N1299" t="str">
        <f ca="1">IF(Table4[[#This Row],[Adjusted Correct]]="-", "",IF(Table4[[#This Row],[Adjusted Correct]]="YES",(Table4[[#This Row],[Strength of Win]]-1)^2,(Table4[[#This Row],[Strength of Win]]-0)^2))</f>
        <v/>
      </c>
      <c r="P1299" s="11"/>
    </row>
    <row r="1300" spans="4:16" x14ac:dyDescent="0.2">
      <c r="D1300" s="1">
        <v>46126</v>
      </c>
      <c r="E1300" s="2">
        <v>0.875</v>
      </c>
      <c r="F1300" t="s">
        <v>55</v>
      </c>
      <c r="G1300">
        <f>VLOOKUP(Table4[[#This Row],[Home]],'NHL Model'!$A$6:$B$38,2,FALSE)</f>
        <v>-0.12212311954851815</v>
      </c>
      <c r="H1300" t="s">
        <v>40</v>
      </c>
      <c r="I1300">
        <f>VLOOKUP(Table4[[#This Row],[Visitor]],'NHL Model'!$A$6:$B$38,2,FALSE)</f>
        <v>0.105105258369765</v>
      </c>
      <c r="J1300">
        <f ca="1">($B$1+Table4[[#This Row],[Home Differential]])-Table4[[#This Row],[Away Differential]]</f>
        <v>-6.465606825596476E-2</v>
      </c>
      <c r="K1300" t="str">
        <f ca="1">IF(Table4[[#This Row],[HomeIce Differential]]&gt;0,Table4[[#This Row],[Home]],Table4[[#This Row],[Visitor]])</f>
        <v>Winnipeg Jets</v>
      </c>
      <c r="L1300" s="11">
        <f ca="1"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0.46548039757324783</v>
      </c>
      <c r="M1300" t="str">
        <f ca="1">IF(OR((NHL2025_26Results[[#This Row],[Winning Team]]="")),"-",IF(Table4[[#This Row],[Predicted Winner]]=NHL2025_26Results[[#This Row],[Winning Team]],"YES","NO"))</f>
        <v>-</v>
      </c>
      <c r="N1300" t="str">
        <f ca="1">IF(Table4[[#This Row],[Adjusted Correct]]="-", "",IF(Table4[[#This Row],[Adjusted Correct]]="YES",(Table4[[#This Row],[Strength of Win]]-1)^2,(Table4[[#This Row],[Strength of Win]]-0)^2))</f>
        <v/>
      </c>
      <c r="P1300" s="11"/>
    </row>
    <row r="1301" spans="4:16" x14ac:dyDescent="0.2">
      <c r="D1301" s="1">
        <v>46126</v>
      </c>
      <c r="E1301" s="2">
        <v>0.91666666666666663</v>
      </c>
      <c r="F1301" t="s">
        <v>38</v>
      </c>
      <c r="G1301">
        <f>VLOOKUP(Table4[[#This Row],[Home]],'NHL Model'!$A$6:$B$38,2,FALSE)</f>
        <v>-0.6902088310934803</v>
      </c>
      <c r="H1301" t="s">
        <v>13</v>
      </c>
      <c r="I1301">
        <f>VLOOKUP(Table4[[#This Row],[Visitor]],'NHL Model'!$A$6:$B$38,2,FALSE)</f>
        <v>-7.5459708298993802E-2</v>
      </c>
      <c r="J1301">
        <f ca="1">($B$1+Table4[[#This Row],[Home Differential]])-Table4[[#This Row],[Away Differential]]</f>
        <v>-0.45217681313216812</v>
      </c>
      <c r="K1301" t="str">
        <f ca="1">IF(Table4[[#This Row],[HomeIce Differential]]&gt;0,Table4[[#This Row],[Home]],Table4[[#This Row],[Visitor]])</f>
        <v>Los Angeles Kings</v>
      </c>
      <c r="L1301" s="11">
        <f ca="1"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0.64404836399695953</v>
      </c>
      <c r="M1301" t="str">
        <f ca="1">IF(OR((NHL2025_26Results[[#This Row],[Winning Team]]="")),"-",IF(Table4[[#This Row],[Predicted Winner]]=NHL2025_26Results[[#This Row],[Winning Team]],"YES","NO"))</f>
        <v>-</v>
      </c>
      <c r="N1301" t="str">
        <f ca="1">IF(Table4[[#This Row],[Adjusted Correct]]="-", "",IF(Table4[[#This Row],[Adjusted Correct]]="YES",(Table4[[#This Row],[Strength of Win]]-1)^2,(Table4[[#This Row],[Strength of Win]]-0)^2))</f>
        <v/>
      </c>
      <c r="P1301" s="11"/>
    </row>
    <row r="1302" spans="4:16" x14ac:dyDescent="0.2">
      <c r="D1302" s="1">
        <v>46127</v>
      </c>
      <c r="E1302" s="2">
        <v>0.79166666666666663</v>
      </c>
      <c r="F1302" t="s">
        <v>23</v>
      </c>
      <c r="G1302">
        <f>VLOOKUP(Table4[[#This Row],[Home]],'NHL Model'!$A$6:$B$38,2,FALSE)</f>
        <v>-0.8683412362501769</v>
      </c>
      <c r="H1302" t="s">
        <v>39</v>
      </c>
      <c r="I1302">
        <f>VLOOKUP(Table4[[#This Row],[Visitor]],'NHL Model'!$A$6:$B$38,2,FALSE)</f>
        <v>0.19809534061227302</v>
      </c>
      <c r="J1302">
        <f ca="1">($B$1+Table4[[#This Row],[Home Differential]])-Table4[[#This Row],[Away Differential]]</f>
        <v>-0.90386426720013158</v>
      </c>
      <c r="K1302" t="str">
        <f ca="1">IF(Table4[[#This Row],[HomeIce Differential]]&gt;0,Table4[[#This Row],[Home]],Table4[[#This Row],[Visitor]])</f>
        <v>Dallas Stars</v>
      </c>
      <c r="L1302" s="11">
        <f ca="1"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0.67772441322660804</v>
      </c>
      <c r="M1302" t="str">
        <f ca="1">IF(OR((NHL2025_26Results[[#This Row],[Winning Team]]="")),"-",IF(Table4[[#This Row],[Predicted Winner]]=NHL2025_26Results[[#This Row],[Winning Team]],"YES","NO"))</f>
        <v>-</v>
      </c>
      <c r="N1302" t="str">
        <f ca="1">IF(Table4[[#This Row],[Adjusted Correct]]="-", "",IF(Table4[[#This Row],[Adjusted Correct]]="YES",(Table4[[#This Row],[Strength of Win]]-1)^2,(Table4[[#This Row],[Strength of Win]]-0)^2))</f>
        <v/>
      </c>
      <c r="P1302" s="11"/>
    </row>
    <row r="1303" spans="4:16" x14ac:dyDescent="0.2">
      <c r="D1303" s="1">
        <v>46127</v>
      </c>
      <c r="E1303" s="2">
        <v>0.85416666666666663</v>
      </c>
      <c r="F1303" t="s">
        <v>10</v>
      </c>
      <c r="G1303">
        <f>VLOOKUP(Table4[[#This Row],[Home]],'NHL Model'!$A$6:$B$38,2,FALSE)</f>
        <v>0.30570968833820172</v>
      </c>
      <c r="H1303" t="s">
        <v>33</v>
      </c>
      <c r="I1303">
        <f>VLOOKUP(Table4[[#This Row],[Visitor]],'NHL Model'!$A$6:$B$38,2,FALSE)</f>
        <v>-0.39418177254008485</v>
      </c>
      <c r="J1303">
        <f ca="1">($B$1+Table4[[#This Row],[Home Differential]])-Table4[[#This Row],[Away Differential]]</f>
        <v>0.86246377054060497</v>
      </c>
      <c r="K1303" t="str">
        <f ca="1">IF(Table4[[#This Row],[HomeIce Differential]]&gt;0,Table4[[#This Row],[Home]],Table4[[#This Row],[Visitor]])</f>
        <v>Chicago Blackhawks</v>
      </c>
      <c r="L1303" s="11">
        <f ca="1"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0.65950182787152667</v>
      </c>
      <c r="M1303" t="str">
        <f ca="1">IF(OR((NHL2025_26Results[[#This Row],[Winning Team]]="")),"-",IF(Table4[[#This Row],[Predicted Winner]]=NHL2025_26Results[[#This Row],[Winning Team]],"YES","NO"))</f>
        <v>-</v>
      </c>
      <c r="N1303" t="str">
        <f ca="1">IF(Table4[[#This Row],[Adjusted Correct]]="-", "",IF(Table4[[#This Row],[Adjusted Correct]]="YES",(Table4[[#This Row],[Strength of Win]]-1)^2,(Table4[[#This Row],[Strength of Win]]-0)^2))</f>
        <v/>
      </c>
      <c r="P1303" s="11"/>
    </row>
    <row r="1304" spans="4:16" x14ac:dyDescent="0.2">
      <c r="D1304" s="1">
        <v>46127</v>
      </c>
      <c r="E1304" s="2">
        <v>0.79166666666666663</v>
      </c>
      <c r="F1304" t="s">
        <v>11</v>
      </c>
      <c r="G1304">
        <f>VLOOKUP(Table4[[#This Row],[Home]],'NHL Model'!$A$6:$B$38,2,FALSE)</f>
        <v>-0.28105923893144158</v>
      </c>
      <c r="H1304" t="s">
        <v>26</v>
      </c>
      <c r="I1304">
        <f>VLOOKUP(Table4[[#This Row],[Visitor]],'NHL Model'!$A$6:$B$38,2,FALSE)</f>
        <v>-0.513643833119658</v>
      </c>
      <c r="J1304">
        <f ca="1">($B$1+Table4[[#This Row],[Home Differential]])-Table4[[#This Row],[Away Differential]]</f>
        <v>0.39515690385053481</v>
      </c>
      <c r="K1304" t="str">
        <f ca="1">IF(Table4[[#This Row],[HomeIce Differential]]&gt;0,Table4[[#This Row],[Home]],Table4[[#This Row],[Visitor]])</f>
        <v>Florida Panthers</v>
      </c>
      <c r="L1304" s="11">
        <f ca="1"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0.60020695815773939</v>
      </c>
      <c r="M1304" t="str">
        <f ca="1">IF(OR((NHL2025_26Results[[#This Row],[Winning Team]]="")),"-",IF(Table4[[#This Row],[Predicted Winner]]=NHL2025_26Results[[#This Row],[Winning Team]],"YES","NO"))</f>
        <v>-</v>
      </c>
      <c r="N1304" t="str">
        <f ca="1">IF(Table4[[#This Row],[Adjusted Correct]]="-", "",IF(Table4[[#This Row],[Adjusted Correct]]="YES",(Table4[[#This Row],[Strength of Win]]-1)^2,(Table4[[#This Row],[Strength of Win]]-0)^2))</f>
        <v/>
      </c>
      <c r="P1304" s="11"/>
    </row>
    <row r="1305" spans="4:16" x14ac:dyDescent="0.2">
      <c r="D1305" s="1">
        <v>46127</v>
      </c>
      <c r="E1305" s="2">
        <v>0.8125</v>
      </c>
      <c r="F1305" t="s">
        <v>36</v>
      </c>
      <c r="G1305">
        <f>VLOOKUP(Table4[[#This Row],[Home]],'NHL Model'!$A$6:$B$38,2,FALSE)</f>
        <v>-0.40651947573390851</v>
      </c>
      <c r="H1305" t="s">
        <v>19</v>
      </c>
      <c r="I1305">
        <f>VLOOKUP(Table4[[#This Row],[Visitor]],'NHL Model'!$A$6:$B$38,2,FALSE)</f>
        <v>-0.635565543477981</v>
      </c>
      <c r="J1305">
        <f ca="1">($B$1+Table4[[#This Row],[Home Differential]])-Table4[[#This Row],[Away Differential]]</f>
        <v>0.39161837740639088</v>
      </c>
      <c r="K1305" t="str">
        <f ca="1">IF(Table4[[#This Row],[HomeIce Differential]]&gt;0,Table4[[#This Row],[Home]],Table4[[#This Row],[Visitor]])</f>
        <v>Ottawa Senators</v>
      </c>
      <c r="L1305" s="11">
        <f ca="1"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0.59675759841058873</v>
      </c>
      <c r="M1305" t="str">
        <f ca="1">IF(OR((NHL2025_26Results[[#This Row],[Winning Team]]="")),"-",IF(Table4[[#This Row],[Predicted Winner]]=NHL2025_26Results[[#This Row],[Winning Team]],"YES","NO"))</f>
        <v>-</v>
      </c>
      <c r="N1305" t="str">
        <f ca="1">IF(Table4[[#This Row],[Adjusted Correct]]="-", "",IF(Table4[[#This Row],[Adjusted Correct]]="YES",(Table4[[#This Row],[Strength of Win]]-1)^2,(Table4[[#This Row],[Strength of Win]]-0)^2))</f>
        <v/>
      </c>
      <c r="P1305" s="11"/>
    </row>
    <row r="1306" spans="4:16" x14ac:dyDescent="0.2">
      <c r="D1306" s="1">
        <v>46127</v>
      </c>
      <c r="E1306" s="2">
        <v>0.79166666666666663</v>
      </c>
      <c r="F1306" t="s">
        <v>37</v>
      </c>
      <c r="G1306">
        <f>VLOOKUP(Table4[[#This Row],[Home]],'NHL Model'!$A$6:$B$38,2,FALSE)</f>
        <v>-0.11309445867623392</v>
      </c>
      <c r="H1306" t="s">
        <v>15</v>
      </c>
      <c r="I1306">
        <f>VLOOKUP(Table4[[#This Row],[Visitor]],'NHL Model'!$A$6:$B$38,2,FALSE)</f>
        <v>-0.30719665303039001</v>
      </c>
      <c r="J1306">
        <f ca="1">($B$1+Table4[[#This Row],[Home Differential]])-Table4[[#This Row],[Away Differential]]</f>
        <v>0.35667450401647449</v>
      </c>
      <c r="K1306" t="str">
        <f ca="1">IF(Table4[[#This Row],[HomeIce Differential]]&gt;0,Table4[[#This Row],[Home]],Table4[[#This Row],[Visitor]])</f>
        <v>Tampa Bay Lightning</v>
      </c>
      <c r="L1306" s="11">
        <f ca="1"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0.44701070423701939</v>
      </c>
      <c r="M1306" t="str">
        <f ca="1">IF(OR((NHL2025_26Results[[#This Row],[Winning Team]]="")),"-",IF(Table4[[#This Row],[Predicted Winner]]=NHL2025_26Results[[#This Row],[Winning Team]],"YES","NO"))</f>
        <v>-</v>
      </c>
      <c r="N1306" t="str">
        <f ca="1">IF(Table4[[#This Row],[Adjusted Correct]]="-", "",IF(Table4[[#This Row],[Adjusted Correct]]="YES",(Table4[[#This Row],[Strength of Win]]-1)^2,(Table4[[#This Row],[Strength of Win]]-0)^2))</f>
        <v/>
      </c>
      <c r="P1306" s="11"/>
    </row>
    <row r="1307" spans="4:16" x14ac:dyDescent="0.2">
      <c r="D1307" s="1">
        <v>46127</v>
      </c>
      <c r="E1307" s="2">
        <v>0.91666666666666663</v>
      </c>
      <c r="F1307" t="s">
        <v>20</v>
      </c>
      <c r="G1307">
        <f>VLOOKUP(Table4[[#This Row],[Home]],'NHL Model'!$A$6:$B$38,2,FALSE)</f>
        <v>-6.3745791019188943E-4</v>
      </c>
      <c r="H1307" t="s">
        <v>32</v>
      </c>
      <c r="I1307">
        <f>VLOOKUP(Table4[[#This Row],[Visitor]],'NHL Model'!$A$6:$B$38,2,FALSE)</f>
        <v>-0.361361309178443</v>
      </c>
      <c r="J1307">
        <f ca="1">($B$1+Table4[[#This Row],[Home Differential]])-Table4[[#This Row],[Away Differential]]</f>
        <v>0.52329616093056952</v>
      </c>
      <c r="K1307" t="str">
        <f ca="1">IF(Table4[[#This Row],[HomeIce Differential]]&gt;0,Table4[[#This Row],[Home]],Table4[[#This Row],[Visitor]])</f>
        <v>Vegas Golden Knights</v>
      </c>
      <c r="L1307" s="11">
        <f ca="1"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0.61250721698159905</v>
      </c>
      <c r="M1307" t="str">
        <f ca="1">IF(OR((NHL2025_26Results[[#This Row],[Winning Team]]="")),"-",IF(Table4[[#This Row],[Predicted Winner]]=NHL2025_26Results[[#This Row],[Winning Team]],"YES","NO"))</f>
        <v>-</v>
      </c>
      <c r="N1307" t="str">
        <f ca="1">IF(Table4[[#This Row],[Adjusted Correct]]="-", "",IF(Table4[[#This Row],[Adjusted Correct]]="YES",(Table4[[#This Row],[Strength of Win]]-1)^2,(Table4[[#This Row],[Strength of Win]]-0)^2))</f>
        <v/>
      </c>
      <c r="P1307" s="11"/>
    </row>
    <row r="1308" spans="4:16" x14ac:dyDescent="0.2">
      <c r="D1308" s="1">
        <v>46128</v>
      </c>
      <c r="E1308" s="2">
        <v>0.875</v>
      </c>
      <c r="F1308" t="s">
        <v>16</v>
      </c>
      <c r="G1308">
        <f>VLOOKUP(Table4[[#This Row],[Home]],'NHL Model'!$A$6:$B$38,2,FALSE)</f>
        <v>-1.3903684122795328</v>
      </c>
      <c r="H1308" t="s">
        <v>13</v>
      </c>
      <c r="I1308">
        <f>VLOOKUP(Table4[[#This Row],[Visitor]],'NHL Model'!$A$6:$B$38,2,FALSE)</f>
        <v>-7.5459708298993802E-2</v>
      </c>
      <c r="J1308">
        <f ca="1">($B$1+Table4[[#This Row],[Home Differential]])-Table4[[#This Row],[Away Differential]]</f>
        <v>-1.1523363943182205</v>
      </c>
      <c r="K1308" t="str">
        <f ca="1">IF(Table4[[#This Row],[HomeIce Differential]]&gt;0,Table4[[#This Row],[Home]],Table4[[#This Row],[Visitor]])</f>
        <v>Los Angeles Kings</v>
      </c>
      <c r="L1308" s="11">
        <f ca="1"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0.74106154021542259</v>
      </c>
      <c r="M1308" t="str">
        <f ca="1">IF(OR((NHL2025_26Results[[#This Row],[Winning Team]]="")),"-",IF(Table4[[#This Row],[Predicted Winner]]=NHL2025_26Results[[#This Row],[Winning Team]],"YES","NO"))</f>
        <v>-</v>
      </c>
      <c r="N1308" t="str">
        <f ca="1">IF(Table4[[#This Row],[Adjusted Correct]]="-", "",IF(Table4[[#This Row],[Adjusted Correct]]="YES",(Table4[[#This Row],[Strength of Win]]-1)^2,(Table4[[#This Row],[Strength of Win]]-0)^2))</f>
        <v/>
      </c>
      <c r="P1308" s="11"/>
    </row>
    <row r="1309" spans="4:16" x14ac:dyDescent="0.2">
      <c r="D1309" s="1">
        <v>46128</v>
      </c>
      <c r="E1309" s="2">
        <v>0.9375</v>
      </c>
      <c r="F1309" t="s">
        <v>12</v>
      </c>
      <c r="G1309">
        <f>VLOOKUP(Table4[[#This Row],[Home]],'NHL Model'!$A$6:$B$38,2,FALSE)</f>
        <v>1.5475013591489768</v>
      </c>
      <c r="H1309" t="s">
        <v>32</v>
      </c>
      <c r="I1309">
        <f>VLOOKUP(Table4[[#This Row],[Visitor]],'NHL Model'!$A$6:$B$38,2,FALSE)</f>
        <v>-0.361361309178443</v>
      </c>
      <c r="J1309">
        <f ca="1">($B$1+Table4[[#This Row],[Home Differential]])-Table4[[#This Row],[Away Differential]]</f>
        <v>2.0714349779897381</v>
      </c>
      <c r="K1309" t="str">
        <f ca="1">IF(Table4[[#This Row],[HomeIce Differential]]&gt;0,Table4[[#This Row],[Home]],Table4[[#This Row],[Visitor]])</f>
        <v>Colorado Avalanche</v>
      </c>
      <c r="L1309" s="11">
        <f ca="1"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0.91538151105394117</v>
      </c>
      <c r="M1309" t="str">
        <f ca="1">IF(OR((NHL2025_26Results[[#This Row],[Winning Team]]="")),"-",IF(Table4[[#This Row],[Predicted Winner]]=NHL2025_26Results[[#This Row],[Winning Team]],"YES","NO"))</f>
        <v>-</v>
      </c>
      <c r="N1309" t="str">
        <f ca="1">IF(Table4[[#This Row],[Adjusted Correct]]="-", "",IF(Table4[[#This Row],[Adjusted Correct]]="YES",(Table4[[#This Row],[Strength of Win]]-1)^2,(Table4[[#This Row],[Strength of Win]]-0)^2))</f>
        <v/>
      </c>
      <c r="P1309" s="11"/>
    </row>
    <row r="1310" spans="4:16" x14ac:dyDescent="0.2">
      <c r="D1310" s="1">
        <v>46128</v>
      </c>
      <c r="E1310" s="2">
        <v>0.875</v>
      </c>
      <c r="F1310" t="s">
        <v>17</v>
      </c>
      <c r="G1310">
        <f>VLOOKUP(Table4[[#This Row],[Home]],'NHL Model'!$A$6:$B$38,2,FALSE)</f>
        <v>-0.61980804137564283</v>
      </c>
      <c r="H1310" t="s">
        <v>38</v>
      </c>
      <c r="I1310">
        <f>VLOOKUP(Table4[[#This Row],[Visitor]],'NHL Model'!$A$6:$B$38,2,FALSE)</f>
        <v>-0.6902088310934803</v>
      </c>
      <c r="J1310">
        <f ca="1">($B$1+Table4[[#This Row],[Home Differential]])-Table4[[#This Row],[Away Differential]]</f>
        <v>0.23297309938015587</v>
      </c>
      <c r="K1310" t="str">
        <f ca="1">IF(Table4[[#This Row],[HomeIce Differential]]&gt;0,Table4[[#This Row],[Home]],Table4[[#This Row],[Visitor]])</f>
        <v>Edmonton Oilers</v>
      </c>
      <c r="L1310" s="11">
        <f ca="1"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0.56626102394312994</v>
      </c>
      <c r="M1310" t="str">
        <f ca="1">IF(OR((NHL2025_26Results[[#This Row],[Winning Team]]="")),"-",IF(Table4[[#This Row],[Predicted Winner]]=NHL2025_26Results[[#This Row],[Winning Team]],"YES","NO"))</f>
        <v>-</v>
      </c>
      <c r="N1310" t="str">
        <f ca="1">IF(Table4[[#This Row],[Adjusted Correct]]="-", "",IF(Table4[[#This Row],[Adjusted Correct]]="YES",(Table4[[#This Row],[Strength of Win]]-1)^2,(Table4[[#This Row],[Strength of Win]]-0)^2))</f>
        <v/>
      </c>
      <c r="P1310" s="11"/>
    </row>
    <row r="1311" spans="4:16" x14ac:dyDescent="0.2">
      <c r="D1311" s="1">
        <v>46128</v>
      </c>
      <c r="E1311" s="2">
        <v>0.83333333333333337</v>
      </c>
      <c r="F1311" t="s">
        <v>29</v>
      </c>
      <c r="G1311">
        <f>VLOOKUP(Table4[[#This Row],[Home]],'NHL Model'!$A$6:$B$38,2,FALSE)</f>
        <v>-1.3516250707060606</v>
      </c>
      <c r="H1311" t="s">
        <v>31</v>
      </c>
      <c r="I1311">
        <f>VLOOKUP(Table4[[#This Row],[Visitor]],'NHL Model'!$A$6:$B$38,2,FALSE)</f>
        <v>0.51775546328552802</v>
      </c>
      <c r="J1311">
        <f ca="1">($B$1+Table4[[#This Row],[Home Differential]])-Table4[[#This Row],[Away Differential]]</f>
        <v>-1.7068082243292704</v>
      </c>
      <c r="K1311" t="str">
        <f ca="1">IF(Table4[[#This Row],[HomeIce Differential]]&gt;0,Table4[[#This Row],[Home]],Table4[[#This Row],[Visitor]])</f>
        <v>Anaheim Ducks</v>
      </c>
      <c r="L1311" s="11">
        <f ca="1"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0.7172622981889244</v>
      </c>
      <c r="M1311" t="str">
        <f ca="1">IF(OR((NHL2025_26Results[[#This Row],[Winning Team]]="")),"-",IF(Table4[[#This Row],[Predicted Winner]]=NHL2025_26Results[[#This Row],[Winning Team]],"YES","NO"))</f>
        <v>-</v>
      </c>
      <c r="N1311" t="str">
        <f ca="1">IF(Table4[[#This Row],[Adjusted Correct]]="-", "",IF(Table4[[#This Row],[Adjusted Correct]]="YES",(Table4[[#This Row],[Strength of Win]]-1)^2,(Table4[[#This Row],[Strength of Win]]-0)^2))</f>
        <v/>
      </c>
      <c r="P1311" s="11"/>
    </row>
    <row r="1312" spans="4:16" x14ac:dyDescent="0.2">
      <c r="D1312" s="1">
        <v>46128</v>
      </c>
      <c r="E1312" s="2">
        <v>0.83333333333333337</v>
      </c>
      <c r="F1312" t="s">
        <v>55</v>
      </c>
      <c r="G1312">
        <f>VLOOKUP(Table4[[#This Row],[Home]],'NHL Model'!$A$6:$B$38,2,FALSE)</f>
        <v>-0.12212311954851815</v>
      </c>
      <c r="H1312" t="s">
        <v>35</v>
      </c>
      <c r="I1312">
        <f>VLOOKUP(Table4[[#This Row],[Visitor]],'NHL Model'!$A$6:$B$38,2,FALSE)</f>
        <v>-1.6211574240381006</v>
      </c>
      <c r="J1312">
        <f ca="1">($B$1+Table4[[#This Row],[Home Differential]])-Table4[[#This Row],[Away Differential]]</f>
        <v>1.6616066141519008</v>
      </c>
      <c r="K1312" t="str">
        <f ca="1">IF(Table4[[#This Row],[HomeIce Differential]]&gt;0,Table4[[#This Row],[Home]],Table4[[#This Row],[Visitor]])</f>
        <v>Utah Mammoth</v>
      </c>
      <c r="L1312" s="11">
        <f ca="1"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0.83850249878155703</v>
      </c>
      <c r="M1312" t="str">
        <f ca="1">IF(OR((NHL2025_26Results[[#This Row],[Winning Team]]="")),"-",IF(Table4[[#This Row],[Predicted Winner]]=NHL2025_26Results[[#This Row],[Winning Team]],"YES","NO"))</f>
        <v>-</v>
      </c>
      <c r="N1312" t="str">
        <f ca="1">IF(Table4[[#This Row],[Adjusted Correct]]="-", "",IF(Table4[[#This Row],[Adjusted Correct]]="YES",(Table4[[#This Row],[Strength of Win]]-1)^2,(Table4[[#This Row],[Strength of Win]]-0)^2))</f>
        <v/>
      </c>
      <c r="P1312" s="11"/>
    </row>
    <row r="1313" spans="4:16" x14ac:dyDescent="0.2">
      <c r="D1313" s="1">
        <v>46128</v>
      </c>
      <c r="E1313" s="2">
        <v>0.83333333333333337</v>
      </c>
      <c r="F1313" t="s">
        <v>40</v>
      </c>
      <c r="G1313">
        <f>VLOOKUP(Table4[[#This Row],[Home]],'NHL Model'!$A$6:$B$38,2,FALSE)</f>
        <v>0.105105258369765</v>
      </c>
      <c r="H1313" t="s">
        <v>33</v>
      </c>
      <c r="I1313">
        <f>VLOOKUP(Table4[[#This Row],[Visitor]],'NHL Model'!$A$6:$B$38,2,FALSE)</f>
        <v>-0.39418177254008485</v>
      </c>
      <c r="J1313">
        <f ca="1">($B$1+Table4[[#This Row],[Home Differential]])-Table4[[#This Row],[Away Differential]]</f>
        <v>0.66185934057216822</v>
      </c>
      <c r="K1313" t="str">
        <f ca="1">IF(Table4[[#This Row],[HomeIce Differential]]&gt;0,Table4[[#This Row],[Home]],Table4[[#This Row],[Visitor]])</f>
        <v>Winnipeg Jets</v>
      </c>
      <c r="L1313" s="11">
        <f ca="1"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0.66774321240415158</v>
      </c>
      <c r="M1313" t="str">
        <f ca="1">IF(OR((NHL2025_26Results[[#This Row],[Winning Team]]="")),"-",IF(Table4[[#This Row],[Predicted Winner]]=NHL2025_26Results[[#This Row],[Winning Team]],"YES","NO"))</f>
        <v>-</v>
      </c>
      <c r="N1313" t="str">
        <f ca="1">IF(Table4[[#This Row],[Adjusted Correct]]="-", "",IF(Table4[[#This Row],[Adjusted Correct]]="YES",(Table4[[#This Row],[Strength of Win]]-1)^2,(Table4[[#This Row],[Strength of Win]]-0)^2))</f>
        <v/>
      </c>
      <c r="P1313" s="11"/>
    </row>
  </sheetData>
  <conditionalFormatting sqref="D1:D1313">
    <cfRule type="timePeriod" dxfId="16" priority="6" timePeriod="today">
      <formula>FLOOR(D1,1)=TODAY()</formula>
    </cfRule>
  </conditionalFormatting>
  <conditionalFormatting sqref="J2:J1313">
    <cfRule type="colorScale" priority="7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K2:L1313">
    <cfRule type="colorScale" priority="1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M2:M1313">
    <cfRule type="containsText" dxfId="15" priority="9" operator="containsText" text="NO">
      <formula>NOT(ISERROR(SEARCH("NO",M2)))</formula>
    </cfRule>
    <cfRule type="containsText" dxfId="14" priority="10" operator="containsText" text="YES">
      <formula>NOT(ISERROR(SEARCH("YES",M2)))</formula>
    </cfRule>
  </conditionalFormatting>
  <conditionalFormatting sqref="Q232:Q244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Q257:Q265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R1:R1313">
    <cfRule type="containsText" dxfId="13" priority="3" operator="containsText" text="YES">
      <formula>NOT(ISERROR(SEARCH("YES",R1)))</formula>
    </cfRule>
    <cfRule type="containsText" dxfId="12" priority="4" operator="containsText" text="NO">
      <formula>NOT(ISERROR(SEARCH("NO",R1)))</formula>
    </cfRule>
  </conditionalFormatting>
  <pageMargins left="0.7" right="0.7" top="0.75" bottom="0.75" header="0.3" footer="0.3"/>
  <tableParts count="1"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B8A284B-11E6-244D-9605-A7C78DDBC28C}">
  <dimension ref="A1:R35"/>
  <sheetViews>
    <sheetView workbookViewId="0">
      <selection activeCell="M2" sqref="M2"/>
    </sheetView>
  </sheetViews>
  <sheetFormatPr baseColWidth="10" defaultColWidth="10.83203125" defaultRowHeight="16" x14ac:dyDescent="0.2"/>
  <cols>
    <col min="1" max="1" width="19.83203125" bestFit="1" customWidth="1"/>
    <col min="7" max="7" width="13.6640625" bestFit="1" customWidth="1"/>
    <col min="8" max="8" width="12.6640625" bestFit="1" customWidth="1"/>
    <col min="9" max="9" width="11.83203125" bestFit="1" customWidth="1"/>
    <col min="10" max="10" width="12.1640625" bestFit="1" customWidth="1"/>
    <col min="11" max="11" width="12" bestFit="1" customWidth="1"/>
    <col min="12" max="12" width="11.1640625" bestFit="1" customWidth="1"/>
    <col min="13" max="13" width="13.33203125" bestFit="1" customWidth="1"/>
    <col min="14" max="14" width="12.6640625" bestFit="1" customWidth="1"/>
    <col min="15" max="15" width="22.33203125" bestFit="1" customWidth="1"/>
    <col min="16" max="16" width="21.6640625" bestFit="1" customWidth="1"/>
    <col min="17" max="17" width="20.6640625" bestFit="1" customWidth="1"/>
    <col min="18" max="18" width="20" bestFit="1" customWidth="1"/>
  </cols>
  <sheetData>
    <row r="1" spans="1:18" x14ac:dyDescent="0.2">
      <c r="A1" s="3" t="s">
        <v>56</v>
      </c>
      <c r="B1" s="3" t="s">
        <v>57</v>
      </c>
      <c r="C1" s="3" t="s">
        <v>58</v>
      </c>
      <c r="D1" s="3" t="s">
        <v>59</v>
      </c>
      <c r="E1" s="3" t="s">
        <v>165</v>
      </c>
      <c r="F1" s="3" t="s">
        <v>166</v>
      </c>
      <c r="G1" s="9" t="s">
        <v>168</v>
      </c>
      <c r="H1" s="3" t="s">
        <v>170</v>
      </c>
      <c r="I1" s="9" t="s">
        <v>172</v>
      </c>
      <c r="J1" s="3" t="s">
        <v>169</v>
      </c>
      <c r="K1" s="3" t="s">
        <v>171</v>
      </c>
      <c r="L1" s="9" t="s">
        <v>173</v>
      </c>
      <c r="M1" s="3" t="s">
        <v>174</v>
      </c>
      <c r="N1" s="3" t="s">
        <v>167</v>
      </c>
      <c r="O1" s="9" t="s">
        <v>256</v>
      </c>
      <c r="P1" s="9" t="s">
        <v>257</v>
      </c>
      <c r="Q1" s="3" t="s">
        <v>258</v>
      </c>
      <c r="R1" s="3" t="s">
        <v>259</v>
      </c>
    </row>
    <row r="2" spans="1:18" x14ac:dyDescent="0.2">
      <c r="A2" s="4" t="s">
        <v>31</v>
      </c>
      <c r="B2">
        <f ca="1">SUM(Table1[[#This Row],[W]:[OTL]])</f>
        <v>18</v>
      </c>
      <c r="C2">
        <f>COUNTIF(NHL2025_26Results[Winning Team],Standings!A2)</f>
        <v>11</v>
      </c>
      <c r="D2">
        <f>COUNTIFS('NHL2025-26Results'!$H:$H,A2,'NHL2025-26Results'!$F:$F,"")</f>
        <v>6</v>
      </c>
      <c r="E2" s="10">
        <f>COUNTIFS('NHL2025-26Results'!$F:$F,"OT",'NHL2025-26Results'!$H:$H,A2) + COUNTIFS('NHL2025-26Results'!$F:$F,"SO",'NHL2025-26Results'!$H:$H,A2)</f>
        <v>1</v>
      </c>
      <c r="F2" s="3">
        <f>(Table1[[#This Row],[W]]*2)+Table1[[#This Row],[OTL]]</f>
        <v>23</v>
      </c>
      <c r="G2">
        <f>COUNTIFS('NHL2025-26Results'!$D:$D,A2,'NHL2025-26Results'!$G:$G,A2)</f>
        <v>5</v>
      </c>
      <c r="H2">
        <f>COUNTIFS('NHL2025-26Results'!$D:$D,A2,'NHL2025-26Results'!$H:$H,A2,'NHL2025-26Results'!$F:$F,"")</f>
        <v>1</v>
      </c>
      <c r="I2">
        <f>COUNTIFS('NHL2025-26Results'!$D:$D,A2,'NHL2025-26Results'!$H:$H,A2,'NHL2025-26Results'!$F:$F,"OT") + COUNTIFS('NHL2025-26Results'!$D:$D,A2,'NHL2025-26Results'!$H:$H,A2,'NHL2025-26Results'!$F:$F,"SO")</f>
        <v>0</v>
      </c>
      <c r="J2">
        <f>COUNTIFS('NHL2025-26Results'!$B:$B,A2,'NHL2025-26Results'!$G:$G,A2)</f>
        <v>6</v>
      </c>
      <c r="K2">
        <f>COUNTIFS('NHL2025-26Results'!$B:$B,A2,'NHL2025-26Results'!$H:$H,A2,'NHL2025-26Results'!$F:$F,"")</f>
        <v>5</v>
      </c>
      <c r="L2">
        <f>COUNTIFS('NHL2025-26Results'!$B:$B,A2,'NHL2025-26Results'!$H:$H,A2,'NHL2025-26Results'!$F:$F,"OT") + COUNTIFS('NHL2025-26Results'!$B:$B,A2,'NHL2025-26Results'!$H:$H,A2,'NHL2025-26Results'!$F:$F,"SO")</f>
        <v>1</v>
      </c>
      <c r="M2" s="11">
        <f ca="1">Table1[[#This Row],[HomeWins]]/SUM(Table1[[#This Row],[HomeWins]:[HomeOTL]])</f>
        <v>0.83333333333333337</v>
      </c>
      <c r="N2" s="11">
        <f ca="1">Table1[[#This Row],[AwayWins]]/SUM(Table1[[#This Row],[AwayWins]:[AwayOTL]])</f>
        <v>0.5</v>
      </c>
      <c r="O2" s="14">
        <f ca="1">SUMIFS('NHL2025-26Results'!$E:$E,'NHL2025-26Results'!$D:$D,A2,'NHL2025-26Results'!$E:$E,"&gt;0")/COUNTIFS('NHL2025-26Results'!$D:$D,A2,'NHL2025-26Results'!$E:$E,"&gt;0")</f>
        <v>4.166666666666667</v>
      </c>
      <c r="P2" s="15">
        <f ca="1">SUMIFS('NHL2025-26Results'!$C:$C,'NHL2025-26Results'!$B:$B,A2,'NHL2025-26Results'!$C:$C,"&gt;0")/COUNTIFS('NHL2025-26Results'!$B:$B,A2,'NHL2025-26Results'!$C:$C,"&gt;0")</f>
        <v>3.8181818181818183</v>
      </c>
      <c r="Q2" s="14">
        <f>SUMIFS('NHL2025-26Results'!$C:$C,'NHL2025-26Results'!$D:$D,A2,'NHL2025-26Results'!$C:$C,"&gt;0")/COUNTIFS('NHL2025-26Results'!$D:$D,A2,'NHL2025-26Results'!$C:$C,"&gt;0")</f>
        <v>2.3333333333333335</v>
      </c>
      <c r="R2" s="14">
        <f>SUMIFS('NHL2025-26Results'!$E:$E,'NHL2025-26Results'!$B:$B,A2,'NHL2025-26Results'!$E:$E,"&gt;0")/COUNTIFS('NHL2025-26Results'!$B:$B,A2,'NHL2025-26Results'!$E:$E,"&gt;0")</f>
        <v>3.6666666666666665</v>
      </c>
    </row>
    <row r="3" spans="1:18" x14ac:dyDescent="0.2">
      <c r="A3" s="4" t="s">
        <v>21</v>
      </c>
      <c r="B3">
        <f ca="1">SUM(Table1[[#This Row],[W]:[OTL]])</f>
        <v>20</v>
      </c>
      <c r="C3">
        <f>COUNTIF(NHL2025_26Results[Winning Team],Standings!A3)</f>
        <v>12</v>
      </c>
      <c r="D3">
        <f>COUNTIFS('NHL2025-26Results'!$H:$H,A3,'NHL2025-26Results'!$F:$F,"")</f>
        <v>8</v>
      </c>
      <c r="E3">
        <f>COUNTIFS('NHL2025-26Results'!$F:$F,"OT",'NHL2025-26Results'!$H:$H,A3) + COUNTIFS('NHL2025-26Results'!$F:$F,"SO",'NHL2025-26Results'!$H:$H,A3)</f>
        <v>0</v>
      </c>
      <c r="F3" s="3">
        <f>(Table1[[#This Row],[W]]*2)+Table1[[#This Row],[OTL]]</f>
        <v>24</v>
      </c>
      <c r="G3">
        <f>COUNTIFS('NHL2025-26Results'!$D:$D,A3,'NHL2025-26Results'!$G:$G,A3)</f>
        <v>8</v>
      </c>
      <c r="H3">
        <f>COUNTIFS('NHL2025-26Results'!$D:$D,A3,'NHL2025-26Results'!$H:$H,A3,'NHL2025-26Results'!$F:$F,"")</f>
        <v>3</v>
      </c>
      <c r="I3">
        <f>COUNTIFS('NHL2025-26Results'!$D:$D,A3,'NHL2025-26Results'!$H:$H,A3,'NHL2025-26Results'!$F:$F,"OT") + COUNTIFS('NHL2025-26Results'!$D:$D,A3,'NHL2025-26Results'!$H:$H,A3,'NHL2025-26Results'!$F:$F,"SO")</f>
        <v>0</v>
      </c>
      <c r="J3">
        <f>COUNTIFS('NHL2025-26Results'!$B:$B,A3,'NHL2025-26Results'!$G:$G,A3)</f>
        <v>4</v>
      </c>
      <c r="K3">
        <f>COUNTIFS('NHL2025-26Results'!$B:$B,A3,'NHL2025-26Results'!$H:$H,A3,'NHL2025-26Results'!$F:$F,"")</f>
        <v>5</v>
      </c>
      <c r="L3">
        <f>COUNTIFS('NHL2025-26Results'!$B:$B,A3,'NHL2025-26Results'!$H:$H,A3,'NHL2025-26Results'!$F:$F,"OT") + COUNTIFS('NHL2025-26Results'!$B:$B,A3,'NHL2025-26Results'!$H:$H,A3,'NHL2025-26Results'!$F:$F,"SO")</f>
        <v>0</v>
      </c>
      <c r="M3" s="11">
        <f ca="1">Table1[[#This Row],[HomeWins]]/SUM(Table1[[#This Row],[HomeWins]:[HomeOTL]])</f>
        <v>0.72727272727272729</v>
      </c>
      <c r="N3" s="11">
        <f ca="1">Table1[[#This Row],[AwayWins]]/SUM(Table1[[#This Row],[AwayWins]:[AwayOTL]])</f>
        <v>0.44444444444444442</v>
      </c>
      <c r="O3" s="14">
        <f ca="1">SUMIFS('NHL2025-26Results'!$E:$E,'NHL2025-26Results'!$D:$D,A3,'NHL2025-26Results'!$E:$E,"&gt;0")/COUNTIFS('NHL2025-26Results'!$D:$D,A3,'NHL2025-26Results'!$E:$E,"&gt;0")</f>
        <v>3.6363636363636362</v>
      </c>
      <c r="P3" s="14">
        <f ca="1">SUMIFS('NHL2025-26Results'!$C:$C,'NHL2025-26Results'!$B:$B,A3,'NHL2025-26Results'!$C:$C,"&gt;0")/COUNTIFS('NHL2025-26Results'!$B:$B,A3,'NHL2025-26Results'!$C:$C,"&gt;0")</f>
        <v>3.1111111111111112</v>
      </c>
      <c r="Q3" s="14">
        <f>SUMIFS('NHL2025-26Results'!$C:$C,'NHL2025-26Results'!$D:$D,A3,'NHL2025-26Results'!$C:$C,"&gt;0")/COUNTIFS('NHL2025-26Results'!$D:$D,A3,'NHL2025-26Results'!$C:$C,"&gt;0")</f>
        <v>2.9090909090909092</v>
      </c>
      <c r="R3" s="14">
        <f>SUMIFS('NHL2025-26Results'!$E:$E,'NHL2025-26Results'!$B:$B,A3,'NHL2025-26Results'!$E:$E,"&gt;0")/COUNTIFS('NHL2025-26Results'!$B:$B,A3,'NHL2025-26Results'!$E:$E,"&gt;0")</f>
        <v>3.7777777777777777</v>
      </c>
    </row>
    <row r="4" spans="1:18" x14ac:dyDescent="0.2">
      <c r="A4" s="4" t="s">
        <v>23</v>
      </c>
      <c r="B4">
        <f>SUM(Table1[[#This Row],[W]:[OTL]])</f>
        <v>18</v>
      </c>
      <c r="C4">
        <f>COUNTIF(NHL2025_26Results[Winning Team],Standings!A4)</f>
        <v>6</v>
      </c>
      <c r="D4">
        <f>COUNTIFS('NHL2025-26Results'!$H:$H,A4,'NHL2025-26Results'!$F:$F,"")</f>
        <v>8</v>
      </c>
      <c r="E4">
        <f>COUNTIFS('NHL2025-26Results'!$F:$F,"OT",'NHL2025-26Results'!$H:$H,A4) + COUNTIFS('NHL2025-26Results'!$F:$F,"SO",'NHL2025-26Results'!$H:$H,A4)</f>
        <v>4</v>
      </c>
      <c r="F4" s="3">
        <f>(Table1[[#This Row],[W]]*2)+Table1[[#This Row],[OTL]]</f>
        <v>16</v>
      </c>
      <c r="G4">
        <f>COUNTIFS('NHL2025-26Results'!$D:$D,A4,'NHL2025-26Results'!$G:$G,A4)</f>
        <v>5</v>
      </c>
      <c r="H4">
        <f>COUNTIFS('NHL2025-26Results'!$D:$D,A4,'NHL2025-26Results'!$H:$H,A4,'NHL2025-26Results'!$F:$F,"")</f>
        <v>3</v>
      </c>
      <c r="I4">
        <f>COUNTIFS('NHL2025-26Results'!$D:$D,A4,'NHL2025-26Results'!$H:$H,A4,'NHL2025-26Results'!$F:$F,"OT") + COUNTIFS('NHL2025-26Results'!$D:$D,A4,'NHL2025-26Results'!$H:$H,A4,'NHL2025-26Results'!$F:$F,"SO")</f>
        <v>2</v>
      </c>
      <c r="J4">
        <f>COUNTIFS('NHL2025-26Results'!$B:$B,A4,'NHL2025-26Results'!$G:$G,A4)</f>
        <v>1</v>
      </c>
      <c r="K4">
        <f>COUNTIFS('NHL2025-26Results'!$B:$B,A4,'NHL2025-26Results'!$H:$H,A4,'NHL2025-26Results'!$F:$F,"")</f>
        <v>5</v>
      </c>
      <c r="L4">
        <f>COUNTIFS('NHL2025-26Results'!$B:$B,A4,'NHL2025-26Results'!$H:$H,A4,'NHL2025-26Results'!$F:$F,"OT") + COUNTIFS('NHL2025-26Results'!$B:$B,A4,'NHL2025-26Results'!$H:$H,A4,'NHL2025-26Results'!$F:$F,"SO")</f>
        <v>2</v>
      </c>
      <c r="M4" s="11">
        <f>Table1[[#This Row],[HomeWins]]/SUM(Table1[[#This Row],[HomeWins]:[HomeOTL]])</f>
        <v>0.5</v>
      </c>
      <c r="N4" s="11">
        <f>Table1[[#This Row],[AwayWins]]/SUM(Table1[[#This Row],[AwayWins]:[AwayOTL]])</f>
        <v>0.125</v>
      </c>
      <c r="O4" s="14">
        <f>SUMIFS('NHL2025-26Results'!$E:$E,'NHL2025-26Results'!$D:$D,A4,'NHL2025-26Results'!$E:$E,"&gt;0")/COUNTIFS('NHL2025-26Results'!$D:$D,A4,'NHL2025-26Results'!$E:$E,"&gt;0")</f>
        <v>3.625</v>
      </c>
      <c r="P4" s="14">
        <f>SUMIFS('NHL2025-26Results'!$C:$C,'NHL2025-26Results'!$B:$B,A4,'NHL2025-26Results'!$C:$C,"&gt;0")/COUNTIFS('NHL2025-26Results'!$B:$B,A4,'NHL2025-26Results'!$C:$C,"&gt;0")</f>
        <v>2.75</v>
      </c>
      <c r="Q4" s="14">
        <f>SUMIFS('NHL2025-26Results'!$C:$C,'NHL2025-26Results'!$D:$D,A4,'NHL2025-26Results'!$C:$C,"&gt;0")/COUNTIFS('NHL2025-26Results'!$D:$D,A4,'NHL2025-26Results'!$C:$C,"&gt;0")</f>
        <v>3.1111111111111112</v>
      </c>
      <c r="R4" s="14">
        <f>SUMIFS('NHL2025-26Results'!$E:$E,'NHL2025-26Results'!$B:$B,A4,'NHL2025-26Results'!$E:$E,"&gt;0")/COUNTIFS('NHL2025-26Results'!$B:$B,A4,'NHL2025-26Results'!$E:$E,"&gt;0")</f>
        <v>4.5</v>
      </c>
    </row>
    <row r="5" spans="1:18" x14ac:dyDescent="0.2">
      <c r="A5" s="4" t="s">
        <v>16</v>
      </c>
      <c r="B5">
        <f>SUM(Table1[[#This Row],[W]:[OTL]])</f>
        <v>20</v>
      </c>
      <c r="C5">
        <f>COUNTIF(NHL2025_26Results[Winning Team],Standings!A5)</f>
        <v>5</v>
      </c>
      <c r="D5">
        <f>COUNTIFS('NHL2025-26Results'!$H:$H,A5,'NHL2025-26Results'!$F:$F,"")</f>
        <v>12</v>
      </c>
      <c r="E5">
        <f>COUNTIFS('NHL2025-26Results'!$F:$F,"OT",'NHL2025-26Results'!$H:$H,A5) + COUNTIFS('NHL2025-26Results'!$F:$F,"SO",'NHL2025-26Results'!$H:$H,A5)</f>
        <v>3</v>
      </c>
      <c r="F5" s="3">
        <f>(Table1[[#This Row],[W]]*2)+Table1[[#This Row],[OTL]]</f>
        <v>13</v>
      </c>
      <c r="G5">
        <f>COUNTIFS('NHL2025-26Results'!$D:$D,A5,'NHL2025-26Results'!$G:$G,A5)</f>
        <v>3</v>
      </c>
      <c r="H5">
        <f>COUNTIFS('NHL2025-26Results'!$D:$D,A5,'NHL2025-26Results'!$H:$H,A5,'NHL2025-26Results'!$F:$F,"")</f>
        <v>4</v>
      </c>
      <c r="I5">
        <f>COUNTIFS('NHL2025-26Results'!$D:$D,A5,'NHL2025-26Results'!$H:$H,A5,'NHL2025-26Results'!$F:$F,"OT") + COUNTIFS('NHL2025-26Results'!$D:$D,A5,'NHL2025-26Results'!$H:$H,A5,'NHL2025-26Results'!$F:$F,"SO")</f>
        <v>2</v>
      </c>
      <c r="J5">
        <f>COUNTIFS('NHL2025-26Results'!$B:$B,A5,'NHL2025-26Results'!$G:$G,A5)</f>
        <v>2</v>
      </c>
      <c r="K5">
        <f>COUNTIFS('NHL2025-26Results'!$B:$B,A5,'NHL2025-26Results'!$H:$H,A5,'NHL2025-26Results'!$F:$F,"")</f>
        <v>8</v>
      </c>
      <c r="L5">
        <f>COUNTIFS('NHL2025-26Results'!$B:$B,A5,'NHL2025-26Results'!$H:$H,A5,'NHL2025-26Results'!$F:$F,"OT") + COUNTIFS('NHL2025-26Results'!$B:$B,A5,'NHL2025-26Results'!$H:$H,A5,'NHL2025-26Results'!$F:$F,"SO")</f>
        <v>1</v>
      </c>
      <c r="M5" s="11">
        <f>Table1[[#This Row],[HomeWins]]/SUM(Table1[[#This Row],[HomeWins]:[HomeOTL]])</f>
        <v>0.33333333333333331</v>
      </c>
      <c r="N5" s="11">
        <f>Table1[[#This Row],[AwayWins]]/SUM(Table1[[#This Row],[AwayWins]:[AwayOTL]])</f>
        <v>0.18181818181818182</v>
      </c>
      <c r="O5" s="14">
        <f>SUMIFS('NHL2025-26Results'!$E:$E,'NHL2025-26Results'!$D:$D,A5,'NHL2025-26Results'!$E:$E,"&gt;0")/COUNTIFS('NHL2025-26Results'!$D:$D,A5,'NHL2025-26Results'!$E:$E,"&gt;0")</f>
        <v>2.625</v>
      </c>
      <c r="P5" s="14">
        <f>SUMIFS('NHL2025-26Results'!$C:$C,'NHL2025-26Results'!$B:$B,A5,'NHL2025-26Results'!$C:$C,"&gt;0")/COUNTIFS('NHL2025-26Results'!$B:$B,A5,'NHL2025-26Results'!$C:$C,"&gt;0")</f>
        <v>2.2000000000000002</v>
      </c>
      <c r="Q5" s="14">
        <f>SUMIFS('NHL2025-26Results'!$C:$C,'NHL2025-26Results'!$D:$D,A5,'NHL2025-26Results'!$C:$C,"&gt;0")/COUNTIFS('NHL2025-26Results'!$D:$D,A5,'NHL2025-26Results'!$C:$C,"&gt;0")</f>
        <v>2.75</v>
      </c>
      <c r="R5" s="14">
        <f>SUMIFS('NHL2025-26Results'!$E:$E,'NHL2025-26Results'!$B:$B,A5,'NHL2025-26Results'!$E:$E,"&gt;0")/COUNTIFS('NHL2025-26Results'!$B:$B,A5,'NHL2025-26Results'!$E:$E,"&gt;0")</f>
        <v>3.6363636363636362</v>
      </c>
    </row>
    <row r="6" spans="1:18" x14ac:dyDescent="0.2">
      <c r="A6" s="4" t="s">
        <v>25</v>
      </c>
      <c r="B6">
        <f>SUM(Table1[[#This Row],[W]:[OTL]])</f>
        <v>18</v>
      </c>
      <c r="C6">
        <f>COUNTIF(NHL2025_26Results[Winning Team],Standings!A6)</f>
        <v>12</v>
      </c>
      <c r="D6">
        <f>COUNTIFS('NHL2025-26Results'!$H:$H,A6,'NHL2025-26Results'!$F:$F,"")</f>
        <v>5</v>
      </c>
      <c r="E6">
        <f>COUNTIFS('NHL2025-26Results'!$F:$F,"OT",'NHL2025-26Results'!$H:$H,A6) + COUNTIFS('NHL2025-26Results'!$F:$F,"SO",'NHL2025-26Results'!$H:$H,A6)</f>
        <v>1</v>
      </c>
      <c r="F6" s="3">
        <f>(Table1[[#This Row],[W]]*2)+Table1[[#This Row],[OTL]]</f>
        <v>25</v>
      </c>
      <c r="G6">
        <f>COUNTIFS('NHL2025-26Results'!$D:$D,A6,'NHL2025-26Results'!$G:$G,A6)</f>
        <v>6</v>
      </c>
      <c r="H6">
        <f>COUNTIFS('NHL2025-26Results'!$D:$D,A6,'NHL2025-26Results'!$H:$H,A6,'NHL2025-26Results'!$F:$F,"")</f>
        <v>2</v>
      </c>
      <c r="I6">
        <f>COUNTIFS('NHL2025-26Results'!$D:$D,A6,'NHL2025-26Results'!$H:$H,A6,'NHL2025-26Results'!$F:$F,"OT") + COUNTIFS('NHL2025-26Results'!$D:$D,A6,'NHL2025-26Results'!$H:$H,A6,'NHL2025-26Results'!$F:$F,"SO")</f>
        <v>1</v>
      </c>
      <c r="J6">
        <f>COUNTIFS('NHL2025-26Results'!$B:$B,A6,'NHL2025-26Results'!$G:$G,A6)</f>
        <v>6</v>
      </c>
      <c r="K6">
        <f>COUNTIFS('NHL2025-26Results'!$B:$B,A6,'NHL2025-26Results'!$H:$H,A6,'NHL2025-26Results'!$F:$F,"")</f>
        <v>3</v>
      </c>
      <c r="L6">
        <f>COUNTIFS('NHL2025-26Results'!$B:$B,A6,'NHL2025-26Results'!$H:$H,A6,'NHL2025-26Results'!$F:$F,"OT") + COUNTIFS('NHL2025-26Results'!$B:$B,A6,'NHL2025-26Results'!$H:$H,A6,'NHL2025-26Results'!$F:$F,"SO")</f>
        <v>0</v>
      </c>
      <c r="M6" s="11">
        <f>Table1[[#This Row],[HomeWins]]/SUM(Table1[[#This Row],[HomeWins]:[HomeOTL]])</f>
        <v>0.66666666666666663</v>
      </c>
      <c r="N6" s="11">
        <f>Table1[[#This Row],[AwayWins]]/SUM(Table1[[#This Row],[AwayWins]:[AwayOTL]])</f>
        <v>0.66666666666666663</v>
      </c>
      <c r="O6" s="14">
        <f>SUMIFS('NHL2025-26Results'!$E:$E,'NHL2025-26Results'!$D:$D,A6,'NHL2025-26Results'!$E:$E,"&gt;0")/COUNTIFS('NHL2025-26Results'!$D:$D,A6,'NHL2025-26Results'!$E:$E,"&gt;0")</f>
        <v>4.1111111111111107</v>
      </c>
      <c r="P6" s="14">
        <f>SUMIFS('NHL2025-26Results'!$C:$C,'NHL2025-26Results'!$B:$B,A6,'NHL2025-26Results'!$C:$C,"&gt;0")/COUNTIFS('NHL2025-26Results'!$B:$B,A6,'NHL2025-26Results'!$C:$C,"&gt;0")</f>
        <v>3.3333333333333335</v>
      </c>
      <c r="Q6" s="14">
        <f>SUMIFS('NHL2025-26Results'!$C:$C,'NHL2025-26Results'!$D:$D,A6,'NHL2025-26Results'!$C:$C,"&gt;0")/COUNTIFS('NHL2025-26Results'!$D:$D,A6,'NHL2025-26Results'!$C:$C,"&gt;0")</f>
        <v>3.4444444444444446</v>
      </c>
      <c r="R6" s="14">
        <f>SUMIFS('NHL2025-26Results'!$E:$E,'NHL2025-26Results'!$B:$B,A6,'NHL2025-26Results'!$E:$E,"&gt;0")/COUNTIFS('NHL2025-26Results'!$B:$B,A6,'NHL2025-26Results'!$E:$E,"&gt;0")</f>
        <v>2.75</v>
      </c>
    </row>
    <row r="7" spans="1:18" x14ac:dyDescent="0.2">
      <c r="A7" s="4" t="s">
        <v>10</v>
      </c>
      <c r="B7">
        <f>SUM(Table1[[#This Row],[W]:[OTL]])</f>
        <v>18</v>
      </c>
      <c r="C7">
        <f>COUNTIF(NHL2025_26Results[Winning Team],Standings!A7)</f>
        <v>9</v>
      </c>
      <c r="D7">
        <f>COUNTIFS('NHL2025-26Results'!$H:$H,A7,'NHL2025-26Results'!$F:$F,"")</f>
        <v>5</v>
      </c>
      <c r="E7">
        <f>COUNTIFS('NHL2025-26Results'!$F:$F,"OT",'NHL2025-26Results'!$H:$H,A7) + COUNTIFS('NHL2025-26Results'!$F:$F,"SO",'NHL2025-26Results'!$H:$H,A7)</f>
        <v>4</v>
      </c>
      <c r="F7" s="3">
        <f>(Table1[[#This Row],[W]]*2)+Table1[[#This Row],[OTL]]</f>
        <v>22</v>
      </c>
      <c r="G7">
        <f>COUNTIFS('NHL2025-26Results'!$D:$D,A7,'NHL2025-26Results'!$G:$G,A7)</f>
        <v>4</v>
      </c>
      <c r="H7">
        <f>COUNTIFS('NHL2025-26Results'!$D:$D,A7,'NHL2025-26Results'!$H:$H,A7,'NHL2025-26Results'!$F:$F,"")</f>
        <v>2</v>
      </c>
      <c r="I7">
        <f>COUNTIFS('NHL2025-26Results'!$D:$D,A7,'NHL2025-26Results'!$H:$H,A7,'NHL2025-26Results'!$F:$F,"OT") + COUNTIFS('NHL2025-26Results'!$D:$D,A7,'NHL2025-26Results'!$H:$H,A7,'NHL2025-26Results'!$F:$F,"SO")</f>
        <v>2</v>
      </c>
      <c r="J7">
        <f>COUNTIFS('NHL2025-26Results'!$B:$B,A7,'NHL2025-26Results'!$G:$G,A7)</f>
        <v>5</v>
      </c>
      <c r="K7">
        <f>COUNTIFS('NHL2025-26Results'!$B:$B,A7,'NHL2025-26Results'!$H:$H,A7,'NHL2025-26Results'!$F:$F,"")</f>
        <v>3</v>
      </c>
      <c r="L7">
        <f>COUNTIFS('NHL2025-26Results'!$B:$B,A7,'NHL2025-26Results'!$H:$H,A7,'NHL2025-26Results'!$F:$F,"OT") + COUNTIFS('NHL2025-26Results'!$B:$B,A7,'NHL2025-26Results'!$H:$H,A7,'NHL2025-26Results'!$F:$F,"SO")</f>
        <v>2</v>
      </c>
      <c r="M7" s="11">
        <f>Table1[[#This Row],[HomeWins]]/SUM(Table1[[#This Row],[HomeWins]:[HomeOTL]])</f>
        <v>0.5</v>
      </c>
      <c r="N7" s="11">
        <f>Table1[[#This Row],[AwayWins]]/SUM(Table1[[#This Row],[AwayWins]:[AwayOTL]])</f>
        <v>0.5</v>
      </c>
      <c r="O7" s="14">
        <f>SUMIFS('NHL2025-26Results'!$E:$E,'NHL2025-26Results'!$D:$D,A7,'NHL2025-26Results'!$E:$E,"&gt;0")/COUNTIFS('NHL2025-26Results'!$D:$D,A7,'NHL2025-26Results'!$E:$E,"&gt;0")</f>
        <v>2.875</v>
      </c>
      <c r="P7" s="14">
        <f>SUMIFS('NHL2025-26Results'!$C:$C,'NHL2025-26Results'!$B:$B,A7,'NHL2025-26Results'!$C:$C,"&gt;0")/COUNTIFS('NHL2025-26Results'!$B:$B,A7,'NHL2025-26Results'!$C:$C,"&gt;0")</f>
        <v>3.6</v>
      </c>
      <c r="Q7" s="14">
        <f>SUMIFS('NHL2025-26Results'!$C:$C,'NHL2025-26Results'!$D:$D,A7,'NHL2025-26Results'!$C:$C,"&gt;0")/COUNTIFS('NHL2025-26Results'!$D:$D,A7,'NHL2025-26Results'!$C:$C,"&gt;0")</f>
        <v>2.5</v>
      </c>
      <c r="R7" s="14">
        <f>SUMIFS('NHL2025-26Results'!$E:$E,'NHL2025-26Results'!$B:$B,A7,'NHL2025-26Results'!$E:$E,"&gt;0")/COUNTIFS('NHL2025-26Results'!$B:$B,A7,'NHL2025-26Results'!$E:$E,"&gt;0")</f>
        <v>3</v>
      </c>
    </row>
    <row r="8" spans="1:18" x14ac:dyDescent="0.2">
      <c r="A8" s="4" t="s">
        <v>12</v>
      </c>
      <c r="B8">
        <f>SUM(Table1[[#This Row],[W]:[OTL]])</f>
        <v>19</v>
      </c>
      <c r="C8">
        <f>COUNTIF(NHL2025_26Results[Winning Team],Standings!A8)</f>
        <v>13</v>
      </c>
      <c r="D8">
        <f>COUNTIFS('NHL2025-26Results'!$H:$H,A8,'NHL2025-26Results'!$F:$F,"")</f>
        <v>1</v>
      </c>
      <c r="E8">
        <f>COUNTIFS('NHL2025-26Results'!$F:$F,"OT",'NHL2025-26Results'!$H:$H,A8) + COUNTIFS('NHL2025-26Results'!$F:$F,"SO",'NHL2025-26Results'!$H:$H,A8)</f>
        <v>5</v>
      </c>
      <c r="F8" s="3">
        <f>(Table1[[#This Row],[W]]*2)+Table1[[#This Row],[OTL]]</f>
        <v>31</v>
      </c>
      <c r="G8">
        <f>COUNTIFS('NHL2025-26Results'!$D:$D,A8,'NHL2025-26Results'!$G:$G,A8)</f>
        <v>7</v>
      </c>
      <c r="H8">
        <f>COUNTIFS('NHL2025-26Results'!$D:$D,A8,'NHL2025-26Results'!$H:$H,A8,'NHL2025-26Results'!$F:$F,"")</f>
        <v>0</v>
      </c>
      <c r="I8">
        <f>COUNTIFS('NHL2025-26Results'!$D:$D,A8,'NHL2025-26Results'!$H:$H,A8,'NHL2025-26Results'!$F:$F,"OT") + COUNTIFS('NHL2025-26Results'!$D:$D,A8,'NHL2025-26Results'!$H:$H,A8,'NHL2025-26Results'!$F:$F,"SO")</f>
        <v>2</v>
      </c>
      <c r="J8">
        <f>COUNTIFS('NHL2025-26Results'!$B:$B,A8,'NHL2025-26Results'!$G:$G,A8)</f>
        <v>6</v>
      </c>
      <c r="K8">
        <f>COUNTIFS('NHL2025-26Results'!$B:$B,A8,'NHL2025-26Results'!$H:$H,A8,'NHL2025-26Results'!$F:$F,"")</f>
        <v>1</v>
      </c>
      <c r="L8">
        <f>COUNTIFS('NHL2025-26Results'!$B:$B,A8,'NHL2025-26Results'!$H:$H,A8,'NHL2025-26Results'!$F:$F,"OT") + COUNTIFS('NHL2025-26Results'!$B:$B,A8,'NHL2025-26Results'!$H:$H,A8,'NHL2025-26Results'!$F:$F,"SO")</f>
        <v>3</v>
      </c>
      <c r="M8" s="11">
        <f>Table1[[#This Row],[HomeWins]]/SUM(Table1[[#This Row],[HomeWins]:[HomeOTL]])</f>
        <v>0.77777777777777779</v>
      </c>
      <c r="N8" s="11">
        <f>Table1[[#This Row],[AwayWins]]/SUM(Table1[[#This Row],[AwayWins]:[AwayOTL]])</f>
        <v>0.6</v>
      </c>
      <c r="O8" s="14">
        <f>SUMIFS('NHL2025-26Results'!$E:$E,'NHL2025-26Results'!$D:$D,A8,'NHL2025-26Results'!$E:$E,"&gt;0")/COUNTIFS('NHL2025-26Results'!$D:$D,A8,'NHL2025-26Results'!$E:$E,"&gt;0")</f>
        <v>4.333333333333333</v>
      </c>
      <c r="P8" s="14">
        <f>SUMIFS('NHL2025-26Results'!$C:$C,'NHL2025-26Results'!$B:$B,A8,'NHL2025-26Results'!$C:$C,"&gt;0")/COUNTIFS('NHL2025-26Results'!$B:$B,A8,'NHL2025-26Results'!$C:$C,"&gt;0")</f>
        <v>3.9</v>
      </c>
      <c r="Q8" s="14">
        <f>SUMIFS('NHL2025-26Results'!$C:$C,'NHL2025-26Results'!$D:$D,A8,'NHL2025-26Results'!$C:$C,"&gt;0")/COUNTIFS('NHL2025-26Results'!$D:$D,A8,'NHL2025-26Results'!$C:$C,"&gt;0")</f>
        <v>2.5555555555555554</v>
      </c>
      <c r="R8" s="14">
        <f>SUMIFS('NHL2025-26Results'!$E:$E,'NHL2025-26Results'!$B:$B,A8,'NHL2025-26Results'!$E:$E,"&gt;0")/COUNTIFS('NHL2025-26Results'!$B:$B,A8,'NHL2025-26Results'!$E:$E,"&gt;0")</f>
        <v>2.4</v>
      </c>
    </row>
    <row r="9" spans="1:18" x14ac:dyDescent="0.2">
      <c r="A9" s="4" t="s">
        <v>28</v>
      </c>
      <c r="B9">
        <f>SUM(Table1[[#This Row],[W]:[OTL]])</f>
        <v>18</v>
      </c>
      <c r="C9">
        <f>COUNTIF(NHL2025_26Results[Winning Team],Standings!A9)</f>
        <v>9</v>
      </c>
      <c r="D9">
        <f>COUNTIFS('NHL2025-26Results'!$H:$H,A9,'NHL2025-26Results'!$F:$F,"")</f>
        <v>7</v>
      </c>
      <c r="E9">
        <f>COUNTIFS('NHL2025-26Results'!$F:$F,"OT",'NHL2025-26Results'!$H:$H,A9) + COUNTIFS('NHL2025-26Results'!$F:$F,"SO",'NHL2025-26Results'!$H:$H,A9)</f>
        <v>2</v>
      </c>
      <c r="F9" s="3">
        <f>(Table1[[#This Row],[W]]*2)+Table1[[#This Row],[OTL]]</f>
        <v>20</v>
      </c>
      <c r="G9">
        <f>COUNTIFS('NHL2025-26Results'!$D:$D,A9,'NHL2025-26Results'!$G:$G,A9)</f>
        <v>4</v>
      </c>
      <c r="H9">
        <f>COUNTIFS('NHL2025-26Results'!$D:$D,A9,'NHL2025-26Results'!$H:$H,A9,'NHL2025-26Results'!$F:$F,"")</f>
        <v>3</v>
      </c>
      <c r="I9">
        <f>COUNTIFS('NHL2025-26Results'!$D:$D,A9,'NHL2025-26Results'!$H:$H,A9,'NHL2025-26Results'!$F:$F,"OT") + COUNTIFS('NHL2025-26Results'!$D:$D,A9,'NHL2025-26Results'!$H:$H,A9,'NHL2025-26Results'!$F:$F,"SO")</f>
        <v>1</v>
      </c>
      <c r="J9">
        <f>COUNTIFS('NHL2025-26Results'!$B:$B,A9,'NHL2025-26Results'!$G:$G,A9)</f>
        <v>5</v>
      </c>
      <c r="K9">
        <f>COUNTIFS('NHL2025-26Results'!$B:$B,A9,'NHL2025-26Results'!$H:$H,A9,'NHL2025-26Results'!$F:$F,"")</f>
        <v>4</v>
      </c>
      <c r="L9">
        <f>COUNTIFS('NHL2025-26Results'!$B:$B,A9,'NHL2025-26Results'!$H:$H,A9,'NHL2025-26Results'!$F:$F,"OT") + COUNTIFS('NHL2025-26Results'!$B:$B,A9,'NHL2025-26Results'!$H:$H,A9,'NHL2025-26Results'!$F:$F,"SO")</f>
        <v>1</v>
      </c>
      <c r="M9" s="11">
        <f>Table1[[#This Row],[HomeWins]]/SUM(Table1[[#This Row],[HomeWins]:[HomeOTL]])</f>
        <v>0.5</v>
      </c>
      <c r="N9" s="11">
        <f>Table1[[#This Row],[AwayWins]]/SUM(Table1[[#This Row],[AwayWins]:[AwayOTL]])</f>
        <v>0.5</v>
      </c>
      <c r="O9" s="14">
        <f>SUMIFS('NHL2025-26Results'!$E:$E,'NHL2025-26Results'!$D:$D,A9,'NHL2025-26Results'!$E:$E,"&gt;0")/COUNTIFS('NHL2025-26Results'!$D:$D,A9,'NHL2025-26Results'!$E:$E,"&gt;0")</f>
        <v>2.75</v>
      </c>
      <c r="P9" s="14">
        <f>SUMIFS('NHL2025-26Results'!$C:$C,'NHL2025-26Results'!$B:$B,A9,'NHL2025-26Results'!$C:$C,"&gt;0")/COUNTIFS('NHL2025-26Results'!$B:$B,A9,'NHL2025-26Results'!$C:$C,"&gt;0")</f>
        <v>3.4</v>
      </c>
      <c r="Q9" s="14">
        <f>SUMIFS('NHL2025-26Results'!$C:$C,'NHL2025-26Results'!$D:$D,A9,'NHL2025-26Results'!$C:$C,"&gt;0")/COUNTIFS('NHL2025-26Results'!$D:$D,A9,'NHL2025-26Results'!$C:$C,"&gt;0")</f>
        <v>3.125</v>
      </c>
      <c r="R9" s="14">
        <f>SUMIFS('NHL2025-26Results'!$E:$E,'NHL2025-26Results'!$B:$B,A9,'NHL2025-26Results'!$E:$E,"&gt;0")/COUNTIFS('NHL2025-26Results'!$B:$B,A9,'NHL2025-26Results'!$E:$E,"&gt;0")</f>
        <v>3.2</v>
      </c>
    </row>
    <row r="10" spans="1:18" x14ac:dyDescent="0.2">
      <c r="A10" s="4" t="s">
        <v>39</v>
      </c>
      <c r="B10">
        <f>SUM(Table1[[#This Row],[W]:[OTL]])</f>
        <v>19</v>
      </c>
      <c r="C10">
        <f>COUNTIF(NHL2025_26Results[Winning Team],Standings!A10)</f>
        <v>12</v>
      </c>
      <c r="D10">
        <f>COUNTIFS('NHL2025-26Results'!$H:$H,A10,'NHL2025-26Results'!$F:$F,"")</f>
        <v>4</v>
      </c>
      <c r="E10">
        <f>COUNTIFS('NHL2025-26Results'!$F:$F,"OT",'NHL2025-26Results'!$H:$H,A10) + COUNTIFS('NHL2025-26Results'!$F:$F,"SO",'NHL2025-26Results'!$H:$H,A10)</f>
        <v>3</v>
      </c>
      <c r="F10" s="3">
        <f>(Table1[[#This Row],[W]]*2)+Table1[[#This Row],[OTL]]</f>
        <v>27</v>
      </c>
      <c r="G10">
        <f>COUNTIFS('NHL2025-26Results'!$D:$D,A10,'NHL2025-26Results'!$G:$G,A10)</f>
        <v>6</v>
      </c>
      <c r="H10">
        <f>COUNTIFS('NHL2025-26Results'!$D:$D,A10,'NHL2025-26Results'!$H:$H,A10,'NHL2025-26Results'!$F:$F,"")</f>
        <v>3</v>
      </c>
      <c r="I10">
        <f>COUNTIFS('NHL2025-26Results'!$D:$D,A10,'NHL2025-26Results'!$H:$H,A10,'NHL2025-26Results'!$F:$F,"OT") + COUNTIFS('NHL2025-26Results'!$D:$D,A10,'NHL2025-26Results'!$H:$H,A10,'NHL2025-26Results'!$F:$F,"SO")</f>
        <v>1</v>
      </c>
      <c r="J10">
        <f>COUNTIFS('NHL2025-26Results'!$B:$B,A10,'NHL2025-26Results'!$G:$G,A10)</f>
        <v>6</v>
      </c>
      <c r="K10">
        <f>COUNTIFS('NHL2025-26Results'!$B:$B,A10,'NHL2025-26Results'!$H:$H,A10,'NHL2025-26Results'!$F:$F,"")</f>
        <v>1</v>
      </c>
      <c r="L10">
        <f>COUNTIFS('NHL2025-26Results'!$B:$B,A10,'NHL2025-26Results'!$H:$H,A10,'NHL2025-26Results'!$F:$F,"OT") + COUNTIFS('NHL2025-26Results'!$B:$B,A10,'NHL2025-26Results'!$H:$H,A10,'NHL2025-26Results'!$F:$F,"SO")</f>
        <v>2</v>
      </c>
      <c r="M10" s="11">
        <f>Table1[[#This Row],[HomeWins]]/SUM(Table1[[#This Row],[HomeWins]:[HomeOTL]])</f>
        <v>0.6</v>
      </c>
      <c r="N10" s="11">
        <f>Table1[[#This Row],[AwayWins]]/SUM(Table1[[#This Row],[AwayWins]:[AwayOTL]])</f>
        <v>0.66666666666666663</v>
      </c>
      <c r="O10" s="14">
        <f>SUMIFS('NHL2025-26Results'!$E:$E,'NHL2025-26Results'!$D:$D,A10,'NHL2025-26Results'!$E:$E,"&gt;0")/COUNTIFS('NHL2025-26Results'!$D:$D,A10,'NHL2025-26Results'!$E:$E,"&gt;0")</f>
        <v>3.1</v>
      </c>
      <c r="P10" s="14">
        <f>SUMIFS('NHL2025-26Results'!$C:$C,'NHL2025-26Results'!$B:$B,A10,'NHL2025-26Results'!$C:$C,"&gt;0")/COUNTIFS('NHL2025-26Results'!$B:$B,A10,'NHL2025-26Results'!$C:$C,"&gt;0")</f>
        <v>3.6666666666666665</v>
      </c>
      <c r="Q10" s="14">
        <f>SUMIFS('NHL2025-26Results'!$C:$C,'NHL2025-26Results'!$D:$D,A10,'NHL2025-26Results'!$C:$C,"&gt;0")/COUNTIFS('NHL2025-26Results'!$D:$D,A10,'NHL2025-26Results'!$C:$C,"&gt;0")</f>
        <v>3.2222222222222223</v>
      </c>
      <c r="R10" s="14">
        <f>SUMIFS('NHL2025-26Results'!$E:$E,'NHL2025-26Results'!$B:$B,A10,'NHL2025-26Results'!$E:$E,"&gt;0")/COUNTIFS('NHL2025-26Results'!$B:$B,A10,'NHL2025-26Results'!$E:$E,"&gt;0")</f>
        <v>3.125</v>
      </c>
    </row>
    <row r="11" spans="1:18" x14ac:dyDescent="0.2">
      <c r="A11" s="4" t="s">
        <v>26</v>
      </c>
      <c r="B11">
        <f>SUM(Table1[[#This Row],[W]:[OTL]])</f>
        <v>19</v>
      </c>
      <c r="C11">
        <f>COUNTIF(NHL2025_26Results[Winning Team],Standings!A11)</f>
        <v>11</v>
      </c>
      <c r="D11">
        <f>COUNTIFS('NHL2025-26Results'!$H:$H,A11,'NHL2025-26Results'!$F:$F,"")</f>
        <v>7</v>
      </c>
      <c r="E11">
        <f>COUNTIFS('NHL2025-26Results'!$F:$F,"OT",'NHL2025-26Results'!$H:$H,A11) + COUNTIFS('NHL2025-26Results'!$F:$F,"SO",'NHL2025-26Results'!$H:$H,A11)</f>
        <v>1</v>
      </c>
      <c r="F11" s="3">
        <f>(Table1[[#This Row],[W]]*2)+Table1[[#This Row],[OTL]]</f>
        <v>23</v>
      </c>
      <c r="G11">
        <f>COUNTIFS('NHL2025-26Results'!$D:$D,A11,'NHL2025-26Results'!$G:$G,A11)</f>
        <v>6</v>
      </c>
      <c r="H11">
        <f>COUNTIFS('NHL2025-26Results'!$D:$D,A11,'NHL2025-26Results'!$H:$H,A11,'NHL2025-26Results'!$F:$F,"")</f>
        <v>3</v>
      </c>
      <c r="I11">
        <f>COUNTIFS('NHL2025-26Results'!$D:$D,A11,'NHL2025-26Results'!$H:$H,A11,'NHL2025-26Results'!$F:$F,"OT") + COUNTIFS('NHL2025-26Results'!$D:$D,A11,'NHL2025-26Results'!$H:$H,A11,'NHL2025-26Results'!$F:$F,"SO")</f>
        <v>1</v>
      </c>
      <c r="J11">
        <f>COUNTIFS('NHL2025-26Results'!$B:$B,A11,'NHL2025-26Results'!$G:$G,A11)</f>
        <v>5</v>
      </c>
      <c r="K11">
        <f>COUNTIFS('NHL2025-26Results'!$B:$B,A11,'NHL2025-26Results'!$H:$H,A11,'NHL2025-26Results'!$F:$F,"")</f>
        <v>4</v>
      </c>
      <c r="L11">
        <f>COUNTIFS('NHL2025-26Results'!$B:$B,A11,'NHL2025-26Results'!$H:$H,A11,'NHL2025-26Results'!$F:$F,"OT") + COUNTIFS('NHL2025-26Results'!$B:$B,A11,'NHL2025-26Results'!$H:$H,A11,'NHL2025-26Results'!$F:$F,"SO")</f>
        <v>0</v>
      </c>
      <c r="M11" s="11">
        <f>Table1[[#This Row],[HomeWins]]/SUM(Table1[[#This Row],[HomeWins]:[HomeOTL]])</f>
        <v>0.6</v>
      </c>
      <c r="N11" s="11">
        <f>Table1[[#This Row],[AwayWins]]/SUM(Table1[[#This Row],[AwayWins]:[AwayOTL]])</f>
        <v>0.55555555555555558</v>
      </c>
      <c r="O11" s="14">
        <f>SUMIFS('NHL2025-26Results'!$E:$E,'NHL2025-26Results'!$D:$D,A11,'NHL2025-26Results'!$E:$E,"&gt;0")/COUNTIFS('NHL2025-26Results'!$D:$D,A11,'NHL2025-26Results'!$E:$E,"&gt;0")</f>
        <v>3.5</v>
      </c>
      <c r="P11" s="14">
        <f>SUMIFS('NHL2025-26Results'!$C:$C,'NHL2025-26Results'!$B:$B,A11,'NHL2025-26Results'!$C:$C,"&gt;0")/COUNTIFS('NHL2025-26Results'!$B:$B,A11,'NHL2025-26Results'!$C:$C,"&gt;0")</f>
        <v>2.875</v>
      </c>
      <c r="Q11" s="14">
        <f>SUMIFS('NHL2025-26Results'!$C:$C,'NHL2025-26Results'!$D:$D,A11,'NHL2025-26Results'!$C:$C,"&gt;0")/COUNTIFS('NHL2025-26Results'!$D:$D,A11,'NHL2025-26Results'!$C:$C,"&gt;0")</f>
        <v>3.3</v>
      </c>
      <c r="R11" s="14">
        <f>SUMIFS('NHL2025-26Results'!$E:$E,'NHL2025-26Results'!$B:$B,A11,'NHL2025-26Results'!$E:$E,"&gt;0")/COUNTIFS('NHL2025-26Results'!$B:$B,A11,'NHL2025-26Results'!$E:$E,"&gt;0")</f>
        <v>3</v>
      </c>
    </row>
    <row r="12" spans="1:18" x14ac:dyDescent="0.2">
      <c r="A12" s="4" t="s">
        <v>17</v>
      </c>
      <c r="B12">
        <f>SUM(Table1[[#This Row],[W]:[OTL]])</f>
        <v>20</v>
      </c>
      <c r="C12">
        <f>COUNTIF(NHL2025_26Results[Winning Team],Standings!A12)</f>
        <v>9</v>
      </c>
      <c r="D12">
        <f>COUNTIFS('NHL2025-26Results'!$H:$H,A12,'NHL2025-26Results'!$F:$F,"")</f>
        <v>7</v>
      </c>
      <c r="E12">
        <f>COUNTIFS('NHL2025-26Results'!$F:$F,"OT",'NHL2025-26Results'!$H:$H,A12) + COUNTIFS('NHL2025-26Results'!$F:$F,"SO",'NHL2025-26Results'!$H:$H,A12)</f>
        <v>4</v>
      </c>
      <c r="F12" s="3">
        <f>(Table1[[#This Row],[W]]*2)+Table1[[#This Row],[OTL]]</f>
        <v>22</v>
      </c>
      <c r="G12">
        <f>COUNTIFS('NHL2025-26Results'!$D:$D,A12,'NHL2025-26Results'!$G:$G,A12)</f>
        <v>5</v>
      </c>
      <c r="H12">
        <f>COUNTIFS('NHL2025-26Results'!$D:$D,A12,'NHL2025-26Results'!$H:$H,A12,'NHL2025-26Results'!$F:$F,"")</f>
        <v>1</v>
      </c>
      <c r="I12">
        <f>COUNTIFS('NHL2025-26Results'!$D:$D,A12,'NHL2025-26Results'!$H:$H,A12,'NHL2025-26Results'!$F:$F,"OT") + COUNTIFS('NHL2025-26Results'!$D:$D,A12,'NHL2025-26Results'!$H:$H,A12,'NHL2025-26Results'!$F:$F,"SO")</f>
        <v>2</v>
      </c>
      <c r="J12">
        <f>COUNTIFS('NHL2025-26Results'!$B:$B,A12,'NHL2025-26Results'!$G:$G,A12)</f>
        <v>4</v>
      </c>
      <c r="K12">
        <f>COUNTIFS('NHL2025-26Results'!$B:$B,A12,'NHL2025-26Results'!$H:$H,A12,'NHL2025-26Results'!$F:$F,"")</f>
        <v>6</v>
      </c>
      <c r="L12">
        <f>COUNTIFS('NHL2025-26Results'!$B:$B,A12,'NHL2025-26Results'!$H:$H,A12,'NHL2025-26Results'!$F:$F,"OT") + COUNTIFS('NHL2025-26Results'!$B:$B,A12,'NHL2025-26Results'!$H:$H,A12,'NHL2025-26Results'!$F:$F,"SO")</f>
        <v>2</v>
      </c>
      <c r="M12" s="11">
        <f>Table1[[#This Row],[HomeWins]]/SUM(Table1[[#This Row],[HomeWins]:[HomeOTL]])</f>
        <v>0.625</v>
      </c>
      <c r="N12" s="11">
        <f>Table1[[#This Row],[AwayWins]]/SUM(Table1[[#This Row],[AwayWins]:[AwayOTL]])</f>
        <v>0.33333333333333331</v>
      </c>
      <c r="O12" s="14">
        <f>SUMIFS('NHL2025-26Results'!$E:$E,'NHL2025-26Results'!$D:$D,A12,'NHL2025-26Results'!$E:$E,"&gt;0")/COUNTIFS('NHL2025-26Results'!$D:$D,A12,'NHL2025-26Results'!$E:$E,"&gt;0")</f>
        <v>3.75</v>
      </c>
      <c r="P12" s="14">
        <f>SUMIFS('NHL2025-26Results'!$C:$C,'NHL2025-26Results'!$B:$B,A12,'NHL2025-26Results'!$C:$C,"&gt;0")/COUNTIFS('NHL2025-26Results'!$B:$B,A12,'NHL2025-26Results'!$C:$C,"&gt;0")</f>
        <v>2.6666666666666665</v>
      </c>
      <c r="Q12" s="14">
        <f>SUMIFS('NHL2025-26Results'!$C:$C,'NHL2025-26Results'!$D:$D,A12,'NHL2025-26Results'!$C:$C,"&gt;0")/COUNTIFS('NHL2025-26Results'!$D:$D,A12,'NHL2025-26Results'!$C:$C,"&gt;0")</f>
        <v>4</v>
      </c>
      <c r="R12" s="14">
        <f>SUMIFS('NHL2025-26Results'!$E:$E,'NHL2025-26Results'!$B:$B,A12,'NHL2025-26Results'!$E:$E,"&gt;0")/COUNTIFS('NHL2025-26Results'!$B:$B,A12,'NHL2025-26Results'!$E:$E,"&gt;0")</f>
        <v>3.4545454545454546</v>
      </c>
    </row>
    <row r="13" spans="1:18" x14ac:dyDescent="0.2">
      <c r="A13" s="4" t="s">
        <v>11</v>
      </c>
      <c r="B13">
        <f>SUM(Table1[[#This Row],[W]:[OTL]])</f>
        <v>18</v>
      </c>
      <c r="C13">
        <f>COUNTIF(NHL2025_26Results[Winning Team],Standings!A13)</f>
        <v>9</v>
      </c>
      <c r="D13">
        <f>COUNTIFS('NHL2025-26Results'!$H:$H,A13,'NHL2025-26Results'!$F:$F,"")</f>
        <v>8</v>
      </c>
      <c r="E13">
        <f>COUNTIFS('NHL2025-26Results'!$F:$F,"OT",'NHL2025-26Results'!$H:$H,A13) + COUNTIFS('NHL2025-26Results'!$F:$F,"SO",'NHL2025-26Results'!$H:$H,A13)</f>
        <v>1</v>
      </c>
      <c r="F13" s="3">
        <f>(Table1[[#This Row],[W]]*2)+Table1[[#This Row],[OTL]]</f>
        <v>19</v>
      </c>
      <c r="G13">
        <f>COUNTIFS('NHL2025-26Results'!$D:$D,A13,'NHL2025-26Results'!$G:$G,A13)</f>
        <v>6</v>
      </c>
      <c r="H13">
        <f>COUNTIFS('NHL2025-26Results'!$D:$D,A13,'NHL2025-26Results'!$H:$H,A13,'NHL2025-26Results'!$F:$F,"")</f>
        <v>2</v>
      </c>
      <c r="I13">
        <f>COUNTIFS('NHL2025-26Results'!$D:$D,A13,'NHL2025-26Results'!$H:$H,A13,'NHL2025-26Results'!$F:$F,"OT") + COUNTIFS('NHL2025-26Results'!$D:$D,A13,'NHL2025-26Results'!$H:$H,A13,'NHL2025-26Results'!$F:$F,"SO")</f>
        <v>1</v>
      </c>
      <c r="J13">
        <f>COUNTIFS('NHL2025-26Results'!$B:$B,A13,'NHL2025-26Results'!$G:$G,A13)</f>
        <v>3</v>
      </c>
      <c r="K13">
        <f>COUNTIFS('NHL2025-26Results'!$B:$B,A13,'NHL2025-26Results'!$H:$H,A13,'NHL2025-26Results'!$F:$F,"")</f>
        <v>6</v>
      </c>
      <c r="L13">
        <f>COUNTIFS('NHL2025-26Results'!$B:$B,A13,'NHL2025-26Results'!$H:$H,A13,'NHL2025-26Results'!$F:$F,"OT") + COUNTIFS('NHL2025-26Results'!$B:$B,A13,'NHL2025-26Results'!$H:$H,A13,'NHL2025-26Results'!$F:$F,"SO")</f>
        <v>0</v>
      </c>
      <c r="M13" s="11">
        <f>Table1[[#This Row],[HomeWins]]/SUM(Table1[[#This Row],[HomeWins]:[HomeOTL]])</f>
        <v>0.66666666666666663</v>
      </c>
      <c r="N13" s="11">
        <f>Table1[[#This Row],[AwayWins]]/SUM(Table1[[#This Row],[AwayWins]:[AwayOTL]])</f>
        <v>0.33333333333333331</v>
      </c>
      <c r="O13" s="14">
        <f>SUMIFS('NHL2025-26Results'!$E:$E,'NHL2025-26Results'!$D:$D,A13,'NHL2025-26Results'!$E:$E,"&gt;0")/COUNTIFS('NHL2025-26Results'!$D:$D,A13,'NHL2025-26Results'!$E:$E,"&gt;0")</f>
        <v>3.3333333333333335</v>
      </c>
      <c r="P13" s="14">
        <f>SUMIFS('NHL2025-26Results'!$C:$C,'NHL2025-26Results'!$B:$B,A13,'NHL2025-26Results'!$C:$C,"&gt;0")/COUNTIFS('NHL2025-26Results'!$B:$B,A13,'NHL2025-26Results'!$C:$C,"&gt;0")</f>
        <v>2.5</v>
      </c>
      <c r="Q13" s="14">
        <f>SUMIFS('NHL2025-26Results'!$C:$C,'NHL2025-26Results'!$D:$D,A13,'NHL2025-26Results'!$C:$C,"&gt;0")/COUNTIFS('NHL2025-26Results'!$D:$D,A13,'NHL2025-26Results'!$C:$C,"&gt;0")</f>
        <v>2.75</v>
      </c>
      <c r="R13" s="14">
        <f>SUMIFS('NHL2025-26Results'!$E:$E,'NHL2025-26Results'!$B:$B,A13,'NHL2025-26Results'!$E:$E,"&gt;0")/COUNTIFS('NHL2025-26Results'!$B:$B,A13,'NHL2025-26Results'!$E:$E,"&gt;0")</f>
        <v>3.5555555555555554</v>
      </c>
    </row>
    <row r="14" spans="1:18" x14ac:dyDescent="0.2">
      <c r="A14" s="4" t="s">
        <v>13</v>
      </c>
      <c r="B14">
        <f>SUM(Table1[[#This Row],[W]:[OTL]])</f>
        <v>19</v>
      </c>
      <c r="C14">
        <f>COUNTIF(NHL2025_26Results[Winning Team],Standings!A14)</f>
        <v>10</v>
      </c>
      <c r="D14">
        <f>COUNTIFS('NHL2025-26Results'!$H:$H,A14,'NHL2025-26Results'!$F:$F,"")</f>
        <v>5</v>
      </c>
      <c r="E14">
        <f>COUNTIFS('NHL2025-26Results'!$F:$F,"OT",'NHL2025-26Results'!$H:$H,A14) + COUNTIFS('NHL2025-26Results'!$F:$F,"SO",'NHL2025-26Results'!$H:$H,A14)</f>
        <v>4</v>
      </c>
      <c r="F14" s="3">
        <f>(Table1[[#This Row],[W]]*2)+Table1[[#This Row],[OTL]]</f>
        <v>24</v>
      </c>
      <c r="G14">
        <f>COUNTIFS('NHL2025-26Results'!$D:$D,A14,'NHL2025-26Results'!$G:$G,A14)</f>
        <v>1</v>
      </c>
      <c r="H14">
        <f>COUNTIFS('NHL2025-26Results'!$D:$D,A14,'NHL2025-26Results'!$H:$H,A14,'NHL2025-26Results'!$F:$F,"")</f>
        <v>4</v>
      </c>
      <c r="I14">
        <f>COUNTIFS('NHL2025-26Results'!$D:$D,A14,'NHL2025-26Results'!$H:$H,A14,'NHL2025-26Results'!$F:$F,"OT") + COUNTIFS('NHL2025-26Results'!$D:$D,A14,'NHL2025-26Results'!$H:$H,A14,'NHL2025-26Results'!$F:$F,"SO")</f>
        <v>2</v>
      </c>
      <c r="J14">
        <f>COUNTIFS('NHL2025-26Results'!$B:$B,A14,'NHL2025-26Results'!$G:$G,A14)</f>
        <v>9</v>
      </c>
      <c r="K14">
        <f>COUNTIFS('NHL2025-26Results'!$B:$B,A14,'NHL2025-26Results'!$H:$H,A14,'NHL2025-26Results'!$F:$F,"")</f>
        <v>1</v>
      </c>
      <c r="L14">
        <f>COUNTIFS('NHL2025-26Results'!$B:$B,A14,'NHL2025-26Results'!$H:$H,A14,'NHL2025-26Results'!$F:$F,"OT") + COUNTIFS('NHL2025-26Results'!$B:$B,A14,'NHL2025-26Results'!$H:$H,A14,'NHL2025-26Results'!$F:$F,"SO")</f>
        <v>2</v>
      </c>
      <c r="M14" s="11">
        <f>Table1[[#This Row],[HomeWins]]/SUM(Table1[[#This Row],[HomeWins]:[HomeOTL]])</f>
        <v>0.14285714285714285</v>
      </c>
      <c r="N14" s="11">
        <f>Table1[[#This Row],[AwayWins]]/SUM(Table1[[#This Row],[AwayWins]:[AwayOTL]])</f>
        <v>0.75</v>
      </c>
      <c r="O14" s="14">
        <f>SUMIFS('NHL2025-26Results'!$E:$E,'NHL2025-26Results'!$D:$D,A14,'NHL2025-26Results'!$E:$E,"&gt;0")/COUNTIFS('NHL2025-26Results'!$D:$D,A14,'NHL2025-26Results'!$E:$E,"&gt;0")</f>
        <v>2.1428571428571428</v>
      </c>
      <c r="P14" s="14">
        <f>SUMIFS('NHL2025-26Results'!$C:$C,'NHL2025-26Results'!$B:$B,A14,'NHL2025-26Results'!$C:$C,"&gt;0")/COUNTIFS('NHL2025-26Results'!$B:$B,A14,'NHL2025-26Results'!$C:$C,"&gt;0")</f>
        <v>3.3333333333333335</v>
      </c>
      <c r="Q14" s="14">
        <f>SUMIFS('NHL2025-26Results'!$C:$C,'NHL2025-26Results'!$D:$D,A14,'NHL2025-26Results'!$C:$C,"&gt;0")/COUNTIFS('NHL2025-26Results'!$D:$D,A14,'NHL2025-26Results'!$C:$C,"&gt;0")</f>
        <v>4.166666666666667</v>
      </c>
      <c r="R14" s="14">
        <f>SUMIFS('NHL2025-26Results'!$E:$E,'NHL2025-26Results'!$B:$B,A14,'NHL2025-26Results'!$E:$E,"&gt;0")/COUNTIFS('NHL2025-26Results'!$B:$B,A14,'NHL2025-26Results'!$E:$E,"&gt;0")</f>
        <v>2.7272727272727271</v>
      </c>
    </row>
    <row r="15" spans="1:18" x14ac:dyDescent="0.2">
      <c r="A15" s="4" t="s">
        <v>34</v>
      </c>
      <c r="B15">
        <f>SUM(Table1[[#This Row],[W]:[OTL]])</f>
        <v>20</v>
      </c>
      <c r="C15">
        <f>COUNTIF(NHL2025_26Results[Winning Team],Standings!A15)</f>
        <v>9</v>
      </c>
      <c r="D15">
        <f>COUNTIFS('NHL2025-26Results'!$H:$H,A15,'NHL2025-26Results'!$F:$F,"")</f>
        <v>7</v>
      </c>
      <c r="E15">
        <f>COUNTIFS('NHL2025-26Results'!$F:$F,"OT",'NHL2025-26Results'!$H:$H,A15) + COUNTIFS('NHL2025-26Results'!$F:$F,"SO",'NHL2025-26Results'!$H:$H,A15)</f>
        <v>4</v>
      </c>
      <c r="F15" s="3">
        <f>(Table1[[#This Row],[W]]*2)+Table1[[#This Row],[OTL]]</f>
        <v>22</v>
      </c>
      <c r="G15">
        <f>COUNTIFS('NHL2025-26Results'!$D:$D,A15,'NHL2025-26Results'!$G:$G,A15)</f>
        <v>6</v>
      </c>
      <c r="H15">
        <f>COUNTIFS('NHL2025-26Results'!$D:$D,A15,'NHL2025-26Results'!$H:$H,A15,'NHL2025-26Results'!$F:$F,"")</f>
        <v>3</v>
      </c>
      <c r="I15">
        <f>COUNTIFS('NHL2025-26Results'!$D:$D,A15,'NHL2025-26Results'!$H:$H,A15,'NHL2025-26Results'!$F:$F,"OT") + COUNTIFS('NHL2025-26Results'!$D:$D,A15,'NHL2025-26Results'!$H:$H,A15,'NHL2025-26Results'!$F:$F,"SO")</f>
        <v>3</v>
      </c>
      <c r="J15">
        <f>COUNTIFS('NHL2025-26Results'!$B:$B,A15,'NHL2025-26Results'!$G:$G,A15)</f>
        <v>3</v>
      </c>
      <c r="K15">
        <f>COUNTIFS('NHL2025-26Results'!$B:$B,A15,'NHL2025-26Results'!$H:$H,A15,'NHL2025-26Results'!$F:$F,"")</f>
        <v>4</v>
      </c>
      <c r="L15">
        <f>COUNTIFS('NHL2025-26Results'!$B:$B,A15,'NHL2025-26Results'!$H:$H,A15,'NHL2025-26Results'!$F:$F,"OT") + COUNTIFS('NHL2025-26Results'!$B:$B,A15,'NHL2025-26Results'!$H:$H,A15,'NHL2025-26Results'!$F:$F,"SO")</f>
        <v>1</v>
      </c>
      <c r="M15" s="11">
        <f>Table1[[#This Row],[HomeWins]]/SUM(Table1[[#This Row],[HomeWins]:[HomeOTL]])</f>
        <v>0.5</v>
      </c>
      <c r="N15" s="11">
        <f>Table1[[#This Row],[AwayWins]]/SUM(Table1[[#This Row],[AwayWins]:[AwayOTL]])</f>
        <v>0.375</v>
      </c>
      <c r="O15" s="14">
        <f>SUMIFS('NHL2025-26Results'!$E:$E,'NHL2025-26Results'!$D:$D,A15,'NHL2025-26Results'!$E:$E,"&gt;0")/COUNTIFS('NHL2025-26Results'!$D:$D,A15,'NHL2025-26Results'!$E:$E,"&gt;0")</f>
        <v>2.9166666666666665</v>
      </c>
      <c r="P15" s="14">
        <f>SUMIFS('NHL2025-26Results'!$C:$C,'NHL2025-26Results'!$B:$B,A15,'NHL2025-26Results'!$C:$C,"&gt;0")/COUNTIFS('NHL2025-26Results'!$B:$B,A15,'NHL2025-26Results'!$C:$C,"&gt;0")</f>
        <v>2.625</v>
      </c>
      <c r="Q15" s="14">
        <f>SUMIFS('NHL2025-26Results'!$C:$C,'NHL2025-26Results'!$D:$D,A15,'NHL2025-26Results'!$C:$C,"&gt;0")/COUNTIFS('NHL2025-26Results'!$D:$D,A15,'NHL2025-26Results'!$C:$C,"&gt;0")</f>
        <v>3.8</v>
      </c>
      <c r="R15" s="14">
        <f>SUMIFS('NHL2025-26Results'!$E:$E,'NHL2025-26Results'!$B:$B,A15,'NHL2025-26Results'!$E:$E,"&gt;0")/COUNTIFS('NHL2025-26Results'!$B:$B,A15,'NHL2025-26Results'!$E:$E,"&gt;0")</f>
        <v>3.2857142857142856</v>
      </c>
    </row>
    <row r="16" spans="1:18" x14ac:dyDescent="0.2">
      <c r="A16" s="4" t="s">
        <v>18</v>
      </c>
      <c r="B16">
        <f>SUM(Table1[[#This Row],[W]:[OTL]])</f>
        <v>18</v>
      </c>
      <c r="C16">
        <f>COUNTIF(NHL2025_26Results[Winning Team],Standings!A16)</f>
        <v>10</v>
      </c>
      <c r="D16">
        <f>COUNTIFS('NHL2025-26Results'!$H:$H,A16,'NHL2025-26Results'!$F:$F,"")</f>
        <v>6</v>
      </c>
      <c r="E16">
        <f>COUNTIFS('NHL2025-26Results'!$F:$F,"OT",'NHL2025-26Results'!$H:$H,A16) + COUNTIFS('NHL2025-26Results'!$F:$F,"SO",'NHL2025-26Results'!$H:$H,A16)</f>
        <v>2</v>
      </c>
      <c r="F16" s="3">
        <f>(Table1[[#This Row],[W]]*2)+Table1[[#This Row],[OTL]]</f>
        <v>22</v>
      </c>
      <c r="G16">
        <f>COUNTIFS('NHL2025-26Results'!$D:$D,A16,'NHL2025-26Results'!$G:$G,A16)</f>
        <v>5</v>
      </c>
      <c r="H16">
        <f>COUNTIFS('NHL2025-26Results'!$D:$D,A16,'NHL2025-26Results'!$H:$H,A16,'NHL2025-26Results'!$F:$F,"")</f>
        <v>4</v>
      </c>
      <c r="I16">
        <f>COUNTIFS('NHL2025-26Results'!$D:$D,A16,'NHL2025-26Results'!$H:$H,A16,'NHL2025-26Results'!$F:$F,"OT") + COUNTIFS('NHL2025-26Results'!$D:$D,A16,'NHL2025-26Results'!$H:$H,A16,'NHL2025-26Results'!$F:$F,"SO")</f>
        <v>1</v>
      </c>
      <c r="J16">
        <f>COUNTIFS('NHL2025-26Results'!$B:$B,A16,'NHL2025-26Results'!$G:$G,A16)</f>
        <v>5</v>
      </c>
      <c r="K16">
        <f>COUNTIFS('NHL2025-26Results'!$B:$B,A16,'NHL2025-26Results'!$H:$H,A16,'NHL2025-26Results'!$F:$F,"")</f>
        <v>2</v>
      </c>
      <c r="L16">
        <f>COUNTIFS('NHL2025-26Results'!$B:$B,A16,'NHL2025-26Results'!$H:$H,A16,'NHL2025-26Results'!$F:$F,"OT") + COUNTIFS('NHL2025-26Results'!$B:$B,A16,'NHL2025-26Results'!$H:$H,A16,'NHL2025-26Results'!$F:$F,"SO")</f>
        <v>1</v>
      </c>
      <c r="M16" s="11">
        <f>Table1[[#This Row],[HomeWins]]/SUM(Table1[[#This Row],[HomeWins]:[HomeOTL]])</f>
        <v>0.5</v>
      </c>
      <c r="N16" s="11">
        <f>Table1[[#This Row],[AwayWins]]/SUM(Table1[[#This Row],[AwayWins]:[AwayOTL]])</f>
        <v>0.625</v>
      </c>
      <c r="O16" s="14">
        <f>SUMIFS('NHL2025-26Results'!$E:$E,'NHL2025-26Results'!$D:$D,A16,'NHL2025-26Results'!$E:$E,"&gt;0")/COUNTIFS('NHL2025-26Results'!$D:$D,A16,'NHL2025-26Results'!$E:$E,"&gt;0")</f>
        <v>3.5555555555555554</v>
      </c>
      <c r="P16" s="14">
        <f>SUMIFS('NHL2025-26Results'!$C:$C,'NHL2025-26Results'!$B:$B,A16,'NHL2025-26Results'!$C:$C,"&gt;0")/COUNTIFS('NHL2025-26Results'!$B:$B,A16,'NHL2025-26Results'!$C:$C,"&gt;0")</f>
        <v>3.5</v>
      </c>
      <c r="Q16" s="14">
        <f>SUMIFS('NHL2025-26Results'!$C:$C,'NHL2025-26Results'!$D:$D,A16,'NHL2025-26Results'!$C:$C,"&gt;0")/COUNTIFS('NHL2025-26Results'!$D:$D,A16,'NHL2025-26Results'!$C:$C,"&gt;0")</f>
        <v>3.7</v>
      </c>
      <c r="R16" s="14">
        <f>SUMIFS('NHL2025-26Results'!$E:$E,'NHL2025-26Results'!$B:$B,A16,'NHL2025-26Results'!$E:$E,"&gt;0")/COUNTIFS('NHL2025-26Results'!$B:$B,A16,'NHL2025-26Results'!$E:$E,"&gt;0")</f>
        <v>3.125</v>
      </c>
    </row>
    <row r="17" spans="1:18" x14ac:dyDescent="0.2">
      <c r="A17" s="4" t="s">
        <v>29</v>
      </c>
      <c r="B17">
        <f>SUM(Table1[[#This Row],[W]:[OTL]])</f>
        <v>20</v>
      </c>
      <c r="C17">
        <f>COUNTIF(NHL2025_26Results[Winning Team],Standings!A17)</f>
        <v>6</v>
      </c>
      <c r="D17">
        <f>COUNTIFS('NHL2025-26Results'!$H:$H,A17,'NHL2025-26Results'!$F:$F,"")</f>
        <v>10</v>
      </c>
      <c r="E17">
        <f>COUNTIFS('NHL2025-26Results'!$F:$F,"OT",'NHL2025-26Results'!$H:$H,A17) + COUNTIFS('NHL2025-26Results'!$F:$F,"SO",'NHL2025-26Results'!$H:$H,A17)</f>
        <v>4</v>
      </c>
      <c r="F17" s="3">
        <f>(Table1[[#This Row],[W]]*2)+Table1[[#This Row],[OTL]]</f>
        <v>16</v>
      </c>
      <c r="G17">
        <f>COUNTIFS('NHL2025-26Results'!$D:$D,A17,'NHL2025-26Results'!$G:$G,A17)</f>
        <v>5</v>
      </c>
      <c r="H17">
        <f>COUNTIFS('NHL2025-26Results'!$D:$D,A17,'NHL2025-26Results'!$H:$H,A17,'NHL2025-26Results'!$F:$F,"")</f>
        <v>5</v>
      </c>
      <c r="I17">
        <f>COUNTIFS('NHL2025-26Results'!$D:$D,A17,'NHL2025-26Results'!$H:$H,A17,'NHL2025-26Results'!$F:$F,"OT") + COUNTIFS('NHL2025-26Results'!$D:$D,A17,'NHL2025-26Results'!$H:$H,A17,'NHL2025-26Results'!$F:$F,"SO")</f>
        <v>2</v>
      </c>
      <c r="J17">
        <f>COUNTIFS('NHL2025-26Results'!$B:$B,A17,'NHL2025-26Results'!$G:$G,A17)</f>
        <v>1</v>
      </c>
      <c r="K17">
        <f>COUNTIFS('NHL2025-26Results'!$B:$B,A17,'NHL2025-26Results'!$H:$H,A17,'NHL2025-26Results'!$F:$F,"")</f>
        <v>5</v>
      </c>
      <c r="L17">
        <f>COUNTIFS('NHL2025-26Results'!$B:$B,A17,'NHL2025-26Results'!$H:$H,A17,'NHL2025-26Results'!$F:$F,"OT") + COUNTIFS('NHL2025-26Results'!$B:$B,A17,'NHL2025-26Results'!$H:$H,A17,'NHL2025-26Results'!$F:$F,"SO")</f>
        <v>2</v>
      </c>
      <c r="M17" s="11">
        <f>Table1[[#This Row],[HomeWins]]/SUM(Table1[[#This Row],[HomeWins]:[HomeOTL]])</f>
        <v>0.41666666666666669</v>
      </c>
      <c r="N17" s="11">
        <f>Table1[[#This Row],[AwayWins]]/SUM(Table1[[#This Row],[AwayWins]:[AwayOTL]])</f>
        <v>0.125</v>
      </c>
      <c r="O17" s="14">
        <f>SUMIFS('NHL2025-26Results'!$E:$E,'NHL2025-26Results'!$D:$D,A17,'NHL2025-26Results'!$E:$E,"&gt;0")/COUNTIFS('NHL2025-26Results'!$D:$D,A17,'NHL2025-26Results'!$E:$E,"&gt;0")</f>
        <v>2.6666666666666665</v>
      </c>
      <c r="P17" s="14">
        <f>SUMIFS('NHL2025-26Results'!$C:$C,'NHL2025-26Results'!$B:$B,A17,'NHL2025-26Results'!$C:$C,"&gt;0")/COUNTIFS('NHL2025-26Results'!$B:$B,A17,'NHL2025-26Results'!$C:$C,"&gt;0")</f>
        <v>2.4285714285714284</v>
      </c>
      <c r="Q17" s="14">
        <f>SUMIFS('NHL2025-26Results'!$C:$C,'NHL2025-26Results'!$D:$D,A17,'NHL2025-26Results'!$C:$C,"&gt;0")/COUNTIFS('NHL2025-26Results'!$D:$D,A17,'NHL2025-26Results'!$C:$C,"&gt;0")</f>
        <v>3.1666666666666665</v>
      </c>
      <c r="R17" s="14">
        <f>SUMIFS('NHL2025-26Results'!$E:$E,'NHL2025-26Results'!$B:$B,A17,'NHL2025-26Results'!$E:$E,"&gt;0")/COUNTIFS('NHL2025-26Results'!$B:$B,A17,'NHL2025-26Results'!$E:$E,"&gt;0")</f>
        <v>4</v>
      </c>
    </row>
    <row r="18" spans="1:18" x14ac:dyDescent="0.2">
      <c r="A18" s="4" t="s">
        <v>24</v>
      </c>
      <c r="B18">
        <f>SUM(Table1[[#This Row],[W]:[OTL]])</f>
        <v>18</v>
      </c>
      <c r="C18">
        <f>COUNTIF(NHL2025_26Results[Winning Team],Standings!A18)</f>
        <v>13</v>
      </c>
      <c r="D18">
        <f>COUNTIFS('NHL2025-26Results'!$H:$H,A18,'NHL2025-26Results'!$F:$F,"")</f>
        <v>4</v>
      </c>
      <c r="E18">
        <f>COUNTIFS('NHL2025-26Results'!$F:$F,"OT",'NHL2025-26Results'!$H:$H,A18) + COUNTIFS('NHL2025-26Results'!$F:$F,"SO",'NHL2025-26Results'!$H:$H,A18)</f>
        <v>1</v>
      </c>
      <c r="F18" s="3">
        <f>(Table1[[#This Row],[W]]*2)+Table1[[#This Row],[OTL]]</f>
        <v>27</v>
      </c>
      <c r="G18">
        <f>COUNTIFS('NHL2025-26Results'!$D:$D,A18,'NHL2025-26Results'!$G:$G,A18)</f>
        <v>7</v>
      </c>
      <c r="H18">
        <f>COUNTIFS('NHL2025-26Results'!$D:$D,A18,'NHL2025-26Results'!$H:$H,A18,'NHL2025-26Results'!$F:$F,"")</f>
        <v>0</v>
      </c>
      <c r="I18">
        <f>COUNTIFS('NHL2025-26Results'!$D:$D,A18,'NHL2025-26Results'!$H:$H,A18,'NHL2025-26Results'!$F:$F,"OT") + COUNTIFS('NHL2025-26Results'!$D:$D,A18,'NHL2025-26Results'!$H:$H,A18,'NHL2025-26Results'!$F:$F,"SO")</f>
        <v>1</v>
      </c>
      <c r="J18">
        <f>COUNTIFS('NHL2025-26Results'!$B:$B,A18,'NHL2025-26Results'!$G:$G,A18)</f>
        <v>6</v>
      </c>
      <c r="K18">
        <f>COUNTIFS('NHL2025-26Results'!$B:$B,A18,'NHL2025-26Results'!$H:$H,A18,'NHL2025-26Results'!$F:$F,"")</f>
        <v>4</v>
      </c>
      <c r="L18">
        <f>COUNTIFS('NHL2025-26Results'!$B:$B,A18,'NHL2025-26Results'!$H:$H,A18,'NHL2025-26Results'!$F:$F,"OT") + COUNTIFS('NHL2025-26Results'!$B:$B,A18,'NHL2025-26Results'!$H:$H,A18,'NHL2025-26Results'!$F:$F,"SO")</f>
        <v>0</v>
      </c>
      <c r="M18" s="11">
        <f>Table1[[#This Row],[HomeWins]]/SUM(Table1[[#This Row],[HomeWins]:[HomeOTL]])</f>
        <v>0.875</v>
      </c>
      <c r="N18" s="11">
        <f>Table1[[#This Row],[AwayWins]]/SUM(Table1[[#This Row],[AwayWins]:[AwayOTL]])</f>
        <v>0.6</v>
      </c>
      <c r="O18" s="14">
        <f>SUMIFS('NHL2025-26Results'!$E:$E,'NHL2025-26Results'!$D:$D,A18,'NHL2025-26Results'!$E:$E,"&gt;0")/COUNTIFS('NHL2025-26Results'!$D:$D,A18,'NHL2025-26Results'!$E:$E,"&gt;0")</f>
        <v>3.375</v>
      </c>
      <c r="P18" s="14">
        <f>SUMIFS('NHL2025-26Results'!$C:$C,'NHL2025-26Results'!$B:$B,A18,'NHL2025-26Results'!$C:$C,"&gt;0")/COUNTIFS('NHL2025-26Results'!$B:$B,A18,'NHL2025-26Results'!$C:$C,"&gt;0")</f>
        <v>3.4</v>
      </c>
      <c r="Q18" s="14">
        <f>SUMIFS('NHL2025-26Results'!$C:$C,'NHL2025-26Results'!$D:$D,A18,'NHL2025-26Results'!$C:$C,"&gt;0")/COUNTIFS('NHL2025-26Results'!$D:$D,A18,'NHL2025-26Results'!$C:$C,"&gt;0")</f>
        <v>2</v>
      </c>
      <c r="R18" s="14">
        <f>SUMIFS('NHL2025-26Results'!$E:$E,'NHL2025-26Results'!$B:$B,A18,'NHL2025-26Results'!$E:$E,"&gt;0")/COUNTIFS('NHL2025-26Results'!$B:$B,A18,'NHL2025-26Results'!$E:$E,"&gt;0")</f>
        <v>3.6</v>
      </c>
    </row>
    <row r="19" spans="1:18" x14ac:dyDescent="0.2">
      <c r="A19" s="4" t="s">
        <v>30</v>
      </c>
      <c r="B19">
        <f>SUM(Table1[[#This Row],[W]:[OTL]])</f>
        <v>19</v>
      </c>
      <c r="C19">
        <f>COUNTIF(NHL2025_26Results[Winning Team],Standings!A19)</f>
        <v>10</v>
      </c>
      <c r="D19">
        <f>COUNTIFS('NHL2025-26Results'!$H:$H,A19,'NHL2025-26Results'!$F:$F,"")</f>
        <v>7</v>
      </c>
      <c r="E19">
        <f>COUNTIFS('NHL2025-26Results'!$F:$F,"OT",'NHL2025-26Results'!$H:$H,A19) + COUNTIFS('NHL2025-26Results'!$F:$F,"SO",'NHL2025-26Results'!$H:$H,A19)</f>
        <v>2</v>
      </c>
      <c r="F19" s="3">
        <f>(Table1[[#This Row],[W]]*2)+Table1[[#This Row],[OTL]]</f>
        <v>22</v>
      </c>
      <c r="G19">
        <f>COUNTIFS('NHL2025-26Results'!$D:$D,A19,'NHL2025-26Results'!$G:$G,A19)</f>
        <v>4</v>
      </c>
      <c r="H19">
        <f>COUNTIFS('NHL2025-26Results'!$D:$D,A19,'NHL2025-26Results'!$H:$H,A19,'NHL2025-26Results'!$F:$F,"")</f>
        <v>3</v>
      </c>
      <c r="I19">
        <f>COUNTIFS('NHL2025-26Results'!$D:$D,A19,'NHL2025-26Results'!$H:$H,A19,'NHL2025-26Results'!$F:$F,"OT") + COUNTIFS('NHL2025-26Results'!$D:$D,A19,'NHL2025-26Results'!$H:$H,A19,'NHL2025-26Results'!$F:$F,"SO")</f>
        <v>1</v>
      </c>
      <c r="J19">
        <f>COUNTIFS('NHL2025-26Results'!$B:$B,A19,'NHL2025-26Results'!$G:$G,A19)</f>
        <v>6</v>
      </c>
      <c r="K19">
        <f>COUNTIFS('NHL2025-26Results'!$B:$B,A19,'NHL2025-26Results'!$H:$H,A19,'NHL2025-26Results'!$F:$F,"")</f>
        <v>4</v>
      </c>
      <c r="L19">
        <f>COUNTIFS('NHL2025-26Results'!$B:$B,A19,'NHL2025-26Results'!$H:$H,A19,'NHL2025-26Results'!$F:$F,"OT") + COUNTIFS('NHL2025-26Results'!$B:$B,A19,'NHL2025-26Results'!$H:$H,A19,'NHL2025-26Results'!$F:$F,"SO")</f>
        <v>1</v>
      </c>
      <c r="M19" s="11">
        <f>Table1[[#This Row],[HomeWins]]/SUM(Table1[[#This Row],[HomeWins]:[HomeOTL]])</f>
        <v>0.5</v>
      </c>
      <c r="N19" s="11">
        <f>Table1[[#This Row],[AwayWins]]/SUM(Table1[[#This Row],[AwayWins]:[AwayOTL]])</f>
        <v>0.54545454545454541</v>
      </c>
      <c r="O19" s="14">
        <f>SUMIFS('NHL2025-26Results'!$E:$E,'NHL2025-26Results'!$D:$D,A19,'NHL2025-26Results'!$E:$E,"&gt;0")/COUNTIFS('NHL2025-26Results'!$D:$D,A19,'NHL2025-26Results'!$E:$E,"&gt;0")</f>
        <v>3.375</v>
      </c>
      <c r="P19" s="14">
        <f>SUMIFS('NHL2025-26Results'!$C:$C,'NHL2025-26Results'!$B:$B,A19,'NHL2025-26Results'!$C:$C,"&gt;0")/COUNTIFS('NHL2025-26Results'!$B:$B,A19,'NHL2025-26Results'!$C:$C,"&gt;0")</f>
        <v>3.0909090909090908</v>
      </c>
      <c r="Q19" s="14">
        <f>SUMIFS('NHL2025-26Results'!$C:$C,'NHL2025-26Results'!$D:$D,A19,'NHL2025-26Results'!$C:$C,"&gt;0")/COUNTIFS('NHL2025-26Results'!$D:$D,A19,'NHL2025-26Results'!$C:$C,"&gt;0")</f>
        <v>3.375</v>
      </c>
      <c r="R19" s="14">
        <f>SUMIFS('NHL2025-26Results'!$E:$E,'NHL2025-26Results'!$B:$B,A19,'NHL2025-26Results'!$E:$E,"&gt;0")/COUNTIFS('NHL2025-26Results'!$B:$B,A19,'NHL2025-26Results'!$E:$E,"&gt;0")</f>
        <v>3.5</v>
      </c>
    </row>
    <row r="20" spans="1:18" x14ac:dyDescent="0.2">
      <c r="A20" s="4" t="s">
        <v>15</v>
      </c>
      <c r="B20">
        <f>SUM(Table1[[#This Row],[W]:[OTL]])</f>
        <v>20</v>
      </c>
      <c r="C20">
        <f>COUNTIF(NHL2025_26Results[Winning Team],Standings!A20)</f>
        <v>10</v>
      </c>
      <c r="D20">
        <f>COUNTIFS('NHL2025-26Results'!$H:$H,A20,'NHL2025-26Results'!$F:$F,"")</f>
        <v>8</v>
      </c>
      <c r="E20">
        <f>COUNTIFS('NHL2025-26Results'!$F:$F,"OT",'NHL2025-26Results'!$H:$H,A20) + COUNTIFS('NHL2025-26Results'!$F:$F,"SO",'NHL2025-26Results'!$H:$H,A20)</f>
        <v>2</v>
      </c>
      <c r="F20" s="3">
        <f>(Table1[[#This Row],[W]]*2)+Table1[[#This Row],[OTL]]</f>
        <v>22</v>
      </c>
      <c r="G20">
        <f>COUNTIFS('NHL2025-26Results'!$D:$D,A20,'NHL2025-26Results'!$G:$G,A20)</f>
        <v>1</v>
      </c>
      <c r="H20">
        <f>COUNTIFS('NHL2025-26Results'!$D:$D,A20,'NHL2025-26Results'!$H:$H,A20,'NHL2025-26Results'!$F:$F,"")</f>
        <v>7</v>
      </c>
      <c r="I20">
        <f>COUNTIFS('NHL2025-26Results'!$D:$D,A20,'NHL2025-26Results'!$H:$H,A20,'NHL2025-26Results'!$F:$F,"OT") + COUNTIFS('NHL2025-26Results'!$D:$D,A20,'NHL2025-26Results'!$H:$H,A20,'NHL2025-26Results'!$F:$F,"SO")</f>
        <v>1</v>
      </c>
      <c r="J20">
        <f>COUNTIFS('NHL2025-26Results'!$B:$B,A20,'NHL2025-26Results'!$G:$G,A20)</f>
        <v>9</v>
      </c>
      <c r="K20">
        <f>COUNTIFS('NHL2025-26Results'!$B:$B,A20,'NHL2025-26Results'!$H:$H,A20,'NHL2025-26Results'!$F:$F,"")</f>
        <v>1</v>
      </c>
      <c r="L20">
        <f>COUNTIFS('NHL2025-26Results'!$B:$B,A20,'NHL2025-26Results'!$H:$H,A20,'NHL2025-26Results'!$F:$F,"OT") + COUNTIFS('NHL2025-26Results'!$B:$B,A20,'NHL2025-26Results'!$H:$H,A20,'NHL2025-26Results'!$F:$F,"SO")</f>
        <v>1</v>
      </c>
      <c r="M20" s="11">
        <f>Table1[[#This Row],[HomeWins]]/SUM(Table1[[#This Row],[HomeWins]:[HomeOTL]])</f>
        <v>0.1111111111111111</v>
      </c>
      <c r="N20" s="11">
        <f>Table1[[#This Row],[AwayWins]]/SUM(Table1[[#This Row],[AwayWins]:[AwayOTL]])</f>
        <v>0.81818181818181823</v>
      </c>
      <c r="O20" s="14">
        <f>SUMIFS('NHL2025-26Results'!$E:$E,'NHL2025-26Results'!$D:$D,A20,'NHL2025-26Results'!$E:$E,"&gt;0")/COUNTIFS('NHL2025-26Results'!$D:$D,A20,'NHL2025-26Results'!$E:$E,"&gt;0")</f>
        <v>3.25</v>
      </c>
      <c r="P20" s="14">
        <f>SUMIFS('NHL2025-26Results'!$C:$C,'NHL2025-26Results'!$B:$B,A20,'NHL2025-26Results'!$C:$C,"&gt;0")/COUNTIFS('NHL2025-26Results'!$B:$B,A20,'NHL2025-26Results'!$C:$C,"&gt;0")</f>
        <v>3.4545454545454546</v>
      </c>
      <c r="Q20" s="14">
        <f>SUMIFS('NHL2025-26Results'!$C:$C,'NHL2025-26Results'!$D:$D,A20,'NHL2025-26Results'!$C:$C,"&gt;0")/COUNTIFS('NHL2025-26Results'!$D:$D,A20,'NHL2025-26Results'!$C:$C,"&gt;0")</f>
        <v>3.1111111111111112</v>
      </c>
      <c r="R20" s="14">
        <f>SUMIFS('NHL2025-26Results'!$E:$E,'NHL2025-26Results'!$B:$B,A20,'NHL2025-26Results'!$E:$E,"&gt;0")/COUNTIFS('NHL2025-26Results'!$B:$B,A20,'NHL2025-26Results'!$E:$E,"&gt;0")</f>
        <v>2.3333333333333335</v>
      </c>
    </row>
    <row r="21" spans="1:18" x14ac:dyDescent="0.2">
      <c r="A21" s="4" t="s">
        <v>36</v>
      </c>
      <c r="B21">
        <f>SUM(Table1[[#This Row],[W]:[OTL]])</f>
        <v>19</v>
      </c>
      <c r="C21">
        <f>COUNTIF(NHL2025_26Results[Winning Team],Standings!A21)</f>
        <v>9</v>
      </c>
      <c r="D21">
        <f>COUNTIFS('NHL2025-26Results'!$H:$H,A21,'NHL2025-26Results'!$F:$F,"")</f>
        <v>6</v>
      </c>
      <c r="E21">
        <f>COUNTIFS('NHL2025-26Results'!$F:$F,"OT",'NHL2025-26Results'!$H:$H,A21) + COUNTIFS('NHL2025-26Results'!$F:$F,"SO",'NHL2025-26Results'!$H:$H,A21)</f>
        <v>4</v>
      </c>
      <c r="F21" s="3">
        <f>(Table1[[#This Row],[W]]*2)+Table1[[#This Row],[OTL]]</f>
        <v>22</v>
      </c>
      <c r="G21">
        <f>COUNTIFS('NHL2025-26Results'!$D:$D,A21,'NHL2025-26Results'!$G:$G,A21)</f>
        <v>6</v>
      </c>
      <c r="H21">
        <f>COUNTIFS('NHL2025-26Results'!$D:$D,A21,'NHL2025-26Results'!$H:$H,A21,'NHL2025-26Results'!$F:$F,"")</f>
        <v>3</v>
      </c>
      <c r="I21">
        <f>COUNTIFS('NHL2025-26Results'!$D:$D,A21,'NHL2025-26Results'!$H:$H,A21,'NHL2025-26Results'!$F:$F,"OT") + COUNTIFS('NHL2025-26Results'!$D:$D,A21,'NHL2025-26Results'!$H:$H,A21,'NHL2025-26Results'!$F:$F,"SO")</f>
        <v>2</v>
      </c>
      <c r="J21">
        <f>COUNTIFS('NHL2025-26Results'!$B:$B,A21,'NHL2025-26Results'!$G:$G,A21)</f>
        <v>3</v>
      </c>
      <c r="K21">
        <f>COUNTIFS('NHL2025-26Results'!$B:$B,A21,'NHL2025-26Results'!$H:$H,A21,'NHL2025-26Results'!$F:$F,"")</f>
        <v>3</v>
      </c>
      <c r="L21">
        <f>COUNTIFS('NHL2025-26Results'!$B:$B,A21,'NHL2025-26Results'!$H:$H,A21,'NHL2025-26Results'!$F:$F,"OT") + COUNTIFS('NHL2025-26Results'!$B:$B,A21,'NHL2025-26Results'!$H:$H,A21,'NHL2025-26Results'!$F:$F,"SO")</f>
        <v>2</v>
      </c>
      <c r="M21" s="11">
        <f>Table1[[#This Row],[HomeWins]]/SUM(Table1[[#This Row],[HomeWins]:[HomeOTL]])</f>
        <v>0.54545454545454541</v>
      </c>
      <c r="N21" s="11">
        <f>Table1[[#This Row],[AwayWins]]/SUM(Table1[[#This Row],[AwayWins]:[AwayOTL]])</f>
        <v>0.375</v>
      </c>
      <c r="O21" s="14">
        <f>SUMIFS('NHL2025-26Results'!$E:$E,'NHL2025-26Results'!$D:$D,A21,'NHL2025-26Results'!$E:$E,"&gt;0")/COUNTIFS('NHL2025-26Results'!$D:$D,A21,'NHL2025-26Results'!$E:$E,"&gt;0")</f>
        <v>3.5</v>
      </c>
      <c r="P21" s="14">
        <f>SUMIFS('NHL2025-26Results'!$C:$C,'NHL2025-26Results'!$B:$B,A21,'NHL2025-26Results'!$C:$C,"&gt;0")/COUNTIFS('NHL2025-26Results'!$B:$B,A21,'NHL2025-26Results'!$C:$C,"&gt;0")</f>
        <v>3.625</v>
      </c>
      <c r="Q21" s="14">
        <f>SUMIFS('NHL2025-26Results'!$C:$C,'NHL2025-26Results'!$D:$D,A21,'NHL2025-26Results'!$C:$C,"&gt;0")/COUNTIFS('NHL2025-26Results'!$D:$D,A21,'NHL2025-26Results'!$C:$C,"&gt;0")</f>
        <v>2.7272727272727271</v>
      </c>
      <c r="R21" s="14">
        <f>SUMIFS('NHL2025-26Results'!$E:$E,'NHL2025-26Results'!$B:$B,A21,'NHL2025-26Results'!$E:$E,"&gt;0")/COUNTIFS('NHL2025-26Results'!$B:$B,A21,'NHL2025-26Results'!$E:$E,"&gt;0")</f>
        <v>4.375</v>
      </c>
    </row>
    <row r="22" spans="1:18" x14ac:dyDescent="0.2">
      <c r="A22" s="4" t="s">
        <v>27</v>
      </c>
      <c r="B22">
        <f>SUM(Table1[[#This Row],[W]:[OTL]])</f>
        <v>18</v>
      </c>
      <c r="C22">
        <f>COUNTIF(NHL2025_26Results[Winning Team],Standings!A22)</f>
        <v>9</v>
      </c>
      <c r="D22">
        <f>COUNTIFS('NHL2025-26Results'!$H:$H,A22,'NHL2025-26Results'!$F:$F,"")</f>
        <v>6</v>
      </c>
      <c r="E22">
        <f>COUNTIFS('NHL2025-26Results'!$F:$F,"OT",'NHL2025-26Results'!$H:$H,A22) + COUNTIFS('NHL2025-26Results'!$F:$F,"SO",'NHL2025-26Results'!$H:$H,A22)</f>
        <v>3</v>
      </c>
      <c r="F22" s="3">
        <f>(Table1[[#This Row],[W]]*2)+Table1[[#This Row],[OTL]]</f>
        <v>21</v>
      </c>
      <c r="G22">
        <f>COUNTIFS('NHL2025-26Results'!$D:$D,A22,'NHL2025-26Results'!$G:$G,A22)</f>
        <v>6</v>
      </c>
      <c r="H22">
        <f>COUNTIFS('NHL2025-26Results'!$D:$D,A22,'NHL2025-26Results'!$H:$H,A22,'NHL2025-26Results'!$F:$F,"")</f>
        <v>3</v>
      </c>
      <c r="I22">
        <f>COUNTIFS('NHL2025-26Results'!$D:$D,A22,'NHL2025-26Results'!$H:$H,A22,'NHL2025-26Results'!$F:$F,"OT") + COUNTIFS('NHL2025-26Results'!$D:$D,A22,'NHL2025-26Results'!$H:$H,A22,'NHL2025-26Results'!$F:$F,"SO")</f>
        <v>2</v>
      </c>
      <c r="J22">
        <f>COUNTIFS('NHL2025-26Results'!$B:$B,A22,'NHL2025-26Results'!$G:$G,A22)</f>
        <v>3</v>
      </c>
      <c r="K22">
        <f>COUNTIFS('NHL2025-26Results'!$B:$B,A22,'NHL2025-26Results'!$H:$H,A22,'NHL2025-26Results'!$F:$F,"")</f>
        <v>3</v>
      </c>
      <c r="L22">
        <f>COUNTIFS('NHL2025-26Results'!$B:$B,A22,'NHL2025-26Results'!$H:$H,A22,'NHL2025-26Results'!$F:$F,"OT") + COUNTIFS('NHL2025-26Results'!$B:$B,A22,'NHL2025-26Results'!$H:$H,A22,'NHL2025-26Results'!$F:$F,"SO")</f>
        <v>1</v>
      </c>
      <c r="M22" s="11">
        <f>Table1[[#This Row],[HomeWins]]/SUM(Table1[[#This Row],[HomeWins]:[HomeOTL]])</f>
        <v>0.54545454545454541</v>
      </c>
      <c r="N22" s="11">
        <f>Table1[[#This Row],[AwayWins]]/SUM(Table1[[#This Row],[AwayWins]:[AwayOTL]])</f>
        <v>0.42857142857142855</v>
      </c>
      <c r="O22" s="14">
        <f>SUMIFS('NHL2025-26Results'!$E:$E,'NHL2025-26Results'!$D:$D,A22,'NHL2025-26Results'!$E:$E,"&gt;0")/COUNTIFS('NHL2025-26Results'!$D:$D,A22,'NHL2025-26Results'!$E:$E,"&gt;0")</f>
        <v>2.8181818181818183</v>
      </c>
      <c r="P22" s="14">
        <f>SUMIFS('NHL2025-26Results'!$C:$C,'NHL2025-26Results'!$B:$B,A22,'NHL2025-26Results'!$C:$C,"&gt;0")/COUNTIFS('NHL2025-26Results'!$B:$B,A22,'NHL2025-26Results'!$C:$C,"&gt;0")</f>
        <v>2.8571428571428572</v>
      </c>
      <c r="Q22" s="14">
        <f>SUMIFS('NHL2025-26Results'!$C:$C,'NHL2025-26Results'!$D:$D,A22,'NHL2025-26Results'!$C:$C,"&gt;0")/COUNTIFS('NHL2025-26Results'!$D:$D,A22,'NHL2025-26Results'!$C:$C,"&gt;0")</f>
        <v>2.5454545454545454</v>
      </c>
      <c r="R22" s="14">
        <f>SUMIFS('NHL2025-26Results'!$E:$E,'NHL2025-26Results'!$B:$B,A22,'NHL2025-26Results'!$E:$E,"&gt;0")/COUNTIFS('NHL2025-26Results'!$B:$B,A22,'NHL2025-26Results'!$E:$E,"&gt;0")</f>
        <v>3.2857142857142856</v>
      </c>
    </row>
    <row r="23" spans="1:18" x14ac:dyDescent="0.2">
      <c r="A23" s="4" t="s">
        <v>14</v>
      </c>
      <c r="B23">
        <f>SUM(Table1[[#This Row],[W]:[OTL]])</f>
        <v>19</v>
      </c>
      <c r="C23">
        <f>COUNTIF(NHL2025_26Results[Winning Team],Standings!A23)</f>
        <v>10</v>
      </c>
      <c r="D23">
        <f>COUNTIFS('NHL2025-26Results'!$H:$H,A23,'NHL2025-26Results'!$F:$F,"")</f>
        <v>5</v>
      </c>
      <c r="E23">
        <f>COUNTIFS('NHL2025-26Results'!$F:$F,"OT",'NHL2025-26Results'!$H:$H,A23) + COUNTIFS('NHL2025-26Results'!$F:$F,"SO",'NHL2025-26Results'!$H:$H,A23)</f>
        <v>4</v>
      </c>
      <c r="F23" s="3">
        <f>(Table1[[#This Row],[W]]*2)+Table1[[#This Row],[OTL]]</f>
        <v>24</v>
      </c>
      <c r="G23">
        <f>COUNTIFS('NHL2025-26Results'!$D:$D,A23,'NHL2025-26Results'!$G:$G,A23)</f>
        <v>5</v>
      </c>
      <c r="H23">
        <f>COUNTIFS('NHL2025-26Results'!$D:$D,A23,'NHL2025-26Results'!$H:$H,A23,'NHL2025-26Results'!$F:$F,"")</f>
        <v>2</v>
      </c>
      <c r="I23">
        <f>COUNTIFS('NHL2025-26Results'!$D:$D,A23,'NHL2025-26Results'!$H:$H,A23,'NHL2025-26Results'!$F:$F,"OT") + COUNTIFS('NHL2025-26Results'!$D:$D,A23,'NHL2025-26Results'!$H:$H,A23,'NHL2025-26Results'!$F:$F,"SO")</f>
        <v>1</v>
      </c>
      <c r="J23">
        <f>COUNTIFS('NHL2025-26Results'!$B:$B,A23,'NHL2025-26Results'!$G:$G,A23)</f>
        <v>5</v>
      </c>
      <c r="K23">
        <f>COUNTIFS('NHL2025-26Results'!$B:$B,A23,'NHL2025-26Results'!$H:$H,A23,'NHL2025-26Results'!$F:$F,"")</f>
        <v>3</v>
      </c>
      <c r="L23">
        <f>COUNTIFS('NHL2025-26Results'!$B:$B,A23,'NHL2025-26Results'!$H:$H,A23,'NHL2025-26Results'!$F:$F,"OT") + COUNTIFS('NHL2025-26Results'!$B:$B,A23,'NHL2025-26Results'!$H:$H,A23,'NHL2025-26Results'!$F:$F,"SO")</f>
        <v>3</v>
      </c>
      <c r="M23" s="11">
        <f>Table1[[#This Row],[HomeWins]]/SUM(Table1[[#This Row],[HomeWins]:[HomeOTL]])</f>
        <v>0.625</v>
      </c>
      <c r="N23" s="11">
        <f>Table1[[#This Row],[AwayWins]]/SUM(Table1[[#This Row],[AwayWins]:[AwayOTL]])</f>
        <v>0.45454545454545453</v>
      </c>
      <c r="O23" s="14">
        <f>SUMIFS('NHL2025-26Results'!$E:$E,'NHL2025-26Results'!$D:$D,A23,'NHL2025-26Results'!$E:$E,"&gt;0")/COUNTIFS('NHL2025-26Results'!$D:$D,A23,'NHL2025-26Results'!$E:$E,"&gt;0")</f>
        <v>3.875</v>
      </c>
      <c r="P23" s="14">
        <f>SUMIFS('NHL2025-26Results'!$C:$C,'NHL2025-26Results'!$B:$B,A23,'NHL2025-26Results'!$C:$C,"&gt;0")/COUNTIFS('NHL2025-26Results'!$B:$B,A23,'NHL2025-26Results'!$C:$C,"&gt;0")</f>
        <v>2.8181818181818183</v>
      </c>
      <c r="Q23" s="14">
        <f>SUMIFS('NHL2025-26Results'!$C:$C,'NHL2025-26Results'!$D:$D,A23,'NHL2025-26Results'!$C:$C,"&gt;0")/COUNTIFS('NHL2025-26Results'!$D:$D,A23,'NHL2025-26Results'!$C:$C,"&gt;0")</f>
        <v>3.4285714285714284</v>
      </c>
      <c r="R23" s="14">
        <f>SUMIFS('NHL2025-26Results'!$E:$E,'NHL2025-26Results'!$B:$B,A23,'NHL2025-26Results'!$E:$E,"&gt;0")/COUNTIFS('NHL2025-26Results'!$B:$B,A23,'NHL2025-26Results'!$E:$E,"&gt;0")</f>
        <v>2.8888888888888888</v>
      </c>
    </row>
    <row r="24" spans="1:18" x14ac:dyDescent="0.2">
      <c r="A24" s="4" t="s">
        <v>33</v>
      </c>
      <c r="B24">
        <f>SUM(Table1[[#This Row],[W]:[OTL]])</f>
        <v>19</v>
      </c>
      <c r="C24">
        <f>COUNTIF(NHL2025_26Results[Winning Team],Standings!A24)</f>
        <v>8</v>
      </c>
      <c r="D24">
        <f>COUNTIFS('NHL2025-26Results'!$H:$H,A24,'NHL2025-26Results'!$F:$F,"")</f>
        <v>8</v>
      </c>
      <c r="E24">
        <f>COUNTIFS('NHL2025-26Results'!$F:$F,"OT",'NHL2025-26Results'!$H:$H,A24) + COUNTIFS('NHL2025-26Results'!$F:$F,"SO",'NHL2025-26Results'!$H:$H,A24)</f>
        <v>3</v>
      </c>
      <c r="F24" s="3">
        <f>(Table1[[#This Row],[W]]*2)+Table1[[#This Row],[OTL]]</f>
        <v>19</v>
      </c>
      <c r="G24">
        <f>COUNTIFS('NHL2025-26Results'!$D:$D,A24,'NHL2025-26Results'!$G:$G,A24)</f>
        <v>4</v>
      </c>
      <c r="H24">
        <f>COUNTIFS('NHL2025-26Results'!$D:$D,A24,'NHL2025-26Results'!$H:$H,A24,'NHL2025-26Results'!$F:$F,"")</f>
        <v>3</v>
      </c>
      <c r="I24">
        <f>COUNTIFS('NHL2025-26Results'!$D:$D,A24,'NHL2025-26Results'!$H:$H,A24,'NHL2025-26Results'!$F:$F,"OT") + COUNTIFS('NHL2025-26Results'!$D:$D,A24,'NHL2025-26Results'!$H:$H,A24,'NHL2025-26Results'!$F:$F,"SO")</f>
        <v>3</v>
      </c>
      <c r="J24">
        <f>COUNTIFS('NHL2025-26Results'!$B:$B,A24,'NHL2025-26Results'!$G:$G,A24)</f>
        <v>4</v>
      </c>
      <c r="K24">
        <f>COUNTIFS('NHL2025-26Results'!$B:$B,A24,'NHL2025-26Results'!$H:$H,A24,'NHL2025-26Results'!$F:$F,"")</f>
        <v>5</v>
      </c>
      <c r="L24">
        <f>COUNTIFS('NHL2025-26Results'!$B:$B,A24,'NHL2025-26Results'!$H:$H,A24,'NHL2025-26Results'!$F:$F,"OT") + COUNTIFS('NHL2025-26Results'!$B:$B,A24,'NHL2025-26Results'!$H:$H,A24,'NHL2025-26Results'!$F:$F,"SO")</f>
        <v>0</v>
      </c>
      <c r="M24" s="11">
        <f>Table1[[#This Row],[HomeWins]]/SUM(Table1[[#This Row],[HomeWins]:[HomeOTL]])</f>
        <v>0.4</v>
      </c>
      <c r="N24" s="11">
        <f>Table1[[#This Row],[AwayWins]]/SUM(Table1[[#This Row],[AwayWins]:[AwayOTL]])</f>
        <v>0.44444444444444442</v>
      </c>
      <c r="O24" s="14">
        <f>SUMIFS('NHL2025-26Results'!$E:$E,'NHL2025-26Results'!$D:$D,A24,'NHL2025-26Results'!$E:$E,"&gt;0")/COUNTIFS('NHL2025-26Results'!$D:$D,A24,'NHL2025-26Results'!$E:$E,"&gt;0")</f>
        <v>3.1111111111111112</v>
      </c>
      <c r="P24" s="14">
        <f>SUMIFS('NHL2025-26Results'!$C:$C,'NHL2025-26Results'!$B:$B,A24,'NHL2025-26Results'!$C:$C,"&gt;0")/COUNTIFS('NHL2025-26Results'!$B:$B,A24,'NHL2025-26Results'!$C:$C,"&gt;0")</f>
        <v>3.5</v>
      </c>
      <c r="Q24" s="14">
        <f>SUMIFS('NHL2025-26Results'!$C:$C,'NHL2025-26Results'!$D:$D,A24,'NHL2025-26Results'!$C:$C,"&gt;0")/COUNTIFS('NHL2025-26Results'!$D:$D,A24,'NHL2025-26Results'!$C:$C,"&gt;0")</f>
        <v>3.2</v>
      </c>
      <c r="R24" s="14">
        <f>SUMIFS('NHL2025-26Results'!$E:$E,'NHL2025-26Results'!$B:$B,A24,'NHL2025-26Results'!$E:$E,"&gt;0")/COUNTIFS('NHL2025-26Results'!$B:$B,A24,'NHL2025-26Results'!$E:$E,"&gt;0")</f>
        <v>3.4444444444444446</v>
      </c>
    </row>
    <row r="25" spans="1:18" x14ac:dyDescent="0.2">
      <c r="A25" s="4" t="s">
        <v>32</v>
      </c>
      <c r="B25">
        <f>SUM(Table1[[#This Row],[W]:[OTL]])</f>
        <v>18</v>
      </c>
      <c r="C25">
        <f>COUNTIF(NHL2025_26Results[Winning Team],Standings!A25)</f>
        <v>9</v>
      </c>
      <c r="D25">
        <f>COUNTIFS('NHL2025-26Results'!$H:$H,A25,'NHL2025-26Results'!$F:$F,"")</f>
        <v>4</v>
      </c>
      <c r="E25">
        <f>COUNTIFS('NHL2025-26Results'!$F:$F,"OT",'NHL2025-26Results'!$H:$H,A25) + COUNTIFS('NHL2025-26Results'!$F:$F,"SO",'NHL2025-26Results'!$H:$H,A25)</f>
        <v>5</v>
      </c>
      <c r="F25" s="3">
        <f>(Table1[[#This Row],[W]]*2)+Table1[[#This Row],[OTL]]</f>
        <v>23</v>
      </c>
      <c r="G25">
        <f>COUNTIFS('NHL2025-26Results'!$D:$D,A25,'NHL2025-26Results'!$G:$G,A25)</f>
        <v>6</v>
      </c>
      <c r="H25">
        <f>COUNTIFS('NHL2025-26Results'!$D:$D,A25,'NHL2025-26Results'!$H:$H,A25,'NHL2025-26Results'!$F:$F,"")</f>
        <v>1</v>
      </c>
      <c r="I25">
        <f>COUNTIFS('NHL2025-26Results'!$D:$D,A25,'NHL2025-26Results'!$H:$H,A25,'NHL2025-26Results'!$F:$F,"OT") + COUNTIFS('NHL2025-26Results'!$D:$D,A25,'NHL2025-26Results'!$H:$H,A25,'NHL2025-26Results'!$F:$F,"SO")</f>
        <v>3</v>
      </c>
      <c r="J25">
        <f>COUNTIFS('NHL2025-26Results'!$B:$B,A25,'NHL2025-26Results'!$G:$G,A25)</f>
        <v>3</v>
      </c>
      <c r="K25">
        <f>COUNTIFS('NHL2025-26Results'!$B:$B,A25,'NHL2025-26Results'!$H:$H,A25,'NHL2025-26Results'!$F:$F,"")</f>
        <v>3</v>
      </c>
      <c r="L25">
        <f>COUNTIFS('NHL2025-26Results'!$B:$B,A25,'NHL2025-26Results'!$H:$H,A25,'NHL2025-26Results'!$F:$F,"OT") + COUNTIFS('NHL2025-26Results'!$B:$B,A25,'NHL2025-26Results'!$H:$H,A25,'NHL2025-26Results'!$F:$F,"SO")</f>
        <v>2</v>
      </c>
      <c r="M25" s="11">
        <f>Table1[[#This Row],[HomeWins]]/SUM(Table1[[#This Row],[HomeWins]:[HomeOTL]])</f>
        <v>0.6</v>
      </c>
      <c r="N25" s="11">
        <f>Table1[[#This Row],[AwayWins]]/SUM(Table1[[#This Row],[AwayWins]:[AwayOTL]])</f>
        <v>0.375</v>
      </c>
      <c r="O25" s="14">
        <f>SUMIFS('NHL2025-26Results'!$E:$E,'NHL2025-26Results'!$D:$D,A25,'NHL2025-26Results'!$E:$E,"&gt;0")/COUNTIFS('NHL2025-26Results'!$D:$D,A25,'NHL2025-26Results'!$E:$E,"&gt;0")</f>
        <v>2.7</v>
      </c>
      <c r="P25" s="14">
        <f>SUMIFS('NHL2025-26Results'!$C:$C,'NHL2025-26Results'!$B:$B,A25,'NHL2025-26Results'!$C:$C,"&gt;0")/COUNTIFS('NHL2025-26Results'!$B:$B,A25,'NHL2025-26Results'!$C:$C,"&gt;0")</f>
        <v>2.75</v>
      </c>
      <c r="Q25" s="14">
        <f>SUMIFS('NHL2025-26Results'!$C:$C,'NHL2025-26Results'!$D:$D,A25,'NHL2025-26Results'!$C:$C,"&gt;0")/COUNTIFS('NHL2025-26Results'!$D:$D,A25,'NHL2025-26Results'!$C:$C,"&gt;0")</f>
        <v>2.4</v>
      </c>
      <c r="R25" s="14">
        <f>SUMIFS('NHL2025-26Results'!$E:$E,'NHL2025-26Results'!$B:$B,A25,'NHL2025-26Results'!$E:$E,"&gt;0")/COUNTIFS('NHL2025-26Results'!$B:$B,A25,'NHL2025-26Results'!$E:$E,"&gt;0")</f>
        <v>3.7142857142857144</v>
      </c>
    </row>
    <row r="26" spans="1:18" x14ac:dyDescent="0.2">
      <c r="A26" s="4" t="s">
        <v>35</v>
      </c>
      <c r="B26">
        <f>SUM(Table1[[#This Row],[W]:[OTL]])</f>
        <v>19</v>
      </c>
      <c r="C26">
        <f>COUNTIF(NHL2025_26Results[Winning Team],Standings!A26)</f>
        <v>6</v>
      </c>
      <c r="D26">
        <f>COUNTIFS('NHL2025-26Results'!$H:$H,A26,'NHL2025-26Results'!$F:$F,"")</f>
        <v>9</v>
      </c>
      <c r="E26">
        <f>COUNTIFS('NHL2025-26Results'!$F:$F,"OT",'NHL2025-26Results'!$H:$H,A26) + COUNTIFS('NHL2025-26Results'!$F:$F,"SO",'NHL2025-26Results'!$H:$H,A26)</f>
        <v>4</v>
      </c>
      <c r="F26" s="3">
        <f>(Table1[[#This Row],[W]]*2)+Table1[[#This Row],[OTL]]</f>
        <v>16</v>
      </c>
      <c r="G26">
        <f>COUNTIFS('NHL2025-26Results'!$D:$D,A26,'NHL2025-26Results'!$G:$G,A26)</f>
        <v>3</v>
      </c>
      <c r="H26">
        <f>COUNTIFS('NHL2025-26Results'!$D:$D,A26,'NHL2025-26Results'!$H:$H,A26,'NHL2025-26Results'!$F:$F,"")</f>
        <v>5</v>
      </c>
      <c r="I26">
        <f>COUNTIFS('NHL2025-26Results'!$D:$D,A26,'NHL2025-26Results'!$H:$H,A26,'NHL2025-26Results'!$F:$F,"OT") + COUNTIFS('NHL2025-26Results'!$D:$D,A26,'NHL2025-26Results'!$H:$H,A26,'NHL2025-26Results'!$F:$F,"SO")</f>
        <v>4</v>
      </c>
      <c r="J26">
        <f>COUNTIFS('NHL2025-26Results'!$B:$B,A26,'NHL2025-26Results'!$G:$G,A26)</f>
        <v>3</v>
      </c>
      <c r="K26">
        <f>COUNTIFS('NHL2025-26Results'!$B:$B,A26,'NHL2025-26Results'!$H:$H,A26,'NHL2025-26Results'!$F:$F,"")</f>
        <v>4</v>
      </c>
      <c r="L26">
        <f>COUNTIFS('NHL2025-26Results'!$B:$B,A26,'NHL2025-26Results'!$H:$H,A26,'NHL2025-26Results'!$F:$F,"OT") + COUNTIFS('NHL2025-26Results'!$B:$B,A26,'NHL2025-26Results'!$H:$H,A26,'NHL2025-26Results'!$F:$F,"SO")</f>
        <v>0</v>
      </c>
      <c r="M26" s="11">
        <f>Table1[[#This Row],[HomeWins]]/SUM(Table1[[#This Row],[HomeWins]:[HomeOTL]])</f>
        <v>0.25</v>
      </c>
      <c r="N26" s="11">
        <f>Table1[[#This Row],[AwayWins]]/SUM(Table1[[#This Row],[AwayWins]:[AwayOTL]])</f>
        <v>0.42857142857142855</v>
      </c>
      <c r="O26" s="14">
        <f>SUMIFS('NHL2025-26Results'!$E:$E,'NHL2025-26Results'!$D:$D,A26,'NHL2025-26Results'!$E:$E,"&gt;0")/COUNTIFS('NHL2025-26Results'!$D:$D,A26,'NHL2025-26Results'!$E:$E,"&gt;0")</f>
        <v>2.8181818181818183</v>
      </c>
      <c r="P26" s="14">
        <f>SUMIFS('NHL2025-26Results'!$C:$C,'NHL2025-26Results'!$B:$B,A26,'NHL2025-26Results'!$C:$C,"&gt;0")/COUNTIFS('NHL2025-26Results'!$B:$B,A26,'NHL2025-26Results'!$C:$C,"&gt;0")</f>
        <v>3.1428571428571428</v>
      </c>
      <c r="Q26" s="14">
        <f>SUMIFS('NHL2025-26Results'!$C:$C,'NHL2025-26Results'!$D:$D,A26,'NHL2025-26Results'!$C:$C,"&gt;0")/COUNTIFS('NHL2025-26Results'!$D:$D,A26,'NHL2025-26Results'!$C:$C,"&gt;0")</f>
        <v>4.166666666666667</v>
      </c>
      <c r="R26" s="14">
        <f>SUMIFS('NHL2025-26Results'!$E:$E,'NHL2025-26Results'!$B:$B,A26,'NHL2025-26Results'!$E:$E,"&gt;0")/COUNTIFS('NHL2025-26Results'!$B:$B,A26,'NHL2025-26Results'!$E:$E,"&gt;0")</f>
        <v>4.166666666666667</v>
      </c>
    </row>
    <row r="27" spans="1:18" x14ac:dyDescent="0.2">
      <c r="A27" s="4" t="s">
        <v>37</v>
      </c>
      <c r="B27">
        <f>SUM(Table1[[#This Row],[W]:[OTL]])</f>
        <v>18</v>
      </c>
      <c r="C27">
        <f>COUNTIF(NHL2025_26Results[Winning Team],Standings!A27)</f>
        <v>9</v>
      </c>
      <c r="D27">
        <f>COUNTIFS('NHL2025-26Results'!$H:$H,A27,'NHL2025-26Results'!$F:$F,"")</f>
        <v>7</v>
      </c>
      <c r="E27">
        <f>COUNTIFS('NHL2025-26Results'!$F:$F,"OT",'NHL2025-26Results'!$H:$H,A27) + COUNTIFS('NHL2025-26Results'!$F:$F,"SO",'NHL2025-26Results'!$H:$H,A27)</f>
        <v>2</v>
      </c>
      <c r="F27" s="3">
        <f>(Table1[[#This Row],[W]]*2)+Table1[[#This Row],[OTL]]</f>
        <v>20</v>
      </c>
      <c r="G27">
        <f>COUNTIFS('NHL2025-26Results'!$D:$D,A27,'NHL2025-26Results'!$G:$G,A27)</f>
        <v>4</v>
      </c>
      <c r="H27">
        <f>COUNTIFS('NHL2025-26Results'!$D:$D,A27,'NHL2025-26Results'!$H:$H,A27,'NHL2025-26Results'!$F:$F,"")</f>
        <v>5</v>
      </c>
      <c r="I27">
        <f>COUNTIFS('NHL2025-26Results'!$D:$D,A27,'NHL2025-26Results'!$H:$H,A27,'NHL2025-26Results'!$F:$F,"OT") + COUNTIFS('NHL2025-26Results'!$D:$D,A27,'NHL2025-26Results'!$H:$H,A27,'NHL2025-26Results'!$F:$F,"SO")</f>
        <v>0</v>
      </c>
      <c r="J27">
        <f>COUNTIFS('NHL2025-26Results'!$B:$B,A27,'NHL2025-26Results'!$G:$G,A27)</f>
        <v>5</v>
      </c>
      <c r="K27">
        <f>COUNTIFS('NHL2025-26Results'!$B:$B,A27,'NHL2025-26Results'!$H:$H,A27,'NHL2025-26Results'!$F:$F,"")</f>
        <v>2</v>
      </c>
      <c r="L27">
        <f>COUNTIFS('NHL2025-26Results'!$B:$B,A27,'NHL2025-26Results'!$H:$H,A27,'NHL2025-26Results'!$F:$F,"OT") + COUNTIFS('NHL2025-26Results'!$B:$B,A27,'NHL2025-26Results'!$H:$H,A27,'NHL2025-26Results'!$F:$F,"SO")</f>
        <v>2</v>
      </c>
      <c r="M27" s="11">
        <f>Table1[[#This Row],[HomeWins]]/SUM(Table1[[#This Row],[HomeWins]:[HomeOTL]])</f>
        <v>0.44444444444444442</v>
      </c>
      <c r="N27" s="11">
        <f>Table1[[#This Row],[AwayWins]]/SUM(Table1[[#This Row],[AwayWins]:[AwayOTL]])</f>
        <v>0.55555555555555558</v>
      </c>
      <c r="O27" s="14">
        <f>SUMIFS('NHL2025-26Results'!$E:$E,'NHL2025-26Results'!$D:$D,A27,'NHL2025-26Results'!$E:$E,"&gt;0")/COUNTIFS('NHL2025-26Results'!$D:$D,A27,'NHL2025-26Results'!$E:$E,"&gt;0")</f>
        <v>2.7777777777777777</v>
      </c>
      <c r="P27" s="14">
        <f>SUMIFS('NHL2025-26Results'!$C:$C,'NHL2025-26Results'!$B:$B,A27,'NHL2025-26Results'!$C:$C,"&gt;0")/COUNTIFS('NHL2025-26Results'!$B:$B,A27,'NHL2025-26Results'!$C:$C,"&gt;0")</f>
        <v>3.2222222222222223</v>
      </c>
      <c r="Q27" s="14">
        <f>SUMIFS('NHL2025-26Results'!$C:$C,'NHL2025-26Results'!$D:$D,A27,'NHL2025-26Results'!$C:$C,"&gt;0")/COUNTIFS('NHL2025-26Results'!$D:$D,A27,'NHL2025-26Results'!$C:$C,"&gt;0")</f>
        <v>3.6666666666666665</v>
      </c>
      <c r="R27" s="14">
        <f>SUMIFS('NHL2025-26Results'!$E:$E,'NHL2025-26Results'!$B:$B,A27,'NHL2025-26Results'!$E:$E,"&gt;0")/COUNTIFS('NHL2025-26Results'!$B:$B,A27,'NHL2025-26Results'!$E:$E,"&gt;0")</f>
        <v>2.4444444444444446</v>
      </c>
    </row>
    <row r="28" spans="1:18" x14ac:dyDescent="0.2">
      <c r="A28" s="4" t="s">
        <v>19</v>
      </c>
      <c r="B28">
        <f>SUM(Table1[[#This Row],[W]:[OTL]])</f>
        <v>19</v>
      </c>
      <c r="C28">
        <f>COUNTIF(NHL2025_26Results[Winning Team],Standings!A28)</f>
        <v>8</v>
      </c>
      <c r="D28">
        <f>COUNTIFS('NHL2025-26Results'!$H:$H,A28,'NHL2025-26Results'!$F:$F,"")</f>
        <v>9</v>
      </c>
      <c r="E28">
        <f>COUNTIFS('NHL2025-26Results'!$F:$F,"OT",'NHL2025-26Results'!$H:$H,A28) + COUNTIFS('NHL2025-26Results'!$F:$F,"SO",'NHL2025-26Results'!$H:$H,A28)</f>
        <v>2</v>
      </c>
      <c r="F28" s="3">
        <f>(Table1[[#This Row],[W]]*2)+Table1[[#This Row],[OTL]]</f>
        <v>18</v>
      </c>
      <c r="G28">
        <f>COUNTIFS('NHL2025-26Results'!$D:$D,A28,'NHL2025-26Results'!$G:$G,A28)</f>
        <v>7</v>
      </c>
      <c r="H28">
        <f>COUNTIFS('NHL2025-26Results'!$D:$D,A28,'NHL2025-26Results'!$H:$H,A28,'NHL2025-26Results'!$F:$F,"")</f>
        <v>4</v>
      </c>
      <c r="I28">
        <f>COUNTIFS('NHL2025-26Results'!$D:$D,A28,'NHL2025-26Results'!$H:$H,A28,'NHL2025-26Results'!$F:$F,"OT") + COUNTIFS('NHL2025-26Results'!$D:$D,A28,'NHL2025-26Results'!$H:$H,A28,'NHL2025-26Results'!$F:$F,"SO")</f>
        <v>2</v>
      </c>
      <c r="J28">
        <f>COUNTIFS('NHL2025-26Results'!$B:$B,A28,'NHL2025-26Results'!$G:$G,A28)</f>
        <v>1</v>
      </c>
      <c r="K28">
        <f>COUNTIFS('NHL2025-26Results'!$B:$B,A28,'NHL2025-26Results'!$H:$H,A28,'NHL2025-26Results'!$F:$F,"")</f>
        <v>5</v>
      </c>
      <c r="L28">
        <f>COUNTIFS('NHL2025-26Results'!$B:$B,A28,'NHL2025-26Results'!$H:$H,A28,'NHL2025-26Results'!$F:$F,"OT") + COUNTIFS('NHL2025-26Results'!$B:$B,A28,'NHL2025-26Results'!$H:$H,A28,'NHL2025-26Results'!$F:$F,"SO")</f>
        <v>0</v>
      </c>
      <c r="M28" s="11">
        <f>Table1[[#This Row],[HomeWins]]/SUM(Table1[[#This Row],[HomeWins]:[HomeOTL]])</f>
        <v>0.53846153846153844</v>
      </c>
      <c r="N28" s="11">
        <f>Table1[[#This Row],[AwayWins]]/SUM(Table1[[#This Row],[AwayWins]:[AwayOTL]])</f>
        <v>0.16666666666666666</v>
      </c>
      <c r="O28" s="14">
        <f>SUMIFS('NHL2025-26Results'!$E:$E,'NHL2025-26Results'!$D:$D,A28,'NHL2025-26Results'!$E:$E,"&gt;0")/COUNTIFS('NHL2025-26Results'!$D:$D,A28,'NHL2025-26Results'!$E:$E,"&gt;0")</f>
        <v>3.6923076923076925</v>
      </c>
      <c r="P28" s="14">
        <f>SUMIFS('NHL2025-26Results'!$C:$C,'NHL2025-26Results'!$B:$B,A28,'NHL2025-26Results'!$C:$C,"&gt;0")/COUNTIFS('NHL2025-26Results'!$B:$B,A28,'NHL2025-26Results'!$C:$C,"&gt;0")</f>
        <v>3.1666666666666665</v>
      </c>
      <c r="Q28" s="14">
        <f>SUMIFS('NHL2025-26Results'!$C:$C,'NHL2025-26Results'!$D:$D,A28,'NHL2025-26Results'!$C:$C,"&gt;0")/COUNTIFS('NHL2025-26Results'!$D:$D,A28,'NHL2025-26Results'!$C:$C,"&gt;0")</f>
        <v>3.4615384615384617</v>
      </c>
      <c r="R28" s="14">
        <f>SUMIFS('NHL2025-26Results'!$E:$E,'NHL2025-26Results'!$B:$B,A28,'NHL2025-26Results'!$E:$E,"&gt;0")/COUNTIFS('NHL2025-26Results'!$B:$B,A28,'NHL2025-26Results'!$E:$E,"&gt;0")</f>
        <v>4.5</v>
      </c>
    </row>
    <row r="29" spans="1:18" x14ac:dyDescent="0.2">
      <c r="A29" t="s">
        <v>55</v>
      </c>
      <c r="B29">
        <f>SUM(Table1[[#This Row],[W]:[OTL]])</f>
        <v>18</v>
      </c>
      <c r="C29">
        <f>COUNTIF(NHL2025_26Results[Winning Team],Standings!A29)</f>
        <v>10</v>
      </c>
      <c r="D29">
        <f>COUNTIFS('NHL2025-26Results'!$H:$H,A29,'NHL2025-26Results'!$F:$F,"")</f>
        <v>7</v>
      </c>
      <c r="E29">
        <f>COUNTIFS('NHL2025-26Results'!$F:$F,"OT",'NHL2025-26Results'!$H:$H,A29) + COUNTIFS('NHL2025-26Results'!$F:$F,"SO",'NHL2025-26Results'!$H:$H,A29)</f>
        <v>1</v>
      </c>
      <c r="F29" s="3">
        <f>(Table1[[#This Row],[W]]*2)+Table1[[#This Row],[OTL]]</f>
        <v>21</v>
      </c>
      <c r="G29">
        <f>COUNTIFS('NHL2025-26Results'!$D:$D,A29,'NHL2025-26Results'!$G:$G,A29)</f>
        <v>5</v>
      </c>
      <c r="H29">
        <f>COUNTIFS('NHL2025-26Results'!$D:$D,A29,'NHL2025-26Results'!$H:$H,A29,'NHL2025-26Results'!$F:$F,"")</f>
        <v>1</v>
      </c>
      <c r="I29">
        <f>COUNTIFS('NHL2025-26Results'!$D:$D,A29,'NHL2025-26Results'!$H:$H,A29,'NHL2025-26Results'!$F:$F,"OT") + COUNTIFS('NHL2025-26Results'!$D:$D,A29,'NHL2025-26Results'!$H:$H,A29,'NHL2025-26Results'!$F:$F,"SO")</f>
        <v>1</v>
      </c>
      <c r="J29">
        <f>COUNTIFS('NHL2025-26Results'!$B:$B,A29,'NHL2025-26Results'!$G:$G,A29)</f>
        <v>5</v>
      </c>
      <c r="K29">
        <f>COUNTIFS('NHL2025-26Results'!$B:$B,A29,'NHL2025-26Results'!$H:$H,A29,'NHL2025-26Results'!$F:$F,"")</f>
        <v>6</v>
      </c>
      <c r="L29">
        <f>COUNTIFS('NHL2025-26Results'!$B:$B,A29,'NHL2025-26Results'!$H:$H,A29,'NHL2025-26Results'!$F:$F,"OT") + COUNTIFS('NHL2025-26Results'!$B:$B,A29,'NHL2025-26Results'!$H:$H,A29,'NHL2025-26Results'!$F:$F,"SO")</f>
        <v>0</v>
      </c>
      <c r="M29" s="11">
        <f>Table1[[#This Row],[HomeWins]]/SUM(Table1[[#This Row],[HomeWins]:[HomeOTL]])</f>
        <v>0.7142857142857143</v>
      </c>
      <c r="N29" s="11">
        <f>Table1[[#This Row],[AwayWins]]/SUM(Table1[[#This Row],[AwayWins]:[AwayOTL]])</f>
        <v>0.45454545454545453</v>
      </c>
      <c r="O29" s="14">
        <f>SUMIFS('NHL2025-26Results'!$E:$E,'NHL2025-26Results'!$D:$D,A29,'NHL2025-26Results'!$E:$E,"&gt;0")/COUNTIFS('NHL2025-26Results'!$D:$D,A29,'NHL2025-26Results'!$E:$E,"&gt;0")</f>
        <v>3.5714285714285716</v>
      </c>
      <c r="P29" s="14">
        <f>SUMIFS('NHL2025-26Results'!$C:$C,'NHL2025-26Results'!$B:$B,A29,'NHL2025-26Results'!$C:$C,"&gt;0")/COUNTIFS('NHL2025-26Results'!$B:$B,A29,'NHL2025-26Results'!$C:$C,"&gt;0")</f>
        <v>3</v>
      </c>
      <c r="Q29" s="14">
        <f>SUMIFS('NHL2025-26Results'!$C:$C,'NHL2025-26Results'!$D:$D,A29,'NHL2025-26Results'!$C:$C,"&gt;0")/COUNTIFS('NHL2025-26Results'!$D:$D,A29,'NHL2025-26Results'!$C:$C,"&gt;0")</f>
        <v>2.5714285714285716</v>
      </c>
      <c r="R29" s="14">
        <f>SUMIFS('NHL2025-26Results'!$E:$E,'NHL2025-26Results'!$B:$B,A29,'NHL2025-26Results'!$E:$E,"&gt;0")/COUNTIFS('NHL2025-26Results'!$B:$B,A29,'NHL2025-26Results'!$E:$E,"&gt;0")</f>
        <v>3.3636363636363638</v>
      </c>
    </row>
    <row r="30" spans="1:18" x14ac:dyDescent="0.2">
      <c r="A30" s="4" t="s">
        <v>38</v>
      </c>
      <c r="B30">
        <f>SUM(Table1[[#This Row],[W]:[OTL]])</f>
        <v>20</v>
      </c>
      <c r="C30">
        <f>COUNTIF(NHL2025_26Results[Winning Team],Standings!A30)</f>
        <v>9</v>
      </c>
      <c r="D30">
        <f>COUNTIFS('NHL2025-26Results'!$H:$H,A30,'NHL2025-26Results'!$F:$F,"")</f>
        <v>9</v>
      </c>
      <c r="E30">
        <f>COUNTIFS('NHL2025-26Results'!$F:$F,"OT",'NHL2025-26Results'!$H:$H,A30) + COUNTIFS('NHL2025-26Results'!$F:$F,"SO",'NHL2025-26Results'!$H:$H,A30)</f>
        <v>2</v>
      </c>
      <c r="F30" s="3">
        <f>(Table1[[#This Row],[W]]*2)+Table1[[#This Row],[OTL]]</f>
        <v>20</v>
      </c>
      <c r="G30">
        <f>COUNTIFS('NHL2025-26Results'!$D:$D,A30,'NHL2025-26Results'!$G:$G,A30)</f>
        <v>3</v>
      </c>
      <c r="H30">
        <f>COUNTIFS('NHL2025-26Results'!$D:$D,A30,'NHL2025-26Results'!$H:$H,A30,'NHL2025-26Results'!$F:$F,"")</f>
        <v>5</v>
      </c>
      <c r="I30">
        <f>COUNTIFS('NHL2025-26Results'!$D:$D,A30,'NHL2025-26Results'!$H:$H,A30,'NHL2025-26Results'!$F:$F,"OT") + COUNTIFS('NHL2025-26Results'!$D:$D,A30,'NHL2025-26Results'!$H:$H,A30,'NHL2025-26Results'!$F:$F,"SO")</f>
        <v>1</v>
      </c>
      <c r="J30">
        <f>COUNTIFS('NHL2025-26Results'!$B:$B,A30,'NHL2025-26Results'!$G:$G,A30)</f>
        <v>6</v>
      </c>
      <c r="K30">
        <f>COUNTIFS('NHL2025-26Results'!$B:$B,A30,'NHL2025-26Results'!$H:$H,A30,'NHL2025-26Results'!$F:$F,"")</f>
        <v>4</v>
      </c>
      <c r="L30">
        <f>COUNTIFS('NHL2025-26Results'!$B:$B,A30,'NHL2025-26Results'!$H:$H,A30,'NHL2025-26Results'!$F:$F,"OT") + COUNTIFS('NHL2025-26Results'!$B:$B,A30,'NHL2025-26Results'!$H:$H,A30,'NHL2025-26Results'!$F:$F,"SO")</f>
        <v>1</v>
      </c>
      <c r="M30" s="11">
        <f>Table1[[#This Row],[HomeWins]]/SUM(Table1[[#This Row],[HomeWins]:[HomeOTL]])</f>
        <v>0.33333333333333331</v>
      </c>
      <c r="N30" s="11">
        <f>Table1[[#This Row],[AwayWins]]/SUM(Table1[[#This Row],[AwayWins]:[AwayOTL]])</f>
        <v>0.54545454545454541</v>
      </c>
      <c r="O30" s="14">
        <f>SUMIFS('NHL2025-26Results'!$E:$E,'NHL2025-26Results'!$D:$D,A30,'NHL2025-26Results'!$E:$E,"&gt;0")/COUNTIFS('NHL2025-26Results'!$D:$D,A30,'NHL2025-26Results'!$E:$E,"&gt;0")</f>
        <v>3.375</v>
      </c>
      <c r="P30" s="14">
        <f>SUMIFS('NHL2025-26Results'!$C:$C,'NHL2025-26Results'!$B:$B,A30,'NHL2025-26Results'!$C:$C,"&gt;0")/COUNTIFS('NHL2025-26Results'!$B:$B,A30,'NHL2025-26Results'!$C:$C,"&gt;0")</f>
        <v>3.1818181818181817</v>
      </c>
      <c r="Q30" s="14">
        <f>SUMIFS('NHL2025-26Results'!$C:$C,'NHL2025-26Results'!$D:$D,A30,'NHL2025-26Results'!$C:$C,"&gt;0")/COUNTIFS('NHL2025-26Results'!$D:$D,A30,'NHL2025-26Results'!$C:$C,"&gt;0")</f>
        <v>3.6666666666666665</v>
      </c>
      <c r="R30" s="14">
        <f>SUMIFS('NHL2025-26Results'!$E:$E,'NHL2025-26Results'!$B:$B,A30,'NHL2025-26Results'!$E:$E,"&gt;0")/COUNTIFS('NHL2025-26Results'!$B:$B,A30,'NHL2025-26Results'!$E:$E,"&gt;0")</f>
        <v>3.2727272727272729</v>
      </c>
    </row>
    <row r="31" spans="1:18" x14ac:dyDescent="0.2">
      <c r="A31" s="4" t="s">
        <v>20</v>
      </c>
      <c r="B31">
        <f>SUM(Table1[[#This Row],[W]:[OTL]])</f>
        <v>18</v>
      </c>
      <c r="C31">
        <f>COUNTIF(NHL2025_26Results[Winning Team],Standings!A31)</f>
        <v>8</v>
      </c>
      <c r="D31">
        <f>COUNTIFS('NHL2025-26Results'!$H:$H,A31,'NHL2025-26Results'!$F:$F,"")</f>
        <v>4</v>
      </c>
      <c r="E31">
        <f>COUNTIFS('NHL2025-26Results'!$F:$F,"OT",'NHL2025-26Results'!$H:$H,A31) + COUNTIFS('NHL2025-26Results'!$F:$F,"SO",'NHL2025-26Results'!$H:$H,A31)</f>
        <v>6</v>
      </c>
      <c r="F31" s="3">
        <f>(Table1[[#This Row],[W]]*2)+Table1[[#This Row],[OTL]]</f>
        <v>22</v>
      </c>
      <c r="G31">
        <f>COUNTIFS('NHL2025-26Results'!$D:$D,A31,'NHL2025-26Results'!$G:$G,A31)</f>
        <v>4</v>
      </c>
      <c r="H31">
        <f>COUNTIFS('NHL2025-26Results'!$D:$D,A31,'NHL2025-26Results'!$H:$H,A31,'NHL2025-26Results'!$F:$F,"")</f>
        <v>3</v>
      </c>
      <c r="I31">
        <f>COUNTIFS('NHL2025-26Results'!$D:$D,A31,'NHL2025-26Results'!$H:$H,A31,'NHL2025-26Results'!$F:$F,"OT") + COUNTIFS('NHL2025-26Results'!$D:$D,A31,'NHL2025-26Results'!$H:$H,A31,'NHL2025-26Results'!$F:$F,"SO")</f>
        <v>3</v>
      </c>
      <c r="J31">
        <f>COUNTIFS('NHL2025-26Results'!$B:$B,A31,'NHL2025-26Results'!$G:$G,A31)</f>
        <v>4</v>
      </c>
      <c r="K31">
        <f>COUNTIFS('NHL2025-26Results'!$B:$B,A31,'NHL2025-26Results'!$H:$H,A31,'NHL2025-26Results'!$F:$F,"")</f>
        <v>1</v>
      </c>
      <c r="L31">
        <f>COUNTIFS('NHL2025-26Results'!$B:$B,A31,'NHL2025-26Results'!$H:$H,A31,'NHL2025-26Results'!$F:$F,"OT") + COUNTIFS('NHL2025-26Results'!$B:$B,A31,'NHL2025-26Results'!$H:$H,A31,'NHL2025-26Results'!$F:$F,"SO")</f>
        <v>3</v>
      </c>
      <c r="M31" s="11">
        <f>Table1[[#This Row],[HomeWins]]/SUM(Table1[[#This Row],[HomeWins]:[HomeOTL]])</f>
        <v>0.4</v>
      </c>
      <c r="N31" s="11">
        <f>Table1[[#This Row],[AwayWins]]/SUM(Table1[[#This Row],[AwayWins]:[AwayOTL]])</f>
        <v>0.5</v>
      </c>
      <c r="O31" s="14">
        <f>SUMIFS('NHL2025-26Results'!$E:$E,'NHL2025-26Results'!$D:$D,A31,'NHL2025-26Results'!$E:$E,"&gt;0")/COUNTIFS('NHL2025-26Results'!$D:$D,A31,'NHL2025-26Results'!$E:$E,"&gt;0")</f>
        <v>3.5</v>
      </c>
      <c r="P31" s="14">
        <f>SUMIFS('NHL2025-26Results'!$C:$C,'NHL2025-26Results'!$B:$B,A31,'NHL2025-26Results'!$C:$C,"&gt;0")/COUNTIFS('NHL2025-26Results'!$B:$B,A31,'NHL2025-26Results'!$C:$C,"&gt;0")</f>
        <v>3.1428571428571428</v>
      </c>
      <c r="Q31" s="14">
        <f>SUMIFS('NHL2025-26Results'!$C:$C,'NHL2025-26Results'!$D:$D,A31,'NHL2025-26Results'!$C:$C,"&gt;0")/COUNTIFS('NHL2025-26Results'!$D:$D,A31,'NHL2025-26Results'!$C:$C,"&gt;0")</f>
        <v>3.7777777777777777</v>
      </c>
      <c r="R31" s="14">
        <f>SUMIFS('NHL2025-26Results'!$E:$E,'NHL2025-26Results'!$B:$B,A31,'NHL2025-26Results'!$E:$E,"&gt;0")/COUNTIFS('NHL2025-26Results'!$B:$B,A31,'NHL2025-26Results'!$E:$E,"&gt;0")</f>
        <v>2.375</v>
      </c>
    </row>
    <row r="32" spans="1:18" x14ac:dyDescent="0.2">
      <c r="A32" s="4" t="s">
        <v>22</v>
      </c>
      <c r="B32">
        <f>SUM(Table1[[#This Row],[W]:[OTL]])</f>
        <v>18</v>
      </c>
      <c r="C32">
        <f>COUNTIF(NHL2025_26Results[Winning Team],Standings!A32)</f>
        <v>8</v>
      </c>
      <c r="D32">
        <f>COUNTIFS('NHL2025-26Results'!$H:$H,A32,'NHL2025-26Results'!$F:$F,"")</f>
        <v>8</v>
      </c>
      <c r="E32">
        <f>COUNTIFS('NHL2025-26Results'!$F:$F,"OT",'NHL2025-26Results'!$H:$H,A32) + COUNTIFS('NHL2025-26Results'!$F:$F,"SO",'NHL2025-26Results'!$H:$H,A32)</f>
        <v>2</v>
      </c>
      <c r="F32" s="3">
        <f>(Table1[[#This Row],[W]]*2)+Table1[[#This Row],[OTL]]</f>
        <v>18</v>
      </c>
      <c r="G32">
        <f>COUNTIFS('NHL2025-26Results'!$D:$D,A32,'NHL2025-26Results'!$G:$G,A32)</f>
        <v>4</v>
      </c>
      <c r="H32">
        <f>COUNTIFS('NHL2025-26Results'!$D:$D,A32,'NHL2025-26Results'!$H:$H,A32,'NHL2025-26Results'!$F:$F,"")</f>
        <v>4</v>
      </c>
      <c r="I32">
        <f>COUNTIFS('NHL2025-26Results'!$D:$D,A32,'NHL2025-26Results'!$H:$H,A32,'NHL2025-26Results'!$F:$F,"OT") + COUNTIFS('NHL2025-26Results'!$D:$D,A32,'NHL2025-26Results'!$H:$H,A32,'NHL2025-26Results'!$F:$F,"SO")</f>
        <v>1</v>
      </c>
      <c r="J32">
        <f>COUNTIFS('NHL2025-26Results'!$B:$B,A32,'NHL2025-26Results'!$G:$G,A32)</f>
        <v>4</v>
      </c>
      <c r="K32">
        <f>COUNTIFS('NHL2025-26Results'!$B:$B,A32,'NHL2025-26Results'!$H:$H,A32,'NHL2025-26Results'!$F:$F,"")</f>
        <v>4</v>
      </c>
      <c r="L32">
        <f>COUNTIFS('NHL2025-26Results'!$B:$B,A32,'NHL2025-26Results'!$H:$H,A32,'NHL2025-26Results'!$F:$F,"OT") + COUNTIFS('NHL2025-26Results'!$B:$B,A32,'NHL2025-26Results'!$H:$H,A32,'NHL2025-26Results'!$F:$F,"SO")</f>
        <v>1</v>
      </c>
      <c r="M32" s="11">
        <f>Table1[[#This Row],[HomeWins]]/SUM(Table1[[#This Row],[HomeWins]:[HomeOTL]])</f>
        <v>0.44444444444444442</v>
      </c>
      <c r="N32" s="11">
        <f>Table1[[#This Row],[AwayWins]]/SUM(Table1[[#This Row],[AwayWins]:[AwayOTL]])</f>
        <v>0.44444444444444442</v>
      </c>
      <c r="O32" s="14">
        <f>SUMIFS('NHL2025-26Results'!$E:$E,'NHL2025-26Results'!$D:$D,A32,'NHL2025-26Results'!$E:$E,"&gt;0")/COUNTIFS('NHL2025-26Results'!$D:$D,A32,'NHL2025-26Results'!$E:$E,"&gt;0")</f>
        <v>2.8888888888888888</v>
      </c>
      <c r="P32" s="14">
        <f>SUMIFS('NHL2025-26Results'!$C:$C,'NHL2025-26Results'!$B:$B,A32,'NHL2025-26Results'!$C:$C,"&gt;0")/COUNTIFS('NHL2025-26Results'!$B:$B,A32,'NHL2025-26Results'!$C:$C,"&gt;0")</f>
        <v>3.125</v>
      </c>
      <c r="Q32" s="14">
        <f>SUMIFS('NHL2025-26Results'!$C:$C,'NHL2025-26Results'!$D:$D,A32,'NHL2025-26Results'!$C:$C,"&gt;0")/COUNTIFS('NHL2025-26Results'!$D:$D,A32,'NHL2025-26Results'!$C:$C,"&gt;0")</f>
        <v>2.7777777777777777</v>
      </c>
      <c r="R32" s="14">
        <f>SUMIFS('NHL2025-26Results'!$E:$E,'NHL2025-26Results'!$B:$B,A32,'NHL2025-26Results'!$E:$E,"&gt;0")/COUNTIFS('NHL2025-26Results'!$B:$B,A32,'NHL2025-26Results'!$E:$E,"&gt;0")</f>
        <v>2.875</v>
      </c>
    </row>
    <row r="33" spans="1:18" x14ac:dyDescent="0.2">
      <c r="A33" s="4" t="s">
        <v>40</v>
      </c>
      <c r="B33">
        <f>SUM(Table1[[#This Row],[W]:[OTL]])</f>
        <v>18</v>
      </c>
      <c r="C33">
        <f>COUNTIF(NHL2025_26Results[Winning Team],Standings!A33)</f>
        <v>11</v>
      </c>
      <c r="D33">
        <f>COUNTIFS('NHL2025-26Results'!$H:$H,A33,'NHL2025-26Results'!$F:$F,"")</f>
        <v>7</v>
      </c>
      <c r="E33">
        <f>COUNTIFS('NHL2025-26Results'!$F:$F,"OT",'NHL2025-26Results'!$H:$H,A33) + COUNTIFS('NHL2025-26Results'!$F:$F,"SO",'NHL2025-26Results'!$H:$H,A33)</f>
        <v>0</v>
      </c>
      <c r="F33" s="3">
        <f>(Table1[[#This Row],[W]]*2)+Table1[[#This Row],[OTL]]</f>
        <v>22</v>
      </c>
      <c r="G33">
        <f>COUNTIFS('NHL2025-26Results'!$D:$D,A33,'NHL2025-26Results'!$G:$G,A33)</f>
        <v>5</v>
      </c>
      <c r="H33">
        <f>COUNTIFS('NHL2025-26Results'!$D:$D,A33,'NHL2025-26Results'!$H:$H,A33,'NHL2025-26Results'!$F:$F,"")</f>
        <v>3</v>
      </c>
      <c r="I33">
        <f>COUNTIFS('NHL2025-26Results'!$D:$D,A33,'NHL2025-26Results'!$H:$H,A33,'NHL2025-26Results'!$F:$F,"OT") + COUNTIFS('NHL2025-26Results'!$D:$D,A33,'NHL2025-26Results'!$H:$H,A33,'NHL2025-26Results'!$F:$F,"SO")</f>
        <v>0</v>
      </c>
      <c r="J33">
        <f>COUNTIFS('NHL2025-26Results'!$B:$B,A33,'NHL2025-26Results'!$G:$G,A33)</f>
        <v>6</v>
      </c>
      <c r="K33">
        <f>COUNTIFS('NHL2025-26Results'!$B:$B,A33,'NHL2025-26Results'!$H:$H,A33,'NHL2025-26Results'!$F:$F,"")</f>
        <v>4</v>
      </c>
      <c r="L33">
        <f>COUNTIFS('NHL2025-26Results'!$B:$B,A33,'NHL2025-26Results'!$H:$H,A33,'NHL2025-26Results'!$F:$F,"OT") + COUNTIFS('NHL2025-26Results'!$B:$B,A33,'NHL2025-26Results'!$H:$H,A33,'NHL2025-26Results'!$F:$F,"SO")</f>
        <v>0</v>
      </c>
      <c r="M33" s="11">
        <f>Table1[[#This Row],[HomeWins]]/SUM(Table1[[#This Row],[HomeWins]:[HomeOTL]])</f>
        <v>0.625</v>
      </c>
      <c r="N33" s="11">
        <f>Table1[[#This Row],[AwayWins]]/SUM(Table1[[#This Row],[AwayWins]:[AwayOTL]])</f>
        <v>0.6</v>
      </c>
      <c r="O33" s="14">
        <f>SUMIFS('NHL2025-26Results'!$E:$E,'NHL2025-26Results'!$D:$D,A33,'NHL2025-26Results'!$E:$E,"&gt;0")/COUNTIFS('NHL2025-26Results'!$D:$D,A33,'NHL2025-26Results'!$E:$E,"&gt;0")</f>
        <v>4.1428571428571432</v>
      </c>
      <c r="P33" s="14">
        <f>SUMIFS('NHL2025-26Results'!$C:$C,'NHL2025-26Results'!$B:$B,A33,'NHL2025-26Results'!$C:$C,"&gt;0")/COUNTIFS('NHL2025-26Results'!$B:$B,A33,'NHL2025-26Results'!$C:$C,"&gt;0")</f>
        <v>3.3333333333333335</v>
      </c>
      <c r="Q33" s="14">
        <f>SUMIFS('NHL2025-26Results'!$C:$C,'NHL2025-26Results'!$D:$D,A33,'NHL2025-26Results'!$C:$C,"&gt;0")/COUNTIFS('NHL2025-26Results'!$D:$D,A33,'NHL2025-26Results'!$C:$C,"&gt;0")</f>
        <v>2.75</v>
      </c>
      <c r="R33" s="14">
        <f>SUMIFS('NHL2025-26Results'!$E:$E,'NHL2025-26Results'!$B:$B,A33,'NHL2025-26Results'!$E:$E,"&gt;0")/COUNTIFS('NHL2025-26Results'!$B:$B,A33,'NHL2025-26Results'!$E:$E,"&gt;0")</f>
        <v>2.8</v>
      </c>
    </row>
    <row r="35" spans="1:18" x14ac:dyDescent="0.2">
      <c r="O35" s="14"/>
    </row>
  </sheetData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20ADA4-A09D-E242-AADF-B22B73F1B877}">
  <dimension ref="A1:R7"/>
  <sheetViews>
    <sheetView tabSelected="1" workbookViewId="0">
      <selection activeCell="F18" sqref="F18"/>
    </sheetView>
  </sheetViews>
  <sheetFormatPr baseColWidth="10" defaultRowHeight="16" x14ac:dyDescent="0.2"/>
  <cols>
    <col min="1" max="1" width="8.5" bestFit="1" customWidth="1"/>
    <col min="2" max="2" width="13" bestFit="1" customWidth="1"/>
    <col min="3" max="3" width="19.83203125" bestFit="1" customWidth="1"/>
    <col min="4" max="4" width="17.6640625" bestFit="1" customWidth="1"/>
    <col min="5" max="5" width="21" bestFit="1" customWidth="1"/>
    <col min="6" max="6" width="19.6640625" bestFit="1" customWidth="1"/>
    <col min="7" max="7" width="19.1640625" bestFit="1" customWidth="1"/>
    <col min="8" max="8" width="15.83203125" bestFit="1" customWidth="1"/>
    <col min="9" max="9" width="25.83203125" bestFit="1" customWidth="1"/>
    <col min="10" max="10" width="25.33203125" bestFit="1" customWidth="1"/>
    <col min="11" max="11" width="23.1640625" bestFit="1" customWidth="1"/>
    <col min="12" max="12" width="18" bestFit="1" customWidth="1"/>
    <col min="13" max="13" width="19.83203125" bestFit="1" customWidth="1"/>
    <col min="14" max="14" width="15.1640625" bestFit="1" customWidth="1"/>
    <col min="15" max="15" width="12.6640625" bestFit="1" customWidth="1"/>
    <col min="16" max="16" width="14.83203125" bestFit="1" customWidth="1"/>
    <col min="17" max="17" width="15.6640625" bestFit="1" customWidth="1"/>
    <col min="18" max="18" width="20.1640625" bestFit="1" customWidth="1"/>
  </cols>
  <sheetData>
    <row r="1" spans="1:18" x14ac:dyDescent="0.2">
      <c r="A1" t="s">
        <v>260</v>
      </c>
      <c r="B1" t="s">
        <v>261</v>
      </c>
      <c r="C1" t="s">
        <v>262</v>
      </c>
      <c r="D1" t="s">
        <v>263</v>
      </c>
      <c r="E1" t="s">
        <v>264</v>
      </c>
      <c r="F1" t="s">
        <v>265</v>
      </c>
      <c r="G1" t="s">
        <v>266</v>
      </c>
      <c r="H1" t="s">
        <v>267</v>
      </c>
      <c r="I1" t="s">
        <v>268</v>
      </c>
      <c r="J1" t="s">
        <v>269</v>
      </c>
      <c r="K1" t="s">
        <v>270</v>
      </c>
      <c r="L1" t="s">
        <v>271</v>
      </c>
      <c r="M1" t="s">
        <v>272</v>
      </c>
      <c r="N1" t="s">
        <v>273</v>
      </c>
      <c r="O1" t="s">
        <v>274</v>
      </c>
      <c r="P1" t="s">
        <v>275</v>
      </c>
      <c r="Q1" t="s">
        <v>276</v>
      </c>
      <c r="R1" t="s">
        <v>277</v>
      </c>
    </row>
    <row r="2" spans="1:18" x14ac:dyDescent="0.2">
      <c r="A2" s="1">
        <v>45978</v>
      </c>
      <c r="B2" s="2">
        <v>0.91666666666666663</v>
      </c>
      <c r="C2" s="17" t="s">
        <v>31</v>
      </c>
      <c r="D2" s="17" t="s">
        <v>55</v>
      </c>
      <c r="E2" s="17" t="s">
        <v>31</v>
      </c>
      <c r="F2" s="12">
        <v>0.96</v>
      </c>
      <c r="G2" s="12">
        <v>0.04</v>
      </c>
      <c r="H2" s="12">
        <v>0.96</v>
      </c>
      <c r="I2">
        <v>5</v>
      </c>
      <c r="J2">
        <v>4</v>
      </c>
      <c r="K2" s="17" t="s">
        <v>31</v>
      </c>
      <c r="L2" s="12">
        <v>0.75549999999999995</v>
      </c>
      <c r="M2">
        <v>0.80245089250000001</v>
      </c>
      <c r="N2" s="17"/>
      <c r="O2" s="17"/>
      <c r="P2" s="17"/>
      <c r="Q2" s="17" t="s">
        <v>278</v>
      </c>
      <c r="R2" s="17" t="s">
        <v>279</v>
      </c>
    </row>
    <row r="3" spans="1:18" x14ac:dyDescent="0.2">
      <c r="A3" s="1">
        <v>45978</v>
      </c>
      <c r="B3" s="2">
        <v>0.79166666666666663</v>
      </c>
      <c r="C3" s="17" t="s">
        <v>21</v>
      </c>
      <c r="D3" s="17" t="s">
        <v>25</v>
      </c>
      <c r="E3" s="17" t="s">
        <v>21</v>
      </c>
      <c r="F3" s="12">
        <v>0.54630000000000001</v>
      </c>
      <c r="G3" s="12">
        <v>0.45369999999999999</v>
      </c>
      <c r="H3" s="12">
        <v>0.54630000000000001</v>
      </c>
      <c r="I3">
        <v>4</v>
      </c>
      <c r="J3">
        <v>3</v>
      </c>
      <c r="K3" s="17" t="s">
        <v>25</v>
      </c>
      <c r="L3" s="12">
        <v>0.54330000000000001</v>
      </c>
      <c r="M3">
        <v>-0.46907548360000001</v>
      </c>
      <c r="N3" s="17"/>
      <c r="O3" s="17"/>
      <c r="P3" s="17"/>
      <c r="Q3" s="17" t="s">
        <v>278</v>
      </c>
      <c r="R3" s="17" t="s">
        <v>279</v>
      </c>
    </row>
    <row r="4" spans="1:18" x14ac:dyDescent="0.2">
      <c r="A4" s="1">
        <v>45978</v>
      </c>
      <c r="B4" s="2">
        <v>0.79166666666666663</v>
      </c>
      <c r="C4" s="17" t="s">
        <v>23</v>
      </c>
      <c r="D4" s="17" t="s">
        <v>17</v>
      </c>
      <c r="E4" s="17" t="s">
        <v>23</v>
      </c>
      <c r="F4" s="12">
        <v>0.55500000000000005</v>
      </c>
      <c r="G4" s="12">
        <v>0.44500000000000001</v>
      </c>
      <c r="H4" s="12">
        <v>0.55500000000000005</v>
      </c>
      <c r="I4">
        <v>4</v>
      </c>
      <c r="J4">
        <v>3</v>
      </c>
      <c r="K4" s="17" t="s">
        <v>17</v>
      </c>
      <c r="L4" s="12">
        <v>0.47189999999999999</v>
      </c>
      <c r="M4">
        <v>-8.5960885210000004E-2</v>
      </c>
      <c r="N4" s="17"/>
      <c r="O4" s="17"/>
      <c r="P4" s="17"/>
      <c r="Q4" s="17" t="s">
        <v>278</v>
      </c>
      <c r="R4" s="17" t="s">
        <v>279</v>
      </c>
    </row>
    <row r="5" spans="1:18" x14ac:dyDescent="0.2">
      <c r="A5" s="1">
        <v>45978</v>
      </c>
      <c r="B5" s="2">
        <v>0.8125</v>
      </c>
      <c r="C5" s="17" t="s">
        <v>28</v>
      </c>
      <c r="D5" s="17" t="s">
        <v>18</v>
      </c>
      <c r="E5" s="17" t="s">
        <v>18</v>
      </c>
      <c r="F5" s="12">
        <v>0.2903</v>
      </c>
      <c r="G5" s="12">
        <v>0.7097</v>
      </c>
      <c r="H5" s="12">
        <v>0.7097</v>
      </c>
      <c r="I5">
        <v>3</v>
      </c>
      <c r="J5">
        <v>4</v>
      </c>
      <c r="K5" s="17" t="s">
        <v>28</v>
      </c>
      <c r="L5" s="12">
        <v>0.50209999999999999</v>
      </c>
      <c r="M5">
        <v>0.27872678090000003</v>
      </c>
      <c r="N5" s="17"/>
      <c r="O5" s="17"/>
      <c r="P5" s="17"/>
      <c r="Q5" s="17" t="s">
        <v>278</v>
      </c>
      <c r="R5" s="17" t="s">
        <v>279</v>
      </c>
    </row>
    <row r="6" spans="1:18" x14ac:dyDescent="0.2">
      <c r="A6" s="1">
        <v>45978</v>
      </c>
      <c r="B6" s="2">
        <v>0.79166666666666663</v>
      </c>
      <c r="C6" s="17" t="s">
        <v>11</v>
      </c>
      <c r="D6" s="17" t="s">
        <v>38</v>
      </c>
      <c r="E6" s="17" t="s">
        <v>38</v>
      </c>
      <c r="F6" s="12">
        <v>0.4234</v>
      </c>
      <c r="G6" s="12">
        <v>0.5766</v>
      </c>
      <c r="H6" s="12">
        <v>0.5766</v>
      </c>
      <c r="I6">
        <v>4</v>
      </c>
      <c r="J6">
        <v>5</v>
      </c>
      <c r="K6" s="17" t="s">
        <v>11</v>
      </c>
      <c r="L6" s="12">
        <v>0.62919999999999998</v>
      </c>
      <c r="M6">
        <v>0.57172190180000004</v>
      </c>
      <c r="N6" s="17"/>
      <c r="O6" s="17"/>
      <c r="P6" s="17"/>
      <c r="Q6" s="17" t="s">
        <v>278</v>
      </c>
      <c r="R6" s="17" t="s">
        <v>279</v>
      </c>
    </row>
    <row r="7" spans="1:18" x14ac:dyDescent="0.2">
      <c r="A7" s="1">
        <v>45978</v>
      </c>
      <c r="B7" s="2">
        <v>0.79166666666666663</v>
      </c>
      <c r="C7" s="17" t="s">
        <v>22</v>
      </c>
      <c r="D7" s="17" t="s">
        <v>13</v>
      </c>
      <c r="E7" s="17" t="s">
        <v>13</v>
      </c>
      <c r="F7" s="12">
        <v>0.155</v>
      </c>
      <c r="G7" s="12">
        <v>0.84499999999999997</v>
      </c>
      <c r="H7" s="12">
        <v>0.84499999999999997</v>
      </c>
      <c r="I7">
        <v>1</v>
      </c>
      <c r="J7">
        <v>4</v>
      </c>
      <c r="K7" s="17" t="s">
        <v>22</v>
      </c>
      <c r="L7" s="12">
        <v>0.44309999999999999</v>
      </c>
      <c r="M7">
        <v>0.17672317849999999</v>
      </c>
      <c r="N7" s="17"/>
      <c r="O7" s="17"/>
      <c r="P7" s="17"/>
      <c r="Q7" s="17" t="s">
        <v>278</v>
      </c>
      <c r="R7" s="17" t="s">
        <v>279</v>
      </c>
    </row>
  </sheetData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7DD94714-D322-D847-9A16-5EDA531ACA9F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5</vt:i4>
      </vt:variant>
      <vt:variant>
        <vt:lpstr>Named Ranges</vt:lpstr>
      </vt:variant>
      <vt:variant>
        <vt:i4>1</vt:i4>
      </vt:variant>
    </vt:vector>
  </HeadingPairs>
  <TitlesOfParts>
    <vt:vector size="6" baseType="lpstr">
      <vt:lpstr>NHL2025-26Results</vt:lpstr>
      <vt:lpstr>NHL Model</vt:lpstr>
      <vt:lpstr>NHL HomeIce Model</vt:lpstr>
      <vt:lpstr>Standings</vt:lpstr>
      <vt:lpstr>ML Prediction Model</vt:lpstr>
      <vt:lpstr>HomeEdge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Conte, Aidan</dc:creator>
  <cp:lastModifiedBy>Conte, Aidan</cp:lastModifiedBy>
  <dcterms:created xsi:type="dcterms:W3CDTF">2025-10-07T15:00:43Z</dcterms:created>
  <dcterms:modified xsi:type="dcterms:W3CDTF">2025-11-18T01:14:39Z</dcterms:modified>
</cp:coreProperties>
</file>