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714" documentId="14_{BC0C37BD-5950-BD49-823D-87212FE79B51}" xr6:coauthVersionLast="47" xr6:coauthVersionMax="47" xr10:uidLastSave="{9932D8AB-3231-C54F-ADD9-5D162E2F3155}"/>
  <bookViews>
    <workbookView xWindow="0" yWindow="680" windowWidth="29400" windowHeight="1704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8" r:id="rId5"/>
    <sheet name="Sheet2" sheetId="9" r:id="rId6"/>
  </sheets>
  <definedNames>
    <definedName name="ExternalData_1" localSheetId="4" hidden="1">'ML Prediction Model'!$A$1:$R$31</definedName>
    <definedName name="ExternalData_1" localSheetId="0" hidden="1">'NHL2025-26Results'!$A$1:$J$1313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1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1" r:id="rId7"/>
    <pivotCache cacheId="2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" i="8" l="1"/>
  <c r="O19" i="8"/>
  <c r="P19" i="8"/>
  <c r="N3" i="8"/>
  <c r="P3" i="8" s="1"/>
  <c r="O3" i="8"/>
  <c r="N4" i="8"/>
  <c r="O4" i="8" s="1"/>
  <c r="N5" i="8"/>
  <c r="O5" i="8" s="1"/>
  <c r="P5" i="8"/>
  <c r="N6" i="8"/>
  <c r="O6" i="8" s="1"/>
  <c r="P6" i="8"/>
  <c r="N7" i="8"/>
  <c r="P7" i="8" s="1"/>
  <c r="O7" i="8"/>
  <c r="N8" i="8"/>
  <c r="O8" i="8" s="1"/>
  <c r="N9" i="8"/>
  <c r="O9" i="8"/>
  <c r="P9" i="8"/>
  <c r="N10" i="8"/>
  <c r="O10" i="8" s="1"/>
  <c r="N11" i="8"/>
  <c r="O11" i="8"/>
  <c r="P11" i="8"/>
  <c r="N12" i="8"/>
  <c r="O12" i="8"/>
  <c r="P12" i="8"/>
  <c r="N13" i="8"/>
  <c r="O13" i="8"/>
  <c r="P13" i="8"/>
  <c r="N14" i="8"/>
  <c r="O14" i="8"/>
  <c r="P14" i="8"/>
  <c r="N15" i="8"/>
  <c r="P15" i="8" s="1"/>
  <c r="O15" i="8"/>
  <c r="N16" i="8"/>
  <c r="O16" i="8" s="1"/>
  <c r="P16" i="8"/>
  <c r="N17" i="8"/>
  <c r="O17" i="8"/>
  <c r="P17" i="8"/>
  <c r="N18" i="8"/>
  <c r="O18" i="8" s="1"/>
  <c r="P2" i="8"/>
  <c r="O2" i="8"/>
  <c r="N2" i="8"/>
  <c r="G321" i="1"/>
  <c r="H321" i="1"/>
  <c r="I321" i="1"/>
  <c r="J321" i="1" s="1"/>
  <c r="G322" i="1"/>
  <c r="H322" i="1"/>
  <c r="I322" i="1"/>
  <c r="J322" i="1" s="1"/>
  <c r="G323" i="1"/>
  <c r="H323" i="1"/>
  <c r="I323" i="1"/>
  <c r="J323" i="1" s="1"/>
  <c r="G324" i="1"/>
  <c r="H324" i="1"/>
  <c r="I324" i="1"/>
  <c r="J324" i="1" s="1"/>
  <c r="E321" i="1"/>
  <c r="E322" i="1"/>
  <c r="E323" i="1"/>
  <c r="E324" i="1"/>
  <c r="V6" i="4"/>
  <c r="V5" i="4"/>
  <c r="V4" i="4"/>
  <c r="V3" i="4"/>
  <c r="M320" i="4"/>
  <c r="T2" i="8"/>
  <c r="I320" i="1"/>
  <c r="I319" i="1"/>
  <c r="I318" i="1"/>
  <c r="I317" i="1"/>
  <c r="I316" i="1"/>
  <c r="I315" i="1"/>
  <c r="I314" i="1"/>
  <c r="I313" i="1"/>
  <c r="G320" i="1"/>
  <c r="G319" i="1"/>
  <c r="G318" i="1"/>
  <c r="G317" i="1"/>
  <c r="H317" i="1" s="1"/>
  <c r="G316" i="1"/>
  <c r="G315" i="1"/>
  <c r="G314" i="1"/>
  <c r="G313" i="1"/>
  <c r="G312" i="1"/>
  <c r="E320" i="1"/>
  <c r="E319" i="1"/>
  <c r="E318" i="1"/>
  <c r="E317" i="1"/>
  <c r="E316" i="1"/>
  <c r="E315" i="1"/>
  <c r="H315" i="1" s="1"/>
  <c r="E314" i="1"/>
  <c r="H314" i="1" s="1"/>
  <c r="E313" i="1"/>
  <c r="E312" i="1"/>
  <c r="V8" i="4"/>
  <c r="E310" i="1"/>
  <c r="E309" i="1"/>
  <c r="E308" i="1"/>
  <c r="E307" i="1"/>
  <c r="G307" i="1"/>
  <c r="H307" i="1" s="1"/>
  <c r="I307" i="1"/>
  <c r="G308" i="1"/>
  <c r="I308" i="1"/>
  <c r="G309" i="1"/>
  <c r="I309" i="1"/>
  <c r="G310" i="1"/>
  <c r="H310" i="1"/>
  <c r="I310" i="1"/>
  <c r="J310" i="1" s="1"/>
  <c r="G311" i="1"/>
  <c r="H311" i="1" s="1"/>
  <c r="I311" i="1"/>
  <c r="I312" i="1"/>
  <c r="E311" i="1"/>
  <c r="P4" i="8" l="1"/>
  <c r="P18" i="8"/>
  <c r="P10" i="8"/>
  <c r="P8" i="8"/>
  <c r="H318" i="1"/>
  <c r="H319" i="1"/>
  <c r="H312" i="1"/>
  <c r="J312" i="1" s="1"/>
  <c r="H313" i="1"/>
  <c r="J313" i="1" s="1"/>
  <c r="H316" i="1"/>
  <c r="H320" i="1"/>
  <c r="J320" i="1" s="1"/>
  <c r="J318" i="1"/>
  <c r="J319" i="1"/>
  <c r="J317" i="1"/>
  <c r="J316" i="1"/>
  <c r="J314" i="1"/>
  <c r="J315" i="1"/>
  <c r="H308" i="1"/>
  <c r="J308" i="1" s="1"/>
  <c r="H309" i="1"/>
  <c r="J309" i="1" s="1"/>
  <c r="J307" i="1"/>
  <c r="J311" i="1"/>
  <c r="P3" i="5" l="1"/>
  <c r="P2" i="5"/>
  <c r="O3" i="5"/>
  <c r="O2" i="5"/>
  <c r="G303" i="4"/>
  <c r="I303" i="4"/>
  <c r="I306" i="1"/>
  <c r="I305" i="1"/>
  <c r="I304" i="1"/>
  <c r="I303" i="1"/>
  <c r="I302" i="1"/>
  <c r="H303" i="1"/>
  <c r="G306" i="1"/>
  <c r="G305" i="1"/>
  <c r="G304" i="1"/>
  <c r="G303" i="1"/>
  <c r="G302" i="1"/>
  <c r="E303" i="1"/>
  <c r="E302" i="1"/>
  <c r="E304" i="1"/>
  <c r="E305" i="1"/>
  <c r="E306" i="1"/>
  <c r="H306" i="1" l="1"/>
  <c r="J306" i="1" s="1"/>
  <c r="H302" i="1"/>
  <c r="J302" i="1" s="1"/>
  <c r="H305" i="1"/>
  <c r="H304" i="1"/>
  <c r="J304" i="1" s="1"/>
  <c r="J305" i="1"/>
  <c r="J303" i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H289" i="1" s="1"/>
  <c r="I289" i="1"/>
  <c r="G290" i="1"/>
  <c r="I290" i="1"/>
  <c r="I291" i="1"/>
  <c r="G292" i="1"/>
  <c r="H292" i="1" s="1"/>
  <c r="I292" i="1"/>
  <c r="G293" i="1"/>
  <c r="I293" i="1"/>
  <c r="G294" i="1"/>
  <c r="H294" i="1" s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85" i="1" l="1"/>
  <c r="H286" i="1"/>
  <c r="J286" i="1" s="1"/>
  <c r="H299" i="1"/>
  <c r="H297" i="1"/>
  <c r="J297" i="1" s="1"/>
  <c r="H296" i="1"/>
  <c r="H293" i="1"/>
  <c r="J293" i="1" s="1"/>
  <c r="H301" i="1"/>
  <c r="J301" i="1" s="1"/>
  <c r="H298" i="1"/>
  <c r="H290" i="1"/>
  <c r="J290" i="1" s="1"/>
  <c r="H295" i="1"/>
  <c r="J295" i="1" s="1"/>
  <c r="J289" i="1"/>
  <c r="J292" i="1"/>
  <c r="J299" i="1"/>
  <c r="J296" i="1"/>
  <c r="J294" i="1"/>
  <c r="J298" i="1"/>
  <c r="J291" i="1"/>
  <c r="J300" i="1"/>
  <c r="H287" i="1"/>
  <c r="J287" i="1" s="1"/>
  <c r="H288" i="1"/>
  <c r="J288" i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H277" i="1" s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81" i="1" l="1"/>
  <c r="H275" i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5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H270" i="1" s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39" i="1" l="1"/>
  <c r="H253" i="1"/>
  <c r="H265" i="1"/>
  <c r="H258" i="1"/>
  <c r="J258" i="1" s="1"/>
  <c r="H263" i="1"/>
  <c r="H268" i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J265" i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3" i="1"/>
  <c r="J268" i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J253" i="1"/>
  <c r="J239" i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H223" i="1" s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H117" i="1" s="1"/>
  <c r="I117" i="1"/>
  <c r="G118" i="1"/>
  <c r="I118" i="1"/>
  <c r="G119" i="1"/>
  <c r="I119" i="1"/>
  <c r="G120" i="1"/>
  <c r="I120" i="1"/>
  <c r="G121" i="1"/>
  <c r="H121" i="1" s="1"/>
  <c r="I121" i="1"/>
  <c r="G122" i="1"/>
  <c r="I122" i="1"/>
  <c r="G123" i="1"/>
  <c r="I123" i="1"/>
  <c r="G124" i="1"/>
  <c r="I124" i="1"/>
  <c r="G125" i="1"/>
  <c r="H125" i="1" s="1"/>
  <c r="I125" i="1"/>
  <c r="G126" i="1"/>
  <c r="I126" i="1"/>
  <c r="G127" i="1"/>
  <c r="I127" i="1"/>
  <c r="G128" i="1"/>
  <c r="I128" i="1"/>
  <c r="E117" i="1"/>
  <c r="E118" i="1"/>
  <c r="H118" i="1" s="1"/>
  <c r="E119" i="1"/>
  <c r="H119" i="1" s="1"/>
  <c r="E120" i="1"/>
  <c r="E121" i="1"/>
  <c r="E122" i="1"/>
  <c r="E123" i="1"/>
  <c r="E124" i="1"/>
  <c r="E125" i="1"/>
  <c r="E126" i="1"/>
  <c r="E127" i="1"/>
  <c r="H127" i="1" s="1"/>
  <c r="E128" i="1"/>
  <c r="G114" i="1"/>
  <c r="I114" i="1"/>
  <c r="G115" i="1"/>
  <c r="I115" i="1"/>
  <c r="G116" i="1"/>
  <c r="I116" i="1"/>
  <c r="E114" i="1"/>
  <c r="E115" i="1"/>
  <c r="E116" i="1"/>
  <c r="G104" i="1"/>
  <c r="I104" i="1"/>
  <c r="G105" i="1"/>
  <c r="H105" i="1" s="1"/>
  <c r="I105" i="1"/>
  <c r="G106" i="1"/>
  <c r="I106" i="1"/>
  <c r="G107" i="1"/>
  <c r="I107" i="1"/>
  <c r="G108" i="1"/>
  <c r="I108" i="1"/>
  <c r="G109" i="1"/>
  <c r="H109" i="1" s="1"/>
  <c r="I109" i="1"/>
  <c r="G110" i="1"/>
  <c r="H110" i="1" s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E112" i="1"/>
  <c r="E113" i="1"/>
  <c r="G99" i="1"/>
  <c r="I99" i="1"/>
  <c r="G100" i="1"/>
  <c r="I100" i="1"/>
  <c r="G101" i="1"/>
  <c r="I101" i="1"/>
  <c r="G102" i="1"/>
  <c r="H102" i="1" s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H87" i="1" s="1"/>
  <c r="I87" i="1"/>
  <c r="G88" i="1"/>
  <c r="I88" i="1"/>
  <c r="G89" i="1"/>
  <c r="I89" i="1"/>
  <c r="G90" i="1"/>
  <c r="I90" i="1"/>
  <c r="G91" i="1"/>
  <c r="H91" i="1" s="1"/>
  <c r="I91" i="1"/>
  <c r="G92" i="1"/>
  <c r="H92" i="1" s="1"/>
  <c r="I92" i="1"/>
  <c r="G93" i="1"/>
  <c r="I93" i="1"/>
  <c r="G94" i="1"/>
  <c r="I94" i="1"/>
  <c r="E88" i="1"/>
  <c r="E89" i="1"/>
  <c r="H89" i="1" s="1"/>
  <c r="E90" i="1"/>
  <c r="E91" i="1"/>
  <c r="E92" i="1"/>
  <c r="E93" i="1"/>
  <c r="E94" i="1"/>
  <c r="E82" i="1"/>
  <c r="H82" i="1" s="1"/>
  <c r="E83" i="1"/>
  <c r="E84" i="1"/>
  <c r="E85" i="1"/>
  <c r="H85" i="1" s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H75" i="1" s="1"/>
  <c r="G76" i="1"/>
  <c r="H76" i="1" s="1"/>
  <c r="G77" i="1"/>
  <c r="G78" i="1"/>
  <c r="H78" i="1" s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F4" i="5" s="1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H130" i="1"/>
  <c r="H124" i="1"/>
  <c r="H123" i="1"/>
  <c r="H116" i="1"/>
  <c r="H115" i="1"/>
  <c r="H111" i="1"/>
  <c r="H101" i="1"/>
  <c r="H97" i="1"/>
  <c r="H68" i="1"/>
  <c r="H94" i="1"/>
  <c r="H83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N32" i="5" l="1"/>
  <c r="M32" i="5"/>
  <c r="M16" i="5"/>
  <c r="N24" i="5"/>
  <c r="N16" i="5"/>
  <c r="N8" i="5"/>
  <c r="H67" i="1"/>
  <c r="H79" i="1"/>
  <c r="H71" i="1"/>
  <c r="H90" i="1"/>
  <c r="H88" i="1"/>
  <c r="H84" i="1"/>
  <c r="H95" i="1"/>
  <c r="H113" i="1"/>
  <c r="J113" i="1" s="1"/>
  <c r="H126" i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B2" i="5"/>
  <c r="M8" i="5"/>
  <c r="H122" i="1"/>
  <c r="H107" i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32" i="4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L940" i="4" s="1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L341" i="4" s="1"/>
  <c r="H150" i="1"/>
  <c r="H198" i="1"/>
  <c r="H194" i="1"/>
  <c r="J194" i="1" s="1"/>
  <c r="H190" i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H100" i="1"/>
  <c r="H104" i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H149" i="1"/>
  <c r="H158" i="1"/>
  <c r="J158" i="1" s="1"/>
  <c r="H229" i="1"/>
  <c r="J229" i="1" s="1"/>
  <c r="H234" i="1"/>
  <c r="J234" i="1" s="1"/>
  <c r="B26" i="5"/>
  <c r="H140" i="1"/>
  <c r="H220" i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H197" i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B4" i="5"/>
  <c r="B3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H170" i="1"/>
  <c r="J170" i="1" s="1"/>
  <c r="H196" i="1"/>
  <c r="J196" i="1" s="1"/>
  <c r="H192" i="1"/>
  <c r="J192" i="1" s="1"/>
  <c r="H188" i="1"/>
  <c r="J188" i="1" s="1"/>
  <c r="H184" i="1"/>
  <c r="M6" i="5"/>
  <c r="N22" i="5"/>
  <c r="J79" i="1"/>
  <c r="J71" i="1"/>
  <c r="J110" i="1"/>
  <c r="H154" i="1"/>
  <c r="J154" i="1" s="1"/>
  <c r="H164" i="1"/>
  <c r="J164" i="1" s="1"/>
  <c r="H160" i="1"/>
  <c r="J160" i="1" s="1"/>
  <c r="H156" i="1"/>
  <c r="J156" i="1" s="1"/>
  <c r="H182" i="1"/>
  <c r="H178" i="1"/>
  <c r="J178" i="1" s="1"/>
  <c r="H199" i="1"/>
  <c r="J199" i="1" s="1"/>
  <c r="H211" i="1"/>
  <c r="J211" i="1" s="1"/>
  <c r="H207" i="1"/>
  <c r="J207" i="1" s="1"/>
  <c r="H221" i="1"/>
  <c r="J83" i="1"/>
  <c r="J116" i="1"/>
  <c r="J117" i="1"/>
  <c r="H161" i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H181" i="1"/>
  <c r="J181" i="1" s="1"/>
  <c r="H219" i="1"/>
  <c r="J219" i="1" s="1"/>
  <c r="J76" i="1"/>
  <c r="J68" i="1"/>
  <c r="J94" i="1"/>
  <c r="J82" i="1"/>
  <c r="J97" i="1"/>
  <c r="J115" i="1"/>
  <c r="J124" i="1"/>
  <c r="J120" i="1"/>
  <c r="M29" i="5"/>
  <c r="J75" i="1"/>
  <c r="J67" i="1"/>
  <c r="H145" i="1"/>
  <c r="J145" i="1" s="1"/>
  <c r="H195" i="1"/>
  <c r="H187" i="1"/>
  <c r="H206" i="1"/>
  <c r="J206" i="1" s="1"/>
  <c r="H209" i="1"/>
  <c r="J209" i="1" s="1"/>
  <c r="M14" i="5"/>
  <c r="N31" i="5"/>
  <c r="N23" i="5"/>
  <c r="M33" i="5"/>
  <c r="J127" i="1"/>
  <c r="H202" i="1"/>
  <c r="J202" i="1" s="1"/>
  <c r="H213" i="1"/>
  <c r="J213" i="1" s="1"/>
  <c r="M21" i="5"/>
  <c r="N30" i="5"/>
  <c r="N15" i="5"/>
  <c r="N7" i="5"/>
  <c r="J107" i="1"/>
  <c r="H179" i="1"/>
  <c r="J179" i="1" s="1"/>
  <c r="H224" i="1"/>
  <c r="J224" i="1" s="1"/>
  <c r="H235" i="1"/>
  <c r="J235" i="1" s="1"/>
  <c r="H231" i="1"/>
  <c r="J231" i="1" s="1"/>
  <c r="H236" i="1"/>
  <c r="J236" i="1" s="1"/>
  <c r="J223" i="1"/>
  <c r="J85" i="1"/>
  <c r="J123" i="1"/>
  <c r="J84" i="1"/>
  <c r="J102" i="1"/>
  <c r="J125" i="1"/>
  <c r="J126" i="1"/>
  <c r="J109" i="1"/>
  <c r="J166" i="1"/>
  <c r="J87" i="1"/>
  <c r="J119" i="1"/>
  <c r="J96" i="1"/>
  <c r="J89" i="1"/>
  <c r="J111" i="1"/>
  <c r="J95" i="1"/>
  <c r="J90" i="1"/>
  <c r="J155" i="1"/>
  <c r="J78" i="1"/>
  <c r="J104" i="1"/>
  <c r="J92" i="1"/>
  <c r="J91" i="1"/>
  <c r="J88" i="1"/>
  <c r="J99" i="1"/>
  <c r="J121" i="1"/>
  <c r="J122" i="1"/>
  <c r="J130" i="1"/>
  <c r="J100" i="1"/>
  <c r="J105" i="1"/>
  <c r="J93" i="1"/>
  <c r="J197" i="1"/>
  <c r="J150" i="1"/>
  <c r="J182" i="1"/>
  <c r="J184" i="1"/>
  <c r="J140" i="1"/>
  <c r="J161" i="1"/>
  <c r="J220" i="1"/>
  <c r="J159" i="1"/>
  <c r="J175" i="1"/>
  <c r="J208" i="1"/>
  <c r="J139" i="1"/>
  <c r="J149" i="1"/>
  <c r="J198" i="1"/>
  <c r="J190" i="1"/>
  <c r="J151" i="1"/>
  <c r="J195" i="1"/>
  <c r="J187" i="1"/>
  <c r="J221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J172" i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427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N381" i="4" s="1"/>
  <c r="K767" i="4"/>
  <c r="M767" i="4" s="1"/>
  <c r="N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N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N792" i="4" s="1"/>
  <c r="K895" i="4"/>
  <c r="M895" i="4" s="1"/>
  <c r="N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N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N604" i="4" s="1"/>
  <c r="L274" i="4"/>
  <c r="N274" i="4" s="1"/>
  <c r="K983" i="4"/>
  <c r="M983" i="4" s="1"/>
  <c r="N983" i="4" s="1"/>
  <c r="K329" i="4"/>
  <c r="M329" i="4" s="1"/>
  <c r="N329" i="4" s="1"/>
  <c r="K529" i="4"/>
  <c r="M529" i="4" s="1"/>
  <c r="K60" i="4"/>
  <c r="M60" i="4" s="1"/>
  <c r="N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N948" i="4" s="1"/>
  <c r="K1298" i="4"/>
  <c r="M1298" i="4" s="1"/>
  <c r="N1298" i="4" s="1"/>
  <c r="K389" i="4"/>
  <c r="M389" i="4" s="1"/>
  <c r="K511" i="4"/>
  <c r="M511" i="4" s="1"/>
  <c r="N511" i="4" s="1"/>
  <c r="K572" i="4"/>
  <c r="M572" i="4" s="1"/>
  <c r="N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N936" i="4" s="1"/>
  <c r="L38" i="4"/>
  <c r="N38" i="4" s="1"/>
  <c r="L1305" i="4"/>
  <c r="N1305" i="4" s="1"/>
  <c r="K167" i="4"/>
  <c r="M167" i="4" s="1"/>
  <c r="K1095" i="4"/>
  <c r="M1095" i="4" s="1"/>
  <c r="N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N849" i="4" s="1"/>
  <c r="L1044" i="4"/>
  <c r="N1044" i="4" s="1"/>
  <c r="L441" i="4"/>
  <c r="N441" i="4" s="1"/>
  <c r="L1282" i="4"/>
  <c r="N1282" i="4" s="1"/>
  <c r="K913" i="4"/>
  <c r="M913" i="4" s="1"/>
  <c r="N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N150" i="4" s="1"/>
  <c r="L831" i="4"/>
  <c r="N831" i="4" s="1"/>
  <c r="K214" i="4"/>
  <c r="M214" i="4" s="1"/>
  <c r="L81" i="4"/>
  <c r="N81" i="4" s="1"/>
  <c r="K461" i="4"/>
  <c r="M461" i="4" s="1"/>
  <c r="N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N1089" i="4" s="1"/>
  <c r="K867" i="4"/>
  <c r="M867" i="4" s="1"/>
  <c r="N867" i="4" s="1"/>
  <c r="L1310" i="4"/>
  <c r="N1310" i="4" s="1"/>
  <c r="K124" i="4"/>
  <c r="M124" i="4" s="1"/>
  <c r="K397" i="4"/>
  <c r="M397" i="4" s="1"/>
  <c r="K1220" i="4"/>
  <c r="M1220" i="4" s="1"/>
  <c r="N1220" i="4" s="1"/>
  <c r="K1214" i="4"/>
  <c r="M1214" i="4" s="1"/>
  <c r="N1214" i="4" s="1"/>
  <c r="K191" i="4"/>
  <c r="M191" i="4" s="1"/>
  <c r="K357" i="4"/>
  <c r="M357" i="4" s="1"/>
  <c r="N357" i="4" s="1"/>
  <c r="K1068" i="4"/>
  <c r="M1068" i="4" s="1"/>
  <c r="N1068" i="4" s="1"/>
  <c r="L1308" i="4"/>
  <c r="N1308" i="4" s="1"/>
  <c r="K446" i="4"/>
  <c r="M446" i="4" s="1"/>
  <c r="N446" i="4" s="1"/>
  <c r="K198" i="4"/>
  <c r="M198" i="4" s="1"/>
  <c r="K485" i="4"/>
  <c r="M485" i="4" s="1"/>
  <c r="N485" i="4" s="1"/>
  <c r="L1156" i="4"/>
  <c r="N1156" i="4" s="1"/>
  <c r="L173" i="4"/>
  <c r="N173" i="4" s="1"/>
  <c r="K1066" i="4"/>
  <c r="M1066" i="4" s="1"/>
  <c r="N1066" i="4" s="1"/>
  <c r="K265" i="4"/>
  <c r="M265" i="4" s="1"/>
  <c r="K854" i="4"/>
  <c r="M854" i="4" s="1"/>
  <c r="N854" i="4" s="1"/>
  <c r="L1249" i="4"/>
  <c r="N1249" i="4" s="1"/>
  <c r="K273" i="4"/>
  <c r="M273" i="4" s="1"/>
  <c r="N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N478" i="4" s="1"/>
  <c r="K190" i="4"/>
  <c r="M190" i="4" s="1"/>
  <c r="K345" i="4"/>
  <c r="M345" i="4" s="1"/>
  <c r="N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M348" i="4" s="1"/>
  <c r="N348" i="4" s="1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N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N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N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N82" i="4" s="1"/>
  <c r="K458" i="4"/>
  <c r="M458" i="4" s="1"/>
  <c r="N458" i="4" s="1"/>
  <c r="L909" i="4"/>
  <c r="N909" i="4" s="1"/>
  <c r="K691" i="4"/>
  <c r="M691" i="4" s="1"/>
  <c r="N691" i="4" s="1"/>
  <c r="K633" i="4"/>
  <c r="M633" i="4" s="1"/>
  <c r="N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N503" i="4" s="1"/>
  <c r="K1093" i="4"/>
  <c r="M1093" i="4" s="1"/>
  <c r="N1093" i="4" s="1"/>
  <c r="K587" i="4"/>
  <c r="M587" i="4" s="1"/>
  <c r="N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N362" i="4" s="1"/>
  <c r="K1092" i="4"/>
  <c r="M1092" i="4" s="1"/>
  <c r="N1092" i="4" s="1"/>
  <c r="K79" i="4"/>
  <c r="M79" i="4" s="1"/>
  <c r="K413" i="4"/>
  <c r="M413" i="4" s="1"/>
  <c r="N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N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N521" i="4" s="1"/>
  <c r="L942" i="4"/>
  <c r="N942" i="4" s="1"/>
  <c r="K183" i="4"/>
  <c r="M183" i="4" s="1"/>
  <c r="N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N482" i="4" s="1"/>
  <c r="K1259" i="4"/>
  <c r="M1259" i="4" s="1"/>
  <c r="N1259" i="4" s="1"/>
  <c r="K1119" i="4"/>
  <c r="M1119" i="4" s="1"/>
  <c r="N1119" i="4" s="1"/>
  <c r="K1131" i="4"/>
  <c r="M1131" i="4" s="1"/>
  <c r="N1131" i="4" s="1"/>
  <c r="K1166" i="4"/>
  <c r="M1166" i="4" s="1"/>
  <c r="N1166" i="4" s="1"/>
  <c r="L1088" i="4"/>
  <c r="N1088" i="4" s="1"/>
  <c r="K1128" i="4"/>
  <c r="M1128" i="4" s="1"/>
  <c r="N1128" i="4" s="1"/>
  <c r="K394" i="4"/>
  <c r="M394" i="4" s="1"/>
  <c r="N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N1247" i="4" s="1"/>
  <c r="K618" i="4"/>
  <c r="M618" i="4" s="1"/>
  <c r="N618" i="4" s="1"/>
  <c r="K1086" i="4"/>
  <c r="M1086" i="4" s="1"/>
  <c r="N1086" i="4" s="1"/>
  <c r="K1057" i="4"/>
  <c r="M1057" i="4" s="1"/>
  <c r="N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N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N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N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N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N351" i="4" s="1"/>
  <c r="L938" i="4"/>
  <c r="N938" i="4" s="1"/>
  <c r="L450" i="4"/>
  <c r="N450" i="4" s="1"/>
  <c r="L921" i="4"/>
  <c r="N921" i="4" s="1"/>
  <c r="L1306" i="4"/>
  <c r="N1306" i="4" s="1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N350" i="4" s="1"/>
  <c r="L1051" i="4"/>
  <c r="N1051" i="4" s="1"/>
  <c r="L56" i="4"/>
  <c r="N56" i="4" s="1"/>
  <c r="K494" i="4"/>
  <c r="M494" i="4" s="1"/>
  <c r="N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N106" i="4" s="1"/>
  <c r="L739" i="4"/>
  <c r="N739" i="4" s="1"/>
  <c r="K398" i="4"/>
  <c r="M398" i="4" s="1"/>
  <c r="N398" i="4" s="1"/>
  <c r="K277" i="4"/>
  <c r="M277" i="4" s="1"/>
  <c r="K77" i="4"/>
  <c r="M77" i="4" s="1"/>
  <c r="N77" i="4" s="1"/>
  <c r="K228" i="4"/>
  <c r="M228" i="4" s="1"/>
  <c r="K678" i="4"/>
  <c r="M678" i="4" s="1"/>
  <c r="N678" i="4" s="1"/>
  <c r="K293" i="4"/>
  <c r="M293" i="4" s="1"/>
  <c r="N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N745" i="4" s="1"/>
  <c r="L236" i="4"/>
  <c r="K379" i="4"/>
  <c r="M379" i="4" s="1"/>
  <c r="N379" i="4" s="1"/>
  <c r="K949" i="4"/>
  <c r="M949" i="4" s="1"/>
  <c r="N949" i="4" s="1"/>
  <c r="K353" i="4"/>
  <c r="M353" i="4" s="1"/>
  <c r="N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N298" i="4" s="1"/>
  <c r="K1269" i="4"/>
  <c r="M1269" i="4" s="1"/>
  <c r="N1269" i="4" s="1"/>
  <c r="K1022" i="4"/>
  <c r="M1022" i="4" s="1"/>
  <c r="N1022" i="4" s="1"/>
  <c r="K534" i="4"/>
  <c r="M534" i="4" s="1"/>
  <c r="N534" i="4" s="1"/>
  <c r="K437" i="4"/>
  <c r="M437" i="4" s="1"/>
  <c r="N437" i="4" s="1"/>
  <c r="K17" i="4"/>
  <c r="M17" i="4" s="1"/>
  <c r="N17" i="4" s="1"/>
  <c r="K33" i="4"/>
  <c r="M33" i="4" s="1"/>
  <c r="L570" i="4"/>
  <c r="N570" i="4" s="1"/>
  <c r="K1182" i="4"/>
  <c r="M1182" i="4" s="1"/>
  <c r="K1149" i="4"/>
  <c r="M1149" i="4" s="1"/>
  <c r="N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N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N246" i="4" s="1"/>
  <c r="L465" i="4"/>
  <c r="N465" i="4" s="1"/>
  <c r="K679" i="4"/>
  <c r="M679" i="4" s="1"/>
  <c r="N679" i="4" s="1"/>
  <c r="K134" i="4"/>
  <c r="M134" i="4" s="1"/>
  <c r="K364" i="4"/>
  <c r="M364" i="4" s="1"/>
  <c r="N364" i="4" s="1"/>
  <c r="L1299" i="4"/>
  <c r="N1299" i="4" s="1"/>
  <c r="K281" i="4"/>
  <c r="M281" i="4" s="1"/>
  <c r="K40" i="4"/>
  <c r="M40" i="4" s="1"/>
  <c r="N40" i="4" s="1"/>
  <c r="L469" i="4"/>
  <c r="N469" i="4" s="1"/>
  <c r="K47" i="4"/>
  <c r="M47" i="4" s="1"/>
  <c r="N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N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N396" i="4" s="1"/>
  <c r="K420" i="4"/>
  <c r="M420" i="4" s="1"/>
  <c r="N420" i="4" s="1"/>
  <c r="L366" i="4"/>
  <c r="N366" i="4" s="1"/>
  <c r="K439" i="4"/>
  <c r="M439" i="4" s="1"/>
  <c r="N439" i="4" s="1"/>
  <c r="K445" i="4"/>
  <c r="M445" i="4" s="1"/>
  <c r="N445" i="4" s="1"/>
  <c r="L883" i="4"/>
  <c r="N883" i="4" s="1"/>
  <c r="K947" i="4"/>
  <c r="M947" i="4" s="1"/>
  <c r="N947" i="4" s="1"/>
  <c r="L834" i="4"/>
  <c r="N834" i="4" s="1"/>
  <c r="K83" i="4"/>
  <c r="M83" i="4" s="1"/>
  <c r="N83" i="4" s="1"/>
  <c r="K812" i="4"/>
  <c r="M812" i="4" s="1"/>
  <c r="N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N363" i="4" s="1"/>
  <c r="L650" i="4"/>
  <c r="N650" i="4" s="1"/>
  <c r="L1238" i="4"/>
  <c r="N1238" i="4" s="1"/>
  <c r="L96" i="4"/>
  <c r="N96" i="4" s="1"/>
  <c r="K372" i="4"/>
  <c r="M372" i="4" s="1"/>
  <c r="N372" i="4" s="1"/>
  <c r="K229" i="4"/>
  <c r="M229" i="4" s="1"/>
  <c r="L603" i="4"/>
  <c r="N603" i="4" s="1"/>
  <c r="K811" i="4"/>
  <c r="M811" i="4" s="1"/>
  <c r="N811" i="4" s="1"/>
  <c r="K531" i="4"/>
  <c r="M531" i="4" s="1"/>
  <c r="N531" i="4" s="1"/>
  <c r="L358" i="4"/>
  <c r="N358" i="4" s="1"/>
  <c r="L1112" i="4"/>
  <c r="N1112" i="4" s="1"/>
  <c r="K889" i="4"/>
  <c r="M889" i="4" s="1"/>
  <c r="N889" i="4" s="1"/>
  <c r="K356" i="4"/>
  <c r="M356" i="4" s="1"/>
  <c r="N356" i="4" s="1"/>
  <c r="K242" i="4"/>
  <c r="M242" i="4" s="1"/>
  <c r="K838" i="4"/>
  <c r="M838" i="4" s="1"/>
  <c r="N838" i="4" s="1"/>
  <c r="K729" i="4"/>
  <c r="M729" i="4" s="1"/>
  <c r="N729" i="4" s="1"/>
  <c r="K8" i="4"/>
  <c r="M8" i="4" s="1"/>
  <c r="N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N137" i="4" s="1"/>
  <c r="K430" i="4"/>
  <c r="M430" i="4" s="1"/>
  <c r="N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N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N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N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N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N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N382" i="4" s="1"/>
  <c r="L787" i="4"/>
  <c r="N787" i="4" s="1"/>
  <c r="K406" i="4"/>
  <c r="M406" i="4" s="1"/>
  <c r="N406" i="4" s="1"/>
  <c r="K569" i="4"/>
  <c r="M569" i="4" s="1"/>
  <c r="N569" i="4" s="1"/>
  <c r="K1289" i="4"/>
  <c r="M1289" i="4" s="1"/>
  <c r="N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N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N504" i="4" s="1"/>
  <c r="K390" i="4"/>
  <c r="M390" i="4" s="1"/>
  <c r="N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N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N287" i="4" s="1"/>
  <c r="L4" i="4"/>
  <c r="N4" i="4" s="1"/>
  <c r="K507" i="4"/>
  <c r="M507" i="4" s="1"/>
  <c r="N507" i="4" s="1"/>
  <c r="K57" i="4"/>
  <c r="M57" i="4" s="1"/>
  <c r="N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N109" i="4" s="1"/>
  <c r="K539" i="4"/>
  <c r="M539" i="4" s="1"/>
  <c r="N539" i="4" s="1"/>
  <c r="L267" i="4"/>
  <c r="N267" i="4" s="1"/>
  <c r="K715" i="4"/>
  <c r="M715" i="4" s="1"/>
  <c r="N715" i="4" s="1"/>
  <c r="L275" i="4"/>
  <c r="N275" i="4" s="1"/>
  <c r="K453" i="4"/>
  <c r="M453" i="4" s="1"/>
  <c r="N453" i="4" s="1"/>
  <c r="K360" i="4"/>
  <c r="M360" i="4" s="1"/>
  <c r="N360" i="4" s="1"/>
  <c r="K128" i="4"/>
  <c r="M128" i="4" s="1"/>
  <c r="N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N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N467" i="4" s="1"/>
  <c r="L129" i="4"/>
  <c r="N129" i="4" s="1"/>
  <c r="L1284" i="4"/>
  <c r="K1284" i="4"/>
  <c r="M1284" i="4" s="1"/>
  <c r="N1284" i="4" s="1"/>
  <c r="L836" i="4"/>
  <c r="K836" i="4"/>
  <c r="M836" i="4" s="1"/>
  <c r="N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N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N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N483" i="4" s="1"/>
  <c r="L846" i="4"/>
  <c r="K846" i="4"/>
  <c r="M846" i="4" s="1"/>
  <c r="N846" i="4" s="1"/>
  <c r="L560" i="4"/>
  <c r="K560" i="4"/>
  <c r="M560" i="4" s="1"/>
  <c r="K1258" i="4"/>
  <c r="M1258" i="4" s="1"/>
  <c r="N1258" i="4" s="1"/>
  <c r="L112" i="4"/>
  <c r="N112" i="4" s="1"/>
  <c r="K39" i="4"/>
  <c r="M39" i="4" s="1"/>
  <c r="K32" i="4"/>
  <c r="M32" i="4" s="1"/>
  <c r="K427" i="4"/>
  <c r="M427" i="4" s="1"/>
  <c r="N427" i="4" s="1"/>
  <c r="K741" i="4"/>
  <c r="M741" i="4" s="1"/>
  <c r="N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N75" i="4" s="1"/>
  <c r="L782" i="4"/>
  <c r="K782" i="4"/>
  <c r="M782" i="4" s="1"/>
  <c r="K580" i="4"/>
  <c r="M580" i="4" s="1"/>
  <c r="N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N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N352" i="4" s="1"/>
  <c r="K699" i="4"/>
  <c r="M699" i="4" s="1"/>
  <c r="N699" i="4" s="1"/>
  <c r="K443" i="4"/>
  <c r="M443" i="4" s="1"/>
  <c r="N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N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N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N163" i="4" s="1"/>
  <c r="L481" i="4"/>
  <c r="K481" i="4"/>
  <c r="M481" i="4" s="1"/>
  <c r="N481" i="4" s="1"/>
  <c r="L268" i="4"/>
  <c r="K268" i="4"/>
  <c r="M268" i="4" s="1"/>
  <c r="K65" i="4"/>
  <c r="M65" i="4" s="1"/>
  <c r="L65" i="4"/>
  <c r="L805" i="4"/>
  <c r="K805" i="4"/>
  <c r="M805" i="4" s="1"/>
  <c r="N805" i="4" s="1"/>
  <c r="L278" i="4"/>
  <c r="K278" i="4"/>
  <c r="M278" i="4" s="1"/>
  <c r="K313" i="4"/>
  <c r="M313" i="4" s="1"/>
  <c r="K318" i="4"/>
  <c r="M318" i="4" s="1"/>
  <c r="N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N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N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N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L477" i="4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N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N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N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N442" i="4" s="1"/>
  <c r="L887" i="4"/>
  <c r="K887" i="4"/>
  <c r="M887" i="4" s="1"/>
  <c r="L941" i="4"/>
  <c r="K941" i="4"/>
  <c r="M941" i="4" s="1"/>
  <c r="N941" i="4" s="1"/>
  <c r="L1219" i="4"/>
  <c r="K1219" i="4"/>
  <c r="M1219" i="4" s="1"/>
  <c r="N1219" i="4" s="1"/>
  <c r="L158" i="4"/>
  <c r="K158" i="4"/>
  <c r="M158" i="4" s="1"/>
  <c r="L1296" i="4"/>
  <c r="K1296" i="4"/>
  <c r="M1296" i="4" s="1"/>
  <c r="L1261" i="4"/>
  <c r="K1261" i="4"/>
  <c r="M1261" i="4" s="1"/>
  <c r="N1261" i="4" s="1"/>
  <c r="L518" i="4"/>
  <c r="K518" i="4"/>
  <c r="M518" i="4" s="1"/>
  <c r="N518" i="4" s="1"/>
  <c r="L303" i="4"/>
  <c r="K303" i="4"/>
  <c r="M303" i="4" s="1"/>
  <c r="L84" i="4"/>
  <c r="K84" i="4"/>
  <c r="M84" i="4" s="1"/>
  <c r="L764" i="4"/>
  <c r="K764" i="4"/>
  <c r="M764" i="4" s="1"/>
  <c r="N764" i="4" s="1"/>
  <c r="L596" i="4"/>
  <c r="K596" i="4"/>
  <c r="M596" i="4" s="1"/>
  <c r="N596" i="4" s="1"/>
  <c r="L1155" i="4"/>
  <c r="K1155" i="4"/>
  <c r="M1155" i="4" s="1"/>
  <c r="N1155" i="4" s="1"/>
  <c r="K718" i="4"/>
  <c r="M718" i="4" s="1"/>
  <c r="L718" i="4"/>
  <c r="L519" i="4"/>
  <c r="K519" i="4"/>
  <c r="M519" i="4" s="1"/>
  <c r="N519" i="4" s="1"/>
  <c r="L1140" i="4"/>
  <c r="K1140" i="4"/>
  <c r="M1140" i="4" s="1"/>
  <c r="N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N627" i="4" s="1"/>
  <c r="K419" i="4"/>
  <c r="M419" i="4" s="1"/>
  <c r="N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N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N1243" i="4" s="1"/>
  <c r="K1031" i="4"/>
  <c r="M1031" i="4" s="1"/>
  <c r="N1031" i="4" s="1"/>
  <c r="K85" i="4"/>
  <c r="M85" i="4" s="1"/>
  <c r="N85" i="4" s="1"/>
  <c r="K472" i="4"/>
  <c r="M472" i="4" s="1"/>
  <c r="N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N1002" i="4" s="1"/>
  <c r="L695" i="4"/>
  <c r="K695" i="4"/>
  <c r="M695" i="4" s="1"/>
  <c r="N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N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N1202" i="4" s="1"/>
  <c r="L1224" i="4"/>
  <c r="K1224" i="4"/>
  <c r="M1224" i="4" s="1"/>
  <c r="N1224" i="4" s="1"/>
  <c r="L367" i="4"/>
  <c r="K367" i="4"/>
  <c r="M367" i="4" s="1"/>
  <c r="L418" i="4"/>
  <c r="K418" i="4"/>
  <c r="M418" i="4" s="1"/>
  <c r="N418" i="4" s="1"/>
  <c r="L884" i="4"/>
  <c r="K884" i="4"/>
  <c r="M884" i="4" s="1"/>
  <c r="N884" i="4" s="1"/>
  <c r="L130" i="4"/>
  <c r="K130" i="4"/>
  <c r="M130" i="4" s="1"/>
  <c r="L1253" i="4"/>
  <c r="K1253" i="4"/>
  <c r="M1253" i="4" s="1"/>
  <c r="L1207" i="4"/>
  <c r="K1207" i="4"/>
  <c r="M1207" i="4" s="1"/>
  <c r="N1207" i="4" s="1"/>
  <c r="L524" i="4"/>
  <c r="K524" i="4"/>
  <c r="M524" i="4" s="1"/>
  <c r="N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N460" i="4" s="1"/>
  <c r="L1034" i="4"/>
  <c r="K1034" i="4"/>
  <c r="M1034" i="4" s="1"/>
  <c r="N1034" i="4" s="1"/>
  <c r="L869" i="4"/>
  <c r="K869" i="4"/>
  <c r="M869" i="4" s="1"/>
  <c r="L1007" i="4"/>
  <c r="K1007" i="4"/>
  <c r="M1007" i="4" s="1"/>
  <c r="N1007" i="4" s="1"/>
  <c r="L610" i="4"/>
  <c r="K610" i="4"/>
  <c r="M610" i="4" s="1"/>
  <c r="N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N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N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N821" i="4" s="1"/>
  <c r="L821" i="4"/>
  <c r="K879" i="4"/>
  <c r="M879" i="4" s="1"/>
  <c r="N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N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N552" i="4" s="1"/>
  <c r="L552" i="4"/>
  <c r="K344" i="4"/>
  <c r="M344" i="4" s="1"/>
  <c r="N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N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N1144" i="4" s="1"/>
  <c r="L1144" i="4"/>
  <c r="L326" i="4"/>
  <c r="K326" i="4"/>
  <c r="M326" i="4" s="1"/>
  <c r="K733" i="4"/>
  <c r="M733" i="4" s="1"/>
  <c r="N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N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N417" i="4" s="1"/>
  <c r="L417" i="4"/>
  <c r="L682" i="4"/>
  <c r="K682" i="4"/>
  <c r="M682" i="4" s="1"/>
  <c r="L1013" i="4"/>
  <c r="K1013" i="4"/>
  <c r="M1013" i="4" s="1"/>
  <c r="K411" i="4"/>
  <c r="M411" i="4" s="1"/>
  <c r="N411" i="4" s="1"/>
  <c r="L411" i="4"/>
  <c r="L1157" i="4"/>
  <c r="K1157" i="4"/>
  <c r="M1157" i="4" s="1"/>
  <c r="K730" i="4"/>
  <c r="M730" i="4" s="1"/>
  <c r="N730" i="4" s="1"/>
  <c r="L730" i="4"/>
  <c r="K1212" i="4"/>
  <c r="M1212" i="4" s="1"/>
  <c r="N1212" i="4" s="1"/>
  <c r="L1212" i="4"/>
  <c r="L789" i="4"/>
  <c r="K789" i="4"/>
  <c r="M789" i="4" s="1"/>
  <c r="K139" i="4"/>
  <c r="M139" i="4" s="1"/>
  <c r="L139" i="4"/>
  <c r="K748" i="4"/>
  <c r="M748" i="4" s="1"/>
  <c r="N748" i="4" s="1"/>
  <c r="L748" i="4"/>
  <c r="L157" i="4"/>
  <c r="K157" i="4"/>
  <c r="M157" i="4" s="1"/>
  <c r="K1001" i="4"/>
  <c r="M1001" i="4" s="1"/>
  <c r="N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N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N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N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N1084" i="4" s="1"/>
  <c r="L1084" i="4"/>
  <c r="L1251" i="4"/>
  <c r="K1251" i="4"/>
  <c r="M1251" i="4" s="1"/>
  <c r="L1010" i="4"/>
  <c r="K1010" i="4"/>
  <c r="M1010" i="4" s="1"/>
  <c r="K766" i="4"/>
  <c r="M766" i="4" s="1"/>
  <c r="N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N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N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N629" i="4" s="1"/>
  <c r="L629" i="4"/>
  <c r="L588" i="4"/>
  <c r="K588" i="4"/>
  <c r="M588" i="4" s="1"/>
  <c r="K1055" i="4"/>
  <c r="M1055" i="4" s="1"/>
  <c r="N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N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N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N984" i="4" s="1"/>
  <c r="L984" i="4"/>
  <c r="L36" i="4"/>
  <c r="K36" i="4"/>
  <c r="M36" i="4" s="1"/>
  <c r="K459" i="4"/>
  <c r="M459" i="4" s="1"/>
  <c r="N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N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N248" i="4" s="1"/>
  <c r="K192" i="4"/>
  <c r="M192" i="4" s="1"/>
  <c r="N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N736" i="4" s="1"/>
  <c r="L672" i="4"/>
  <c r="K672" i="4"/>
  <c r="M672" i="4" s="1"/>
  <c r="N672" i="4" s="1"/>
  <c r="K440" i="4"/>
  <c r="M440" i="4" s="1"/>
  <c r="L440" i="4"/>
  <c r="L160" i="4"/>
  <c r="K160" i="4"/>
  <c r="M160" i="4" s="1"/>
  <c r="L509" i="4"/>
  <c r="K509" i="4"/>
  <c r="M509" i="4" s="1"/>
  <c r="N509" i="4" s="1"/>
  <c r="L410" i="4"/>
  <c r="K410" i="4"/>
  <c r="M410" i="4" s="1"/>
  <c r="N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N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N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N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N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N527" i="4" s="1"/>
  <c r="L527" i="4"/>
  <c r="L620" i="4"/>
  <c r="K620" i="4"/>
  <c r="M620" i="4" s="1"/>
  <c r="K1046" i="4"/>
  <c r="M1046" i="4" s="1"/>
  <c r="N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N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N981" i="4" s="1"/>
  <c r="L981" i="4"/>
  <c r="L473" i="4"/>
  <c r="K473" i="4"/>
  <c r="M473" i="4" s="1"/>
  <c r="K758" i="4"/>
  <c r="M758" i="4" s="1"/>
  <c r="N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N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N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N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M354" i="4" s="1"/>
  <c r="N354" i="4" s="1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N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N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N616" i="4" s="1"/>
  <c r="L616" i="4"/>
  <c r="L520" i="4"/>
  <c r="K520" i="4"/>
  <c r="M520" i="4" s="1"/>
  <c r="L713" i="4"/>
  <c r="K713" i="4"/>
  <c r="M713" i="4" s="1"/>
  <c r="K1120" i="4"/>
  <c r="M1120" i="4" s="1"/>
  <c r="N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N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131" i="4" l="1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370" i="4"/>
  <c r="N738" i="4"/>
  <c r="N640" i="4"/>
  <c r="N933" i="4"/>
  <c r="N882" i="4"/>
  <c r="N591" i="4"/>
  <c r="N1023" i="4"/>
  <c r="N1159" i="4"/>
  <c r="N484" i="4"/>
  <c r="N945" i="4"/>
  <c r="N680" i="4"/>
  <c r="N365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376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367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T4" i="4"/>
  <c r="T3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5" i="4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B970B15-1E53-3945-BF42-213503DFD7AA}" keepAlive="1" name="Query - ml_predictions_log_scores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<sst xmlns="http://schemas.openxmlformats.org/spreadsheetml/2006/main" count="12199" uniqueCount="284">
  <si>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</si>
  <si>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</si>
  <si>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</si>
  <si>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</si>
  <si>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</si>
  <si>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</si>
  <si>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</si>
  <si>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</si>
  <si>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</si>
  <si>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</si>
  <si>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</si>
  <si>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</si>
  <si>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</si>
  <si>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</si>
  <si>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</si>
  <si>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</si>
  <si>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</si>
  <si>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</si>
  <si>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</si>
  <si>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</si>
  <si>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</si>
  <si>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</si>
  <si>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</si>
  <si>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</si>
  <si>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</si>
  <si>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</si>
  <si>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</si>
  <si>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</si>
  <si>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</si>
  <si>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</si>
  <si>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</si>
  <si>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</si>
  <si>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</si>
  <si>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</si>
  <si>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</si>
  <si>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</si>
  <si>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</si>
  <si>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</si>
  <si>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</si>
  <si>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</si>
  <si>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</si>
  <si>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</si>
  <si>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</si>
  <si>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</si>
  <si>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</si>
  <si>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</si>
  <si>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</si>
  <si>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</si>
  <si>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</si>
  <si>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</si>
  <si>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</si>
  <si>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</si>
  <si>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</si>
  <si>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</si>
  <si>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</si>
  <si>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</si>
  <si>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</si>
  <si>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</si>
  <si>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</si>
  <si>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</si>
  <si>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</si>
  <si>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</si>
  <si>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</si>
  <si>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</si>
  <si>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</si>
  <si>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</si>
  <si>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</si>
  <si>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</si>
  <si>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</si>
  <si>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</si>
  <si>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</si>
  <si>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</si>
  <si>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</si>
  <si>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</si>
  <si>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</si>
  <si>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</si>
  <si>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</si>
  <si>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</si>
  <si>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</si>
  <si>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</si>
  <si>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</si>
  <si>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</si>
  <si>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</si>
  <si>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</si>
  <si>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</si>
  <si>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</si>
  <si>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</si>
  <si>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</si>
  <si>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</si>
  <si>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</si>
  <si>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</si>
  <si>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</si>
  <si>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</si>
  <si>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</si>
  <si>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</si>
  <si>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</si>
  <si>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</si>
  <si>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</si>
  <si>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</si>
  <si>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</si>
  <si>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</si>
  <si>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</si>
  <si>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</si>
  <si>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</si>
  <si>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</si>
  <si>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</si>
  <si>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</si>
  <si>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</si>
  <si>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</si>
  <si>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</si>
  <si>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</si>
  <si>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</si>
  <si>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</si>
  <si>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</si>
  <si>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</si>
  <si>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</si>
  <si>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</si>
  <si>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</si>
  <si>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</si>
  <si>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</si>
  <si>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</si>
  <si>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</si>
  <si>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</si>
  <si>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</si>
  <si>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</si>
  <si>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</si>
  <si>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</si>
  <si>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</si>
  <si>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</si>
  <si>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</si>
  <si>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</si>
  <si>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</si>
  <si>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</si>
  <si>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</si>
  <si>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</si>
  <si>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</si>
  <si>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</si>
  <si>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</si>
  <si>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</si>
  <si>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</si>
  <si>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</si>
  <si>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</si>
  <si>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</si>
  <si>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</si>
  <si>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</si>
  <si>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</si>
  <si>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</si>
  <si>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</si>
  <si>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</si>
  <si>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</si>
  <si>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</si>
  <si>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</si>
  <si>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</si>
  <si>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</si>
  <si>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</si>
  <si>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</si>
  <si>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</si>
  <si>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</si>
  <si>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</si>
  <si>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</si>
  <si>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</si>
  <si>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</si>
  <si>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</si>
  <si>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</si>
  <si>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</si>
  <si>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</si>
  <si>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</si>
  <si>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</si>
  <si>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</si>
  <si>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</si>
  <si>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</si>
  <si>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</si>
  <si>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</si>
  <si>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</si>
  <si>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</si>
  <si>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</si>
  <si>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</si>
  <si>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</si>
  <si>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</si>
  <si>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</si>
  <si>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</si>
  <si>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</si>
  <si>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</si>
  <si>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</si>
  <si>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</si>
  <si>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</si>
  <si>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</si>
  <si>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</si>
  <si>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</si>
  <si>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</si>
  <si>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</si>
  <si>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</si>
  <si>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</si>
  <si>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</si>
  <si>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</si>
  <si>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</si>
  <si>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</si>
  <si>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</si>
  <si>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</si>
  <si>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</si>
  <si>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</si>
  <si>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</si>
  <si>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</si>
  <si>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</si>
  <si>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</si>
  <si>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</si>
  <si>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</si>
  <si>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</si>
  <si>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</si>
  <si>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</si>
  <si>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</si>
  <si>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</si>
  <si>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</si>
  <si>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</si>
  <si>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</si>
  <si>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</si>
  <si>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</si>
  <si>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</si>
  <si>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</si>
  <si>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</si>
  <si>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</si>
  <si>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</si>
  <si>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</si>
  <si>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</si>
  <si>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</si>
  <si>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</si>
  <si>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</si>
  <si>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</si>
  <si>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</si>
  <si>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</si>
  <si>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</si>
  <si>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</si>
  <si>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</si>
  <si>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</si>
  <si>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</si>
  <si>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</si>
  <si>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</si>
  <si>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</si>
  <si>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</si>
  <si>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</si>
  <si>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</si>
  <si>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</si>
  <si>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</si>
  <si>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</si>
  <si>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</si>
  <si>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</si>
  <si>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</si>
  <si>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</si>
  <si>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</si>
  <si>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</si>
  <si>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</si>
  <si>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</si>
  <si>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</si>
  <si>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</si>
  <si>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</si>
  <si>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</si>
  <si>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</si>
  <si>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</si>
  <si>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</si>
  <si>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</si>
  <si>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date</t>
  </si>
  <si>
    <t>game_time</t>
  </si>
  <si>
    <t>home_team</t>
  </si>
  <si>
    <t>away_team</t>
  </si>
  <si>
    <t>ml_predicted_winner</t>
  </si>
  <si>
    <t>ml_home_win_prob</t>
  </si>
  <si>
    <t>ml_away_win_prob</t>
  </si>
  <si>
    <t>ml_confidence</t>
  </si>
  <si>
    <t>ml_predicted_home_score</t>
  </si>
  <si>
    <t>ml_predicted_away_score</t>
  </si>
  <si>
    <t>excel_predicted_winner</t>
  </si>
  <si>
    <t>excel_confidence</t>
  </si>
  <si>
    <t>excel_homeice_diff</t>
  </si>
  <si>
    <t>actual_winner</t>
  </si>
  <si>
    <t>ml_correct</t>
  </si>
  <si>
    <t>excel_correct</t>
  </si>
  <si>
    <t>model_version</t>
  </si>
  <si>
    <t>notes</t>
  </si>
  <si>
    <t>random_forest</t>
  </si>
  <si>
    <t>Recorded before games</t>
  </si>
  <si>
    <t>Range</t>
  </si>
  <si>
    <t>Count</t>
  </si>
  <si>
    <t>=IF([@[actual_winner]]=[@[ml_predicted_winner]],"YES","NO")</t>
  </si>
  <si>
    <t>=IF([@[actual_winner]]=[@[excel_predicted_winner]],"YES","NO")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</si>
</sst>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1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10" fontId="0" fillId="0" borderId="0" xfId="1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6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0.392827083335" createdVersion="8" refreshedVersion="8" minRefreshableVersion="3" recordCount="32" xr:uid="{08FE906C-B966-1C47-96E4-36DEA2271602}">
  <cacheSource type="worksheet">
    <worksheetSource name="Table1"/>
  </cacheSource>
  <cacheFields count="14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13" maxValue="16"/>
    </cacheField>
    <cacheField name="W" numFmtId="0">
      <sharedItems containsSemiMixedTypes="0" containsString="0" containsNumber="1" containsInteger="1" minValue="4" maxValue="10"/>
    </cacheField>
    <cacheField name="L" numFmtId="0">
      <sharedItems containsSemiMixedTypes="0" containsString="0" containsNumber="1" containsInteger="1" minValue="1" maxValue="10"/>
    </cacheField>
    <cacheField name="OTL" numFmtId="0">
      <sharedItems containsSemiMixedTypes="0" containsString="0" containsNumber="1" containsInteger="1" minValue="0" maxValue="5"/>
    </cacheField>
    <cacheField name="PTS" numFmtId="0">
      <sharedItems containsSemiMixedTypes="0" containsString="0" containsNumber="1" containsInteger="1" minValue="10" maxValue="21"/>
    </cacheField>
    <cacheField name="HomeWins" numFmtId="0">
      <sharedItems containsSemiMixedTypes="0" containsString="0" containsNumber="1" containsInteger="1" minValue="0" maxValue="7"/>
    </cacheField>
    <cacheField name="HomeLoss" numFmtId="0">
      <sharedItems containsSemiMixedTypes="0" containsString="0" containsNumber="1" containsInteger="1" minValue="0" maxValue="5"/>
    </cacheField>
    <cacheField name="HomeOTL" numFmtId="0">
      <sharedItems containsSemiMixedTypes="0" containsString="0" containsNumber="1" containsInteger="1" minValue="0" maxValue="3"/>
    </cacheField>
    <cacheField name="AwayWins" numFmtId="0">
      <sharedItems containsSemiMixedTypes="0" containsString="0" containsNumber="1" containsInteger="1" minValue="0" maxValue="7"/>
    </cacheField>
    <cacheField name="AwayLoss" numFmtId="0">
      <sharedItems containsSemiMixedTypes="0" containsString="0" containsNumber="1" containsInteger="1" minValue="1" maxValue="6"/>
    </cacheField>
    <cacheField name="AwayOTL" numFmtId="0">
      <sharedItems containsSemiMixedTypes="0" containsString="0" containsNumber="1" containsInteger="1" minValue="0" maxValue="3"/>
    </cacheField>
    <cacheField name="HomeWin%" numFmtId="9">
      <sharedItems containsSemiMixedTypes="0" containsString="0" containsNumber="1" minValue="0" maxValue="1"/>
    </cacheField>
    <cacheField name="AwayWin%" numFmtId="9">
      <sharedItems containsSemiMixedTypes="0" containsString="0" containsNumber="1" minValue="0" maxValue="0.77777777777777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8.574677430559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1.6211574240381006" maxValue="1.54750135914897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13"/>
    <n v="9"/>
    <n v="3"/>
    <n v="1"/>
    <n v="19"/>
    <n v="4"/>
    <n v="1"/>
    <n v="0"/>
    <n v="5"/>
    <n v="2"/>
    <n v="1"/>
    <n v="0.8"/>
    <n v="0.625"/>
  </r>
  <r>
    <x v="1"/>
    <n v="16"/>
    <n v="9"/>
    <n v="7"/>
    <n v="0"/>
    <n v="18"/>
    <n v="7"/>
    <n v="3"/>
    <n v="0"/>
    <n v="2"/>
    <n v="4"/>
    <n v="0"/>
    <n v="0.7"/>
    <n v="0.33333333333333331"/>
  </r>
  <r>
    <x v="2"/>
    <n v="14"/>
    <n v="5"/>
    <n v="5"/>
    <n v="4"/>
    <n v="14"/>
    <n v="5"/>
    <n v="3"/>
    <n v="2"/>
    <n v="0"/>
    <n v="2"/>
    <n v="2"/>
    <n v="0.5"/>
    <n v="0"/>
  </r>
  <r>
    <x v="3"/>
    <n v="16"/>
    <n v="4"/>
    <n v="10"/>
    <n v="2"/>
    <n v="10"/>
    <n v="2"/>
    <n v="4"/>
    <n v="1"/>
    <n v="2"/>
    <n v="6"/>
    <n v="1"/>
    <n v="0.2857142857142857"/>
    <n v="0.22222222222222221"/>
  </r>
  <r>
    <x v="4"/>
    <n v="13"/>
    <n v="9"/>
    <n v="4"/>
    <n v="0"/>
    <n v="18"/>
    <n v="4"/>
    <n v="1"/>
    <n v="0"/>
    <n v="5"/>
    <n v="3"/>
    <n v="0"/>
    <n v="0.8"/>
    <n v="0.625"/>
  </r>
  <r>
    <x v="5"/>
    <n v="15"/>
    <n v="7"/>
    <n v="5"/>
    <n v="3"/>
    <n v="17"/>
    <n v="3"/>
    <n v="2"/>
    <n v="1"/>
    <n v="4"/>
    <n v="3"/>
    <n v="2"/>
    <n v="0.5"/>
    <n v="0.44444444444444442"/>
  </r>
  <r>
    <x v="6"/>
    <n v="14"/>
    <n v="8"/>
    <n v="1"/>
    <n v="5"/>
    <n v="21"/>
    <n v="4"/>
    <n v="0"/>
    <n v="2"/>
    <n v="4"/>
    <n v="1"/>
    <n v="3"/>
    <n v="0.66666666666666663"/>
    <n v="0.5"/>
  </r>
  <r>
    <x v="7"/>
    <n v="13"/>
    <n v="7"/>
    <n v="6"/>
    <n v="0"/>
    <n v="14"/>
    <n v="3"/>
    <n v="3"/>
    <n v="0"/>
    <n v="4"/>
    <n v="3"/>
    <n v="0"/>
    <n v="0.5"/>
    <n v="0.5714285714285714"/>
  </r>
  <r>
    <x v="8"/>
    <n v="14"/>
    <n v="7"/>
    <n v="4"/>
    <n v="3"/>
    <n v="17"/>
    <n v="4"/>
    <n v="3"/>
    <n v="1"/>
    <n v="3"/>
    <n v="1"/>
    <n v="2"/>
    <n v="0.5"/>
    <n v="0.5"/>
  </r>
  <r>
    <x v="9"/>
    <n v="15"/>
    <n v="9"/>
    <n v="6"/>
    <n v="0"/>
    <n v="18"/>
    <n v="5"/>
    <n v="2"/>
    <n v="0"/>
    <n v="4"/>
    <n v="4"/>
    <n v="0"/>
    <n v="0.7142857142857143"/>
    <n v="0.5"/>
  </r>
  <r>
    <x v="10"/>
    <n v="15"/>
    <n v="6"/>
    <n v="5"/>
    <n v="4"/>
    <n v="16"/>
    <n v="4"/>
    <n v="0"/>
    <n v="2"/>
    <n v="2"/>
    <n v="5"/>
    <n v="2"/>
    <n v="0.66666666666666663"/>
    <n v="0.22222222222222221"/>
  </r>
  <r>
    <x v="11"/>
    <n v="14"/>
    <n v="7"/>
    <n v="6"/>
    <n v="1"/>
    <n v="15"/>
    <n v="5"/>
    <n v="1"/>
    <n v="1"/>
    <n v="2"/>
    <n v="5"/>
    <n v="0"/>
    <n v="0.7142857142857143"/>
    <n v="0.2857142857142857"/>
  </r>
  <r>
    <x v="12"/>
    <n v="15"/>
    <n v="6"/>
    <n v="5"/>
    <n v="4"/>
    <n v="16"/>
    <n v="1"/>
    <n v="4"/>
    <n v="2"/>
    <n v="5"/>
    <n v="1"/>
    <n v="2"/>
    <n v="0.14285714285714285"/>
    <n v="0.625"/>
  </r>
  <r>
    <x v="13"/>
    <n v="16"/>
    <n v="6"/>
    <n v="7"/>
    <n v="3"/>
    <n v="15"/>
    <n v="3"/>
    <n v="3"/>
    <n v="2"/>
    <n v="3"/>
    <n v="4"/>
    <n v="1"/>
    <n v="0.375"/>
    <n v="0.375"/>
  </r>
  <r>
    <x v="14"/>
    <n v="14"/>
    <n v="9"/>
    <n v="3"/>
    <n v="2"/>
    <n v="20"/>
    <n v="4"/>
    <n v="1"/>
    <n v="1"/>
    <n v="5"/>
    <n v="2"/>
    <n v="1"/>
    <n v="0.66666666666666663"/>
    <n v="0.625"/>
  </r>
  <r>
    <x v="15"/>
    <n v="16"/>
    <n v="5"/>
    <n v="7"/>
    <n v="4"/>
    <n v="14"/>
    <n v="4"/>
    <n v="4"/>
    <n v="2"/>
    <n v="1"/>
    <n v="3"/>
    <n v="2"/>
    <n v="0.4"/>
    <n v="0.16666666666666666"/>
  </r>
  <r>
    <x v="16"/>
    <n v="14"/>
    <n v="10"/>
    <n v="4"/>
    <n v="0"/>
    <n v="20"/>
    <n v="6"/>
    <n v="0"/>
    <n v="0"/>
    <n v="4"/>
    <n v="4"/>
    <n v="0"/>
    <n v="1"/>
    <n v="0.5"/>
  </r>
  <r>
    <x v="17"/>
    <n v="14"/>
    <n v="6"/>
    <n v="6"/>
    <n v="2"/>
    <n v="14"/>
    <n v="4"/>
    <n v="3"/>
    <n v="1"/>
    <n v="2"/>
    <n v="3"/>
    <n v="1"/>
    <n v="0.5"/>
    <n v="0.33333333333333331"/>
  </r>
  <r>
    <x v="18"/>
    <n v="15"/>
    <n v="7"/>
    <n v="6"/>
    <n v="2"/>
    <n v="16"/>
    <n v="0"/>
    <n v="5"/>
    <n v="1"/>
    <n v="7"/>
    <n v="1"/>
    <n v="1"/>
    <n v="0"/>
    <n v="0.77777777777777779"/>
  </r>
  <r>
    <x v="19"/>
    <n v="14"/>
    <n v="6"/>
    <n v="5"/>
    <n v="3"/>
    <n v="15"/>
    <n v="4"/>
    <n v="2"/>
    <n v="1"/>
    <n v="2"/>
    <n v="3"/>
    <n v="2"/>
    <n v="0.5714285714285714"/>
    <n v="0.2857142857142857"/>
  </r>
  <r>
    <x v="20"/>
    <n v="14"/>
    <n v="8"/>
    <n v="5"/>
    <n v="1"/>
    <n v="17"/>
    <n v="6"/>
    <n v="3"/>
    <n v="0"/>
    <n v="2"/>
    <n v="2"/>
    <n v="1"/>
    <n v="0.66666666666666663"/>
    <n v="0.4"/>
  </r>
  <r>
    <x v="21"/>
    <n v="15"/>
    <n v="9"/>
    <n v="4"/>
    <n v="2"/>
    <n v="20"/>
    <n v="4"/>
    <n v="1"/>
    <n v="1"/>
    <n v="5"/>
    <n v="3"/>
    <n v="1"/>
    <n v="0.66666666666666663"/>
    <n v="0.55555555555555558"/>
  </r>
  <r>
    <x v="22"/>
    <n v="15"/>
    <n v="6"/>
    <n v="6"/>
    <n v="3"/>
    <n v="15"/>
    <n v="3"/>
    <n v="3"/>
    <n v="3"/>
    <n v="3"/>
    <n v="3"/>
    <n v="0"/>
    <n v="0.33333333333333331"/>
    <n v="0.5"/>
  </r>
  <r>
    <x v="23"/>
    <n v="13"/>
    <n v="6"/>
    <n v="3"/>
    <n v="4"/>
    <n v="16"/>
    <n v="4"/>
    <n v="1"/>
    <n v="2"/>
    <n v="2"/>
    <n v="2"/>
    <n v="2"/>
    <n v="0.5714285714285714"/>
    <n v="0.33333333333333331"/>
  </r>
  <r>
    <x v="24"/>
    <n v="15"/>
    <n v="5"/>
    <n v="8"/>
    <n v="2"/>
    <n v="12"/>
    <n v="2"/>
    <n v="4"/>
    <n v="2"/>
    <n v="3"/>
    <n v="4"/>
    <n v="0"/>
    <n v="0.25"/>
    <n v="0.42857142857142855"/>
  </r>
  <r>
    <x v="25"/>
    <n v="14"/>
    <n v="7"/>
    <n v="5"/>
    <n v="2"/>
    <n v="16"/>
    <n v="3"/>
    <n v="3"/>
    <n v="0"/>
    <n v="4"/>
    <n v="2"/>
    <n v="2"/>
    <n v="0.5"/>
    <n v="0.5"/>
  </r>
  <r>
    <x v="26"/>
    <n v="14"/>
    <n v="8"/>
    <n v="5"/>
    <n v="1"/>
    <n v="17"/>
    <n v="7"/>
    <n v="2"/>
    <n v="1"/>
    <n v="1"/>
    <n v="3"/>
    <n v="0"/>
    <n v="0.7"/>
    <n v="0.25"/>
  </r>
  <r>
    <x v="27"/>
    <n v="14"/>
    <n v="9"/>
    <n v="5"/>
    <n v="0"/>
    <n v="18"/>
    <n v="4"/>
    <n v="1"/>
    <n v="0"/>
    <n v="5"/>
    <n v="4"/>
    <n v="0"/>
    <n v="0.8"/>
    <n v="0.55555555555555558"/>
  </r>
  <r>
    <x v="28"/>
    <n v="15"/>
    <n v="7"/>
    <n v="8"/>
    <n v="0"/>
    <n v="14"/>
    <n v="2"/>
    <n v="4"/>
    <n v="0"/>
    <n v="5"/>
    <n v="4"/>
    <n v="0"/>
    <n v="0.33333333333333331"/>
    <n v="0.55555555555555558"/>
  </r>
  <r>
    <x v="29"/>
    <n v="13"/>
    <n v="7"/>
    <n v="3"/>
    <n v="3"/>
    <n v="17"/>
    <n v="4"/>
    <n v="2"/>
    <n v="1"/>
    <n v="3"/>
    <n v="1"/>
    <n v="2"/>
    <n v="0.5714285714285714"/>
    <n v="0.5"/>
  </r>
  <r>
    <x v="30"/>
    <n v="14"/>
    <n v="7"/>
    <n v="6"/>
    <n v="1"/>
    <n v="15"/>
    <n v="4"/>
    <n v="4"/>
    <n v="0"/>
    <n v="3"/>
    <n v="2"/>
    <n v="1"/>
    <n v="0.5"/>
    <n v="0.5"/>
  </r>
  <r>
    <x v="31"/>
    <n v="14"/>
    <n v="9"/>
    <n v="5"/>
    <n v="0"/>
    <n v="18"/>
    <n v="5"/>
    <n v="3"/>
    <n v="0"/>
    <n v="4"/>
    <n v="2"/>
    <n v="0"/>
    <n v="0.625"/>
    <n v="0.6666666666666666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51775546328552802"/>
  </r>
  <r>
    <x v="1"/>
    <n v="4.029141914856392E-2"/>
  </r>
  <r>
    <x v="2"/>
    <n v="-0.8683412362501769"/>
  </r>
  <r>
    <x v="3"/>
    <n v="-1.3903684122795328"/>
  </r>
  <r>
    <x v="4"/>
    <n v="0.67193921242367816"/>
  </r>
  <r>
    <x v="5"/>
    <n v="0.30570968833820172"/>
  </r>
  <r>
    <x v="6"/>
    <n v="1.5475013591489768"/>
  </r>
  <r>
    <x v="7"/>
    <n v="-0.40822279081308277"/>
  </r>
  <r>
    <x v="8"/>
    <n v="0.19809534061227302"/>
  </r>
  <r>
    <x v="9"/>
    <n v="-0.513643833119658"/>
  </r>
  <r>
    <x v="10"/>
    <n v="-0.61980804137564283"/>
  </r>
  <r>
    <x v="11"/>
    <n v="-0.28105923893144158"/>
  </r>
  <r>
    <x v="12"/>
    <n v="-7.5459708298993802E-2"/>
  </r>
  <r>
    <x v="13"/>
    <n v="-0.53650300840565446"/>
  </r>
  <r>
    <x v="14"/>
    <n v="-0.52437726201848234"/>
  </r>
  <r>
    <x v="15"/>
    <n v="-1.3516250707060606"/>
  </r>
  <r>
    <x v="16"/>
    <n v="0.559441163373953"/>
  </r>
  <r>
    <x v="17"/>
    <n v="-6.4729560818359025E-2"/>
  </r>
  <r>
    <x v="18"/>
    <n v="-0.30719665303039001"/>
  </r>
  <r>
    <x v="19"/>
    <n v="-0.40651947573390851"/>
  </r>
  <r>
    <x v="20"/>
    <n v="-0.51358590497437617"/>
  </r>
  <r>
    <x v="21"/>
    <n v="0.26289091192875702"/>
  </r>
  <r>
    <x v="22"/>
    <n v="-0.39418177254008485"/>
  </r>
  <r>
    <x v="23"/>
    <n v="-0.361361309178443"/>
  </r>
  <r>
    <x v="24"/>
    <n v="-1.6211574240381006"/>
  </r>
  <r>
    <x v="25"/>
    <n v="-0.11309445867623392"/>
  </r>
  <r>
    <x v="26"/>
    <n v="-0.635565543477981"/>
  </r>
  <r>
    <x v="27"/>
    <n v="-0.12212311954851815"/>
  </r>
  <r>
    <x v="28"/>
    <n v="-0.6902088310934803"/>
  </r>
  <r>
    <x v="29"/>
    <n v="-6.3745791019188943E-4"/>
  </r>
  <r>
    <x v="30"/>
    <n v="-6.1308839486784707E-2"/>
  </r>
  <r>
    <x v="31"/>
    <n v="0.1051052583697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4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6B9F69E-A55F-D04B-8D44-E4061B230055}" autoFormatId="16" applyNumberFormats="0" applyBorderFormats="0" applyFontFormats="0" applyPatternFormats="0" applyAlignmentFormats="0" applyWidthHeightFormats="0">
  <queryTableRefresh nextId="19">
    <queryTableFields count="18">
      <queryTableField id="1" name="date" tableColumnId="1"/>
      <queryTableField id="2" name="game_time" tableColumnId="2"/>
      <queryTableField id="3" name="home_team" tableColumnId="3"/>
      <queryTableField id="4" name="away_team" tableColumnId="4"/>
      <queryTableField id="5" name="ml_predicted_winner" tableColumnId="5"/>
      <queryTableField id="6" name="ml_home_win_prob" tableColumnId="6"/>
      <queryTableField id="7" name="ml_away_win_prob" tableColumnId="7"/>
      <queryTableField id="8" name="ml_confidence" tableColumnId="8"/>
      <queryTableField id="9" name="ml_predicted_home_score" tableColumnId="9"/>
      <queryTableField id="10" name="ml_predicted_away_score" tableColumnId="10"/>
      <queryTableField id="11" name="excel_predicted_winner" tableColumnId="11"/>
      <queryTableField id="12" name="excel_confidence" tableColumnId="12"/>
      <queryTableField id="13" name="excel_homeice_diff" tableColumnId="13"/>
      <queryTableField id="14" name="actual_winner" tableColumnId="14"/>
      <queryTableField id="15" name="ml_correct" tableColumnId="15"/>
      <queryTableField id="16" name="excel_correct" tableColumnId="16"/>
      <queryTableField id="17" name="model_version" tableColumnId="17"/>
      <queryTableField id="18" name="notes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68"/>
    <tableColumn id="3" xr3:uid="{2C87C5E2-BA51-8A42-89C8-535F9675CB8F}" uniqueName="3" name="Visitor" queryTableFieldId="3" dataDxfId="67"/>
    <tableColumn id="4" xr3:uid="{CE6ABB56-546F-BB46-9A09-2A1A92669C31}" uniqueName="4" name="G" queryTableFieldId="4" dataDxfId="66"/>
    <tableColumn id="5" xr3:uid="{C1234731-C200-EA4C-B756-2CA67776A39C}" uniqueName="5" name="Home" queryTableFieldId="5" dataDxfId="65"/>
    <tableColumn id="6" xr3:uid="{339325E9-BBA1-9A48-8657-C4AC5A969A45}" uniqueName="6" name="G_1" queryTableFieldId="6" dataDxfId="64"/>
    <tableColumn id="11" xr3:uid="{D5C53254-CDEF-7A46-97BA-0F3F94C9C0F8}" uniqueName="11" name="Column1" queryTableFieldId="11" dataDxfId="63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2"/>
    <tableColumn id="10" xr3:uid="{D8B4237A-01AB-6648-9F38-4F24C83C2F02}" uniqueName="10" name="Losing_G" queryTableFieldId="10" dataDxfId="6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60" headerRowBorderDxfId="59" tableBorderDxfId="58">
  <autoFilter ref="D6:J1318" xr:uid="{082AB263-30A0-9143-A4CB-E8E85CF645DA}"/>
  <tableColumns count="7">
    <tableColumn id="1" xr3:uid="{A2DA1977-C625-F248-8922-D45BEAE345E6}" name="Visitor" dataDxfId="57"/>
    <tableColumn id="2" xr3:uid="{7F142366-1AE0-5D45-A506-465FBF578C3A}" name="G" dataDxfId="56"/>
    <tableColumn id="3" xr3:uid="{F73B07A5-94FF-C843-900F-F37684899EAA}" name="Home" dataDxfId="55"/>
    <tableColumn id="4" xr3:uid="{7D6FADB5-28D9-9449-ADC0-599788BF0B16}" name="G_1" dataDxfId="54"/>
    <tableColumn id="5" xr3:uid="{98CF2B62-3F88-D44B-AF59-BE4BB5C0604E}" name="HomeMargin" dataDxfId="53">
      <calculatedColumnFormula>Table3[[#This Row],[G_1]]-Table3[[#This Row],[G]]</calculatedColumnFormula>
    </tableColumn>
    <tableColumn id="6" xr3:uid="{FD0EC919-55F2-CA43-8B92-CA3E6283FCFD}" name="HomeForecast" dataDxfId="52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1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0" dataDxfId="49">
  <autoFilter ref="D1:R1313" xr:uid="{B940C27F-1AFD-1A45-A69A-42FED3D3591C}"/>
  <tableColumns count="15">
    <tableColumn id="1" xr3:uid="{27200A7D-FC6F-7D47-A38B-8116F873A9D8}" name="Date" dataDxfId="48"/>
    <tableColumn id="2" xr3:uid="{E6247AA5-111B-9544-9F6D-FFC524512888}" name="Time" dataDxfId="47"/>
    <tableColumn id="3" xr3:uid="{EDCD8AB3-2C72-284E-B537-7168C3C8687B}" name="Home" dataDxfId="46"/>
    <tableColumn id="4" xr3:uid="{EC6C1412-AAC2-6646-BF48-0D4526947D52}" name="Home Differential" dataDxfId="45">
      <calculatedColumnFormula>VLOOKUP(Table4[[#This Row],[Home]],'NHL Model'!$A$6:$B$38,2,FALSE)</calculatedColumnFormula>
    </tableColumn>
    <tableColumn id="5" xr3:uid="{67F5F1C4-5CC9-B648-BE7C-7E4EF3A85290}" name="Visitor" dataDxfId="44"/>
    <tableColumn id="6" xr3:uid="{84F489BE-33B4-0E4D-959D-E87A85C1D38D}" name="Away Differential" dataDxfId="43">
      <calculatedColumnFormula>VLOOKUP(Table4[[#This Row],[Visitor]],'NHL Model'!$A$6:$B$38,2,FALSE)</calculatedColumnFormula>
    </tableColumn>
    <tableColumn id="7" xr3:uid="{A6F9ABE3-1844-E54D-9016-325B538D2969}" name="HomeIce Differential" dataDxfId="42">
      <calculatedColumnFormula>($B$1+Table4[[#This Row],[Home Differential]])-Table4[[#This Row],[Away Differential]]</calculatedColumnFormula>
    </tableColumn>
    <tableColumn id="8" xr3:uid="{8FFD520F-0CF9-9D4A-93B6-B45373384612}" name="Predicted Winner" dataDxfId="41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0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39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38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37"/>
    <tableColumn id="13" xr3:uid="{F50D85A3-D772-F247-BFBE-86E765FD0BF6}" name="Locked Correct" dataDxfId="36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35">
  <autoFilter ref="A1:R33" xr:uid="{1B34B514-E1CC-0949-A7DD-8D37387465DD}"/>
  <tableColumns count="18">
    <tableColumn id="1" xr3:uid="{C9F77F0F-7B0D-CC44-9D34-395D1E3FA55B}" name="Team" dataDxfId="34"/>
    <tableColumn id="2" xr3:uid="{4080CFDD-7980-DD4D-A4DE-25DB03E50B7C}" name="GP" dataDxfId="33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2">
      <calculatedColumnFormula>COUNTIFS('NHL2025-26Results'!$H:$H,A2,'NHL2025-26Results'!$F:$F,"")</calculatedColumnFormula>
    </tableColumn>
    <tableColumn id="5" xr3:uid="{5EA2DCC3-F71A-5A40-B3F3-8F2F8CB0A7CE}" name="OTL" dataDxfId="31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0">
      <calculatedColumnFormula>(Table1[[#This Row],[W]]*2)+Table1[[#This Row],[OTL]]</calculatedColumnFormula>
    </tableColumn>
    <tableColumn id="7" xr3:uid="{40EA95E8-9958-E040-A5BE-EC17EEDC1CBD}" name="HomeWins" dataDxfId="29">
      <calculatedColumnFormula>COUNTIFS('NHL2025-26Results'!$D:$D,A2,'NHL2025-26Results'!$G:$G,A2)</calculatedColumnFormula>
    </tableColumn>
    <tableColumn id="9" xr3:uid="{F3FA5C24-502A-6446-A4B9-25DB670D2CB7}" name="HomeLoss" dataDxfId="28">
      <calculatedColumnFormula>COUNTIFS('NHL2025-26Results'!$D:$D,A2,'NHL2025-26Results'!$H:$H,A2,'NHL2025-26Results'!$F:$F,"")</calculatedColumnFormula>
    </tableColumn>
    <tableColumn id="8" xr3:uid="{999F1273-113E-7F4B-990E-AC7B23C4A496}" name="HomeOTL" dataDxfId="27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26">
      <calculatedColumnFormula>COUNTIFS('NHL2025-26Results'!$B:$B,A2,'NHL2025-26Results'!$G:$G,A2)</calculatedColumnFormula>
    </tableColumn>
    <tableColumn id="10" xr3:uid="{1A63BDD0-5CF0-0C48-B684-3675FC716427}" name="AwayLoss" dataDxfId="25">
      <calculatedColumnFormula>COUNTIFS('NHL2025-26Results'!$B:$B,A2,'NHL2025-26Results'!$H:$H,A2,'NHL2025-26Results'!$F:$F,"")</calculatedColumnFormula>
    </tableColumn>
    <tableColumn id="12" xr3:uid="{59628040-0BA7-5042-BB5A-1E9D40ABC469}" name="AwayOTL" dataDxfId="24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3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2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1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0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651E9DB-D3B4-CA46-997F-655733A5071C}" name="ml_predictions_log_scores" displayName="ml_predictions_log_scores" ref="A1:R31" tableType="queryTable" totalsRowShown="0">
  <autoFilter ref="A1:R31" xr:uid="{5651E9DB-D3B4-CA46-997F-655733A5071C}"/>
  <tableColumns count="18">
    <tableColumn id="1" xr3:uid="{D7D2CFD4-F701-8D48-A3A2-7686526B3FE2}" uniqueName="1" name="date" queryTableFieldId="1" dataDxfId="14"/>
    <tableColumn id="2" xr3:uid="{8AB189CD-0773-F94B-BCE3-3755DA41914B}" uniqueName="2" name="game_time" queryTableFieldId="2" dataDxfId="13"/>
    <tableColumn id="3" xr3:uid="{95CCB897-F506-C84E-AA43-74357C00ABDC}" uniqueName="3" name="home_team" queryTableFieldId="3" dataDxfId="12"/>
    <tableColumn id="4" xr3:uid="{91D43264-DAB3-C648-A92A-CAD7FB4199F9}" uniqueName="4" name="away_team" queryTableFieldId="4" dataDxfId="11"/>
    <tableColumn id="5" xr3:uid="{11D5E007-B9C1-4543-914F-A699226E4708}" uniqueName="5" name="ml_predicted_winner" queryTableFieldId="5" dataDxfId="10"/>
    <tableColumn id="6" xr3:uid="{D42458AF-C5A9-7B4E-9212-B6667D0D7C34}" uniqueName="6" name="ml_home_win_prob" queryTableFieldId="6" dataDxfId="9" dataCellStyle="Percent"/>
    <tableColumn id="7" xr3:uid="{EE5F7FF6-1E8F-7046-8660-715A2A1152A9}" uniqueName="7" name="ml_away_win_prob" queryTableFieldId="7" dataDxfId="8" dataCellStyle="Percent"/>
    <tableColumn id="8" xr3:uid="{F0D6DF6B-F847-384A-A731-97006A0BCCE9}" uniqueName="8" name="ml_confidence" queryTableFieldId="8" dataDxfId="7" dataCellStyle="Percent"/>
    <tableColumn id="9" xr3:uid="{7330D29F-9DB5-C04F-96FD-952EF8197879}" uniqueName="9" name="ml_predicted_home_score" queryTableFieldId="9"/>
    <tableColumn id="10" xr3:uid="{E4AE9E7D-0CC8-804C-9834-1B8B7A310D5B}" uniqueName="10" name="ml_predicted_away_score" queryTableFieldId="10"/>
    <tableColumn id="11" xr3:uid="{BD471F4B-27CE-6742-AF7D-60595628F745}" uniqueName="11" name="excel_predicted_winner" queryTableFieldId="11" dataDxfId="6"/>
    <tableColumn id="12" xr3:uid="{1CC0C713-58CB-2641-96A9-E3244F8765EC}" uniqueName="12" name="excel_confidence" queryTableFieldId="12" dataDxfId="5" dataCellStyle="Percent"/>
    <tableColumn id="13" xr3:uid="{BB6A2994-CBA8-AF43-A93B-71560D9FE994}" uniqueName="13" name="excel_homeice_diff" queryTableFieldId="13"/>
    <tableColumn id="14" xr3:uid="{68022F89-A0E1-F941-B0CA-831E4377E07F}" uniqueName="14" name="actual_winner" queryTableFieldId="14" dataDxfId="4"/>
    <tableColumn id="15" xr3:uid="{43C328E0-2628-C646-A293-396F020532B3}" uniqueName="15" name="ml_correct" queryTableFieldId="15" dataDxfId="3"/>
    <tableColumn id="16" xr3:uid="{BF21B78A-4A3A-4445-A378-6C79106E6630}" uniqueName="16" name="excel_correct" queryTableFieldId="16" dataDxfId="2"/>
    <tableColumn id="17" xr3:uid="{83971C46-0F3E-5944-B6AB-A8F6ECD38F8B}" uniqueName="17" name="model_version" queryTableFieldId="17" dataDxfId="1"/>
    <tableColumn id="18" xr3:uid="{9833C29D-C212-D944-9B7D-2A8B6D2DA355}" uniqueName="18" name="notes" queryTableFieldId="1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299" workbookViewId="0">
      <selection activeCell="J323" sqref="J323"/>
    </sheetView>
  </sheetViews>
  <sheetFormatPr baseColWidth="10" defaultColWidth="10.83203125" defaultRowHeight="16" x14ac:dyDescent="0.2"/>
  <cols>
    <col min="1" max="1" width="10.5" bestFit="1" customWidth="1"/>
    <col min="2" max="2" width="19.83203125" bestFit="1" customWidth="1"/>
    <col min="3" max="3" width="5" bestFit="1" customWidth="1"/>
    <col min="4" max="4" width="19.83203125" bestFit="1" customWidth="1"/>
    <col min="5" max="5" width="6.83203125" bestFit="1" customWidth="1"/>
    <col min="6" max="6" width="11.1640625" bestFit="1" customWidth="1"/>
    <col min="7" max="8" width="19.83203125" bestFit="1" customWidth="1"/>
    <col min="9" max="9" width="12.5" bestFit="1" customWidth="1"/>
    <col min="10" max="10" width="11.332031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D320" t="s">
        <v>31</v>
      </c>
      <c r="F320" t="s">
        <v>60</v>
      </c>
    </row>
    <row r="321" spans="1:6" x14ac:dyDescent="0.2">
      <c r="A321" s="1" t="s">
        <v>219</v>
      </c>
      <c r="B321" t="s">
        <v>32</v>
      </c>
      <c r="D321" t="s">
        <v>10</v>
      </c>
      <c r="F321" t="s">
        <v>60</v>
      </c>
    </row>
    <row r="322" spans="1:6" x14ac:dyDescent="0.2">
      <c r="A322" s="1" t="s">
        <v>219</v>
      </c>
      <c r="B322" t="s">
        <v>15</v>
      </c>
      <c r="D322" t="s">
        <v>12</v>
      </c>
      <c r="F322" t="s">
        <v>60</v>
      </c>
    </row>
    <row r="323" spans="1:6" x14ac:dyDescent="0.2">
      <c r="A323" s="1" t="s">
        <v>219</v>
      </c>
      <c r="B323" t="s">
        <v>30</v>
      </c>
      <c r="D323" t="s">
        <v>26</v>
      </c>
      <c r="F323" t="s">
        <v>60</v>
      </c>
    </row>
    <row r="324" spans="1:6" x14ac:dyDescent="0.2">
      <c r="A324" s="1" t="s">
        <v>219</v>
      </c>
      <c r="B324" t="s">
        <v>24</v>
      </c>
      <c r="D324" t="s">
        <v>11</v>
      </c>
      <c r="F324" t="s">
        <v>60</v>
      </c>
    </row>
    <row r="325" spans="1:6" x14ac:dyDescent="0.2">
      <c r="A325" s="1" t="s">
        <v>219</v>
      </c>
      <c r="B325" t="s">
        <v>22</v>
      </c>
      <c r="D325" t="s">
        <v>18</v>
      </c>
      <c r="F325" t="s">
        <v>60</v>
      </c>
    </row>
    <row r="326" spans="1:6" x14ac:dyDescent="0.2">
      <c r="A326" s="1" t="s">
        <v>219</v>
      </c>
      <c r="B326" t="s">
        <v>35</v>
      </c>
      <c r="D326" t="s">
        <v>27</v>
      </c>
      <c r="F326" t="s">
        <v>60</v>
      </c>
    </row>
    <row r="327" spans="1:6" x14ac:dyDescent="0.2">
      <c r="A327" s="1" t="s">
        <v>219</v>
      </c>
      <c r="B327" t="s">
        <v>13</v>
      </c>
      <c r="D327" t="s">
        <v>33</v>
      </c>
      <c r="F327" t="s">
        <v>60</v>
      </c>
    </row>
    <row r="328" spans="1:6" x14ac:dyDescent="0.2">
      <c r="A328" s="1" t="s">
        <v>219</v>
      </c>
      <c r="B328" t="s">
        <v>17</v>
      </c>
      <c r="D328" t="s">
        <v>37</v>
      </c>
      <c r="F328" t="s">
        <v>60</v>
      </c>
    </row>
    <row r="329" spans="1:6" x14ac:dyDescent="0.2">
      <c r="A329" s="1" t="s">
        <v>219</v>
      </c>
      <c r="B329" t="s">
        <v>28</v>
      </c>
      <c r="D329" t="s">
        <v>19</v>
      </c>
      <c r="F329" t="s">
        <v>60</v>
      </c>
    </row>
    <row r="330" spans="1:6" x14ac:dyDescent="0.2">
      <c r="A330" s="1" t="s">
        <v>219</v>
      </c>
      <c r="B330" t="s">
        <v>20</v>
      </c>
      <c r="D330" t="s">
        <v>55</v>
      </c>
      <c r="F330" t="s">
        <v>60</v>
      </c>
    </row>
    <row r="331" spans="1:6" x14ac:dyDescent="0.2">
      <c r="A331" s="1" t="s">
        <v>219</v>
      </c>
      <c r="B331" t="s">
        <v>39</v>
      </c>
      <c r="D331" t="s">
        <v>38</v>
      </c>
      <c r="F331" t="s">
        <v>60</v>
      </c>
    </row>
    <row r="332" spans="1:6" x14ac:dyDescent="0.2">
      <c r="A332" s="1" t="s">
        <v>220</v>
      </c>
      <c r="B332" t="s">
        <v>10</v>
      </c>
      <c r="D332" t="s">
        <v>23</v>
      </c>
      <c r="F332" t="s">
        <v>60</v>
      </c>
    </row>
    <row r="333" spans="1:6" x14ac:dyDescent="0.2">
      <c r="A333" s="1" t="s">
        <v>220</v>
      </c>
      <c r="B333" t="s">
        <v>21</v>
      </c>
      <c r="D333" t="s">
        <v>13</v>
      </c>
      <c r="F333" t="s">
        <v>60</v>
      </c>
    </row>
    <row r="334" spans="1:6" x14ac:dyDescent="0.2">
      <c r="A334" s="1" t="s">
        <v>220</v>
      </c>
      <c r="B334" t="s">
        <v>34</v>
      </c>
      <c r="D334" t="s">
        <v>14</v>
      </c>
      <c r="F334" t="s">
        <v>60</v>
      </c>
    </row>
    <row r="335" spans="1:6" x14ac:dyDescent="0.2">
      <c r="A335" s="1" t="s">
        <v>220</v>
      </c>
      <c r="B335" t="s">
        <v>25</v>
      </c>
      <c r="D335" t="s">
        <v>40</v>
      </c>
      <c r="F335" t="s">
        <v>60</v>
      </c>
    </row>
    <row r="336" spans="1:6" x14ac:dyDescent="0.2">
      <c r="A336" s="1" t="s">
        <v>221</v>
      </c>
      <c r="B336" t="s">
        <v>20</v>
      </c>
      <c r="D336" t="s">
        <v>31</v>
      </c>
      <c r="F336" t="s">
        <v>60</v>
      </c>
    </row>
    <row r="337" spans="1:6" x14ac:dyDescent="0.2">
      <c r="A337" s="1" t="s">
        <v>221</v>
      </c>
      <c r="B337" t="s">
        <v>39</v>
      </c>
      <c r="D337" t="s">
        <v>16</v>
      </c>
      <c r="F337" t="s">
        <v>60</v>
      </c>
    </row>
    <row r="338" spans="1:6" x14ac:dyDescent="0.2">
      <c r="A338" s="1" t="s">
        <v>221</v>
      </c>
      <c r="B338" t="s">
        <v>28</v>
      </c>
      <c r="D338" t="s">
        <v>26</v>
      </c>
      <c r="F338" t="s">
        <v>60</v>
      </c>
    </row>
    <row r="339" spans="1:6" x14ac:dyDescent="0.2">
      <c r="A339" s="1" t="s">
        <v>221</v>
      </c>
      <c r="B339" t="s">
        <v>17</v>
      </c>
      <c r="D339" t="s">
        <v>11</v>
      </c>
      <c r="F339" t="s">
        <v>60</v>
      </c>
    </row>
    <row r="340" spans="1:6" x14ac:dyDescent="0.2">
      <c r="A340" s="1" t="s">
        <v>221</v>
      </c>
      <c r="B340" t="s">
        <v>19</v>
      </c>
      <c r="D340" t="s">
        <v>18</v>
      </c>
      <c r="F340" t="s">
        <v>60</v>
      </c>
    </row>
    <row r="341" spans="1:6" x14ac:dyDescent="0.2">
      <c r="A341" s="1" t="s">
        <v>221</v>
      </c>
      <c r="B341" t="s">
        <v>12</v>
      </c>
      <c r="D341" t="s">
        <v>29</v>
      </c>
      <c r="F341" t="s">
        <v>60</v>
      </c>
    </row>
    <row r="342" spans="1:6" x14ac:dyDescent="0.2">
      <c r="A342" s="1" t="s">
        <v>221</v>
      </c>
      <c r="B342" t="s">
        <v>35</v>
      </c>
      <c r="D342" t="s">
        <v>30</v>
      </c>
      <c r="F342" t="s">
        <v>60</v>
      </c>
    </row>
    <row r="343" spans="1:6" x14ac:dyDescent="0.2">
      <c r="A343" s="1" t="s">
        <v>221</v>
      </c>
      <c r="B343" t="s">
        <v>24</v>
      </c>
      <c r="D343" t="s">
        <v>27</v>
      </c>
      <c r="F343" t="s">
        <v>60</v>
      </c>
    </row>
    <row r="344" spans="1:6" x14ac:dyDescent="0.2">
      <c r="A344" s="1" t="s">
        <v>221</v>
      </c>
      <c r="B344" t="s">
        <v>32</v>
      </c>
      <c r="D344" t="s">
        <v>14</v>
      </c>
      <c r="F344" t="s">
        <v>60</v>
      </c>
    </row>
    <row r="345" spans="1:6" x14ac:dyDescent="0.2">
      <c r="A345" s="1" t="s">
        <v>221</v>
      </c>
      <c r="B345" t="s">
        <v>36</v>
      </c>
      <c r="D345" t="s">
        <v>33</v>
      </c>
      <c r="F345" t="s">
        <v>60</v>
      </c>
    </row>
    <row r="346" spans="1:6" x14ac:dyDescent="0.2">
      <c r="A346" s="1" t="s">
        <v>221</v>
      </c>
      <c r="B346" t="s">
        <v>15</v>
      </c>
      <c r="D346" t="s">
        <v>55</v>
      </c>
      <c r="F346" t="s">
        <v>60</v>
      </c>
    </row>
    <row r="347" spans="1:6" x14ac:dyDescent="0.2">
      <c r="A347" s="1" t="s">
        <v>221</v>
      </c>
      <c r="B347" t="s">
        <v>37</v>
      </c>
      <c r="D347" t="s">
        <v>22</v>
      </c>
      <c r="F347" t="s">
        <v>60</v>
      </c>
    </row>
    <row r="348" spans="1:6" x14ac:dyDescent="0.2">
      <c r="A348" s="1" t="s">
        <v>222</v>
      </c>
      <c r="B348" t="s">
        <v>25</v>
      </c>
      <c r="D348" t="s">
        <v>23</v>
      </c>
      <c r="F348" t="s">
        <v>60</v>
      </c>
    </row>
    <row r="349" spans="1:6" x14ac:dyDescent="0.2">
      <c r="A349" s="1" t="s">
        <v>222</v>
      </c>
      <c r="B349" t="s">
        <v>12</v>
      </c>
      <c r="D349" t="s">
        <v>10</v>
      </c>
      <c r="F349" t="s">
        <v>60</v>
      </c>
    </row>
    <row r="350" spans="1:6" x14ac:dyDescent="0.2">
      <c r="A350" s="1" t="s">
        <v>222</v>
      </c>
      <c r="B350" t="s">
        <v>32</v>
      </c>
      <c r="D350" t="s">
        <v>30</v>
      </c>
      <c r="F350" t="s">
        <v>60</v>
      </c>
    </row>
    <row r="351" spans="1:6" x14ac:dyDescent="0.2">
      <c r="A351" s="1" t="s">
        <v>222</v>
      </c>
      <c r="B351" t="s">
        <v>21</v>
      </c>
      <c r="D351" t="s">
        <v>33</v>
      </c>
      <c r="F351" t="s">
        <v>60</v>
      </c>
    </row>
    <row r="352" spans="1:6" x14ac:dyDescent="0.2">
      <c r="A352" s="1" t="s">
        <v>222</v>
      </c>
      <c r="B352" t="s">
        <v>16</v>
      </c>
      <c r="D352" t="s">
        <v>38</v>
      </c>
      <c r="F352" t="s">
        <v>60</v>
      </c>
    </row>
    <row r="353" spans="1:6" x14ac:dyDescent="0.2">
      <c r="A353" s="1" t="s">
        <v>222</v>
      </c>
      <c r="B353" t="s">
        <v>34</v>
      </c>
      <c r="D353" t="s">
        <v>40</v>
      </c>
      <c r="F353" t="s">
        <v>60</v>
      </c>
    </row>
    <row r="354" spans="1:6" x14ac:dyDescent="0.2">
      <c r="A354" s="1" t="s">
        <v>223</v>
      </c>
      <c r="B354" t="s">
        <v>36</v>
      </c>
      <c r="D354" t="s">
        <v>13</v>
      </c>
      <c r="F354" t="s">
        <v>60</v>
      </c>
    </row>
    <row r="355" spans="1:6" x14ac:dyDescent="0.2">
      <c r="A355" s="1" t="s">
        <v>223</v>
      </c>
      <c r="B355" t="s">
        <v>26</v>
      </c>
      <c r="D355" t="s">
        <v>24</v>
      </c>
      <c r="F355" t="s">
        <v>60</v>
      </c>
    </row>
    <row r="356" spans="1:6" x14ac:dyDescent="0.2">
      <c r="A356" s="1" t="s">
        <v>223</v>
      </c>
      <c r="B356" t="s">
        <v>11</v>
      </c>
      <c r="D356" t="s">
        <v>29</v>
      </c>
      <c r="F356" t="s">
        <v>60</v>
      </c>
    </row>
    <row r="357" spans="1:6" x14ac:dyDescent="0.2">
      <c r="A357" s="1" t="s">
        <v>223</v>
      </c>
      <c r="B357" t="s">
        <v>35</v>
      </c>
      <c r="D357" t="s">
        <v>15</v>
      </c>
      <c r="F357" t="s">
        <v>60</v>
      </c>
    </row>
    <row r="358" spans="1:6" x14ac:dyDescent="0.2">
      <c r="A358" s="1" t="s">
        <v>223</v>
      </c>
      <c r="B358" t="s">
        <v>27</v>
      </c>
      <c r="D358" t="s">
        <v>37</v>
      </c>
      <c r="F358" t="s">
        <v>60</v>
      </c>
    </row>
    <row r="359" spans="1:6" x14ac:dyDescent="0.2">
      <c r="A359" s="1" t="s">
        <v>223</v>
      </c>
      <c r="B359" t="s">
        <v>20</v>
      </c>
      <c r="D359" t="s">
        <v>55</v>
      </c>
      <c r="F359" t="s">
        <v>60</v>
      </c>
    </row>
    <row r="360" spans="1:6" x14ac:dyDescent="0.2">
      <c r="A360" s="1" t="s">
        <v>223</v>
      </c>
      <c r="B360" t="s">
        <v>28</v>
      </c>
      <c r="D360" t="s">
        <v>22</v>
      </c>
      <c r="F360" t="s">
        <v>60</v>
      </c>
    </row>
    <row r="361" spans="1:6" x14ac:dyDescent="0.2">
      <c r="A361" s="1" t="s">
        <v>224</v>
      </c>
      <c r="B361" t="s">
        <v>39</v>
      </c>
      <c r="D361" t="s">
        <v>17</v>
      </c>
      <c r="F361" t="s">
        <v>60</v>
      </c>
    </row>
    <row r="362" spans="1:6" x14ac:dyDescent="0.2">
      <c r="A362" s="1" t="s">
        <v>225</v>
      </c>
      <c r="B362" t="s">
        <v>38</v>
      </c>
      <c r="D362" t="s">
        <v>31</v>
      </c>
      <c r="F362" t="s">
        <v>60</v>
      </c>
    </row>
    <row r="363" spans="1:6" x14ac:dyDescent="0.2">
      <c r="A363" s="1" t="s">
        <v>225</v>
      </c>
      <c r="B363" t="s">
        <v>15</v>
      </c>
      <c r="D363" t="s">
        <v>25</v>
      </c>
      <c r="F363" t="s">
        <v>60</v>
      </c>
    </row>
    <row r="364" spans="1:6" x14ac:dyDescent="0.2">
      <c r="A364" s="1" t="s">
        <v>225</v>
      </c>
      <c r="B364" t="s">
        <v>19</v>
      </c>
      <c r="D364" t="s">
        <v>28</v>
      </c>
      <c r="F364" t="s">
        <v>60</v>
      </c>
    </row>
    <row r="365" spans="1:6" x14ac:dyDescent="0.2">
      <c r="A365" s="1" t="s">
        <v>225</v>
      </c>
      <c r="B365" t="s">
        <v>34</v>
      </c>
      <c r="D365" t="s">
        <v>10</v>
      </c>
      <c r="F365" t="s">
        <v>60</v>
      </c>
    </row>
    <row r="366" spans="1:6" x14ac:dyDescent="0.2">
      <c r="A366" s="1" t="s">
        <v>225</v>
      </c>
      <c r="B366" t="s">
        <v>33</v>
      </c>
      <c r="D366" t="s">
        <v>12</v>
      </c>
      <c r="F366" t="s">
        <v>60</v>
      </c>
    </row>
    <row r="367" spans="1:6" x14ac:dyDescent="0.2">
      <c r="A367" s="1" t="s">
        <v>225</v>
      </c>
      <c r="B367" t="s">
        <v>29</v>
      </c>
      <c r="D367" t="s">
        <v>26</v>
      </c>
      <c r="F367" t="s">
        <v>60</v>
      </c>
    </row>
    <row r="368" spans="1:6" x14ac:dyDescent="0.2">
      <c r="A368" s="1" t="s">
        <v>225</v>
      </c>
      <c r="B368" t="s">
        <v>27</v>
      </c>
      <c r="D368" t="s">
        <v>11</v>
      </c>
      <c r="F368" t="s">
        <v>60</v>
      </c>
    </row>
    <row r="369" spans="1:6" x14ac:dyDescent="0.2">
      <c r="A369" s="1" t="s">
        <v>225</v>
      </c>
      <c r="B369" t="s">
        <v>35</v>
      </c>
      <c r="D369" t="s">
        <v>24</v>
      </c>
      <c r="F369" t="s">
        <v>60</v>
      </c>
    </row>
    <row r="370" spans="1:6" x14ac:dyDescent="0.2">
      <c r="A370" s="1" t="s">
        <v>225</v>
      </c>
      <c r="B370" t="s">
        <v>21</v>
      </c>
      <c r="D370" t="s">
        <v>30</v>
      </c>
      <c r="F370" t="s">
        <v>60</v>
      </c>
    </row>
    <row r="371" spans="1:6" x14ac:dyDescent="0.2">
      <c r="A371" s="1" t="s">
        <v>225</v>
      </c>
      <c r="B371" t="s">
        <v>23</v>
      </c>
      <c r="D371" t="s">
        <v>14</v>
      </c>
      <c r="F371" t="s">
        <v>60</v>
      </c>
    </row>
    <row r="372" spans="1:6" x14ac:dyDescent="0.2">
      <c r="A372" s="1" t="s">
        <v>225</v>
      </c>
      <c r="B372" t="s">
        <v>39</v>
      </c>
      <c r="D372" t="s">
        <v>32</v>
      </c>
      <c r="F372" t="s">
        <v>60</v>
      </c>
    </row>
    <row r="373" spans="1:6" x14ac:dyDescent="0.2">
      <c r="A373" s="1" t="s">
        <v>225</v>
      </c>
      <c r="B373" t="s">
        <v>16</v>
      </c>
      <c r="D373" t="s">
        <v>37</v>
      </c>
      <c r="F373" t="s">
        <v>60</v>
      </c>
    </row>
    <row r="374" spans="1:6" x14ac:dyDescent="0.2">
      <c r="A374" s="1" t="s">
        <v>225</v>
      </c>
      <c r="B374" t="s">
        <v>18</v>
      </c>
      <c r="D374" t="s">
        <v>55</v>
      </c>
      <c r="F374" t="s">
        <v>60</v>
      </c>
    </row>
    <row r="375" spans="1:6" x14ac:dyDescent="0.2">
      <c r="A375" s="1" t="s">
        <v>225</v>
      </c>
      <c r="B375" t="s">
        <v>36</v>
      </c>
      <c r="D375" t="s">
        <v>20</v>
      </c>
      <c r="F375" t="s">
        <v>60</v>
      </c>
    </row>
    <row r="376" spans="1:6" x14ac:dyDescent="0.2">
      <c r="A376" s="1" t="s">
        <v>225</v>
      </c>
      <c r="B376" t="s">
        <v>40</v>
      </c>
      <c r="D376" t="s">
        <v>22</v>
      </c>
      <c r="F376" t="s">
        <v>60</v>
      </c>
    </row>
    <row r="377" spans="1:6" x14ac:dyDescent="0.2">
      <c r="A377" s="1" t="s">
        <v>226</v>
      </c>
      <c r="B377" t="s">
        <v>13</v>
      </c>
      <c r="D377" t="s">
        <v>31</v>
      </c>
      <c r="F377" t="s">
        <v>60</v>
      </c>
    </row>
    <row r="378" spans="1:6" x14ac:dyDescent="0.2">
      <c r="A378" s="1" t="s">
        <v>226</v>
      </c>
      <c r="B378" t="s">
        <v>15</v>
      </c>
      <c r="D378" t="s">
        <v>21</v>
      </c>
      <c r="F378" t="s">
        <v>60</v>
      </c>
    </row>
    <row r="379" spans="1:6" x14ac:dyDescent="0.2">
      <c r="A379" s="1" t="s">
        <v>226</v>
      </c>
      <c r="B379" t="s">
        <v>24</v>
      </c>
      <c r="D379" t="s">
        <v>23</v>
      </c>
      <c r="F379" t="s">
        <v>60</v>
      </c>
    </row>
    <row r="380" spans="1:6" x14ac:dyDescent="0.2">
      <c r="A380" s="1" t="s">
        <v>226</v>
      </c>
      <c r="B380" t="s">
        <v>40</v>
      </c>
      <c r="D380" t="s">
        <v>25</v>
      </c>
      <c r="F380" t="s">
        <v>60</v>
      </c>
    </row>
    <row r="381" spans="1:6" x14ac:dyDescent="0.2">
      <c r="A381" s="1" t="s">
        <v>226</v>
      </c>
      <c r="B381" t="s">
        <v>14</v>
      </c>
      <c r="D381" t="s">
        <v>28</v>
      </c>
      <c r="F381" t="s">
        <v>60</v>
      </c>
    </row>
    <row r="382" spans="1:6" x14ac:dyDescent="0.2">
      <c r="A382" s="1" t="s">
        <v>226</v>
      </c>
      <c r="B382" t="s">
        <v>29</v>
      </c>
      <c r="D382" t="s">
        <v>10</v>
      </c>
      <c r="F382" t="s">
        <v>60</v>
      </c>
    </row>
    <row r="383" spans="1:6" x14ac:dyDescent="0.2">
      <c r="A383" s="1" t="s">
        <v>226</v>
      </c>
      <c r="B383" t="s">
        <v>55</v>
      </c>
      <c r="D383" t="s">
        <v>39</v>
      </c>
      <c r="F383" t="s">
        <v>60</v>
      </c>
    </row>
    <row r="384" spans="1:6" x14ac:dyDescent="0.2">
      <c r="A384" s="1" t="s">
        <v>226</v>
      </c>
      <c r="B384" t="s">
        <v>37</v>
      </c>
      <c r="D384" t="s">
        <v>26</v>
      </c>
      <c r="F384" t="s">
        <v>60</v>
      </c>
    </row>
    <row r="385" spans="1:6" x14ac:dyDescent="0.2">
      <c r="A385" s="1" t="s">
        <v>226</v>
      </c>
      <c r="B385" t="s">
        <v>16</v>
      </c>
      <c r="D385" t="s">
        <v>11</v>
      </c>
      <c r="F385" t="s">
        <v>60</v>
      </c>
    </row>
    <row r="386" spans="1:6" x14ac:dyDescent="0.2">
      <c r="A386" s="1" t="s">
        <v>226</v>
      </c>
      <c r="B386" t="s">
        <v>12</v>
      </c>
      <c r="D386" t="s">
        <v>34</v>
      </c>
      <c r="F386" t="s">
        <v>60</v>
      </c>
    </row>
    <row r="387" spans="1:6" x14ac:dyDescent="0.2">
      <c r="A387" s="1" t="s">
        <v>226</v>
      </c>
      <c r="B387" t="s">
        <v>27</v>
      </c>
      <c r="D387" t="s">
        <v>30</v>
      </c>
      <c r="F387" t="s">
        <v>60</v>
      </c>
    </row>
    <row r="388" spans="1:6" x14ac:dyDescent="0.2">
      <c r="A388" s="1" t="s">
        <v>226</v>
      </c>
      <c r="B388" t="s">
        <v>38</v>
      </c>
      <c r="D388" t="s">
        <v>33</v>
      </c>
      <c r="F388" t="s">
        <v>60</v>
      </c>
    </row>
    <row r="389" spans="1:6" x14ac:dyDescent="0.2">
      <c r="A389" s="1" t="s">
        <v>226</v>
      </c>
      <c r="B389" t="s">
        <v>36</v>
      </c>
      <c r="D389" t="s">
        <v>35</v>
      </c>
      <c r="F389" t="s">
        <v>60</v>
      </c>
    </row>
    <row r="390" spans="1:6" x14ac:dyDescent="0.2">
      <c r="A390" s="1" t="s">
        <v>226</v>
      </c>
      <c r="B390" t="s">
        <v>18</v>
      </c>
      <c r="D390" t="s">
        <v>20</v>
      </c>
      <c r="F390" t="s">
        <v>60</v>
      </c>
    </row>
    <row r="391" spans="1:6" x14ac:dyDescent="0.2">
      <c r="A391" s="1" t="s">
        <v>226</v>
      </c>
      <c r="B391" t="s">
        <v>19</v>
      </c>
      <c r="D391" t="s">
        <v>22</v>
      </c>
      <c r="F391" t="s">
        <v>60</v>
      </c>
    </row>
    <row r="392" spans="1:6" x14ac:dyDescent="0.2">
      <c r="A392" s="1" t="s">
        <v>227</v>
      </c>
      <c r="B392" t="s">
        <v>26</v>
      </c>
      <c r="D392" t="s">
        <v>21</v>
      </c>
      <c r="F392" t="s">
        <v>60</v>
      </c>
    </row>
    <row r="393" spans="1:6" x14ac:dyDescent="0.2">
      <c r="A393" s="1" t="s">
        <v>227</v>
      </c>
      <c r="B393" t="s">
        <v>18</v>
      </c>
      <c r="D393" t="s">
        <v>12</v>
      </c>
      <c r="F393" t="s">
        <v>60</v>
      </c>
    </row>
    <row r="394" spans="1:6" x14ac:dyDescent="0.2">
      <c r="A394" s="1" t="s">
        <v>227</v>
      </c>
      <c r="B394" t="s">
        <v>38</v>
      </c>
      <c r="D394" t="s">
        <v>13</v>
      </c>
      <c r="F394" t="s">
        <v>60</v>
      </c>
    </row>
    <row r="395" spans="1:6" x14ac:dyDescent="0.2">
      <c r="A395" s="1" t="s">
        <v>227</v>
      </c>
      <c r="B395" t="s">
        <v>23</v>
      </c>
      <c r="D395" t="s">
        <v>34</v>
      </c>
      <c r="F395" t="s">
        <v>60</v>
      </c>
    </row>
    <row r="396" spans="1:6" x14ac:dyDescent="0.2">
      <c r="A396" s="1" t="s">
        <v>227</v>
      </c>
      <c r="B396" t="s">
        <v>27</v>
      </c>
      <c r="D396" t="s">
        <v>24</v>
      </c>
      <c r="F396" t="s">
        <v>60</v>
      </c>
    </row>
    <row r="397" spans="1:6" x14ac:dyDescent="0.2">
      <c r="A397" s="1" t="s">
        <v>227</v>
      </c>
      <c r="B397" t="s">
        <v>40</v>
      </c>
      <c r="D397" t="s">
        <v>29</v>
      </c>
      <c r="F397" t="s">
        <v>60</v>
      </c>
    </row>
    <row r="398" spans="1:6" x14ac:dyDescent="0.2">
      <c r="A398" s="1" t="s">
        <v>227</v>
      </c>
      <c r="B398" t="s">
        <v>37</v>
      </c>
      <c r="D398" t="s">
        <v>15</v>
      </c>
      <c r="F398" t="s">
        <v>60</v>
      </c>
    </row>
    <row r="399" spans="1:6" x14ac:dyDescent="0.2">
      <c r="A399" s="1" t="s">
        <v>227</v>
      </c>
      <c r="B399" t="s">
        <v>19</v>
      </c>
      <c r="D399" t="s">
        <v>14</v>
      </c>
      <c r="F399" t="s">
        <v>60</v>
      </c>
    </row>
    <row r="400" spans="1:6" x14ac:dyDescent="0.2">
      <c r="A400" s="1" t="s">
        <v>227</v>
      </c>
      <c r="B400" t="s">
        <v>17</v>
      </c>
      <c r="D400" t="s">
        <v>32</v>
      </c>
      <c r="F400" t="s">
        <v>60</v>
      </c>
    </row>
    <row r="401" spans="1:6" x14ac:dyDescent="0.2">
      <c r="A401" s="1" t="s">
        <v>227</v>
      </c>
      <c r="B401" t="s">
        <v>55</v>
      </c>
      <c r="D401" t="s">
        <v>35</v>
      </c>
      <c r="F401" t="s">
        <v>60</v>
      </c>
    </row>
    <row r="402" spans="1:6" x14ac:dyDescent="0.2">
      <c r="A402" s="1" t="s">
        <v>227</v>
      </c>
      <c r="B402" t="s">
        <v>33</v>
      </c>
      <c r="D402" t="s">
        <v>20</v>
      </c>
      <c r="F402" t="s">
        <v>60</v>
      </c>
    </row>
    <row r="403" spans="1:6" x14ac:dyDescent="0.2">
      <c r="A403" s="1" t="s">
        <v>228</v>
      </c>
      <c r="B403" t="s">
        <v>16</v>
      </c>
      <c r="D403" t="s">
        <v>25</v>
      </c>
      <c r="F403" t="s">
        <v>60</v>
      </c>
    </row>
    <row r="404" spans="1:6" x14ac:dyDescent="0.2">
      <c r="A404" s="1" t="s">
        <v>228</v>
      </c>
      <c r="B404" t="s">
        <v>31</v>
      </c>
      <c r="D404" t="s">
        <v>10</v>
      </c>
      <c r="F404" t="s">
        <v>60</v>
      </c>
    </row>
    <row r="405" spans="1:6" x14ac:dyDescent="0.2">
      <c r="A405" s="1" t="s">
        <v>228</v>
      </c>
      <c r="B405" t="s">
        <v>36</v>
      </c>
      <c r="D405" t="s">
        <v>39</v>
      </c>
      <c r="F405" t="s">
        <v>60</v>
      </c>
    </row>
    <row r="406" spans="1:6" x14ac:dyDescent="0.2">
      <c r="A406" s="1" t="s">
        <v>228</v>
      </c>
      <c r="B406" t="s">
        <v>22</v>
      </c>
      <c r="D406" t="s">
        <v>30</v>
      </c>
      <c r="F406" t="s">
        <v>60</v>
      </c>
    </row>
    <row r="407" spans="1:6" x14ac:dyDescent="0.2">
      <c r="A407" s="1" t="s">
        <v>229</v>
      </c>
      <c r="B407" t="s">
        <v>40</v>
      </c>
      <c r="D407" t="s">
        <v>23</v>
      </c>
      <c r="F407" t="s">
        <v>60</v>
      </c>
    </row>
    <row r="408" spans="1:6" x14ac:dyDescent="0.2">
      <c r="A408" s="1" t="s">
        <v>229</v>
      </c>
      <c r="B408" t="s">
        <v>28</v>
      </c>
      <c r="D408" t="s">
        <v>24</v>
      </c>
      <c r="F408" t="s">
        <v>60</v>
      </c>
    </row>
    <row r="409" spans="1:6" x14ac:dyDescent="0.2">
      <c r="A409" s="1" t="s">
        <v>229</v>
      </c>
      <c r="B409" t="s">
        <v>14</v>
      </c>
      <c r="D409" t="s">
        <v>27</v>
      </c>
      <c r="F409" t="s">
        <v>60</v>
      </c>
    </row>
    <row r="410" spans="1:6" x14ac:dyDescent="0.2">
      <c r="A410" s="1" t="s">
        <v>229</v>
      </c>
      <c r="B410" t="s">
        <v>55</v>
      </c>
      <c r="D410" t="s">
        <v>33</v>
      </c>
      <c r="F410" t="s">
        <v>60</v>
      </c>
    </row>
    <row r="411" spans="1:6" x14ac:dyDescent="0.2">
      <c r="A411" s="1" t="s">
        <v>229</v>
      </c>
      <c r="B411" t="s">
        <v>31</v>
      </c>
      <c r="D411" t="s">
        <v>35</v>
      </c>
      <c r="F411" t="s">
        <v>60</v>
      </c>
    </row>
    <row r="412" spans="1:6" x14ac:dyDescent="0.2">
      <c r="A412" s="1" t="s">
        <v>230</v>
      </c>
      <c r="B412" t="s">
        <v>38</v>
      </c>
      <c r="D412" t="s">
        <v>12</v>
      </c>
      <c r="F412" t="s">
        <v>60</v>
      </c>
    </row>
    <row r="413" spans="1:6" x14ac:dyDescent="0.2">
      <c r="A413" s="1" t="s">
        <v>230</v>
      </c>
      <c r="B413" t="s">
        <v>21</v>
      </c>
      <c r="D413" t="s">
        <v>26</v>
      </c>
      <c r="F413" t="s">
        <v>60</v>
      </c>
    </row>
    <row r="414" spans="1:6" x14ac:dyDescent="0.2">
      <c r="A414" s="1" t="s">
        <v>230</v>
      </c>
      <c r="B414" t="s">
        <v>34</v>
      </c>
      <c r="D414" t="s">
        <v>17</v>
      </c>
      <c r="F414" t="s">
        <v>60</v>
      </c>
    </row>
    <row r="415" spans="1:6" x14ac:dyDescent="0.2">
      <c r="A415" s="1" t="s">
        <v>230</v>
      </c>
      <c r="B415" t="s">
        <v>19</v>
      </c>
      <c r="D415" t="s">
        <v>11</v>
      </c>
      <c r="F415" t="s">
        <v>60</v>
      </c>
    </row>
    <row r="416" spans="1:6" x14ac:dyDescent="0.2">
      <c r="A416" s="1" t="s">
        <v>230</v>
      </c>
      <c r="B416" t="s">
        <v>22</v>
      </c>
      <c r="D416" t="s">
        <v>13</v>
      </c>
      <c r="F416" t="s">
        <v>60</v>
      </c>
    </row>
    <row r="417" spans="1:6" x14ac:dyDescent="0.2">
      <c r="A417" s="1" t="s">
        <v>230</v>
      </c>
      <c r="B417" t="s">
        <v>36</v>
      </c>
      <c r="D417" t="s">
        <v>18</v>
      </c>
      <c r="F417" t="s">
        <v>60</v>
      </c>
    </row>
    <row r="418" spans="1:6" x14ac:dyDescent="0.2">
      <c r="A418" s="1" t="s">
        <v>230</v>
      </c>
      <c r="B418" t="s">
        <v>16</v>
      </c>
      <c r="D418" t="s">
        <v>29</v>
      </c>
      <c r="F418" t="s">
        <v>60</v>
      </c>
    </row>
    <row r="419" spans="1:6" x14ac:dyDescent="0.2">
      <c r="A419" s="1" t="s">
        <v>230</v>
      </c>
      <c r="B419" t="s">
        <v>37</v>
      </c>
      <c r="D419" t="s">
        <v>30</v>
      </c>
      <c r="F419" t="s">
        <v>60</v>
      </c>
    </row>
    <row r="420" spans="1:6" x14ac:dyDescent="0.2">
      <c r="A420" s="1" t="s">
        <v>230</v>
      </c>
      <c r="B420" t="s">
        <v>39</v>
      </c>
      <c r="D420" t="s">
        <v>15</v>
      </c>
      <c r="F420" t="s">
        <v>60</v>
      </c>
    </row>
    <row r="421" spans="1:6" x14ac:dyDescent="0.2">
      <c r="A421" s="1" t="s">
        <v>230</v>
      </c>
      <c r="B421" t="s">
        <v>10</v>
      </c>
      <c r="D421" t="s">
        <v>20</v>
      </c>
      <c r="F421" t="s">
        <v>60</v>
      </c>
    </row>
    <row r="422" spans="1:6" x14ac:dyDescent="0.2">
      <c r="A422" s="1" t="s">
        <v>231</v>
      </c>
      <c r="B422" t="s">
        <v>55</v>
      </c>
      <c r="D422" t="s">
        <v>31</v>
      </c>
      <c r="F422" t="s">
        <v>60</v>
      </c>
    </row>
    <row r="423" spans="1:6" x14ac:dyDescent="0.2">
      <c r="A423" s="1" t="s">
        <v>231</v>
      </c>
      <c r="B423" t="s">
        <v>40</v>
      </c>
      <c r="D423" t="s">
        <v>18</v>
      </c>
      <c r="F423" t="s">
        <v>60</v>
      </c>
    </row>
    <row r="424" spans="1:6" x14ac:dyDescent="0.2">
      <c r="A424" s="1" t="s">
        <v>231</v>
      </c>
      <c r="B424" t="s">
        <v>39</v>
      </c>
      <c r="D424" t="s">
        <v>24</v>
      </c>
      <c r="F424" t="s">
        <v>60</v>
      </c>
    </row>
    <row r="425" spans="1:6" x14ac:dyDescent="0.2">
      <c r="A425" s="1" t="s">
        <v>231</v>
      </c>
      <c r="B425" t="s">
        <v>23</v>
      </c>
      <c r="D425" t="s">
        <v>27</v>
      </c>
      <c r="F425" t="s">
        <v>60</v>
      </c>
    </row>
    <row r="426" spans="1:6" x14ac:dyDescent="0.2">
      <c r="A426" s="1" t="s">
        <v>231</v>
      </c>
      <c r="B426" t="s">
        <v>22</v>
      </c>
      <c r="D426" t="s">
        <v>33</v>
      </c>
      <c r="F426" t="s">
        <v>60</v>
      </c>
    </row>
    <row r="427" spans="1:6" x14ac:dyDescent="0.2">
      <c r="A427" s="1" t="s">
        <v>232</v>
      </c>
      <c r="B427" t="s">
        <v>35</v>
      </c>
      <c r="D427" t="s">
        <v>21</v>
      </c>
      <c r="F427" t="s">
        <v>60</v>
      </c>
    </row>
    <row r="428" spans="1:6" x14ac:dyDescent="0.2">
      <c r="A428" s="1" t="s">
        <v>232</v>
      </c>
      <c r="B428" t="s">
        <v>19</v>
      </c>
      <c r="D428" t="s">
        <v>25</v>
      </c>
      <c r="F428" t="s">
        <v>60</v>
      </c>
    </row>
    <row r="429" spans="1:6" x14ac:dyDescent="0.2">
      <c r="A429" s="1" t="s">
        <v>232</v>
      </c>
      <c r="B429" t="s">
        <v>26</v>
      </c>
      <c r="D429" t="s">
        <v>28</v>
      </c>
      <c r="F429" t="s">
        <v>60</v>
      </c>
    </row>
    <row r="430" spans="1:6" x14ac:dyDescent="0.2">
      <c r="A430" s="1" t="s">
        <v>232</v>
      </c>
      <c r="B430" t="s">
        <v>34</v>
      </c>
      <c r="D430" t="s">
        <v>16</v>
      </c>
      <c r="F430" t="s">
        <v>60</v>
      </c>
    </row>
    <row r="431" spans="1:6" x14ac:dyDescent="0.2">
      <c r="A431" s="1" t="s">
        <v>232</v>
      </c>
      <c r="B431" t="s">
        <v>32</v>
      </c>
      <c r="D431" t="s">
        <v>17</v>
      </c>
      <c r="F431" t="s">
        <v>60</v>
      </c>
    </row>
    <row r="432" spans="1:6" x14ac:dyDescent="0.2">
      <c r="A432" s="1" t="s">
        <v>232</v>
      </c>
      <c r="B432" t="s">
        <v>29</v>
      </c>
      <c r="D432" t="s">
        <v>11</v>
      </c>
      <c r="F432" t="s">
        <v>60</v>
      </c>
    </row>
    <row r="433" spans="1:6" x14ac:dyDescent="0.2">
      <c r="A433" s="1" t="s">
        <v>232</v>
      </c>
      <c r="B433" t="s">
        <v>10</v>
      </c>
      <c r="D433" t="s">
        <v>13</v>
      </c>
      <c r="F433" t="s">
        <v>60</v>
      </c>
    </row>
    <row r="434" spans="1:6" x14ac:dyDescent="0.2">
      <c r="A434" s="1" t="s">
        <v>232</v>
      </c>
      <c r="B434" t="s">
        <v>12</v>
      </c>
      <c r="D434" t="s">
        <v>30</v>
      </c>
      <c r="F434" t="s">
        <v>60</v>
      </c>
    </row>
    <row r="435" spans="1:6" x14ac:dyDescent="0.2">
      <c r="A435" s="1" t="s">
        <v>232</v>
      </c>
      <c r="B435" t="s">
        <v>15</v>
      </c>
      <c r="D435" t="s">
        <v>36</v>
      </c>
      <c r="F435" t="s">
        <v>60</v>
      </c>
    </row>
    <row r="436" spans="1:6" x14ac:dyDescent="0.2">
      <c r="A436" s="1" t="s">
        <v>232</v>
      </c>
      <c r="B436" t="s">
        <v>14</v>
      </c>
      <c r="D436" t="s">
        <v>37</v>
      </c>
      <c r="F436" t="s">
        <v>60</v>
      </c>
    </row>
    <row r="437" spans="1:6" x14ac:dyDescent="0.2">
      <c r="A437" s="1" t="s">
        <v>233</v>
      </c>
      <c r="B437" t="s">
        <v>22</v>
      </c>
      <c r="D437" t="s">
        <v>31</v>
      </c>
      <c r="F437" t="s">
        <v>60</v>
      </c>
    </row>
    <row r="438" spans="1:6" x14ac:dyDescent="0.2">
      <c r="A438" s="1" t="s">
        <v>233</v>
      </c>
      <c r="B438" t="s">
        <v>33</v>
      </c>
      <c r="D438" t="s">
        <v>39</v>
      </c>
      <c r="F438" t="s">
        <v>60</v>
      </c>
    </row>
    <row r="439" spans="1:6" x14ac:dyDescent="0.2">
      <c r="A439" s="1" t="s">
        <v>233</v>
      </c>
      <c r="B439" t="s">
        <v>20</v>
      </c>
      <c r="D439" t="s">
        <v>24</v>
      </c>
      <c r="F439" t="s">
        <v>60</v>
      </c>
    </row>
    <row r="440" spans="1:6" x14ac:dyDescent="0.2">
      <c r="A440" s="1" t="s">
        <v>233</v>
      </c>
      <c r="B440" t="s">
        <v>55</v>
      </c>
      <c r="D440" t="s">
        <v>38</v>
      </c>
      <c r="F440" t="s">
        <v>60</v>
      </c>
    </row>
    <row r="441" spans="1:6" x14ac:dyDescent="0.2">
      <c r="A441" s="1" t="s">
        <v>233</v>
      </c>
      <c r="B441" t="s">
        <v>23</v>
      </c>
      <c r="D441" t="s">
        <v>40</v>
      </c>
      <c r="F441" t="s">
        <v>60</v>
      </c>
    </row>
    <row r="442" spans="1:6" x14ac:dyDescent="0.2">
      <c r="A442" s="1" t="s">
        <v>234</v>
      </c>
      <c r="B442" t="s">
        <v>24</v>
      </c>
      <c r="D442" t="s">
        <v>21</v>
      </c>
      <c r="F442" t="s">
        <v>60</v>
      </c>
    </row>
    <row r="443" spans="1:6" x14ac:dyDescent="0.2">
      <c r="A443" s="1" t="s">
        <v>234</v>
      </c>
      <c r="B443" t="s">
        <v>29</v>
      </c>
      <c r="D443" t="s">
        <v>25</v>
      </c>
      <c r="F443" t="s">
        <v>60</v>
      </c>
    </row>
    <row r="444" spans="1:6" x14ac:dyDescent="0.2">
      <c r="A444" s="1" t="s">
        <v>234</v>
      </c>
      <c r="B444" t="s">
        <v>55</v>
      </c>
      <c r="D444" t="s">
        <v>16</v>
      </c>
      <c r="F444" t="s">
        <v>60</v>
      </c>
    </row>
    <row r="445" spans="1:6" x14ac:dyDescent="0.2">
      <c r="A445" s="1" t="s">
        <v>234</v>
      </c>
      <c r="B445" t="s">
        <v>40</v>
      </c>
      <c r="D445" t="s">
        <v>17</v>
      </c>
      <c r="F445" t="s">
        <v>60</v>
      </c>
    </row>
    <row r="446" spans="1:6" x14ac:dyDescent="0.2">
      <c r="A446" s="1" t="s">
        <v>234</v>
      </c>
      <c r="B446" t="s">
        <v>28</v>
      </c>
      <c r="D446" t="s">
        <v>11</v>
      </c>
      <c r="F446" t="s">
        <v>60</v>
      </c>
    </row>
    <row r="447" spans="1:6" x14ac:dyDescent="0.2">
      <c r="A447" s="1" t="s">
        <v>234</v>
      </c>
      <c r="B447" t="s">
        <v>10</v>
      </c>
      <c r="D447" t="s">
        <v>13</v>
      </c>
      <c r="F447" t="s">
        <v>60</v>
      </c>
    </row>
    <row r="448" spans="1:6" x14ac:dyDescent="0.2">
      <c r="A448" s="1" t="s">
        <v>234</v>
      </c>
      <c r="B448" t="s">
        <v>12</v>
      </c>
      <c r="D448" t="s">
        <v>15</v>
      </c>
      <c r="F448" t="s">
        <v>60</v>
      </c>
    </row>
    <row r="449" spans="1:6" x14ac:dyDescent="0.2">
      <c r="A449" s="1" t="s">
        <v>234</v>
      </c>
      <c r="B449" t="s">
        <v>35</v>
      </c>
      <c r="D449" t="s">
        <v>36</v>
      </c>
      <c r="F449" t="s">
        <v>60</v>
      </c>
    </row>
    <row r="450" spans="1:6" x14ac:dyDescent="0.2">
      <c r="A450" s="1" t="s">
        <v>234</v>
      </c>
      <c r="B450" t="s">
        <v>26</v>
      </c>
      <c r="D450" t="s">
        <v>32</v>
      </c>
      <c r="F450" t="s">
        <v>60</v>
      </c>
    </row>
    <row r="451" spans="1:6" x14ac:dyDescent="0.2">
      <c r="A451" s="1" t="s">
        <v>234</v>
      </c>
      <c r="B451" t="s">
        <v>30</v>
      </c>
      <c r="D451" t="s">
        <v>37</v>
      </c>
      <c r="F451" t="s">
        <v>60</v>
      </c>
    </row>
    <row r="452" spans="1:6" x14ac:dyDescent="0.2">
      <c r="A452" s="1" t="s">
        <v>234</v>
      </c>
      <c r="B452" t="s">
        <v>18</v>
      </c>
      <c r="D452" t="s">
        <v>19</v>
      </c>
      <c r="F452" t="s">
        <v>60</v>
      </c>
    </row>
    <row r="453" spans="1:6" x14ac:dyDescent="0.2">
      <c r="A453" s="1" t="s">
        <v>234</v>
      </c>
      <c r="B453" t="s">
        <v>34</v>
      </c>
      <c r="D453" t="s">
        <v>38</v>
      </c>
      <c r="F453" t="s">
        <v>60</v>
      </c>
    </row>
    <row r="454" spans="1:6" x14ac:dyDescent="0.2">
      <c r="A454" s="1" t="s">
        <v>235</v>
      </c>
      <c r="B454" t="s">
        <v>10</v>
      </c>
      <c r="D454" t="s">
        <v>31</v>
      </c>
      <c r="F454" t="s">
        <v>60</v>
      </c>
    </row>
    <row r="455" spans="1:6" x14ac:dyDescent="0.2">
      <c r="A455" s="1" t="s">
        <v>235</v>
      </c>
      <c r="B455" t="s">
        <v>33</v>
      </c>
      <c r="D455" t="s">
        <v>25</v>
      </c>
      <c r="F455" t="s">
        <v>60</v>
      </c>
    </row>
    <row r="456" spans="1:6" x14ac:dyDescent="0.2">
      <c r="A456" s="1" t="s">
        <v>235</v>
      </c>
      <c r="B456" t="s">
        <v>14</v>
      </c>
      <c r="D456" t="s">
        <v>39</v>
      </c>
      <c r="F456" t="s">
        <v>60</v>
      </c>
    </row>
    <row r="457" spans="1:6" x14ac:dyDescent="0.2">
      <c r="A457" s="1" t="s">
        <v>235</v>
      </c>
      <c r="B457" t="s">
        <v>30</v>
      </c>
      <c r="D457" t="s">
        <v>11</v>
      </c>
      <c r="F457" t="s">
        <v>60</v>
      </c>
    </row>
    <row r="458" spans="1:6" x14ac:dyDescent="0.2">
      <c r="A458" s="1" t="s">
        <v>235</v>
      </c>
      <c r="B458" t="s">
        <v>35</v>
      </c>
      <c r="D458" t="s">
        <v>18</v>
      </c>
      <c r="F458" t="s">
        <v>60</v>
      </c>
    </row>
    <row r="459" spans="1:6" x14ac:dyDescent="0.2">
      <c r="A459" s="1" t="s">
        <v>235</v>
      </c>
      <c r="B459" t="s">
        <v>20</v>
      </c>
      <c r="D459" t="s">
        <v>15</v>
      </c>
      <c r="F459" t="s">
        <v>60</v>
      </c>
    </row>
    <row r="460" spans="1:6" x14ac:dyDescent="0.2">
      <c r="A460" s="1" t="s">
        <v>235</v>
      </c>
      <c r="B460" t="s">
        <v>12</v>
      </c>
      <c r="D460" t="s">
        <v>27</v>
      </c>
      <c r="F460" t="s">
        <v>60</v>
      </c>
    </row>
    <row r="461" spans="1:6" x14ac:dyDescent="0.2">
      <c r="A461" s="1" t="s">
        <v>235</v>
      </c>
      <c r="B461" t="s">
        <v>28</v>
      </c>
      <c r="D461" t="s">
        <v>22</v>
      </c>
      <c r="F461" t="s">
        <v>60</v>
      </c>
    </row>
    <row r="462" spans="1:6" x14ac:dyDescent="0.2">
      <c r="A462" s="1" t="s">
        <v>236</v>
      </c>
      <c r="B462" t="s">
        <v>23</v>
      </c>
      <c r="D462" t="s">
        <v>16</v>
      </c>
      <c r="F462" t="s">
        <v>60</v>
      </c>
    </row>
    <row r="463" spans="1:6" x14ac:dyDescent="0.2">
      <c r="A463" s="1" t="s">
        <v>236</v>
      </c>
      <c r="B463" t="s">
        <v>34</v>
      </c>
      <c r="D463" t="s">
        <v>32</v>
      </c>
      <c r="F463" t="s">
        <v>60</v>
      </c>
    </row>
    <row r="464" spans="1:6" x14ac:dyDescent="0.2">
      <c r="A464" s="1" t="s">
        <v>236</v>
      </c>
      <c r="B464" t="s">
        <v>37</v>
      </c>
      <c r="D464" t="s">
        <v>19</v>
      </c>
      <c r="F464" t="s">
        <v>60</v>
      </c>
    </row>
    <row r="465" spans="1:6" x14ac:dyDescent="0.2">
      <c r="A465" s="1" t="s">
        <v>236</v>
      </c>
      <c r="B465" t="s">
        <v>13</v>
      </c>
      <c r="D465" t="s">
        <v>55</v>
      </c>
      <c r="F465" t="s">
        <v>60</v>
      </c>
    </row>
    <row r="466" spans="1:6" x14ac:dyDescent="0.2">
      <c r="A466" s="1" t="s">
        <v>236</v>
      </c>
      <c r="B466" t="s">
        <v>26</v>
      </c>
      <c r="D466" t="s">
        <v>38</v>
      </c>
      <c r="F466" t="s">
        <v>60</v>
      </c>
    </row>
    <row r="467" spans="1:6" x14ac:dyDescent="0.2">
      <c r="A467" s="1" t="s">
        <v>237</v>
      </c>
      <c r="B467" t="s">
        <v>28</v>
      </c>
      <c r="D467" t="s">
        <v>25</v>
      </c>
      <c r="F467" t="s">
        <v>60</v>
      </c>
    </row>
    <row r="468" spans="1:6" x14ac:dyDescent="0.2">
      <c r="A468" s="1" t="s">
        <v>237</v>
      </c>
      <c r="B468" t="s">
        <v>23</v>
      </c>
      <c r="D468" t="s">
        <v>17</v>
      </c>
      <c r="F468" t="s">
        <v>60</v>
      </c>
    </row>
    <row r="469" spans="1:6" x14ac:dyDescent="0.2">
      <c r="A469" s="1" t="s">
        <v>237</v>
      </c>
      <c r="B469" t="s">
        <v>37</v>
      </c>
      <c r="D469" t="s">
        <v>18</v>
      </c>
      <c r="F469" t="s">
        <v>60</v>
      </c>
    </row>
    <row r="470" spans="1:6" x14ac:dyDescent="0.2">
      <c r="A470" s="1" t="s">
        <v>237</v>
      </c>
      <c r="B470" t="s">
        <v>12</v>
      </c>
      <c r="D470" t="s">
        <v>29</v>
      </c>
      <c r="F470" t="s">
        <v>60</v>
      </c>
    </row>
    <row r="471" spans="1:6" x14ac:dyDescent="0.2">
      <c r="A471" s="1" t="s">
        <v>237</v>
      </c>
      <c r="B471" t="s">
        <v>20</v>
      </c>
      <c r="D471" t="s">
        <v>30</v>
      </c>
      <c r="F471" t="s">
        <v>60</v>
      </c>
    </row>
    <row r="472" spans="1:6" x14ac:dyDescent="0.2">
      <c r="A472" s="1" t="s">
        <v>237</v>
      </c>
      <c r="B472" t="s">
        <v>24</v>
      </c>
      <c r="D472" t="s">
        <v>36</v>
      </c>
      <c r="F472" t="s">
        <v>60</v>
      </c>
    </row>
    <row r="473" spans="1:6" x14ac:dyDescent="0.2">
      <c r="A473" s="1" t="s">
        <v>237</v>
      </c>
      <c r="B473" t="s">
        <v>33</v>
      </c>
      <c r="D473" t="s">
        <v>27</v>
      </c>
      <c r="F473" t="s">
        <v>60</v>
      </c>
    </row>
    <row r="474" spans="1:6" x14ac:dyDescent="0.2">
      <c r="A474" s="1" t="s">
        <v>237</v>
      </c>
      <c r="B474" t="s">
        <v>31</v>
      </c>
      <c r="D474" t="s">
        <v>14</v>
      </c>
      <c r="F474" t="s">
        <v>60</v>
      </c>
    </row>
    <row r="475" spans="1:6" x14ac:dyDescent="0.2">
      <c r="A475" s="1" t="s">
        <v>237</v>
      </c>
      <c r="B475" t="s">
        <v>21</v>
      </c>
      <c r="D475" t="s">
        <v>35</v>
      </c>
      <c r="F475" t="s">
        <v>60</v>
      </c>
    </row>
    <row r="476" spans="1:6" x14ac:dyDescent="0.2">
      <c r="A476" s="1" t="s">
        <v>237</v>
      </c>
      <c r="B476" t="s">
        <v>39</v>
      </c>
      <c r="D476" t="s">
        <v>40</v>
      </c>
      <c r="F476" t="s">
        <v>60</v>
      </c>
    </row>
    <row r="477" spans="1:6" x14ac:dyDescent="0.2">
      <c r="A477" s="1" t="s">
        <v>238</v>
      </c>
      <c r="B477" t="s">
        <v>26</v>
      </c>
      <c r="D477" t="s">
        <v>16</v>
      </c>
      <c r="F477" t="s">
        <v>60</v>
      </c>
    </row>
    <row r="478" spans="1:6" x14ac:dyDescent="0.2">
      <c r="A478" s="1" t="s">
        <v>238</v>
      </c>
      <c r="B478" t="s">
        <v>15</v>
      </c>
      <c r="D478" t="s">
        <v>10</v>
      </c>
      <c r="F478" t="s">
        <v>60</v>
      </c>
    </row>
    <row r="479" spans="1:6" x14ac:dyDescent="0.2">
      <c r="A479" s="1" t="s">
        <v>238</v>
      </c>
      <c r="B479" t="s">
        <v>13</v>
      </c>
      <c r="D479" t="s">
        <v>32</v>
      </c>
      <c r="F479" t="s">
        <v>60</v>
      </c>
    </row>
    <row r="480" spans="1:6" x14ac:dyDescent="0.2">
      <c r="A480" s="1" t="s">
        <v>238</v>
      </c>
      <c r="B480" t="s">
        <v>11</v>
      </c>
      <c r="D480" t="s">
        <v>55</v>
      </c>
      <c r="F480" t="s">
        <v>60</v>
      </c>
    </row>
    <row r="481" spans="1:6" x14ac:dyDescent="0.2">
      <c r="A481" s="1" t="s">
        <v>239</v>
      </c>
      <c r="B481" t="s">
        <v>36</v>
      </c>
      <c r="D481" t="s">
        <v>28</v>
      </c>
      <c r="F481" t="s">
        <v>60</v>
      </c>
    </row>
    <row r="482" spans="1:6" x14ac:dyDescent="0.2">
      <c r="A482" s="1" t="s">
        <v>239</v>
      </c>
      <c r="B482" t="s">
        <v>11</v>
      </c>
      <c r="D482" t="s">
        <v>12</v>
      </c>
      <c r="F482" t="s">
        <v>60</v>
      </c>
    </row>
    <row r="483" spans="1:6" x14ac:dyDescent="0.2">
      <c r="A483" s="1" t="s">
        <v>239</v>
      </c>
      <c r="B483" t="s">
        <v>26</v>
      </c>
      <c r="D483" t="s">
        <v>17</v>
      </c>
      <c r="F483" t="s">
        <v>60</v>
      </c>
    </row>
    <row r="484" spans="1:6" x14ac:dyDescent="0.2">
      <c r="A484" s="1" t="s">
        <v>239</v>
      </c>
      <c r="B484" t="s">
        <v>39</v>
      </c>
      <c r="D484" t="s">
        <v>34</v>
      </c>
      <c r="F484" t="s">
        <v>60</v>
      </c>
    </row>
    <row r="485" spans="1:6" x14ac:dyDescent="0.2">
      <c r="A485" s="1" t="s">
        <v>239</v>
      </c>
      <c r="B485" t="s">
        <v>37</v>
      </c>
      <c r="D485" t="s">
        <v>24</v>
      </c>
      <c r="F485" t="s">
        <v>60</v>
      </c>
    </row>
    <row r="486" spans="1:6" x14ac:dyDescent="0.2">
      <c r="A486" s="1" t="s">
        <v>239</v>
      </c>
      <c r="B486" t="s">
        <v>35</v>
      </c>
      <c r="D486" t="s">
        <v>29</v>
      </c>
      <c r="F486" t="s">
        <v>60</v>
      </c>
    </row>
    <row r="487" spans="1:6" x14ac:dyDescent="0.2">
      <c r="A487" s="1" t="s">
        <v>239</v>
      </c>
      <c r="B487" t="s">
        <v>31</v>
      </c>
      <c r="D487" t="s">
        <v>30</v>
      </c>
      <c r="F487" t="s">
        <v>60</v>
      </c>
    </row>
    <row r="488" spans="1:6" x14ac:dyDescent="0.2">
      <c r="A488" s="1" t="s">
        <v>239</v>
      </c>
      <c r="B488" t="s">
        <v>20</v>
      </c>
      <c r="D488" t="s">
        <v>27</v>
      </c>
      <c r="F488" t="s">
        <v>60</v>
      </c>
    </row>
    <row r="489" spans="1:6" x14ac:dyDescent="0.2">
      <c r="A489" s="1" t="s">
        <v>239</v>
      </c>
      <c r="B489" t="s">
        <v>18</v>
      </c>
      <c r="D489" t="s">
        <v>14</v>
      </c>
      <c r="F489" t="s">
        <v>60</v>
      </c>
    </row>
    <row r="490" spans="1:6" x14ac:dyDescent="0.2">
      <c r="A490" s="1" t="s">
        <v>239</v>
      </c>
      <c r="B490" t="s">
        <v>33</v>
      </c>
      <c r="D490" t="s">
        <v>19</v>
      </c>
      <c r="F490" t="s">
        <v>60</v>
      </c>
    </row>
    <row r="491" spans="1:6" x14ac:dyDescent="0.2">
      <c r="A491" s="1" t="s">
        <v>239</v>
      </c>
      <c r="B491" t="s">
        <v>23</v>
      </c>
      <c r="D491" t="s">
        <v>38</v>
      </c>
      <c r="F491" t="s">
        <v>60</v>
      </c>
    </row>
    <row r="492" spans="1:6" x14ac:dyDescent="0.2">
      <c r="A492" s="1" t="s">
        <v>239</v>
      </c>
      <c r="B492" t="s">
        <v>21</v>
      </c>
      <c r="D492" t="s">
        <v>40</v>
      </c>
      <c r="F492" t="s">
        <v>60</v>
      </c>
    </row>
    <row r="493" spans="1:6" x14ac:dyDescent="0.2">
      <c r="A493" s="1" t="s">
        <v>239</v>
      </c>
      <c r="B493" t="s">
        <v>25</v>
      </c>
      <c r="D493" t="s">
        <v>22</v>
      </c>
      <c r="F493" t="s">
        <v>60</v>
      </c>
    </row>
    <row r="494" spans="1:6" x14ac:dyDescent="0.2">
      <c r="A494" s="1" t="s">
        <v>240</v>
      </c>
      <c r="B494" t="s">
        <v>10</v>
      </c>
      <c r="D494" t="s">
        <v>35</v>
      </c>
      <c r="F494" t="s">
        <v>60</v>
      </c>
    </row>
    <row r="495" spans="1:6" x14ac:dyDescent="0.2">
      <c r="A495" s="1" t="s">
        <v>240</v>
      </c>
      <c r="B495" t="s">
        <v>32</v>
      </c>
      <c r="D495" t="s">
        <v>55</v>
      </c>
      <c r="F495" t="s">
        <v>60</v>
      </c>
    </row>
    <row r="496" spans="1:6" x14ac:dyDescent="0.2">
      <c r="A496" s="1" t="s">
        <v>63</v>
      </c>
      <c r="B496" t="s">
        <v>20</v>
      </c>
      <c r="D496" t="s">
        <v>28</v>
      </c>
      <c r="F496" t="s">
        <v>60</v>
      </c>
    </row>
    <row r="497" spans="1:6" x14ac:dyDescent="0.2">
      <c r="A497" s="1" t="s">
        <v>63</v>
      </c>
      <c r="B497" t="s">
        <v>26</v>
      </c>
      <c r="D497" t="s">
        <v>10</v>
      </c>
      <c r="F497" t="s">
        <v>60</v>
      </c>
    </row>
    <row r="498" spans="1:6" x14ac:dyDescent="0.2">
      <c r="A498" s="1" t="s">
        <v>63</v>
      </c>
      <c r="B498" t="s">
        <v>29</v>
      </c>
      <c r="D498" t="s">
        <v>12</v>
      </c>
      <c r="F498" t="s">
        <v>60</v>
      </c>
    </row>
    <row r="499" spans="1:6" x14ac:dyDescent="0.2">
      <c r="A499" s="1" t="s">
        <v>63</v>
      </c>
      <c r="B499" t="s">
        <v>11</v>
      </c>
      <c r="D499" t="s">
        <v>39</v>
      </c>
      <c r="F499" t="s">
        <v>60</v>
      </c>
    </row>
    <row r="500" spans="1:6" x14ac:dyDescent="0.2">
      <c r="A500" s="1" t="s">
        <v>63</v>
      </c>
      <c r="B500" t="s">
        <v>16</v>
      </c>
      <c r="D500" t="s">
        <v>13</v>
      </c>
      <c r="F500" t="s">
        <v>60</v>
      </c>
    </row>
    <row r="501" spans="1:6" x14ac:dyDescent="0.2">
      <c r="A501" s="1" t="s">
        <v>63</v>
      </c>
      <c r="B501" t="s">
        <v>36</v>
      </c>
      <c r="D501" t="s">
        <v>34</v>
      </c>
      <c r="F501" t="s">
        <v>60</v>
      </c>
    </row>
    <row r="502" spans="1:6" x14ac:dyDescent="0.2">
      <c r="A502" t="s">
        <v>63</v>
      </c>
      <c r="B502" t="s">
        <v>31</v>
      </c>
      <c r="D502" t="s">
        <v>24</v>
      </c>
      <c r="F502" t="s">
        <v>60</v>
      </c>
    </row>
    <row r="503" spans="1:6" x14ac:dyDescent="0.2">
      <c r="A503" t="s">
        <v>63</v>
      </c>
      <c r="B503" t="s">
        <v>37</v>
      </c>
      <c r="D503" t="s">
        <v>30</v>
      </c>
      <c r="F503" t="s">
        <v>60</v>
      </c>
    </row>
    <row r="504" spans="1:6" x14ac:dyDescent="0.2">
      <c r="A504" t="s">
        <v>63</v>
      </c>
      <c r="B504" t="s">
        <v>18</v>
      </c>
      <c r="D504" t="s">
        <v>15</v>
      </c>
      <c r="F504" t="s">
        <v>60</v>
      </c>
    </row>
    <row r="505" spans="1:6" x14ac:dyDescent="0.2">
      <c r="A505" t="s">
        <v>63</v>
      </c>
      <c r="B505" t="s">
        <v>25</v>
      </c>
      <c r="D505" t="s">
        <v>27</v>
      </c>
      <c r="F505" t="s">
        <v>60</v>
      </c>
    </row>
    <row r="506" spans="1:6" x14ac:dyDescent="0.2">
      <c r="A506" t="s">
        <v>63</v>
      </c>
      <c r="B506" t="s">
        <v>33</v>
      </c>
      <c r="D506" t="s">
        <v>14</v>
      </c>
      <c r="F506" t="s">
        <v>60</v>
      </c>
    </row>
    <row r="507" spans="1:6" x14ac:dyDescent="0.2">
      <c r="A507" t="s">
        <v>63</v>
      </c>
      <c r="B507" t="s">
        <v>17</v>
      </c>
      <c r="D507" t="s">
        <v>19</v>
      </c>
      <c r="F507" t="s">
        <v>60</v>
      </c>
    </row>
    <row r="508" spans="1:6" x14ac:dyDescent="0.2">
      <c r="A508" t="s">
        <v>63</v>
      </c>
      <c r="B508" t="s">
        <v>22</v>
      </c>
      <c r="D508" t="s">
        <v>40</v>
      </c>
      <c r="F508" t="s">
        <v>60</v>
      </c>
    </row>
    <row r="509" spans="1:6" x14ac:dyDescent="0.2">
      <c r="A509" t="s">
        <v>64</v>
      </c>
      <c r="B509" t="s">
        <v>27</v>
      </c>
      <c r="D509" t="s">
        <v>25</v>
      </c>
      <c r="F509" t="s">
        <v>60</v>
      </c>
    </row>
    <row r="510" spans="1:6" x14ac:dyDescent="0.2">
      <c r="A510" t="s">
        <v>64</v>
      </c>
      <c r="B510" t="s">
        <v>21</v>
      </c>
      <c r="D510" t="s">
        <v>34</v>
      </c>
      <c r="F510" t="s">
        <v>60</v>
      </c>
    </row>
    <row r="511" spans="1:6" x14ac:dyDescent="0.2">
      <c r="A511" t="s">
        <v>64</v>
      </c>
      <c r="B511" t="s">
        <v>17</v>
      </c>
      <c r="D511" t="s">
        <v>18</v>
      </c>
      <c r="F511" t="s">
        <v>60</v>
      </c>
    </row>
    <row r="512" spans="1:6" x14ac:dyDescent="0.2">
      <c r="A512" t="s">
        <v>64</v>
      </c>
      <c r="B512" t="s">
        <v>38</v>
      </c>
      <c r="D512" t="s">
        <v>24</v>
      </c>
      <c r="F512" t="s">
        <v>60</v>
      </c>
    </row>
    <row r="513" spans="1:6" x14ac:dyDescent="0.2">
      <c r="A513" t="s">
        <v>64</v>
      </c>
      <c r="B513" t="s">
        <v>55</v>
      </c>
      <c r="D513" t="s">
        <v>14</v>
      </c>
      <c r="F513" t="s">
        <v>60</v>
      </c>
    </row>
    <row r="514" spans="1:6" x14ac:dyDescent="0.2">
      <c r="A514" t="s">
        <v>64</v>
      </c>
      <c r="B514" t="s">
        <v>23</v>
      </c>
      <c r="D514" t="s">
        <v>32</v>
      </c>
      <c r="F514" t="s">
        <v>60</v>
      </c>
    </row>
    <row r="515" spans="1:6" x14ac:dyDescent="0.2">
      <c r="A515" t="s">
        <v>65</v>
      </c>
      <c r="B515" t="s">
        <v>13</v>
      </c>
      <c r="D515" t="s">
        <v>39</v>
      </c>
      <c r="F515" t="s">
        <v>60</v>
      </c>
    </row>
    <row r="516" spans="1:6" x14ac:dyDescent="0.2">
      <c r="A516" t="s">
        <v>65</v>
      </c>
      <c r="B516" t="s">
        <v>31</v>
      </c>
      <c r="D516" t="s">
        <v>15</v>
      </c>
      <c r="F516" t="s">
        <v>60</v>
      </c>
    </row>
    <row r="517" spans="1:6" x14ac:dyDescent="0.2">
      <c r="A517" t="s">
        <v>65</v>
      </c>
      <c r="B517" t="s">
        <v>29</v>
      </c>
      <c r="D517" t="s">
        <v>35</v>
      </c>
      <c r="F517" t="s">
        <v>60</v>
      </c>
    </row>
    <row r="518" spans="1:6" x14ac:dyDescent="0.2">
      <c r="A518" t="s">
        <v>65</v>
      </c>
      <c r="B518" t="s">
        <v>11</v>
      </c>
      <c r="D518" t="s">
        <v>37</v>
      </c>
      <c r="F518" t="s">
        <v>60</v>
      </c>
    </row>
    <row r="519" spans="1:6" x14ac:dyDescent="0.2">
      <c r="A519" t="s">
        <v>65</v>
      </c>
      <c r="B519" t="s">
        <v>36</v>
      </c>
      <c r="D519" t="s">
        <v>40</v>
      </c>
      <c r="F519" t="s">
        <v>60</v>
      </c>
    </row>
    <row r="520" spans="1:6" x14ac:dyDescent="0.2">
      <c r="A520" t="s">
        <v>66</v>
      </c>
      <c r="B520" t="s">
        <v>55</v>
      </c>
      <c r="D520" t="s">
        <v>21</v>
      </c>
      <c r="F520" t="s">
        <v>60</v>
      </c>
    </row>
    <row r="521" spans="1:6" x14ac:dyDescent="0.2">
      <c r="A521" t="s">
        <v>66</v>
      </c>
      <c r="B521" t="s">
        <v>31</v>
      </c>
      <c r="D521" t="s">
        <v>28</v>
      </c>
      <c r="F521" t="s">
        <v>60</v>
      </c>
    </row>
    <row r="522" spans="1:6" x14ac:dyDescent="0.2">
      <c r="A522" t="s">
        <v>66</v>
      </c>
      <c r="B522" t="s">
        <v>30</v>
      </c>
      <c r="D522" t="s">
        <v>26</v>
      </c>
      <c r="F522" t="s">
        <v>60</v>
      </c>
    </row>
    <row r="523" spans="1:6" x14ac:dyDescent="0.2">
      <c r="A523" t="s">
        <v>66</v>
      </c>
      <c r="B523" t="s">
        <v>22</v>
      </c>
      <c r="D523" t="s">
        <v>34</v>
      </c>
      <c r="F523" t="s">
        <v>60</v>
      </c>
    </row>
    <row r="524" spans="1:6" x14ac:dyDescent="0.2">
      <c r="A524" t="s">
        <v>66</v>
      </c>
      <c r="B524" t="s">
        <v>27</v>
      </c>
      <c r="D524" t="s">
        <v>18</v>
      </c>
      <c r="F524" t="s">
        <v>60</v>
      </c>
    </row>
    <row r="525" spans="1:6" x14ac:dyDescent="0.2">
      <c r="A525" t="s">
        <v>66</v>
      </c>
      <c r="B525" t="s">
        <v>38</v>
      </c>
      <c r="D525" t="s">
        <v>15</v>
      </c>
      <c r="F525" t="s">
        <v>60</v>
      </c>
    </row>
    <row r="526" spans="1:6" x14ac:dyDescent="0.2">
      <c r="A526" t="s">
        <v>66</v>
      </c>
      <c r="B526" t="s">
        <v>17</v>
      </c>
      <c r="D526" t="s">
        <v>14</v>
      </c>
      <c r="F526" t="s">
        <v>60</v>
      </c>
    </row>
    <row r="527" spans="1:6" x14ac:dyDescent="0.2">
      <c r="A527" t="s">
        <v>66</v>
      </c>
      <c r="B527" t="s">
        <v>12</v>
      </c>
      <c r="D527" t="s">
        <v>32</v>
      </c>
      <c r="F527" t="s">
        <v>60</v>
      </c>
    </row>
    <row r="528" spans="1:6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K14" sqref="K14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0.20756018479200911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1602.8835200620351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0.49887659623169195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-0.29405368562219514</v>
      </c>
      <c r="J7">
        <f>(Table3[[#This Row],[HomeMargin]]-Table3[[#This Row],[HomeForecast]])^2</f>
        <v>1.6745749412723872</v>
      </c>
    </row>
    <row r="8" spans="1:10" x14ac:dyDescent="0.2">
      <c r="A8" s="4" t="s">
        <v>21</v>
      </c>
      <c r="B8">
        <v>-0.11354210657072454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-1.3760834672035605</v>
      </c>
      <c r="J8">
        <f>(Table3[[#This Row],[HomeMargin]]-Table3[[#This Row],[HomeForecast]])^2</f>
        <v>2.6371049054896099</v>
      </c>
    </row>
    <row r="9" spans="1:10" x14ac:dyDescent="0.2">
      <c r="A9" s="4" t="s">
        <v>23</v>
      </c>
      <c r="B9">
        <v>-1.005023581214965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-0.40174712960475301</v>
      </c>
      <c r="J9">
        <f>(Table3[[#This Row],[HomeMargin]]-Table3[[#This Row],[HomeForecast]])^2</f>
        <v>6.7509179785171405</v>
      </c>
    </row>
    <row r="10" spans="1:10" x14ac:dyDescent="0.2">
      <c r="A10" s="4" t="s">
        <v>16</v>
      </c>
      <c r="B10">
        <v>-1.2993694664931768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0.50202112781226249</v>
      </c>
      <c r="J10">
        <f>(Table3[[#This Row],[HomeMargin]]-Table3[[#This Row],[HomeForecast]])^2</f>
        <v>2.2560674683944213</v>
      </c>
    </row>
    <row r="11" spans="1:10" x14ac:dyDescent="0.2">
      <c r="A11" s="4" t="s">
        <v>25</v>
      </c>
      <c r="B11">
        <v>0.55298967972810642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0.13868794721093358</v>
      </c>
      <c r="J11">
        <f>(Table3[[#This Row],[HomeMargin]]-Table3[[#This Row],[HomeForecast]])^2</f>
        <v>8.1871066634359799</v>
      </c>
    </row>
    <row r="12" spans="1:10" x14ac:dyDescent="0.2">
      <c r="A12" s="4" t="s">
        <v>10</v>
      </c>
      <c r="B12">
        <v>0.28318004708662448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0.36771654402765824</v>
      </c>
      <c r="J12">
        <f>(Table3[[#This Row],[HomeMargin]]-Table3[[#This Row],[HomeForecast]])^2</f>
        <v>1.870648544806961</v>
      </c>
    </row>
    <row r="13" spans="1:10" x14ac:dyDescent="0.2">
      <c r="A13" s="4" t="s">
        <v>12</v>
      </c>
      <c r="B13">
        <v>1.4229473251234224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0.31710910762894845</v>
      </c>
      <c r="J13">
        <f>(Table3[[#This Row],[HomeMargin]]-Table3[[#This Row],[HomeForecast]])^2</f>
        <v>5.3689946166570213</v>
      </c>
    </row>
    <row r="14" spans="1:10" x14ac:dyDescent="0.2">
      <c r="A14" s="4" t="s">
        <v>28</v>
      </c>
      <c r="B14">
        <v>-0.58990467102727129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-0.18916196886533992</v>
      </c>
      <c r="J14">
        <f>(Table3[[#This Row],[HomeMargin]]-Table3[[#This Row],[HomeForecast]])^2</f>
        <v>1.4141061881956916</v>
      </c>
    </row>
    <row r="15" spans="1:10" x14ac:dyDescent="0.2">
      <c r="A15" s="4" t="s">
        <v>39</v>
      </c>
      <c r="B15">
        <v>4.3588947679693783E-2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-0.38628587409445309</v>
      </c>
      <c r="J15">
        <f>(Table3[[#This Row],[HomeMargin]]-Table3[[#This Row],[HomeForecast]])^2</f>
        <v>13.05892978376929</v>
      </c>
    </row>
    <row r="16" spans="1:10" x14ac:dyDescent="0.2">
      <c r="A16" s="4" t="s">
        <v>26</v>
      </c>
      <c r="B16">
        <v>-0.4992069962886943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0.48649755655018501</v>
      </c>
      <c r="J16">
        <f>(Table3[[#This Row],[HomeMargin]]-Table3[[#This Row],[HomeForecast]])^2</f>
        <v>6.3176945332281909</v>
      </c>
    </row>
    <row r="17" spans="1:10" x14ac:dyDescent="0.2">
      <c r="A17" s="4" t="s">
        <v>17</v>
      </c>
      <c r="B17">
        <v>-1.0049085234729234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1.874819332729293</v>
      </c>
      <c r="J17">
        <f>(Table3[[#This Row],[HomeMargin]]-Table3[[#This Row],[HomeForecast]])^2</f>
        <v>0.76530886491692551</v>
      </c>
    </row>
    <row r="18" spans="1:10" x14ac:dyDescent="0.2">
      <c r="A18" s="4" t="s">
        <v>11</v>
      </c>
      <c r="B18">
        <v>-0.2184338233275798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0.40333005381600434</v>
      </c>
      <c r="J18">
        <f>(Table3[[#This Row],[HomeMargin]]-Table3[[#This Row],[HomeForecast]])^2</f>
        <v>19.389315562839258</v>
      </c>
    </row>
    <row r="19" spans="1:10" x14ac:dyDescent="0.2">
      <c r="A19" s="4" t="s">
        <v>13</v>
      </c>
      <c r="B19">
        <v>-0.16069632687214722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0.58896612417860916</v>
      </c>
      <c r="J19">
        <f>(Table3[[#This Row],[HomeMargin]]-Table3[[#This Row],[HomeForecast]])^2</f>
        <v>0.16894884707275454</v>
      </c>
    </row>
    <row r="20" spans="1:10" x14ac:dyDescent="0.2">
      <c r="A20" s="4" t="s">
        <v>34</v>
      </c>
      <c r="B20">
        <v>-0.52340626120007572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-0.64188782576222803</v>
      </c>
      <c r="J20">
        <f>(Table3[[#This Row],[HomeMargin]]-Table3[[#This Row],[HomeForecast]])^2</f>
        <v>2.6957956323862167</v>
      </c>
    </row>
    <row r="21" spans="1:10" x14ac:dyDescent="0.2">
      <c r="A21" s="4" t="s">
        <v>18</v>
      </c>
      <c r="B21">
        <v>-0.69497686531268954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0.48242747723851553</v>
      </c>
      <c r="J21">
        <f>(Table3[[#This Row],[HomeMargin]]-Table3[[#This Row],[HomeForecast]])^2</f>
        <v>0.26788131631768736</v>
      </c>
    </row>
    <row r="22" spans="1:10" x14ac:dyDescent="0.2">
      <c r="A22" s="4" t="s">
        <v>29</v>
      </c>
      <c r="B22">
        <v>-1.4393526815815083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-0.83603341584487612</v>
      </c>
      <c r="J22">
        <f>(Table3[[#This Row],[HomeMargin]]-Table3[[#This Row],[HomeForecast]])^2</f>
        <v>8.043085535788757</v>
      </c>
    </row>
    <row r="23" spans="1:10" x14ac:dyDescent="0.2">
      <c r="A23" s="4" t="s">
        <v>24</v>
      </c>
      <c r="B23">
        <v>0.27405230796993052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-0.20785290387438535</v>
      </c>
      <c r="J23">
        <f>(Table3[[#This Row],[HomeMargin]]-Table3[[#This Row],[HomeForecast]])^2</f>
        <v>0.6274970219002437</v>
      </c>
    </row>
    <row r="24" spans="1:10" x14ac:dyDescent="0.2">
      <c r="A24" s="4" t="s">
        <v>30</v>
      </c>
      <c r="B24">
        <v>-7.6737500378247253E-2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-0.97398109883924733</v>
      </c>
      <c r="J24">
        <f>(Table3[[#This Row],[HomeMargin]]-Table3[[#This Row],[HomeForecast]])^2</f>
        <v>16.208828192503635</v>
      </c>
    </row>
    <row r="25" spans="1:10" x14ac:dyDescent="0.2">
      <c r="A25" s="4" t="s">
        <v>15</v>
      </c>
      <c r="B25">
        <v>-0.41117752232850285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0.74414208924833147</v>
      </c>
      <c r="J25">
        <f>(Table3[[#This Row],[HomeMargin]]-Table3[[#This Row],[HomeForecast]])^2</f>
        <v>3.0420316274875345</v>
      </c>
    </row>
    <row r="26" spans="1:10" x14ac:dyDescent="0.2">
      <c r="A26" s="4" t="s">
        <v>36</v>
      </c>
      <c r="B26">
        <v>-0.49956508239762204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0.62931398176659215</v>
      </c>
      <c r="J26">
        <f>(Table3[[#This Row],[HomeMargin]]-Table3[[#This Row],[HomeForecast]])^2</f>
        <v>11.361524233514185</v>
      </c>
    </row>
    <row r="27" spans="1:10" x14ac:dyDescent="0.2">
      <c r="A27" s="4" t="s">
        <v>27</v>
      </c>
      <c r="B27">
        <v>-0.59983976271417982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0.33002452991699571</v>
      </c>
      <c r="J27">
        <f>(Table3[[#This Row],[HomeMargin]]-Table3[[#This Row],[HomeForecast]])^2</f>
        <v>1.7689652501809254</v>
      </c>
    </row>
    <row r="28" spans="1:10" x14ac:dyDescent="0.2">
      <c r="A28" s="4" t="s">
        <v>14</v>
      </c>
      <c r="B28">
        <v>0.19812979206825923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1.0990416594362495</v>
      </c>
      <c r="J28">
        <f>(Table3[[#This Row],[HomeMargin]]-Table3[[#This Row],[HomeForecast]])^2</f>
        <v>0.81172593143138694</v>
      </c>
    </row>
    <row r="29" spans="1:10" x14ac:dyDescent="0.2">
      <c r="A29" s="4" t="s">
        <v>33</v>
      </c>
      <c r="B29">
        <v>-0.41595305630289253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1.3603896272342952</v>
      </c>
      <c r="J29">
        <f>(Table3[[#This Row],[HomeMargin]]-Table3[[#This Row],[HomeForecast]])^2</f>
        <v>0.12988068341807427</v>
      </c>
    </row>
    <row r="30" spans="1:10" x14ac:dyDescent="0.2">
      <c r="A30" s="4" t="s">
        <v>32</v>
      </c>
      <c r="B30">
        <v>-0.54471700440519322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0.61313826313016451</v>
      </c>
      <c r="J30">
        <f>(Table3[[#This Row],[HomeMargin]]-Table3[[#This Row],[HomeForecast]])^2</f>
        <v>6.8284915822349328</v>
      </c>
    </row>
    <row r="31" spans="1:10" x14ac:dyDescent="0.2">
      <c r="A31" s="4" t="s">
        <v>35</v>
      </c>
      <c r="B31">
        <v>-1.7049475448313323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1.1857170971913231</v>
      </c>
      <c r="J31">
        <f>(Table3[[#This Row],[HomeMargin]]-Table3[[#This Row],[HomeForecast]])^2</f>
        <v>4.7773592289544631</v>
      </c>
    </row>
    <row r="32" spans="1:10" x14ac:dyDescent="0.2">
      <c r="A32" s="4" t="s">
        <v>37</v>
      </c>
      <c r="B32">
        <v>3.7016822058700272E-2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1.5869185622357376</v>
      </c>
      <c r="J32">
        <f>(Table3[[#This Row],[HomeMargin]]-Table3[[#This Row],[HomeForecast]])^2</f>
        <v>6.6921476476398167</v>
      </c>
    </row>
    <row r="33" spans="1:10" x14ac:dyDescent="0.2">
      <c r="A33" s="4" t="s">
        <v>19</v>
      </c>
      <c r="B33">
        <v>-0.76384910289376506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0.47220229139707987</v>
      </c>
      <c r="J33">
        <f>(Table3[[#This Row],[HomeMargin]]-Table3[[#This Row],[HomeForecast]])^2</f>
        <v>6.3897612556181729</v>
      </c>
    </row>
    <row r="34" spans="1:10" x14ac:dyDescent="0.2">
      <c r="A34" t="s">
        <v>55</v>
      </c>
      <c r="B34">
        <v>-0.24431182281386174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8.0267330837679451E-2</v>
      </c>
      <c r="J34">
        <f>(Table3[[#This Row],[HomeMargin]]-Table3[[#This Row],[HomeForecast]])^2</f>
        <v>3.6853735210490872</v>
      </c>
    </row>
    <row r="35" spans="1:10" x14ac:dyDescent="0.2">
      <c r="A35" s="4" t="s">
        <v>38</v>
      </c>
      <c r="B35">
        <v>-0.87761566951859371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0.48869144386205132</v>
      </c>
      <c r="J35">
        <f>(Table3[[#This Row],[HomeMargin]]-Table3[[#This Row],[HomeForecast]])^2</f>
        <v>12.329287776407567</v>
      </c>
    </row>
    <row r="36" spans="1:10" x14ac:dyDescent="0.2">
      <c r="A36" s="4" t="s">
        <v>20</v>
      </c>
      <c r="B36">
        <v>-5.3996763649808116E-4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0.27405859461920468</v>
      </c>
      <c r="J36">
        <f>(Table3[[#This Row],[HomeMargin]]-Table3[[#This Row],[HomeForecast]])^2</f>
        <v>10.719459680999881</v>
      </c>
    </row>
    <row r="37" spans="1:10" x14ac:dyDescent="0.2">
      <c r="A37" s="4" t="s">
        <v>22</v>
      </c>
      <c r="B37">
        <v>-3.9931837337852071E-3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-0.98748067397563755</v>
      </c>
      <c r="J37">
        <f>(Table3[[#This Row],[HomeMargin]]-Table3[[#This Row],[HomeForecast]])^2</f>
        <v>1.5673352410427901E-4</v>
      </c>
    </row>
    <row r="38" spans="1:10" x14ac:dyDescent="0.2">
      <c r="A38" s="4" t="s">
        <v>40</v>
      </c>
      <c r="B38">
        <v>0.16605329280468042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0.13481586814754706</v>
      </c>
      <c r="J38">
        <f>(Table3[[#This Row],[HomeMargin]]-Table3[[#This Row],[HomeForecast]])^2</f>
        <v>4.5574387908945644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0.81686749918877122</v>
      </c>
      <c r="J39">
        <f>(Table3[[#This Row],[HomeMargin]]-Table3[[#This Row],[HomeForecast]])^2</f>
        <v>33.835947503118632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-0.336616851976686</v>
      </c>
      <c r="J40">
        <f>(Table3[[#This Row],[HomeMargin]]-Table3[[#This Row],[HomeForecast]])^2</f>
        <v>1.7865446089880659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-0.70726946774257538</v>
      </c>
      <c r="J41">
        <f>(Table3[[#This Row],[HomeMargin]]-Table3[[#This Row],[HomeForecast]])^2</f>
        <v>8.5691164515715124E-2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-2.9475301119221142E-2</v>
      </c>
      <c r="J42">
        <f>(Table3[[#This Row],[HomeMargin]]-Table3[[#This Row],[HomeForecast]])^2</f>
        <v>3.8829675888991839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0.53430980446883669</v>
      </c>
      <c r="J43">
        <f>(Table3[[#This Row],[HomeMargin]]-Table3[[#This Row],[HomeForecast]])^2</f>
        <v>0.21686735821385311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-0.19962415380270854</v>
      </c>
      <c r="J44">
        <f>(Table3[[#This Row],[HomeMargin]]-Table3[[#This Row],[HomeForecast]])^2</f>
        <v>0.64060149517603027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5.7001256162584293E-2</v>
      </c>
      <c r="J45">
        <f>(Table3[[#This Row],[HomeMargin]]-Table3[[#This Row],[HomeForecast]])^2</f>
        <v>1.1172516555292813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-2.2204107215463784</v>
      </c>
      <c r="J46">
        <f>(Table3[[#This Row],[HomeMargin]]-Table3[[#This Row],[HomeForecast]])^2</f>
        <v>4.8580886172595164E-2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-0.6563967942051927</v>
      </c>
      <c r="J47">
        <f>(Table3[[#This Row],[HomeMargin]]-Table3[[#This Row],[HomeForecast]])^2</f>
        <v>0.11806316303246869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0.73505205469249535</v>
      </c>
      <c r="J48">
        <f>(Table3[[#This Row],[HomeMargin]]-Table3[[#This Row],[HomeForecast]])^2</f>
        <v>1.6000933043376775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-0.1551497495359194</v>
      </c>
      <c r="J49">
        <f>(Table3[[#This Row],[HomeMargin]]-Table3[[#This Row],[HomeForecast]])^2</f>
        <v>1.3343709438528972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-3.5230608390918572E-2</v>
      </c>
      <c r="J50">
        <f>(Table3[[#This Row],[HomeMargin]]-Table3[[#This Row],[HomeForecast]])^2</f>
        <v>8.789857545422084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1.1473477839758954</v>
      </c>
      <c r="J51">
        <f>(Table3[[#This Row],[HomeMargin]]-Table3[[#This Row],[HomeForecast]])^2</f>
        <v>17.200493641249771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-0.17384575459459092</v>
      </c>
      <c r="J52">
        <f>(Table3[[#This Row],[HomeMargin]]-Table3[[#This Row],[HomeForecast]])^2</f>
        <v>10.073296873958109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-5.7081921813061653E-2</v>
      </c>
      <c r="J53">
        <f>(Table3[[#This Row],[HomeMargin]]-Table3[[#This Row],[HomeForecast]])^2</f>
        <v>0.88909450217174923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1.0348920601047475</v>
      </c>
      <c r="J54">
        <f>(Table3[[#This Row],[HomeMargin]]-Table3[[#This Row],[HomeForecast]])^2</f>
        <v>16.280353936696329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0.50830698895544191</v>
      </c>
      <c r="J55">
        <f>(Table3[[#This Row],[HomeMargin]]-Table3[[#This Row],[HomeForecast]])^2</f>
        <v>0.24176201711006393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-1.0912693140646696</v>
      </c>
      <c r="J56">
        <f>(Table3[[#This Row],[HomeMargin]]-Table3[[#This Row],[HomeForecast]])^2</f>
        <v>0.82579145956049604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0.77455539367177861</v>
      </c>
      <c r="J57">
        <f>(Table3[[#This Row],[HomeMargin]]-Table3[[#This Row],[HomeForecast]])^2</f>
        <v>4.9526036958353723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5.7300323884512783E-2</v>
      </c>
      <c r="J58">
        <f>(Table3[[#This Row],[HomeMargin]]-Table3[[#This Row],[HomeForecast]])^2</f>
        <v>0.88868267934824452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0.80129118593642956</v>
      </c>
      <c r="J59">
        <f>(Table3[[#This Row],[HomeMargin]]-Table3[[#This Row],[HomeForecast]])^2</f>
        <v>7.847232308405129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-0.76138255123898979</v>
      </c>
      <c r="J60">
        <f>(Table3[[#This Row],[HomeMargin]]-Table3[[#This Row],[HomeForecast]])^2</f>
        <v>10.488642979419275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0.88306376347975235</v>
      </c>
      <c r="J61">
        <f>(Table3[[#This Row],[HomeMargin]]-Table3[[#This Row],[HomeForecast]])^2</f>
        <v>4.4814190294925105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0.16655017899952362</v>
      </c>
      <c r="J62">
        <f>(Table3[[#This Row],[HomeMargin]]-Table3[[#This Row],[HomeForecast]])^2</f>
        <v>0.69463860412572609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-0.2978983140253339</v>
      </c>
      <c r="J63">
        <f>(Table3[[#This Row],[HomeMargin]]-Table3[[#This Row],[HomeForecast]])^2</f>
        <v>18.471929917701807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-7.3212988169105403E-2</v>
      </c>
      <c r="J64">
        <f>(Table3[[#This Row],[HomeMargin]]-Table3[[#This Row],[HomeForecast]])^2</f>
        <v>9.4446380706512834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-1.7805674071259476</v>
      </c>
      <c r="J65">
        <f>(Table3[[#This Row],[HomeMargin]]-Table3[[#This Row],[HomeForecast]])^2</f>
        <v>10.364746220059743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1.2626178284713241</v>
      </c>
      <c r="J66">
        <f>(Table3[[#This Row],[HomeMargin]]-Table3[[#This Row],[HomeForecast]])^2</f>
        <v>0.54373246688834564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0.15344710129559469</v>
      </c>
      <c r="J67">
        <f>(Table3[[#This Row],[HomeMargin]]-Table3[[#This Row],[HomeForecast]])^2</f>
        <v>9.9442286206695893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-1.8052918113586847</v>
      </c>
      <c r="J68">
        <f>(Table3[[#This Row],[HomeMargin]]-Table3[[#This Row],[HomeForecast]])^2</f>
        <v>1.4273276560066128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1.1287648019902967</v>
      </c>
      <c r="J69">
        <f>(Table3[[#This Row],[HomeMargin]]-Table3[[#This Row],[HomeForecast]])^2</f>
        <v>9.7891691861733801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-0.15126593414839734</v>
      </c>
      <c r="J70">
        <f>(Table3[[#This Row],[HomeMargin]]-Table3[[#This Row],[HomeForecast]])^2</f>
        <v>3.4178176462401981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0.95193600106082787</v>
      </c>
      <c r="J71">
        <f>(Table3[[#This Row],[HomeMargin]]-Table3[[#This Row],[HomeForecast]])^2</f>
        <v>2.3101479940247391E-3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0.70004631608951939</v>
      </c>
      <c r="J72">
        <f>(Table3[[#This Row],[HomeMargin]]-Table3[[#This Row],[HomeForecast]])^2</f>
        <v>1.6898795803124298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1.1357312078866852</v>
      </c>
      <c r="J73">
        <f>(Table3[[#This Row],[HomeMargin]]-Table3[[#This Row],[HomeForecast]])^2</f>
        <v>0.74696054502100806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0.25271210679958028</v>
      </c>
      <c r="J74">
        <f>(Table3[[#This Row],[HomeMargin]]-Table3[[#This Row],[HomeForecast]])^2</f>
        <v>0.55843919532392183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-0.55833287072685112</v>
      </c>
      <c r="J75">
        <f>(Table3[[#This Row],[HomeMargin]]-Table3[[#This Row],[HomeForecast]])^2</f>
        <v>5.9617383701729798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-0.1451113957732531</v>
      </c>
      <c r="J76">
        <f>(Table3[[#This Row],[HomeMargin]]-Table3[[#This Row],[HomeForecast]])^2</f>
        <v>1.3112801087297679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0.32056232372623555</v>
      </c>
      <c r="J77">
        <f>(Table3[[#This Row],[HomeMargin]]-Table3[[#This Row],[HomeForecast]])^2</f>
        <v>0.46163555594029265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1.3683559013972273</v>
      </c>
      <c r="J78">
        <f>(Table3[[#This Row],[HomeMargin]]-Table3[[#This Row],[HomeForecast]])^2</f>
        <v>5.6091096756830732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-0.32866363355538547</v>
      </c>
      <c r="J79">
        <f>(Table3[[#This Row],[HomeMargin]]-Table3[[#This Row],[HomeForecast]])^2</f>
        <v>1.7653470511325995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0.37920141828103993</v>
      </c>
      <c r="J80">
        <f>(Table3[[#This Row],[HomeMargin]]-Table3[[#This Row],[HomeForecast]])^2</f>
        <v>6.8685852059401116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0.72697326225829961</v>
      </c>
      <c r="J81">
        <f>(Table3[[#This Row],[HomeMargin]]-Table3[[#This Row],[HomeForecast]])^2</f>
        <v>10.712704025972078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-0.57902957309537617</v>
      </c>
      <c r="J82">
        <f>(Table3[[#This Row],[HomeMargin]]-Table3[[#This Row],[HomeForecast]])^2</f>
        <v>12.809452685091271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-0.41936130829396245</v>
      </c>
      <c r="J83">
        <f>(Table3[[#This Row],[HomeMargin]]-Table3[[#This Row],[HomeForecast]])^2</f>
        <v>2.0145865234819489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1.7440496164861559</v>
      </c>
      <c r="J84">
        <f>(Table3[[#This Row],[HomeMargin]]-Table3[[#This Row],[HomeForecast]])^2</f>
        <v>1.5774113658485722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-0.5061258218082445</v>
      </c>
      <c r="J85">
        <f>(Table3[[#This Row],[HomeMargin]]-Table3[[#This Row],[HomeForecast]])^2</f>
        <v>0.24391170388458186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-7.6239158192177581E-2</v>
      </c>
      <c r="J86">
        <f>(Table3[[#This Row],[HomeMargin]]-Table3[[#This Row],[HomeForecast]])^2</f>
        <v>0.85333409285749684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1.486521016234863</v>
      </c>
      <c r="J87">
        <f>(Table3[[#This Row],[HomeMargin]]-Table3[[#This Row],[HomeForecast]])^2</f>
        <v>0.26366066676847782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-0.21526739722736568</v>
      </c>
      <c r="J88">
        <f>(Table3[[#This Row],[HomeMargin]]-Table3[[#This Row],[HomeForecast]])^2</f>
        <v>0.61580525785431317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0.131126683277905</v>
      </c>
      <c r="J89">
        <f>(Table3[[#This Row],[HomeMargin]]-Table3[[#This Row],[HomeForecast]])^2</f>
        <v>0.754940840511654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-0.40652266357914268</v>
      </c>
      <c r="J90">
        <f>(Table3[[#This Row],[HomeMargin]]-Table3[[#This Row],[HomeForecast]])^2</f>
        <v>6.7261246945286253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-1.5409763077190168</v>
      </c>
      <c r="J91">
        <f>(Table3[[#This Row],[HomeMargin]]-Table3[[#This Row],[HomeForecast]])^2</f>
        <v>12.538513211827404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-1.1571913696562741E-2</v>
      </c>
      <c r="J92">
        <f>(Table3[[#This Row],[HomeMargin]]-Table3[[#This Row],[HomeForecast]])^2</f>
        <v>0.97699008179347524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1.5063896836486879</v>
      </c>
      <c r="J93">
        <f>(Table3[[#This Row],[HomeMargin]]-Table3[[#This Row],[HomeForecast]])^2</f>
        <v>12.205313042516316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1.8129661591781978</v>
      </c>
      <c r="J94">
        <f>(Table3[[#This Row],[HomeMargin]]-Table3[[#This Row],[HomeForecast]])^2</f>
        <v>1.4090493392561596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-8.1363643530583674E-3</v>
      </c>
      <c r="J95">
        <f>(Table3[[#This Row],[HomeMargin]]-Table3[[#This Row],[HomeForecast]])^2</f>
        <v>1.0163389291310023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0.71326171197623811</v>
      </c>
      <c r="J96">
        <f>(Table3[[#This Row],[HomeMargin]]-Table3[[#This Row],[HomeForecast]])^2</f>
        <v>1.6556954218663216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7.6790468548871907E-2</v>
      </c>
      <c r="J97">
        <f>(Table3[[#This Row],[HomeMargin]]-Table3[[#This Row],[HomeForecast]])^2</f>
        <v>0.85231583896221141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1.0811826705768177</v>
      </c>
      <c r="J98">
        <f>(Table3[[#This Row],[HomeMargin]]-Table3[[#This Row],[HomeForecast]])^2</f>
        <v>4.3313213083092545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-1.2578625745058483</v>
      </c>
      <c r="J99">
        <f>(Table3[[#This Row],[HomeMargin]]-Table3[[#This Row],[HomeForecast]])^2</f>
        <v>6.6493107330784146E-2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0.51760690069428461</v>
      </c>
      <c r="J100">
        <f>(Table3[[#This Row],[HomeMargin]]-Table3[[#This Row],[HomeForecast]])^2</f>
        <v>2.1974893008692042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0.31978892366358197</v>
      </c>
      <c r="J101">
        <f>(Table3[[#This Row],[HomeMargin]]-Table3[[#This Row],[HomeForecast]])^2</f>
        <v>5.3814206503522408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0.1524374264830225</v>
      </c>
      <c r="J102">
        <f>(Table3[[#This Row],[HomeMargin]]-Table3[[#This Row],[HomeForecast]])^2</f>
        <v>8.1086126100946316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-0.34596946257259542</v>
      </c>
      <c r="J103">
        <f>(Table3[[#This Row],[HomeMargin]]-Table3[[#This Row],[HomeForecast]])^2</f>
        <v>11.195511644468343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0.31245190154886437</v>
      </c>
      <c r="J104">
        <f>(Table3[[#This Row],[HomeMargin]]-Table3[[#This Row],[HomeForecast]])^2</f>
        <v>1.7225299938792298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0.84105380349897418</v>
      </c>
      <c r="J105">
        <f>(Table3[[#This Row],[HomeMargin]]-Table3[[#This Row],[HomeForecast]])^2</f>
        <v>23.435801928371887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-1.7306690930211912</v>
      </c>
      <c r="J106">
        <f>(Table3[[#This Row],[HomeMargin]]-Table3[[#This Row],[HomeForecast]])^2</f>
        <v>1.6112009514116454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0.54677574071665436</v>
      </c>
      <c r="J107">
        <f>(Table3[[#This Row],[HomeMargin]]-Table3[[#This Row],[HomeForecast]])^2</f>
        <v>0.20541222920293731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0.71290362586731049</v>
      </c>
      <c r="J108">
        <f>(Table3[[#This Row],[HomeMargin]]-Table3[[#This Row],[HomeForecast]])^2</f>
        <v>2.9340388315093793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1.2833056463788619</v>
      </c>
      <c r="J109">
        <f>(Table3[[#This Row],[HomeMargin]]-Table3[[#This Row],[HomeForecast]])^2</f>
        <v>7.380428210996973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-1.3366910331671757</v>
      </c>
      <c r="J110">
        <f>(Table3[[#This Row],[HomeMargin]]-Table3[[#This Row],[HomeForecast]])^2</f>
        <v>0.11336085181518024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-0.83034122607168648</v>
      </c>
      <c r="J111">
        <f>(Table3[[#This Row],[HomeMargin]]-Table3[[#This Row],[HomeForecast]])^2</f>
        <v>4.7074191952841131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-1.459698963145275</v>
      </c>
      <c r="J112">
        <f>(Table3[[#This Row],[HomeMargin]]-Table3[[#This Row],[HomeForecast]])^2</f>
        <v>6.0501189892979408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0.74828400546341711</v>
      </c>
      <c r="J113">
        <f>(Table3[[#This Row],[HomeMargin]]-Table3[[#This Row],[HomeForecast]])^2</f>
        <v>5.0702249200518716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-0.29825640013426163</v>
      </c>
      <c r="J114">
        <f>(Table3[[#This Row],[HomeMargin]]-Table3[[#This Row],[HomeForecast]])^2</f>
        <v>5.2819824807580948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-0.39683241638847822</v>
      </c>
      <c r="J115">
        <f>(Table3[[#This Row],[HomeMargin]]-Table3[[#This Row],[HomeForecast]])^2</f>
        <v>0.36381113391976211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1.0050187539620152</v>
      </c>
      <c r="J116">
        <f>(Table3[[#This Row],[HomeMargin]]-Table3[[#This Row],[HomeForecast]])^2</f>
        <v>3.9799501720432704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-0.4048585180104074</v>
      </c>
      <c r="J117">
        <f>(Table3[[#This Row],[HomeMargin]]-Table3[[#This Row],[HomeForecast]])^2</f>
        <v>2.5444763475639536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1.0775178301873249</v>
      </c>
      <c r="J118">
        <f>(Table3[[#This Row],[HomeMargin]]-Table3[[#This Row],[HomeForecast]])^2</f>
        <v>4.3160803347462506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0.41184545934385008</v>
      </c>
      <c r="J119">
        <f>(Table3[[#This Row],[HomeMargin]]-Table3[[#This Row],[HomeForecast]])^2</f>
        <v>1.9933076010698469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-0.10237147336822472</v>
      </c>
      <c r="J120">
        <f>(Table3[[#This Row],[HomeMargin]]-Table3[[#This Row],[HomeForecast]])^2</f>
        <v>1.2152228652960309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-0.20900343060382992</v>
      </c>
      <c r="J121">
        <f>(Table3[[#This Row],[HomeMargin]]-Table3[[#This Row],[HomeForecast]])^2</f>
        <v>3.20766871158885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-0.3541768272709056</v>
      </c>
      <c r="J122">
        <f>(Table3[[#This Row],[HomeMargin]]-Table3[[#This Row],[HomeForecast]])^2</f>
        <v>1.8337948795174961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0.63002968070245613</v>
      </c>
      <c r="J123">
        <f>(Table3[[#This Row],[HomeMargin]]-Table3[[#This Row],[HomeForecast]])^2</f>
        <v>19.096640591541473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0.21233571876639878</v>
      </c>
      <c r="J124">
        <f>(Table3[[#This Row],[HomeMargin]]-Table3[[#This Row],[HomeForecast]])^2</f>
        <v>1.4697578949968408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0.30783486510856689</v>
      </c>
      <c r="J125">
        <f>(Table3[[#This Row],[HomeMargin]]-Table3[[#This Row],[HomeForecast]])^2</f>
        <v>0.47909257395927574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-1.2530755372254614</v>
      </c>
      <c r="J126">
        <f>(Table3[[#This Row],[HomeMargin]]-Table3[[#This Row],[HomeForecast]])^2</f>
        <v>3.0517450786401104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-3.8603040235915098E-2</v>
      </c>
      <c r="J127">
        <f>(Table3[[#This Row],[HomeMargin]]-Table3[[#This Row],[HomeForecast]])^2</f>
        <v>0.92428411424362544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0.91833048200188272</v>
      </c>
      <c r="J128">
        <f>(Table3[[#This Row],[HomeMargin]]-Table3[[#This Row],[HomeForecast]])^2</f>
        <v>15.353313766185108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-3.3614293529190875E-2</v>
      </c>
      <c r="J129">
        <f>(Table3[[#This Row],[HomeMargin]]-Table3[[#This Row],[HomeForecast]])^2</f>
        <v>4.1355870948462297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-0.37835130250147697</v>
      </c>
      <c r="J130">
        <f>(Table3[[#This Row],[HomeMargin]]-Table3[[#This Row],[HomeForecast]])^2</f>
        <v>13.116339288092748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0.89756554906483221</v>
      </c>
      <c r="J131">
        <f>(Table3[[#This Row],[HomeMargin]]-Table3[[#This Row],[HomeForecast]])^2</f>
        <v>1.2153617186087249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1.6729829440898663</v>
      </c>
      <c r="J132">
        <f>(Table3[[#This Row],[HomeMargin]]-Table3[[#This Row],[HomeForecast]])^2</f>
        <v>0.10694015485613154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-1.3289292469021379</v>
      </c>
      <c r="J133">
        <f>(Table3[[#This Row],[HomeMargin]]-Table3[[#This Row],[HomeForecast]])^2</f>
        <v>5.4239114370761587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-0.30184054725640352</v>
      </c>
      <c r="J134">
        <f>(Table3[[#This Row],[HomeMargin]]-Table3[[#This Row],[HomeForecast]])^2</f>
        <v>1.6947888104808526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1.413300733334647</v>
      </c>
      <c r="J135">
        <f>(Table3[[#This Row],[HomeMargin]]-Table3[[#This Row],[HomeForecast]])^2</f>
        <v>0.34421602950566299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-1.0333670899072609E-2</v>
      </c>
      <c r="J136">
        <f>(Table3[[#This Row],[HomeMargin]]-Table3[[#This Row],[HomeForecast]])^2</f>
        <v>9.0621088101486844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-7.1534253594204872E-2</v>
      </c>
      <c r="J137">
        <f>(Table3[[#This Row],[HomeMargin]]-Table3[[#This Row],[HomeForecast]])^2</f>
        <v>15.432843120683641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-1.071096169917352</v>
      </c>
      <c r="J138">
        <f>(Table3[[#This Row],[HomeMargin]]-Table3[[#This Row],[HomeForecast]])^2</f>
        <v>4.2894393450463246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-0.31554207754392349</v>
      </c>
      <c r="J139">
        <f>(Table3[[#This Row],[HomeMargin]]-Table3[[#This Row],[HomeForecast]])^2</f>
        <v>1.7306509577885825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0.9955946478875396</v>
      </c>
      <c r="J140">
        <f>(Table3[[#This Row],[HomeMargin]]-Table3[[#This Row],[HomeForecast]])^2</f>
        <v>3.9823979986773934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0.66775170385973925</v>
      </c>
      <c r="J141">
        <f>(Table3[[#This Row],[HomeMargin]]-Table3[[#This Row],[HomeForecast]])^2</f>
        <v>0.11038893028810641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-0.25429958938098257</v>
      </c>
      <c r="J142">
        <f>(Table3[[#This Row],[HomeMargin]]-Table3[[#This Row],[HomeForecast]])^2</f>
        <v>1.5732674599213012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0.44873466311320909</v>
      </c>
      <c r="J143">
        <f>(Table3[[#This Row],[HomeMargin]]-Table3[[#This Row],[HomeForecast]])^2</f>
        <v>0.30389347165290709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2.4921380586104935E-2</v>
      </c>
      <c r="J144">
        <f>(Table3[[#This Row],[HomeMargin]]-Table3[[#This Row],[HomeForecast]])^2</f>
        <v>1.0504638363825272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0.70313208345584588</v>
      </c>
      <c r="J145">
        <f>(Table3[[#This Row],[HomeMargin]]-Table3[[#This Row],[HomeForecast]])^2</f>
        <v>44.931979728255108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-0.68063175937266496</v>
      </c>
      <c r="J146">
        <f>(Table3[[#This Row],[HomeMargin]]-Table3[[#This Row],[HomeForecast]])^2</f>
        <v>21.908313666848052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0.65143655875078077</v>
      </c>
      <c r="J147">
        <f>(Table3[[#This Row],[HomeMargin]]-Table3[[#This Row],[HomeForecast]])^2</f>
        <v>7.0301158250801823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0.10010697989482592</v>
      </c>
      <c r="J148">
        <f>(Table3[[#This Row],[HomeMargin]]-Table3[[#This Row],[HomeForecast]])^2</f>
        <v>1.210235367213315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-0.94133483236148274</v>
      </c>
      <c r="J149">
        <f>(Table3[[#This Row],[HomeMargin]]-Table3[[#This Row],[HomeForecast]])^2</f>
        <v>3.7687809313399865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-1.2753814444691931</v>
      </c>
      <c r="J150">
        <f>(Table3[[#This Row],[HomeMargin]]-Table3[[#This Row],[HomeForecast]])^2</f>
        <v>7.5834939957939287E-2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0.24511697448720746</v>
      </c>
      <c r="J151">
        <f>(Table3[[#This Row],[HomeMargin]]-Table3[[#This Row],[HomeForecast]])^2</f>
        <v>0.56984838220734735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0.33485303874633876</v>
      </c>
      <c r="J152">
        <f>(Table3[[#This Row],[HomeMargin]]-Table3[[#This Row],[HomeForecast]])^2</f>
        <v>0.44242048006497953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0.61792530041055127</v>
      </c>
      <c r="J153">
        <f>(Table3[[#This Row],[HomeMargin]]-Table3[[#This Row],[HomeForecast]])^2</f>
        <v>2.6176822777085724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-0.17846279103488838</v>
      </c>
      <c r="J154">
        <f>(Table3[[#This Row],[HomeMargin]]-Table3[[#This Row],[HomeForecast]])^2</f>
        <v>26.81647687813285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2.1106375216916007</v>
      </c>
      <c r="J155">
        <f>(Table3[[#This Row],[HomeMargin]]-Table3[[#This Row],[HomeForecast]])^2</f>
        <v>0.79096561782285801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0.17075557859953183</v>
      </c>
      <c r="J156">
        <f>(Table3[[#This Row],[HomeMargin]]-Table3[[#This Row],[HomeForecast]])^2</f>
        <v>8.0046239960256713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-0.20755872539568465</v>
      </c>
      <c r="J157">
        <f>(Table3[[#This Row],[HomeMargin]]-Table3[[#This Row],[HomeForecast]])^2</f>
        <v>0.62796317369651189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0.76108983215661363</v>
      </c>
      <c r="J158">
        <f>(Table3[[#This Row],[HomeMargin]]-Table3[[#This Row],[HomeForecast]])^2</f>
        <v>14.145796725551863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0.99030531427625568</v>
      </c>
      <c r="J159">
        <f>(Table3[[#This Row],[HomeMargin]]-Table3[[#This Row],[HomeForecast]])^2</f>
        <v>9.0582621012737476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1.3564552019455007</v>
      </c>
      <c r="J160">
        <f>(Table3[[#This Row],[HomeMargin]]-Table3[[#This Row],[HomeForecast]])^2</f>
        <v>6.9883290993210032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0.25514231620548811</v>
      </c>
      <c r="J161">
        <f>(Table3[[#This Row],[HomeMargin]]-Table3[[#This Row],[HomeForecast]])^2</f>
        <v>0.55481296910772504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-0.55303651586705249</v>
      </c>
      <c r="J162">
        <f>(Table3[[#This Row],[HomeMargin]]-Table3[[#This Row],[HomeForecast]])^2</f>
        <v>12.624068483084685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-0.50975023476726267</v>
      </c>
      <c r="J163">
        <f>(Table3[[#This Row],[HomeMargin]]-Table3[[#This Row],[HomeForecast]])^2</f>
        <v>0.24034483231075407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-0.48189936921274701</v>
      </c>
      <c r="J164">
        <f>(Table3[[#This Row],[HomeMargin]]-Table3[[#This Row],[HomeForecast]])^2</f>
        <v>0.26842826362214944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-1.2688093188481995</v>
      </c>
      <c r="J165">
        <f>(Table3[[#This Row],[HomeMargin]]-Table3[[#This Row],[HomeForecast]])^2</f>
        <v>2.9970211745068349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-0.59040936999042992</v>
      </c>
      <c r="J166">
        <f>(Table3[[#This Row],[HomeMargin]]-Table3[[#This Row],[HomeForecast]])^2</f>
        <v>2.5294019641533567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0.35782004569950543</v>
      </c>
      <c r="J167">
        <f>(Table3[[#This Row],[HomeMargin]]-Table3[[#This Row],[HomeForecast]])^2</f>
        <v>1.8436752765034068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-4.769654463873621E-2</v>
      </c>
      <c r="J168">
        <f>(Table3[[#This Row],[HomeMargin]]-Table3[[#This Row],[HomeForecast]])^2</f>
        <v>0.90688187109300256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-0.9981803637506288</v>
      </c>
      <c r="J169">
        <f>(Table3[[#This Row],[HomeMargin]]-Table3[[#This Row],[HomeForecast]])^2</f>
        <v>4.0072818560735648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0.74308054839142079</v>
      </c>
      <c r="J170">
        <f>(Table3[[#This Row],[HomeMargin]]-Table3[[#This Row],[HomeForecast]])^2</f>
        <v>6.6007604614853069E-2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-0.25887796239808175</v>
      </c>
      <c r="J171">
        <f>(Table3[[#This Row],[HomeMargin]]-Table3[[#This Row],[HomeForecast]])^2</f>
        <v>3.0315059498230559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0.38150461665850288</v>
      </c>
      <c r="J172">
        <f>(Table3[[#This Row],[HomeMargin]]-Table3[[#This Row],[HomeForecast]])^2</f>
        <v>6.8565180725807338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1.0990416594362495</v>
      </c>
      <c r="J173">
        <f>(Table3[[#This Row],[HomeMargin]]-Table3[[#This Row],[HomeForecast]])^2</f>
        <v>9.8092503038860381E-3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0.83728736489836275</v>
      </c>
      <c r="J174">
        <f>(Table3[[#This Row],[HomeMargin]]-Table3[[#This Row],[HomeForecast]])^2</f>
        <v>10.002751212231541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-0.38617081635241141</v>
      </c>
      <c r="J175">
        <f>(Table3[[#This Row],[HomeMargin]]-Table3[[#This Row],[HomeForecast]])^2</f>
        <v>0.37678626669746512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0.54607085420855617</v>
      </c>
      <c r="J176">
        <f>(Table3[[#This Row],[HomeMargin]]-Table3[[#This Row],[HomeForecast]])^2</f>
        <v>2.3903350862331747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-0.51397586847632581</v>
      </c>
      <c r="J177">
        <f>(Table3[[#This Row],[HomeMargin]]-Table3[[#This Row],[HomeForecast]])^2</f>
        <v>6.1803159825180387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1.0073645688875639</v>
      </c>
      <c r="J178">
        <f>(Table3[[#This Row],[HomeMargin]]-Table3[[#This Row],[HomeForecast]])^2</f>
        <v>5.4236874899673759E-5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1.0470731036593377</v>
      </c>
      <c r="J179">
        <f>(Table3[[#This Row],[HomeMargin]]-Table3[[#This Row],[HomeForecast]])^2</f>
        <v>3.8139234624507719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-0.48244517948081395</v>
      </c>
      <c r="J180">
        <f>(Table3[[#This Row],[HomeMargin]]-Table3[[#This Row],[HomeForecast]])^2</f>
        <v>12.127424428089158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-0.61977169052072933</v>
      </c>
      <c r="J181">
        <f>(Table3[[#This Row],[HomeMargin]]-Table3[[#This Row],[HomeForecast]])^2</f>
        <v>0.14457356732946403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0.20098805917101559</v>
      </c>
      <c r="J182">
        <f>(Table3[[#This Row],[HomeMargin]]-Table3[[#This Row],[HomeForecast]])^2</f>
        <v>0.63842008158730046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9.0433430510065027E-2</v>
      </c>
      <c r="J183">
        <f>(Table3[[#This Row],[HomeMargin]]-Table3[[#This Row],[HomeForecast]])^2</f>
        <v>8.4655776222934289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1.2056437773123954</v>
      </c>
      <c r="J184">
        <f>(Table3[[#This Row],[HomeMargin]]-Table3[[#This Row],[HomeForecast]])^2</f>
        <v>3.2197142538977288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-1.2159271079679113</v>
      </c>
      <c r="J185">
        <f>(Table3[[#This Row],[HomeMargin]]-Table3[[#This Row],[HomeForecast]])^2</f>
        <v>0.61477030001956345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0.28030450143647112</v>
      </c>
      <c r="J186">
        <f>(Table3[[#This Row],[HomeMargin]]-Table3[[#This Row],[HomeForecast]])^2</f>
        <v>5.1997886192714331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-0.45897160150682187</v>
      </c>
      <c r="J187">
        <f>(Table3[[#This Row],[HomeMargin]]-Table3[[#This Row],[HomeForecast]])^2</f>
        <v>2.1285981340033806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-0.79347021268917073</v>
      </c>
      <c r="J188">
        <f>(Table3[[#This Row],[HomeMargin]]-Table3[[#This Row],[HomeForecast]])^2</f>
        <v>3.2165354038033396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1.3226030585960702</v>
      </c>
      <c r="J189">
        <f>(Table3[[#This Row],[HomeMargin]]-Table3[[#This Row],[HomeForecast]])^2</f>
        <v>0.10407273341553949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-1.0805283857675387</v>
      </c>
      <c r="J190">
        <f>(Table3[[#This Row],[HomeMargin]]-Table3[[#This Row],[HomeForecast]])^2</f>
        <v>4.3285983639844812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-5.4462586215264473E-2</v>
      </c>
      <c r="J191">
        <f>(Table3[[#This Row],[HomeMargin]]-Table3[[#This Row],[HomeForecast]])^2</f>
        <v>1.1118913457277841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-0.22718845005006863</v>
      </c>
      <c r="J192">
        <f>(Table3[[#This Row],[HomeMargin]]-Table3[[#This Row],[HomeForecast]])^2</f>
        <v>7.6884838915357401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0.5617695931105271</v>
      </c>
      <c r="J193">
        <f>(Table3[[#This Row],[HomeMargin]]-Table3[[#This Row],[HomeForecast]])^2</f>
        <v>5.9449675170804053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1.2148401876941606E-2</v>
      </c>
      <c r="J194">
        <f>(Table3[[#This Row],[HomeMargin]]-Table3[[#This Row],[HomeForecast]])^2</f>
        <v>0.9758507799142806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6.7576969703677436E-2</v>
      </c>
      <c r="J195">
        <f>(Table3[[#This Row],[HomeMargin]]-Table3[[#This Row],[HomeForecast]])^2</f>
        <v>3.7342587680196222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0.37156952497159434</v>
      </c>
      <c r="J196">
        <f>(Table3[[#This Row],[HomeMargin]]-Table3[[#This Row],[HomeForecast]])^2</f>
        <v>11.367481061717182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7.4020702715318742E-2</v>
      </c>
      <c r="J197">
        <f>(Table3[[#This Row],[HomeMargin]]-Table3[[#This Row],[HomeForecast]])^2</f>
        <v>1.1535204698611072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-1.6313401966343057</v>
      </c>
      <c r="J198">
        <f>(Table3[[#This Row],[HomeMargin]]-Table3[[#This Row],[HomeForecast]])^2</f>
        <v>6.9239512304234676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0.17548368552843027</v>
      </c>
      <c r="J199">
        <f>(Table3[[#This Row],[HomeMargin]]-Table3[[#This Row],[HomeForecast]])^2</f>
        <v>7.9778924107160591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0.43238447305377059</v>
      </c>
      <c r="J200">
        <f>(Table3[[#This Row],[HomeMargin]]-Table3[[#This Row],[HomeForecast]])^2</f>
        <v>6.5926494942153626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0.72072735544103317</v>
      </c>
      <c r="J201">
        <f>(Table3[[#This Row],[HomeMargin]]-Table3[[#This Row],[HomeForecast]])^2</f>
        <v>7.7993209998959021E-2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0.90708988857100603</v>
      </c>
      <c r="J202">
        <f>(Table3[[#This Row],[HomeMargin]]-Table3[[#This Row],[HomeForecast]])^2</f>
        <v>3.6369918430897727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0.29081412477781088</v>
      </c>
      <c r="J203">
        <f>(Table3[[#This Row],[HomeMargin]]-Table3[[#This Row],[HomeForecast]])^2</f>
        <v>1.666201104725906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-7.3768460080552906E-2</v>
      </c>
      <c r="J204">
        <f>(Table3[[#This Row],[HomeMargin]]-Table3[[#This Row],[HomeForecast]])^2</f>
        <v>3.7103679453804448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-0.3541768272709056</v>
      </c>
      <c r="J205">
        <f>(Table3[[#This Row],[HomeMargin]]-Table3[[#This Row],[HomeForecast]])^2</f>
        <v>0.41708757043387368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-0.62033686669980859</v>
      </c>
      <c r="J206">
        <f>(Table3[[#This Row],[HomeMargin]]-Table3[[#This Row],[HomeForecast]])^2</f>
        <v>6.866165294986172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-0.49247883656639968</v>
      </c>
      <c r="J207">
        <f>(Table3[[#This Row],[HomeMargin]]-Table3[[#This Row],[HomeForecast]])^2</f>
        <v>2.2274930775985942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-0.75441871017001516</v>
      </c>
      <c r="J208">
        <f>(Table3[[#This Row],[HomeMargin]]-Table3[[#This Row],[HomeForecast]])^2</f>
        <v>3.0779850105946194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0.92487060435128088</v>
      </c>
      <c r="J209">
        <f>(Table3[[#This Row],[HomeMargin]]-Table3[[#This Row],[HomeForecast]])^2</f>
        <v>9.4564207999828565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-0.55315157360909417</v>
      </c>
      <c r="J210">
        <f>(Table3[[#This Row],[HomeMargin]]-Table3[[#This Row],[HomeForecast]])^2</f>
        <v>0.19967351616802878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1.5934906878567312</v>
      </c>
      <c r="J211">
        <f>(Table3[[#This Row],[HomeMargin]]-Table3[[#This Row],[HomeForecast]])^2</f>
        <v>0.35223119657265595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1.2560576559446264</v>
      </c>
      <c r="J212">
        <f>(Table3[[#This Row],[HomeMargin]]-Table3[[#This Row],[HomeForecast]])^2</f>
        <v>6.556552316785666E-2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-0.11918943488481853</v>
      </c>
      <c r="J213">
        <f>(Table3[[#This Row],[HomeMargin]]-Table3[[#This Row],[HomeForecast]])^2</f>
        <v>9.7293427306970734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1.1235066051734417</v>
      </c>
      <c r="J214">
        <f>(Table3[[#This Row],[HomeMargin]]-Table3[[#This Row],[HomeForecast]])^2</f>
        <v>1.5253881521468416E-2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0.11242308219349939</v>
      </c>
      <c r="J215">
        <f>(Table3[[#This Row],[HomeMargin]]-Table3[[#This Row],[HomeForecast]])^2</f>
        <v>1.2374851137968848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0.24436479098448638</v>
      </c>
      <c r="J216">
        <f>(Table3[[#This Row],[HomeMargin]]-Table3[[#This Row],[HomeForecast]])^2</f>
        <v>1.5484437330418646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-0.75660701726460022</v>
      </c>
      <c r="J217">
        <f>(Table3[[#This Row],[HomeMargin]]-Table3[[#This Row],[HomeForecast]])^2</f>
        <v>5.0328120749864338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0.70622721344420536</v>
      </c>
      <c r="J218">
        <f>(Table3[[#This Row],[HomeMargin]]-Table3[[#This Row],[HomeForecast]])^2</f>
        <v>8.6302450120756477E-2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-0.50190461067389647</v>
      </c>
      <c r="J219">
        <f>(Table3[[#This Row],[HomeMargin]]-Table3[[#This Row],[HomeForecast]])^2</f>
        <v>20.267145123606891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7.8796236689708421E-2</v>
      </c>
      <c r="J220">
        <f>(Table3[[#This Row],[HomeMargin]]-Table3[[#This Row],[HomeForecast]])^2</f>
        <v>25.794171213813545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-0.31197709528789419</v>
      </c>
      <c r="J221">
        <f>(Table3[[#This Row],[HomeMargin]]-Table3[[#This Row],[HomeForecast]])^2</f>
        <v>5.3452380891358482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-0.95323553181320908</v>
      </c>
      <c r="J222">
        <f>(Table3[[#This Row],[HomeMargin]]-Table3[[#This Row],[HomeForecast]])^2</f>
        <v>4.1892447882319583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1.908514545889556</v>
      </c>
      <c r="J223">
        <f>(Table3[[#This Row],[HomeMargin]]-Table3[[#This Row],[HomeForecast]])^2</f>
        <v>9.5572823129764579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0.59358316061890659</v>
      </c>
      <c r="J224">
        <f>(Table3[[#This Row],[HomeMargin]]-Table3[[#This Row],[HomeForecast]])^2</f>
        <v>0.16517464733251747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0.90748414840837632</v>
      </c>
      <c r="J225">
        <f>(Table3[[#This Row],[HomeMargin]]-Table3[[#This Row],[HomeForecast]])^2</f>
        <v>15.268432370062735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1.2839561257201912</v>
      </c>
      <c r="J226">
        <f>(Table3[[#This Row],[HomeMargin]]-Table3[[#This Row],[HomeForecast]])^2</f>
        <v>8.0631081334021054E-2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-0.24772746375998905</v>
      </c>
      <c r="J227">
        <f>(Table3[[#This Row],[HomeMargin]]-Table3[[#This Row],[HomeForecast]])^2</f>
        <v>3.0704590412610004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0.26529768124744169</v>
      </c>
      <c r="J228">
        <f>(Table3[[#This Row],[HomeMargin]]-Table3[[#This Row],[HomeForecast]])^2</f>
        <v>10.662168947159921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1.1765893580746292</v>
      </c>
      <c r="J229">
        <f>(Table3[[#This Row],[HomeMargin]]-Table3[[#This Row],[HomeForecast]])^2</f>
        <v>3.1183801385209597E-2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-0.63195273407531949</v>
      </c>
      <c r="J230">
        <f>(Table3[[#This Row],[HomeMargin]]-Table3[[#This Row],[HomeForecast]])^2</f>
        <v>1.8715533218039935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0.40968316059405352</v>
      </c>
      <c r="J231">
        <f>(Table3[[#This Row],[HomeMargin]]-Table3[[#This Row],[HomeForecast]])^2</f>
        <v>2.5291076496981195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0.17000339509681076</v>
      </c>
      <c r="J232">
        <f>(Table3[[#This Row],[HomeMargin]]-Table3[[#This Row],[HomeForecast]])^2</f>
        <v>10.048921524925307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-1.3749893287877923</v>
      </c>
      <c r="J233">
        <f>(Table3[[#This Row],[HomeMargin]]-Table3[[#This Row],[HomeForecast]])^2</f>
        <v>6.8906810239779652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0.11953071083181765</v>
      </c>
      <c r="J234">
        <f>(Table3[[#This Row],[HomeMargin]]-Table3[[#This Row],[HomeForecast]])^2</f>
        <v>9.7314718558228641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0.6542289456138376</v>
      </c>
      <c r="J235">
        <f>(Table3[[#This Row],[HomeMargin]]-Table3[[#This Row],[HomeForecast]])^2</f>
        <v>13.353389186962021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-0.37444616431556388</v>
      </c>
      <c r="J236">
        <f>(Table3[[#This Row],[HomeMargin]]-Table3[[#This Row],[HomeForecast]])^2</f>
        <v>1.8891022586017661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1.7655734457350807</v>
      </c>
      <c r="J237">
        <f>(Table3[[#This Row],[HomeMargin]]-Table3[[#This Row],[HomeForecast]])^2</f>
        <v>1.5238089178743619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-2.2202956638043365</v>
      </c>
      <c r="J238">
        <f>(Table3[[#This Row],[HomeMargin]]-Table3[[#This Row],[HomeForecast]])^2</f>
        <v>33.404982213838963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-0.24310485770681869</v>
      </c>
      <c r="J239">
        <f>(Table3[[#This Row],[HomeMargin]]-Table3[[#This Row],[HomeForecast]])^2</f>
        <v>18.003938833495205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0.28348270069368042</v>
      </c>
      <c r="J240">
        <f>(Table3[[#This Row],[HomeMargin]]-Table3[[#This Row],[HomeForecast]])^2</f>
        <v>0.51339704020522192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-1.2753814444691931</v>
      </c>
      <c r="J241">
        <f>(Table3[[#This Row],[HomeMargin]]-Table3[[#This Row],[HomeForecast]])^2</f>
        <v>7.5834939957939287E-2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-0.12687983715824649</v>
      </c>
      <c r="J242">
        <f>(Table3[[#This Row],[HomeMargin]]-Table3[[#This Row],[HomeForecast]])^2</f>
        <v>23.747300121494838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0.10728550447545132</v>
      </c>
      <c r="J243">
        <f>(Table3[[#This Row],[HomeMargin]]-Table3[[#This Row],[HomeForecast]])^2</f>
        <v>1.2260811884214546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1.004095181669637E-2</v>
      </c>
      <c r="J244">
        <f>(Table3[[#This Row],[HomeMargin]]-Table3[[#This Row],[HomeForecast]])^2</f>
        <v>3.9599370134465994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-0.95267035563412983</v>
      </c>
      <c r="J245">
        <f>(Table3[[#This Row],[HomeMargin]]-Table3[[#This Row],[HomeForecast]])^2</f>
        <v>2.2400952357997462E-3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0.24857019058449459</v>
      </c>
      <c r="J246">
        <f>(Table3[[#This Row],[HomeMargin]]-Table3[[#This Row],[HomeForecast]])^2</f>
        <v>0.56464675847822277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-0.4427468115310314</v>
      </c>
      <c r="J247">
        <f>(Table3[[#This Row],[HomeMargin]]-Table3[[#This Row],[HomeForecast]])^2</f>
        <v>2.4250374929967693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-8.0150813699313317E-2</v>
      </c>
      <c r="J248">
        <f>(Table3[[#This Row],[HomeMargin]]-Table3[[#This Row],[HomeForecast]])^2</f>
        <v>1.1667257803352888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-0.29185637907618089</v>
      </c>
      <c r="J249">
        <f>(Table3[[#This Row],[HomeMargin]]-Table3[[#This Row],[HomeForecast]])^2</f>
        <v>0.50146738785509759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0.54038348821902071</v>
      </c>
      <c r="J250">
        <f>(Table3[[#This Row],[HomeMargin]]-Table3[[#This Row],[HomeForecast]])^2</f>
        <v>6.0497133850256324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0.79586613687689611</v>
      </c>
      <c r="J251">
        <f>(Table3[[#This Row],[HomeMargin]]-Table3[[#This Row],[HomeForecast]])^2</f>
        <v>4.1670634073562113E-2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-0.57482685858330962</v>
      </c>
      <c r="J252">
        <f>(Table3[[#This Row],[HomeMargin]]-Table3[[#This Row],[HomeForecast]])^2</f>
        <v>11.73181104868228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0.98352339008511014</v>
      </c>
      <c r="J253">
        <f>(Table3[[#This Row],[HomeMargin]]-Table3[[#This Row],[HomeForecast]])^2</f>
        <v>1.0332246985040672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-4.7693074791751194E-2</v>
      </c>
      <c r="J254">
        <f>(Table3[[#This Row],[HomeMargin]]-Table3[[#This Row],[HomeForecast]])^2</f>
        <v>4.1930469285500962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0.5663863037324155</v>
      </c>
      <c r="J255">
        <f>(Table3[[#This Row],[HomeMargin]]-Table3[[#This Row],[HomeForecast]])^2</f>
        <v>2.453566052520499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-1.1092785978298623</v>
      </c>
      <c r="J256">
        <f>(Table3[[#This Row],[HomeMargin]]-Table3[[#This Row],[HomeForecast]])^2</f>
        <v>1.1941811943660778E-2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-2.0930028098500069</v>
      </c>
      <c r="J257">
        <f>(Table3[[#This Row],[HomeMargin]]-Table3[[#This Row],[HomeForecast]])^2</f>
        <v>1.1946551423400102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-0.20744366765364297</v>
      </c>
      <c r="J258">
        <f>(Table3[[#This Row],[HomeMargin]]-Table3[[#This Row],[HomeForecast]])^2</f>
        <v>1.4579202105568814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0.55834999314018685</v>
      </c>
      <c r="J259">
        <f>(Table3[[#This Row],[HomeMargin]]-Table3[[#This Row],[HomeForecast]])^2</f>
        <v>2.4284547011200202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1.2357353440450145</v>
      </c>
      <c r="J260">
        <f>(Table3[[#This Row],[HomeMargin]]-Table3[[#This Row],[HomeForecast]])^2</f>
        <v>3.1126297762519632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0.42545404048309082</v>
      </c>
      <c r="J261">
        <f>(Table3[[#This Row],[HomeMargin]]-Table3[[#This Row],[HomeForecast]])^2</f>
        <v>2.0319192215295692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0.85786718111504967</v>
      </c>
      <c r="J262">
        <f>(Table3[[#This Row],[HomeMargin]]-Table3[[#This Row],[HomeForecast]])^2</f>
        <v>1.3044673759740826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0.76454304825390074</v>
      </c>
      <c r="J263">
        <f>(Table3[[#This Row],[HomeMargin]]-Table3[[#This Row],[HomeForecast]])^2</f>
        <v>14.171784362156769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1.1316309136837395</v>
      </c>
      <c r="J264">
        <f>(Table3[[#This Row],[HomeMargin]]-Table3[[#This Row],[HomeForecast]])^2</f>
        <v>3.4908030427022583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0.10010697989482592</v>
      </c>
      <c r="J265">
        <f>(Table3[[#This Row],[HomeMargin]]-Table3[[#This Row],[HomeForecast]])^2</f>
        <v>1.210235367213315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-0.32672035364853325</v>
      </c>
      <c r="J266">
        <f>(Table3[[#This Row],[HomeMargin]]-Table3[[#This Row],[HomeForecast]])^2</f>
        <v>13.492983360299956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-0.33559384528530672</v>
      </c>
      <c r="J267">
        <f>(Table3[[#This Row],[HomeMargin]]-Table3[[#This Row],[HomeForecast]])^2</f>
        <v>0.44143553842276501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0.25274785141408718</v>
      </c>
      <c r="J268">
        <f>(Table3[[#This Row],[HomeMargin]]-Table3[[#This Row],[HomeForecast]])^2</f>
        <v>1.5693771792226117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-0.1980178935461463</v>
      </c>
      <c r="J269">
        <f>(Table3[[#This Row],[HomeMargin]]-Table3[[#This Row],[HomeForecast]])^2</f>
        <v>1.4352468732567456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-0.836108777531265</v>
      </c>
      <c r="J270">
        <f>(Table3[[#This Row],[HomeMargin]]-Table3[[#This Row],[HomeForecast]])^2</f>
        <v>1.3546427777397665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0.21668792390870306</v>
      </c>
      <c r="J271">
        <f>(Table3[[#This Row],[HomeMargin]]-Table3[[#This Row],[HomeForecast]])^2</f>
        <v>1.4803295041852702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0.61262894555075265</v>
      </c>
      <c r="J272">
        <f>(Table3[[#This Row],[HomeMargin]]-Table3[[#This Row],[HomeForecast]])^2</f>
        <v>2.6005721160281325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0.65575452917921218</v>
      </c>
      <c r="J273">
        <f>(Table3[[#This Row],[HomeMargin]]-Table3[[#This Row],[HomeForecast]])^2</f>
        <v>21.676050235972749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0.96827194319311238</v>
      </c>
      <c r="J274">
        <f>(Table3[[#This Row],[HomeMargin]]-Table3[[#This Row],[HomeForecast]])^2</f>
        <v>4.1279188968162908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0.62256403723766118</v>
      </c>
      <c r="J275">
        <f>(Table3[[#This Row],[HomeMargin]]-Table3[[#This Row],[HomeForecast]])^2</f>
        <v>0.14245790598633362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-0.67585622539827517</v>
      </c>
      <c r="J276">
        <f>(Table3[[#This Row],[HomeMargin]]-Table3[[#This Row],[HomeForecast]])^2</f>
        <v>7.1602065390027052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2.6355310911303964</v>
      </c>
      <c r="J277">
        <f>(Table3[[#This Row],[HomeMargin]]-Table3[[#This Row],[HomeForecast]])^2</f>
        <v>0.13283758553259942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-0.79052340772837715</v>
      </c>
      <c r="J278">
        <f>(Table3[[#This Row],[HomeMargin]]-Table3[[#This Row],[HomeForecast]])^2</f>
        <v>14.368067704536749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-6.8804548017854829E-3</v>
      </c>
      <c r="J279">
        <f>(Table3[[#This Row],[HomeMargin]]-Table3[[#This Row],[HomeForecast]])^2</f>
        <v>9.0413300694689909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-0.53100562820037422</v>
      </c>
      <c r="J280">
        <f>(Table3[[#This Row],[HomeMargin]]-Table3[[#This Row],[HomeForecast]])^2</f>
        <v>41.847888182375236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-0.17846279103488838</v>
      </c>
      <c r="J281">
        <f>(Table3[[#This Row],[HomeMargin]]-Table3[[#This Row],[HomeForecast]])^2</f>
        <v>4.7457001319235159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-0.50321011241786451</v>
      </c>
      <c r="J282">
        <f>(Table3[[#This Row],[HomeMargin]]-Table3[[#This Row],[HomeForecast]])^2</f>
        <v>6.266060866911058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-0.39559259122960877</v>
      </c>
      <c r="J283">
        <f>(Table3[[#This Row],[HomeMargin]]-Table3[[#This Row],[HomeForecast]])^2</f>
        <v>0.36530831577653877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0.28375771753375828</v>
      </c>
      <c r="J284">
        <f>(Table3[[#This Row],[HomeMargin]]-Table3[[#This Row],[HomeForecast]])^2</f>
        <v>1.6480338773274845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1.6381655340387091</v>
      </c>
      <c r="J285">
        <f>(Table3[[#This Row],[HomeMargin]]-Table3[[#This Row],[HomeForecast]])^2</f>
        <v>0.40725524883491082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-1.4299222888577585</v>
      </c>
      <c r="J286">
        <f>(Table3[[#This Row],[HomeMargin]]-Table3[[#This Row],[HomeForecast]])^2</f>
        <v>5.9045223298877278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-0.89754759732514322</v>
      </c>
      <c r="J287">
        <f>(Table3[[#This Row],[HomeMargin]]-Table3[[#This Row],[HomeForecast]])^2</f>
        <v>1.0496494813851001E-2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3.9985862356394619E-2</v>
      </c>
      <c r="J288">
        <f>(Table3[[#This Row],[HomeMargin]]-Table3[[#This Row],[HomeForecast]])^2</f>
        <v>1.0815705939011739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1.7654583879930388</v>
      </c>
      <c r="J289">
        <f>(Table3[[#This Row],[HomeMargin]]-Table3[[#This Row],[HomeForecast]])^2</f>
        <v>7.6477600957210568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2.8833036093240672E-2</v>
      </c>
      <c r="J290">
        <f>(Table3[[#This Row],[HomeMargin]]-Table3[[#This Row],[HomeForecast]])^2</f>
        <v>1.0584974161568357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-1.2578625745058483</v>
      </c>
      <c r="J291">
        <f>(Table3[[#This Row],[HomeMargin]]-Table3[[#This Row],[HomeForecast]])^2</f>
        <v>6.6493107330784146E-2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1.2545893347723986</v>
      </c>
      <c r="J292">
        <f>(Table3[[#This Row],[HomeMargin]]-Table3[[#This Row],[HomeForecast]])^2</f>
        <v>6.4815729379852471E-2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0.85098889518588272</v>
      </c>
      <c r="J293">
        <f>(Table3[[#This Row],[HomeMargin]]-Table3[[#This Row],[HomeForecast]])^2</f>
        <v>9.9162709382426275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0.71337676971827979</v>
      </c>
      <c r="J294">
        <f>(Table3[[#This Row],[HomeMargin]]-Table3[[#This Row],[HomeForecast]])^2</f>
        <v>2.9356599550102471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-4.7890460594270962E-2</v>
      </c>
      <c r="J295">
        <f>(Table3[[#This Row],[HomeMargin]]-Table3[[#This Row],[HomeForecast]])^2</f>
        <v>3.8107316538388476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-0.81472267263975851</v>
      </c>
      <c r="J296">
        <f>(Table3[[#This Row],[HomeMargin]]-Table3[[#This Row],[HomeForecast]])^2</f>
        <v>7.9226637238723061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-0.37387457394995588</v>
      </c>
      <c r="J297">
        <f>(Table3[[#This Row],[HomeMargin]]-Table3[[#This Row],[HomeForecast]])^2</f>
        <v>0.39203304914634934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-0.13130857073346572</v>
      </c>
      <c r="J298">
        <f>(Table3[[#This Row],[HomeMargin]]-Table3[[#This Row],[HomeForecast]])^2</f>
        <v>0.75462479928113413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7.8796236689708421E-2</v>
      </c>
      <c r="J299">
        <f>(Table3[[#This Row],[HomeMargin]]-Table3[[#This Row],[HomeForecast]])^2</f>
        <v>8.5334314267782112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-1.4968473924028249</v>
      </c>
      <c r="J300">
        <f>(Table3[[#This Row],[HomeMargin]]-Table3[[#This Row],[HomeForecast]])^2</f>
        <v>2.2594677617261869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-7.0485306911706624E-2</v>
      </c>
      <c r="J301">
        <f>(Table3[[#This Row],[HomeMargin]]-Table3[[#This Row],[HomeForecast]])^2</f>
        <v>0.86399756466702426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1.7072450102936787</v>
      </c>
      <c r="J302">
        <f>(Table3[[#This Row],[HomeMargin]]-Table3[[#This Row],[HomeForecast]])^2</f>
        <v>1.6712154634105909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-0.31530610877156851</v>
      </c>
      <c r="J303">
        <f>(Table3[[#This Row],[HomeMargin]]-Table3[[#This Row],[HomeForecast]])^2</f>
        <v>1.7300301597718053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0.29558965875220056</v>
      </c>
      <c r="J304">
        <f>(Table3[[#This Row],[HomeMargin]]-Table3[[#This Row],[HomeForecast]])^2</f>
        <v>1.6785525638656431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1.8450426584417765</v>
      </c>
      <c r="J305">
        <f>(Table3[[#This Row],[HomeMargin]]-Table3[[#This Row],[HomeForecast]])^2</f>
        <v>4.6438411439356857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1.1221926763693031</v>
      </c>
      <c r="J306">
        <f>(Table3[[#This Row],[HomeMargin]]-Table3[[#This Row],[HomeForecast]])^2</f>
        <v>26.236857813851323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0.95074860383756288</v>
      </c>
      <c r="J307">
        <f>(Table3[[#This Row],[HomeMargin]]-Table3[[#This Row],[HomeForecast]])^2</f>
        <v>2.4257000239493263E-3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-0.45897160150682187</v>
      </c>
      <c r="J308">
        <f>(Table3[[#This Row],[HomeMargin]]-Table3[[#This Row],[HomeForecast]])^2</f>
        <v>2.3747685249624491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0.20744512704996743</v>
      </c>
      <c r="J309">
        <f>(Table3[[#This Row],[HomeMargin]]-Table3[[#This Row],[HomeForecast]])^2</f>
        <v>14.383472464337039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0.31263237907742736</v>
      </c>
      <c r="J310">
        <f>(Table3[[#This Row],[HomeMargin]]-Table3[[#This Row],[HomeForecast]])^2</f>
        <v>0.47247424629275753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0.86674203098302305</v>
      </c>
      <c r="J311">
        <f>(Table3[[#This Row],[HomeMargin]]-Table3[[#This Row],[HomeForecast]])^2</f>
        <v>4.5507895623744368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0.36426332793037108</v>
      </c>
      <c r="J312">
        <f>(Table3[[#This Row],[HomeMargin]]-Table3[[#This Row],[HomeForecast]])^2</f>
        <v>0.40416111621416689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1.7901096983718103</v>
      </c>
      <c r="J313">
        <f>(Table3[[#This Row],[HomeMargin]]-Table3[[#This Row],[HomeForecast]])^2</f>
        <v>1.4638345419739518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0.32788663284995012</v>
      </c>
      <c r="J314">
        <f>(Table3[[#This Row],[HomeMargin]]-Table3[[#This Row],[HomeForecast]])^2</f>
        <v>1.7632829097015783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0.25307019290850802</v>
      </c>
      <c r="J315">
        <f>(Table3[[#This Row],[HomeMargin]]-Table3[[#This Row],[HomeForecast]])^2</f>
        <v>3.0517637509047177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3.5918951302978314E-2</v>
      </c>
      <c r="J316">
        <f>(Table3[[#This Row],[HomeMargin]]-Table3[[#This Row],[HomeForecast]])^2</f>
        <v>0.92945226845674911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-2.9475301119221142E-2</v>
      </c>
      <c r="J317">
        <f>(Table3[[#This Row],[HomeMargin]]-Table3[[#This Row],[HomeForecast]])^2</f>
        <v>16.236671202329834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1.1486586267295764</v>
      </c>
      <c r="J318">
        <f>(Table3[[#This Row],[HomeMargin]]-Table3[[#This Row],[HomeForecast]])^2</f>
        <v>2.209938730112353E-2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0.61819773948401391</v>
      </c>
      <c r="J319">
        <f>(Table3[[#This Row],[HomeMargin]]-Table3[[#This Row],[HomeForecast]])^2</f>
        <v>0.14577296613511692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0.96351814862396079</v>
      </c>
      <c r="J320">
        <f>(Table3[[#This Row],[HomeMargin]]-Table3[[#This Row],[HomeForecast]])^2</f>
        <v>4.1472583309839806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0.81997888759442561</v>
      </c>
      <c r="J321">
        <f>(Table3[[#This Row],[HomeMargin]]-Table3[[#This Row],[HomeForecast]])^2</f>
        <v>3.2407600911740449E-2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0.50190607007022081</v>
      </c>
      <c r="J322">
        <f>(Table3[[#This Row],[HomeMargin]]-Table3[[#This Row],[HomeForecast]])^2</f>
        <v>20.267158263735098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-0.86883575613617303</v>
      </c>
      <c r="J323">
        <f>(Table3[[#This Row],[HomeMargin]]-Table3[[#This Row],[HomeForecast]])^2</f>
        <v>3.4925470834130614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1.2084755245311474</v>
      </c>
      <c r="J324">
        <f>(Table3[[#This Row],[HomeMargin]]-Table3[[#This Row],[HomeForecast]])^2</f>
        <v>3.2095599462039477</v>
      </c>
    </row>
    <row r="325" spans="4:10" x14ac:dyDescent="0.2">
      <c r="D325" t="s">
        <v>36</v>
      </c>
      <c r="F325" t="s">
        <v>31</v>
      </c>
    </row>
    <row r="326" spans="4:10" x14ac:dyDescent="0.2">
      <c r="D326" t="s">
        <v>32</v>
      </c>
      <c r="F326" t="s">
        <v>10</v>
      </c>
    </row>
    <row r="327" spans="4:10" x14ac:dyDescent="0.2">
      <c r="D327" t="s">
        <v>15</v>
      </c>
      <c r="F327" t="s">
        <v>12</v>
      </c>
    </row>
    <row r="328" spans="4:10" x14ac:dyDescent="0.2">
      <c r="D328" t="s">
        <v>30</v>
      </c>
      <c r="F328" t="s">
        <v>26</v>
      </c>
    </row>
    <row r="329" spans="4:10" x14ac:dyDescent="0.2">
      <c r="D329" t="s">
        <v>24</v>
      </c>
      <c r="F329" t="s">
        <v>11</v>
      </c>
    </row>
    <row r="330" spans="4:10" x14ac:dyDescent="0.2">
      <c r="D330" t="s">
        <v>22</v>
      </c>
      <c r="F330" t="s">
        <v>18</v>
      </c>
    </row>
    <row r="331" spans="4:10" x14ac:dyDescent="0.2">
      <c r="D331" t="s">
        <v>35</v>
      </c>
      <c r="F331" t="s">
        <v>27</v>
      </c>
    </row>
    <row r="332" spans="4:10" x14ac:dyDescent="0.2">
      <c r="D332" t="s">
        <v>13</v>
      </c>
      <c r="F332" t="s">
        <v>33</v>
      </c>
    </row>
    <row r="333" spans="4:10" x14ac:dyDescent="0.2">
      <c r="D333" t="s">
        <v>17</v>
      </c>
      <c r="F333" t="s">
        <v>37</v>
      </c>
    </row>
    <row r="334" spans="4:10" x14ac:dyDescent="0.2">
      <c r="D334" t="s">
        <v>28</v>
      </c>
      <c r="F334" t="s">
        <v>19</v>
      </c>
    </row>
    <row r="335" spans="4:10" x14ac:dyDescent="0.2">
      <c r="D335" t="s">
        <v>20</v>
      </c>
      <c r="F335" t="s">
        <v>55</v>
      </c>
    </row>
    <row r="336" spans="4:10" x14ac:dyDescent="0.2">
      <c r="D336" t="s">
        <v>39</v>
      </c>
      <c r="F336" t="s">
        <v>38</v>
      </c>
    </row>
    <row r="337" spans="4:6" x14ac:dyDescent="0.2">
      <c r="D337" t="s">
        <v>10</v>
      </c>
      <c r="F337" t="s">
        <v>23</v>
      </c>
    </row>
    <row r="338" spans="4:6" x14ac:dyDescent="0.2">
      <c r="D338" t="s">
        <v>21</v>
      </c>
      <c r="F338" t="s">
        <v>13</v>
      </c>
    </row>
    <row r="339" spans="4:6" x14ac:dyDescent="0.2">
      <c r="D339" t="s">
        <v>34</v>
      </c>
      <c r="F339" t="s">
        <v>14</v>
      </c>
    </row>
    <row r="340" spans="4:6" x14ac:dyDescent="0.2">
      <c r="D340" t="s">
        <v>25</v>
      </c>
      <c r="F340" t="s">
        <v>40</v>
      </c>
    </row>
    <row r="341" spans="4:6" x14ac:dyDescent="0.2">
      <c r="D341" t="s">
        <v>20</v>
      </c>
      <c r="F341" t="s">
        <v>31</v>
      </c>
    </row>
    <row r="342" spans="4:6" x14ac:dyDescent="0.2">
      <c r="D342" t="s">
        <v>39</v>
      </c>
      <c r="F342" t="s">
        <v>16</v>
      </c>
    </row>
    <row r="343" spans="4:6" x14ac:dyDescent="0.2">
      <c r="D343" t="s">
        <v>28</v>
      </c>
      <c r="F343" t="s">
        <v>26</v>
      </c>
    </row>
    <row r="344" spans="4:6" x14ac:dyDescent="0.2">
      <c r="D344" t="s">
        <v>17</v>
      </c>
      <c r="F344" t="s">
        <v>11</v>
      </c>
    </row>
    <row r="345" spans="4:6" x14ac:dyDescent="0.2">
      <c r="D345" t="s">
        <v>19</v>
      </c>
      <c r="F345" t="s">
        <v>18</v>
      </c>
    </row>
    <row r="346" spans="4:6" x14ac:dyDescent="0.2">
      <c r="D346" t="s">
        <v>12</v>
      </c>
      <c r="F346" t="s">
        <v>29</v>
      </c>
    </row>
    <row r="347" spans="4:6" x14ac:dyDescent="0.2">
      <c r="D347" t="s">
        <v>35</v>
      </c>
      <c r="F347" t="s">
        <v>30</v>
      </c>
    </row>
    <row r="348" spans="4:6" x14ac:dyDescent="0.2">
      <c r="D348" t="s">
        <v>24</v>
      </c>
      <c r="F348" t="s">
        <v>27</v>
      </c>
    </row>
    <row r="349" spans="4:6" x14ac:dyDescent="0.2">
      <c r="D349" t="s">
        <v>32</v>
      </c>
      <c r="F349" t="s">
        <v>14</v>
      </c>
    </row>
    <row r="350" spans="4:6" x14ac:dyDescent="0.2">
      <c r="D350" t="s">
        <v>36</v>
      </c>
      <c r="F350" t="s">
        <v>33</v>
      </c>
    </row>
    <row r="351" spans="4:6" x14ac:dyDescent="0.2">
      <c r="D351" t="s">
        <v>15</v>
      </c>
      <c r="F351" t="s">
        <v>55</v>
      </c>
    </row>
    <row r="352" spans="4:6" x14ac:dyDescent="0.2">
      <c r="D352" t="s">
        <v>37</v>
      </c>
      <c r="F352" t="s">
        <v>22</v>
      </c>
    </row>
    <row r="353" spans="4:6" x14ac:dyDescent="0.2">
      <c r="D353" t="s">
        <v>25</v>
      </c>
      <c r="F353" t="s">
        <v>23</v>
      </c>
    </row>
    <row r="354" spans="4:6" x14ac:dyDescent="0.2">
      <c r="D354" t="s">
        <v>12</v>
      </c>
      <c r="F354" t="s">
        <v>10</v>
      </c>
    </row>
    <row r="355" spans="4:6" x14ac:dyDescent="0.2">
      <c r="D355" t="s">
        <v>32</v>
      </c>
      <c r="F355" t="s">
        <v>30</v>
      </c>
    </row>
    <row r="356" spans="4:6" x14ac:dyDescent="0.2">
      <c r="D356" t="s">
        <v>21</v>
      </c>
      <c r="F356" t="s">
        <v>33</v>
      </c>
    </row>
    <row r="357" spans="4:6" x14ac:dyDescent="0.2">
      <c r="D357" t="s">
        <v>16</v>
      </c>
      <c r="F357" t="s">
        <v>38</v>
      </c>
    </row>
    <row r="358" spans="4:6" x14ac:dyDescent="0.2">
      <c r="D358" t="s">
        <v>34</v>
      </c>
      <c r="F358" t="s">
        <v>40</v>
      </c>
    </row>
    <row r="359" spans="4:6" x14ac:dyDescent="0.2">
      <c r="D359" t="s">
        <v>36</v>
      </c>
      <c r="F359" t="s">
        <v>13</v>
      </c>
    </row>
    <row r="360" spans="4:6" x14ac:dyDescent="0.2">
      <c r="D360" t="s">
        <v>26</v>
      </c>
      <c r="F360" t="s">
        <v>24</v>
      </c>
    </row>
    <row r="361" spans="4:6" x14ac:dyDescent="0.2">
      <c r="D361" t="s">
        <v>11</v>
      </c>
      <c r="F361" t="s">
        <v>29</v>
      </c>
    </row>
    <row r="362" spans="4:6" x14ac:dyDescent="0.2">
      <c r="D362" t="s">
        <v>35</v>
      </c>
      <c r="F362" t="s">
        <v>15</v>
      </c>
    </row>
    <row r="363" spans="4:6" x14ac:dyDescent="0.2">
      <c r="D363" t="s">
        <v>27</v>
      </c>
      <c r="F363" t="s">
        <v>37</v>
      </c>
    </row>
    <row r="364" spans="4:6" x14ac:dyDescent="0.2">
      <c r="D364" t="s">
        <v>20</v>
      </c>
      <c r="F364" t="s">
        <v>55</v>
      </c>
    </row>
    <row r="365" spans="4:6" x14ac:dyDescent="0.2">
      <c r="D365" t="s">
        <v>28</v>
      </c>
      <c r="F365" t="s">
        <v>22</v>
      </c>
    </row>
    <row r="366" spans="4:6" x14ac:dyDescent="0.2">
      <c r="D366" t="s">
        <v>39</v>
      </c>
      <c r="F366" t="s">
        <v>17</v>
      </c>
    </row>
    <row r="367" spans="4:6" x14ac:dyDescent="0.2">
      <c r="D367" t="s">
        <v>38</v>
      </c>
      <c r="F367" t="s">
        <v>31</v>
      </c>
    </row>
    <row r="368" spans="4:6" x14ac:dyDescent="0.2">
      <c r="D368" t="s">
        <v>15</v>
      </c>
      <c r="F368" t="s">
        <v>25</v>
      </c>
    </row>
    <row r="369" spans="4:6" x14ac:dyDescent="0.2">
      <c r="D369" t="s">
        <v>19</v>
      </c>
      <c r="F369" t="s">
        <v>28</v>
      </c>
    </row>
    <row r="370" spans="4:6" x14ac:dyDescent="0.2">
      <c r="D370" t="s">
        <v>34</v>
      </c>
      <c r="F370" t="s">
        <v>10</v>
      </c>
    </row>
    <row r="371" spans="4:6" x14ac:dyDescent="0.2">
      <c r="D371" t="s">
        <v>33</v>
      </c>
      <c r="F371" t="s">
        <v>12</v>
      </c>
    </row>
    <row r="372" spans="4:6" x14ac:dyDescent="0.2">
      <c r="D372" t="s">
        <v>29</v>
      </c>
      <c r="F372" t="s">
        <v>26</v>
      </c>
    </row>
    <row r="373" spans="4:6" x14ac:dyDescent="0.2">
      <c r="D373" t="s">
        <v>27</v>
      </c>
      <c r="F373" t="s">
        <v>11</v>
      </c>
    </row>
    <row r="374" spans="4:6" x14ac:dyDescent="0.2">
      <c r="D374" t="s">
        <v>35</v>
      </c>
      <c r="F374" t="s">
        <v>24</v>
      </c>
    </row>
    <row r="375" spans="4:6" x14ac:dyDescent="0.2">
      <c r="D375" t="s">
        <v>21</v>
      </c>
      <c r="F375" t="s">
        <v>30</v>
      </c>
    </row>
    <row r="376" spans="4:6" x14ac:dyDescent="0.2">
      <c r="D376" t="s">
        <v>23</v>
      </c>
      <c r="F376" t="s">
        <v>14</v>
      </c>
    </row>
    <row r="377" spans="4:6" x14ac:dyDescent="0.2">
      <c r="D377" t="s">
        <v>39</v>
      </c>
      <c r="F377" t="s">
        <v>32</v>
      </c>
    </row>
    <row r="378" spans="4:6" x14ac:dyDescent="0.2">
      <c r="D378" t="s">
        <v>16</v>
      </c>
      <c r="F378" t="s">
        <v>37</v>
      </c>
    </row>
    <row r="379" spans="4:6" x14ac:dyDescent="0.2">
      <c r="D379" t="s">
        <v>18</v>
      </c>
      <c r="F379" t="s">
        <v>55</v>
      </c>
    </row>
    <row r="380" spans="4:6" x14ac:dyDescent="0.2">
      <c r="D380" t="s">
        <v>36</v>
      </c>
      <c r="F380" t="s">
        <v>20</v>
      </c>
    </row>
    <row r="381" spans="4:6" x14ac:dyDescent="0.2">
      <c r="D381" t="s">
        <v>40</v>
      </c>
      <c r="F381" t="s">
        <v>22</v>
      </c>
    </row>
    <row r="382" spans="4:6" x14ac:dyDescent="0.2">
      <c r="D382" t="s">
        <v>13</v>
      </c>
      <c r="F382" t="s">
        <v>31</v>
      </c>
    </row>
    <row r="383" spans="4:6" x14ac:dyDescent="0.2">
      <c r="D383" t="s">
        <v>15</v>
      </c>
      <c r="F383" t="s">
        <v>21</v>
      </c>
    </row>
    <row r="384" spans="4:6" x14ac:dyDescent="0.2">
      <c r="D384" t="s">
        <v>24</v>
      </c>
      <c r="F384" t="s">
        <v>23</v>
      </c>
    </row>
    <row r="385" spans="4:6" x14ac:dyDescent="0.2">
      <c r="D385" t="s">
        <v>40</v>
      </c>
      <c r="F385" t="s">
        <v>25</v>
      </c>
    </row>
    <row r="386" spans="4:6" x14ac:dyDescent="0.2">
      <c r="D386" t="s">
        <v>14</v>
      </c>
      <c r="F386" t="s">
        <v>28</v>
      </c>
    </row>
    <row r="387" spans="4:6" x14ac:dyDescent="0.2">
      <c r="D387" t="s">
        <v>29</v>
      </c>
      <c r="F387" t="s">
        <v>10</v>
      </c>
    </row>
    <row r="388" spans="4:6" x14ac:dyDescent="0.2">
      <c r="D388" t="s">
        <v>55</v>
      </c>
      <c r="F388" t="s">
        <v>39</v>
      </c>
    </row>
    <row r="389" spans="4:6" x14ac:dyDescent="0.2">
      <c r="D389" t="s">
        <v>37</v>
      </c>
      <c r="F389" t="s">
        <v>26</v>
      </c>
    </row>
    <row r="390" spans="4:6" x14ac:dyDescent="0.2">
      <c r="D390" t="s">
        <v>16</v>
      </c>
      <c r="F390" t="s">
        <v>11</v>
      </c>
    </row>
    <row r="391" spans="4:6" x14ac:dyDescent="0.2">
      <c r="D391" t="s">
        <v>12</v>
      </c>
      <c r="F391" t="s">
        <v>34</v>
      </c>
    </row>
    <row r="392" spans="4:6" x14ac:dyDescent="0.2">
      <c r="D392" t="s">
        <v>27</v>
      </c>
      <c r="F392" t="s">
        <v>30</v>
      </c>
    </row>
    <row r="393" spans="4:6" x14ac:dyDescent="0.2">
      <c r="D393" t="s">
        <v>38</v>
      </c>
      <c r="F393" t="s">
        <v>33</v>
      </c>
    </row>
    <row r="394" spans="4:6" x14ac:dyDescent="0.2">
      <c r="D394" t="s">
        <v>36</v>
      </c>
      <c r="F394" t="s">
        <v>35</v>
      </c>
    </row>
    <row r="395" spans="4:6" x14ac:dyDescent="0.2">
      <c r="D395" t="s">
        <v>18</v>
      </c>
      <c r="F395" t="s">
        <v>20</v>
      </c>
    </row>
    <row r="396" spans="4:6" x14ac:dyDescent="0.2">
      <c r="D396" t="s">
        <v>19</v>
      </c>
      <c r="F396" t="s">
        <v>22</v>
      </c>
    </row>
    <row r="397" spans="4:6" x14ac:dyDescent="0.2">
      <c r="D397" t="s">
        <v>26</v>
      </c>
      <c r="F397" t="s">
        <v>21</v>
      </c>
    </row>
    <row r="398" spans="4:6" x14ac:dyDescent="0.2">
      <c r="D398" t="s">
        <v>18</v>
      </c>
      <c r="F398" t="s">
        <v>12</v>
      </c>
    </row>
    <row r="399" spans="4:6" x14ac:dyDescent="0.2">
      <c r="D399" t="s">
        <v>38</v>
      </c>
      <c r="F399" t="s">
        <v>13</v>
      </c>
    </row>
    <row r="400" spans="4:6" x14ac:dyDescent="0.2">
      <c r="D400" t="s">
        <v>23</v>
      </c>
      <c r="F400" t="s">
        <v>34</v>
      </c>
    </row>
    <row r="401" spans="4:6" x14ac:dyDescent="0.2">
      <c r="D401" t="s">
        <v>27</v>
      </c>
      <c r="F401" t="s">
        <v>24</v>
      </c>
    </row>
    <row r="402" spans="4:6" x14ac:dyDescent="0.2">
      <c r="D402" t="s">
        <v>40</v>
      </c>
      <c r="F402" t="s">
        <v>29</v>
      </c>
    </row>
    <row r="403" spans="4:6" x14ac:dyDescent="0.2">
      <c r="D403" t="s">
        <v>37</v>
      </c>
      <c r="F403" t="s">
        <v>15</v>
      </c>
    </row>
    <row r="404" spans="4:6" x14ac:dyDescent="0.2">
      <c r="D404" t="s">
        <v>19</v>
      </c>
      <c r="F404" t="s">
        <v>14</v>
      </c>
    </row>
    <row r="405" spans="4:6" x14ac:dyDescent="0.2">
      <c r="D405" t="s">
        <v>17</v>
      </c>
      <c r="F405" t="s">
        <v>32</v>
      </c>
    </row>
    <row r="406" spans="4:6" x14ac:dyDescent="0.2">
      <c r="D406" t="s">
        <v>55</v>
      </c>
      <c r="F406" t="s">
        <v>35</v>
      </c>
    </row>
    <row r="407" spans="4:6" x14ac:dyDescent="0.2">
      <c r="D407" t="s">
        <v>33</v>
      </c>
      <c r="F407" t="s">
        <v>20</v>
      </c>
    </row>
    <row r="408" spans="4:6" x14ac:dyDescent="0.2">
      <c r="D408" t="s">
        <v>16</v>
      </c>
      <c r="F408" t="s">
        <v>25</v>
      </c>
    </row>
    <row r="409" spans="4:6" x14ac:dyDescent="0.2">
      <c r="D409" t="s">
        <v>31</v>
      </c>
      <c r="F409" t="s">
        <v>10</v>
      </c>
    </row>
    <row r="410" spans="4:6" x14ac:dyDescent="0.2">
      <c r="D410" t="s">
        <v>36</v>
      </c>
      <c r="F410" t="s">
        <v>39</v>
      </c>
    </row>
    <row r="411" spans="4:6" x14ac:dyDescent="0.2">
      <c r="D411" t="s">
        <v>22</v>
      </c>
      <c r="F411" t="s">
        <v>30</v>
      </c>
    </row>
    <row r="412" spans="4:6" x14ac:dyDescent="0.2">
      <c r="D412" t="s">
        <v>40</v>
      </c>
      <c r="F412" t="s">
        <v>23</v>
      </c>
    </row>
    <row r="413" spans="4:6" x14ac:dyDescent="0.2">
      <c r="D413" t="s">
        <v>28</v>
      </c>
      <c r="F413" t="s">
        <v>24</v>
      </c>
    </row>
    <row r="414" spans="4:6" x14ac:dyDescent="0.2">
      <c r="D414" t="s">
        <v>14</v>
      </c>
      <c r="F414" t="s">
        <v>27</v>
      </c>
    </row>
    <row r="415" spans="4:6" x14ac:dyDescent="0.2">
      <c r="D415" t="s">
        <v>55</v>
      </c>
      <c r="F415" t="s">
        <v>33</v>
      </c>
    </row>
    <row r="416" spans="4:6" x14ac:dyDescent="0.2">
      <c r="D416" t="s">
        <v>31</v>
      </c>
      <c r="F416" t="s">
        <v>35</v>
      </c>
    </row>
    <row r="417" spans="4:6" x14ac:dyDescent="0.2">
      <c r="D417" t="s">
        <v>38</v>
      </c>
      <c r="F417" t="s">
        <v>12</v>
      </c>
    </row>
    <row r="418" spans="4:6" x14ac:dyDescent="0.2">
      <c r="D418" t="s">
        <v>21</v>
      </c>
      <c r="F418" t="s">
        <v>26</v>
      </c>
    </row>
    <row r="419" spans="4:6" x14ac:dyDescent="0.2">
      <c r="D419" t="s">
        <v>34</v>
      </c>
      <c r="F419" t="s">
        <v>17</v>
      </c>
    </row>
    <row r="420" spans="4:6" x14ac:dyDescent="0.2">
      <c r="D420" t="s">
        <v>19</v>
      </c>
      <c r="F420" t="s">
        <v>11</v>
      </c>
    </row>
    <row r="421" spans="4:6" x14ac:dyDescent="0.2">
      <c r="D421" t="s">
        <v>22</v>
      </c>
      <c r="F421" t="s">
        <v>13</v>
      </c>
    </row>
    <row r="422" spans="4:6" x14ac:dyDescent="0.2">
      <c r="D422" t="s">
        <v>36</v>
      </c>
      <c r="F422" t="s">
        <v>18</v>
      </c>
    </row>
    <row r="423" spans="4:6" x14ac:dyDescent="0.2">
      <c r="D423" t="s">
        <v>16</v>
      </c>
      <c r="F423" t="s">
        <v>29</v>
      </c>
    </row>
    <row r="424" spans="4:6" x14ac:dyDescent="0.2">
      <c r="D424" t="s">
        <v>37</v>
      </c>
      <c r="F424" t="s">
        <v>30</v>
      </c>
    </row>
    <row r="425" spans="4:6" x14ac:dyDescent="0.2">
      <c r="D425" t="s">
        <v>39</v>
      </c>
      <c r="F425" t="s">
        <v>15</v>
      </c>
    </row>
    <row r="426" spans="4:6" x14ac:dyDescent="0.2">
      <c r="D426" t="s">
        <v>10</v>
      </c>
      <c r="F426" t="s">
        <v>20</v>
      </c>
    </row>
    <row r="427" spans="4:6" x14ac:dyDescent="0.2">
      <c r="D427" t="s">
        <v>55</v>
      </c>
      <c r="F427" t="s">
        <v>31</v>
      </c>
    </row>
    <row r="428" spans="4:6" x14ac:dyDescent="0.2">
      <c r="D428" t="s">
        <v>40</v>
      </c>
      <c r="F428" t="s">
        <v>18</v>
      </c>
    </row>
    <row r="429" spans="4:6" x14ac:dyDescent="0.2">
      <c r="D429" t="s">
        <v>39</v>
      </c>
      <c r="F429" t="s">
        <v>24</v>
      </c>
    </row>
    <row r="430" spans="4:6" x14ac:dyDescent="0.2">
      <c r="D430" t="s">
        <v>23</v>
      </c>
      <c r="F430" t="s">
        <v>27</v>
      </c>
    </row>
    <row r="431" spans="4:6" x14ac:dyDescent="0.2">
      <c r="D431" t="s">
        <v>22</v>
      </c>
      <c r="F431" t="s">
        <v>33</v>
      </c>
    </row>
    <row r="432" spans="4:6" x14ac:dyDescent="0.2">
      <c r="D432" t="s">
        <v>35</v>
      </c>
      <c r="F432" t="s">
        <v>21</v>
      </c>
    </row>
    <row r="433" spans="4:6" x14ac:dyDescent="0.2">
      <c r="D433" t="s">
        <v>19</v>
      </c>
      <c r="F433" t="s">
        <v>25</v>
      </c>
    </row>
    <row r="434" spans="4:6" x14ac:dyDescent="0.2">
      <c r="D434" t="s">
        <v>26</v>
      </c>
      <c r="F434" t="s">
        <v>28</v>
      </c>
    </row>
    <row r="435" spans="4:6" x14ac:dyDescent="0.2">
      <c r="D435" t="s">
        <v>34</v>
      </c>
      <c r="F435" t="s">
        <v>16</v>
      </c>
    </row>
    <row r="436" spans="4:6" x14ac:dyDescent="0.2">
      <c r="D436" t="s">
        <v>32</v>
      </c>
      <c r="F436" t="s">
        <v>17</v>
      </c>
    </row>
    <row r="437" spans="4:6" x14ac:dyDescent="0.2">
      <c r="D437" t="s">
        <v>29</v>
      </c>
      <c r="F437" t="s">
        <v>11</v>
      </c>
    </row>
    <row r="438" spans="4:6" x14ac:dyDescent="0.2">
      <c r="D438" t="s">
        <v>10</v>
      </c>
      <c r="F438" t="s">
        <v>13</v>
      </c>
    </row>
    <row r="439" spans="4:6" x14ac:dyDescent="0.2">
      <c r="D439" t="s">
        <v>12</v>
      </c>
      <c r="F439" t="s">
        <v>30</v>
      </c>
    </row>
    <row r="440" spans="4:6" x14ac:dyDescent="0.2">
      <c r="D440" t="s">
        <v>15</v>
      </c>
      <c r="F440" t="s">
        <v>36</v>
      </c>
    </row>
    <row r="441" spans="4:6" x14ac:dyDescent="0.2">
      <c r="D441" t="s">
        <v>14</v>
      </c>
      <c r="F441" t="s">
        <v>37</v>
      </c>
    </row>
    <row r="442" spans="4:6" x14ac:dyDescent="0.2">
      <c r="D442" t="s">
        <v>22</v>
      </c>
      <c r="F442" t="s">
        <v>31</v>
      </c>
    </row>
    <row r="443" spans="4:6" x14ac:dyDescent="0.2">
      <c r="D443" t="s">
        <v>33</v>
      </c>
      <c r="F443" t="s">
        <v>39</v>
      </c>
    </row>
    <row r="444" spans="4:6" x14ac:dyDescent="0.2">
      <c r="D444" t="s">
        <v>20</v>
      </c>
      <c r="F444" t="s">
        <v>24</v>
      </c>
    </row>
    <row r="445" spans="4:6" x14ac:dyDescent="0.2">
      <c r="D445" t="s">
        <v>55</v>
      </c>
      <c r="F445" t="s">
        <v>38</v>
      </c>
    </row>
    <row r="446" spans="4:6" x14ac:dyDescent="0.2">
      <c r="D446" t="s">
        <v>23</v>
      </c>
      <c r="F446" t="s">
        <v>40</v>
      </c>
    </row>
    <row r="447" spans="4:6" x14ac:dyDescent="0.2">
      <c r="D447" t="s">
        <v>24</v>
      </c>
      <c r="F447" t="s">
        <v>21</v>
      </c>
    </row>
    <row r="448" spans="4:6" x14ac:dyDescent="0.2">
      <c r="D448" t="s">
        <v>29</v>
      </c>
      <c r="F448" t="s">
        <v>25</v>
      </c>
    </row>
    <row r="449" spans="4:6" x14ac:dyDescent="0.2">
      <c r="D449" t="s">
        <v>55</v>
      </c>
      <c r="F449" t="s">
        <v>16</v>
      </c>
    </row>
    <row r="450" spans="4:6" x14ac:dyDescent="0.2">
      <c r="D450" t="s">
        <v>40</v>
      </c>
      <c r="F450" t="s">
        <v>17</v>
      </c>
    </row>
    <row r="451" spans="4:6" x14ac:dyDescent="0.2">
      <c r="D451" t="s">
        <v>28</v>
      </c>
      <c r="F451" t="s">
        <v>11</v>
      </c>
    </row>
    <row r="452" spans="4:6" x14ac:dyDescent="0.2">
      <c r="D452" t="s">
        <v>10</v>
      </c>
      <c r="F452" t="s">
        <v>13</v>
      </c>
    </row>
    <row r="453" spans="4:6" x14ac:dyDescent="0.2">
      <c r="D453" t="s">
        <v>12</v>
      </c>
      <c r="F453" t="s">
        <v>15</v>
      </c>
    </row>
    <row r="454" spans="4:6" x14ac:dyDescent="0.2">
      <c r="D454" t="s">
        <v>35</v>
      </c>
      <c r="F454" t="s">
        <v>36</v>
      </c>
    </row>
    <row r="455" spans="4:6" x14ac:dyDescent="0.2">
      <c r="D455" t="s">
        <v>26</v>
      </c>
      <c r="F455" t="s">
        <v>32</v>
      </c>
    </row>
    <row r="456" spans="4:6" x14ac:dyDescent="0.2">
      <c r="D456" t="s">
        <v>30</v>
      </c>
      <c r="F456" t="s">
        <v>37</v>
      </c>
    </row>
    <row r="457" spans="4:6" x14ac:dyDescent="0.2">
      <c r="D457" t="s">
        <v>18</v>
      </c>
      <c r="F457" t="s">
        <v>19</v>
      </c>
    </row>
    <row r="458" spans="4:6" x14ac:dyDescent="0.2">
      <c r="D458" t="s">
        <v>34</v>
      </c>
      <c r="F458" t="s">
        <v>38</v>
      </c>
    </row>
    <row r="459" spans="4:6" x14ac:dyDescent="0.2">
      <c r="D459" t="s">
        <v>10</v>
      </c>
      <c r="F459" t="s">
        <v>31</v>
      </c>
    </row>
    <row r="460" spans="4:6" x14ac:dyDescent="0.2">
      <c r="D460" t="s">
        <v>33</v>
      </c>
      <c r="F460" t="s">
        <v>25</v>
      </c>
    </row>
    <row r="461" spans="4:6" x14ac:dyDescent="0.2">
      <c r="D461" t="s">
        <v>14</v>
      </c>
      <c r="F461" t="s">
        <v>39</v>
      </c>
    </row>
    <row r="462" spans="4:6" x14ac:dyDescent="0.2">
      <c r="D462" t="s">
        <v>30</v>
      </c>
      <c r="F462" t="s">
        <v>11</v>
      </c>
    </row>
    <row r="463" spans="4:6" x14ac:dyDescent="0.2">
      <c r="D463" t="s">
        <v>35</v>
      </c>
      <c r="F463" t="s">
        <v>18</v>
      </c>
    </row>
    <row r="464" spans="4:6" x14ac:dyDescent="0.2">
      <c r="D464" t="s">
        <v>20</v>
      </c>
      <c r="F464" t="s">
        <v>15</v>
      </c>
    </row>
    <row r="465" spans="4:6" x14ac:dyDescent="0.2">
      <c r="D465" t="s">
        <v>12</v>
      </c>
      <c r="F465" t="s">
        <v>27</v>
      </c>
    </row>
    <row r="466" spans="4:6" x14ac:dyDescent="0.2">
      <c r="D466" t="s">
        <v>28</v>
      </c>
      <c r="F466" t="s">
        <v>22</v>
      </c>
    </row>
    <row r="467" spans="4:6" x14ac:dyDescent="0.2">
      <c r="D467" t="s">
        <v>23</v>
      </c>
      <c r="F467" t="s">
        <v>16</v>
      </c>
    </row>
    <row r="468" spans="4:6" x14ac:dyDescent="0.2">
      <c r="D468" t="s">
        <v>34</v>
      </c>
      <c r="F468" t="s">
        <v>32</v>
      </c>
    </row>
    <row r="469" spans="4:6" x14ac:dyDescent="0.2">
      <c r="D469" t="s">
        <v>37</v>
      </c>
      <c r="F469" t="s">
        <v>19</v>
      </c>
    </row>
    <row r="470" spans="4:6" x14ac:dyDescent="0.2">
      <c r="D470" t="s">
        <v>13</v>
      </c>
      <c r="F470" t="s">
        <v>55</v>
      </c>
    </row>
    <row r="471" spans="4:6" x14ac:dyDescent="0.2">
      <c r="D471" t="s">
        <v>26</v>
      </c>
      <c r="F471" t="s">
        <v>38</v>
      </c>
    </row>
    <row r="472" spans="4:6" x14ac:dyDescent="0.2">
      <c r="D472" t="s">
        <v>28</v>
      </c>
      <c r="F472" t="s">
        <v>25</v>
      </c>
    </row>
    <row r="473" spans="4:6" x14ac:dyDescent="0.2">
      <c r="D473" t="s">
        <v>23</v>
      </c>
      <c r="F473" t="s">
        <v>17</v>
      </c>
    </row>
    <row r="474" spans="4:6" x14ac:dyDescent="0.2">
      <c r="D474" t="s">
        <v>37</v>
      </c>
      <c r="F474" t="s">
        <v>18</v>
      </c>
    </row>
    <row r="475" spans="4:6" x14ac:dyDescent="0.2">
      <c r="D475" t="s">
        <v>12</v>
      </c>
      <c r="F475" t="s">
        <v>29</v>
      </c>
    </row>
    <row r="476" spans="4:6" x14ac:dyDescent="0.2">
      <c r="D476" t="s">
        <v>20</v>
      </c>
      <c r="F476" t="s">
        <v>30</v>
      </c>
    </row>
    <row r="477" spans="4:6" x14ac:dyDescent="0.2">
      <c r="D477" t="s">
        <v>24</v>
      </c>
      <c r="F477" t="s">
        <v>36</v>
      </c>
    </row>
    <row r="478" spans="4:6" x14ac:dyDescent="0.2">
      <c r="D478" t="s">
        <v>33</v>
      </c>
      <c r="F478" t="s">
        <v>27</v>
      </c>
    </row>
    <row r="479" spans="4:6" x14ac:dyDescent="0.2">
      <c r="D479" t="s">
        <v>31</v>
      </c>
      <c r="F479" t="s">
        <v>14</v>
      </c>
    </row>
    <row r="480" spans="4:6" x14ac:dyDescent="0.2">
      <c r="D480" t="s">
        <v>21</v>
      </c>
      <c r="F480" t="s">
        <v>35</v>
      </c>
    </row>
    <row r="481" spans="4:6" x14ac:dyDescent="0.2">
      <c r="D481" t="s">
        <v>39</v>
      </c>
      <c r="F481" t="s">
        <v>40</v>
      </c>
    </row>
    <row r="482" spans="4:6" x14ac:dyDescent="0.2">
      <c r="D482" t="s">
        <v>26</v>
      </c>
      <c r="F482" t="s">
        <v>16</v>
      </c>
    </row>
    <row r="483" spans="4:6" x14ac:dyDescent="0.2">
      <c r="D483" t="s">
        <v>15</v>
      </c>
      <c r="F483" t="s">
        <v>10</v>
      </c>
    </row>
    <row r="484" spans="4:6" x14ac:dyDescent="0.2">
      <c r="D484" t="s">
        <v>13</v>
      </c>
      <c r="F484" t="s">
        <v>32</v>
      </c>
    </row>
    <row r="485" spans="4:6" x14ac:dyDescent="0.2">
      <c r="D485" t="s">
        <v>11</v>
      </c>
      <c r="F485" t="s">
        <v>55</v>
      </c>
    </row>
    <row r="486" spans="4:6" x14ac:dyDescent="0.2">
      <c r="D486" t="s">
        <v>36</v>
      </c>
      <c r="F486" t="s">
        <v>28</v>
      </c>
    </row>
    <row r="487" spans="4:6" x14ac:dyDescent="0.2">
      <c r="D487" t="s">
        <v>11</v>
      </c>
      <c r="F487" t="s">
        <v>12</v>
      </c>
    </row>
    <row r="488" spans="4:6" x14ac:dyDescent="0.2">
      <c r="D488" t="s">
        <v>26</v>
      </c>
      <c r="F488" t="s">
        <v>17</v>
      </c>
    </row>
    <row r="489" spans="4:6" x14ac:dyDescent="0.2">
      <c r="D489" t="s">
        <v>39</v>
      </c>
      <c r="F489" t="s">
        <v>34</v>
      </c>
    </row>
    <row r="490" spans="4:6" x14ac:dyDescent="0.2">
      <c r="D490" t="s">
        <v>37</v>
      </c>
      <c r="F490" t="s">
        <v>24</v>
      </c>
    </row>
    <row r="491" spans="4:6" x14ac:dyDescent="0.2">
      <c r="D491" t="s">
        <v>35</v>
      </c>
      <c r="F491" t="s">
        <v>29</v>
      </c>
    </row>
    <row r="492" spans="4:6" x14ac:dyDescent="0.2">
      <c r="D492" t="s">
        <v>31</v>
      </c>
      <c r="F492" t="s">
        <v>30</v>
      </c>
    </row>
    <row r="493" spans="4:6" x14ac:dyDescent="0.2">
      <c r="D493" t="s">
        <v>20</v>
      </c>
      <c r="F493" t="s">
        <v>27</v>
      </c>
    </row>
    <row r="494" spans="4:6" x14ac:dyDescent="0.2">
      <c r="D494" t="s">
        <v>18</v>
      </c>
      <c r="F494" t="s">
        <v>14</v>
      </c>
    </row>
    <row r="495" spans="4:6" x14ac:dyDescent="0.2">
      <c r="D495" t="s">
        <v>33</v>
      </c>
      <c r="F495" t="s">
        <v>19</v>
      </c>
    </row>
    <row r="496" spans="4:6" x14ac:dyDescent="0.2">
      <c r="D496" t="s">
        <v>23</v>
      </c>
      <c r="F496" t="s">
        <v>38</v>
      </c>
    </row>
    <row r="497" spans="4:6" x14ac:dyDescent="0.2">
      <c r="D497" t="s">
        <v>21</v>
      </c>
      <c r="F497" t="s">
        <v>40</v>
      </c>
    </row>
    <row r="498" spans="4:6" x14ac:dyDescent="0.2">
      <c r="D498" t="s">
        <v>25</v>
      </c>
      <c r="F498" t="s">
        <v>22</v>
      </c>
    </row>
    <row r="499" spans="4:6" x14ac:dyDescent="0.2">
      <c r="D499" t="s">
        <v>10</v>
      </c>
      <c r="F499" t="s">
        <v>35</v>
      </c>
    </row>
    <row r="500" spans="4:6" x14ac:dyDescent="0.2">
      <c r="D500" t="s">
        <v>32</v>
      </c>
      <c r="F500" t="s">
        <v>55</v>
      </c>
    </row>
    <row r="501" spans="4:6" x14ac:dyDescent="0.2">
      <c r="D501" t="s">
        <v>20</v>
      </c>
      <c r="F501" t="s">
        <v>28</v>
      </c>
    </row>
    <row r="502" spans="4:6" x14ac:dyDescent="0.2">
      <c r="D502" t="s">
        <v>26</v>
      </c>
      <c r="F502" t="s">
        <v>10</v>
      </c>
    </row>
    <row r="503" spans="4:6" x14ac:dyDescent="0.2">
      <c r="D503" t="s">
        <v>29</v>
      </c>
      <c r="F503" t="s">
        <v>12</v>
      </c>
    </row>
    <row r="504" spans="4:6" x14ac:dyDescent="0.2">
      <c r="D504" t="s">
        <v>11</v>
      </c>
      <c r="F504" t="s">
        <v>39</v>
      </c>
    </row>
    <row r="505" spans="4:6" x14ac:dyDescent="0.2">
      <c r="D505" t="s">
        <v>16</v>
      </c>
      <c r="F505" t="s">
        <v>13</v>
      </c>
    </row>
    <row r="506" spans="4:6" x14ac:dyDescent="0.2">
      <c r="D506" t="s">
        <v>36</v>
      </c>
      <c r="F506" t="s">
        <v>34</v>
      </c>
    </row>
    <row r="507" spans="4:6" x14ac:dyDescent="0.2">
      <c r="D507" t="s">
        <v>31</v>
      </c>
      <c r="F507" t="s">
        <v>24</v>
      </c>
    </row>
    <row r="508" spans="4:6" x14ac:dyDescent="0.2">
      <c r="D508" t="s">
        <v>37</v>
      </c>
      <c r="F508" t="s">
        <v>30</v>
      </c>
    </row>
    <row r="509" spans="4:6" x14ac:dyDescent="0.2">
      <c r="D509" t="s">
        <v>18</v>
      </c>
      <c r="F509" t="s">
        <v>15</v>
      </c>
    </row>
    <row r="510" spans="4:6" x14ac:dyDescent="0.2">
      <c r="D510" t="s">
        <v>25</v>
      </c>
      <c r="F510" t="s">
        <v>27</v>
      </c>
    </row>
    <row r="511" spans="4:6" x14ac:dyDescent="0.2">
      <c r="D511" t="s">
        <v>33</v>
      </c>
      <c r="F511" t="s">
        <v>14</v>
      </c>
    </row>
    <row r="512" spans="4:6" x14ac:dyDescent="0.2">
      <c r="D512" t="s">
        <v>17</v>
      </c>
      <c r="F512" t="s">
        <v>19</v>
      </c>
    </row>
    <row r="513" spans="4:6" x14ac:dyDescent="0.2">
      <c r="D513" t="s">
        <v>22</v>
      </c>
      <c r="F513" t="s">
        <v>40</v>
      </c>
    </row>
    <row r="514" spans="4:6" x14ac:dyDescent="0.2">
      <c r="D514" t="s">
        <v>27</v>
      </c>
      <c r="F514" t="s">
        <v>25</v>
      </c>
    </row>
    <row r="515" spans="4:6" x14ac:dyDescent="0.2">
      <c r="D515" t="s">
        <v>21</v>
      </c>
      <c r="F515" t="s">
        <v>34</v>
      </c>
    </row>
    <row r="516" spans="4:6" x14ac:dyDescent="0.2">
      <c r="D516" t="s">
        <v>17</v>
      </c>
      <c r="F516" t="s">
        <v>18</v>
      </c>
    </row>
    <row r="517" spans="4:6" x14ac:dyDescent="0.2">
      <c r="D517" t="s">
        <v>38</v>
      </c>
      <c r="F517" t="s">
        <v>24</v>
      </c>
    </row>
    <row r="518" spans="4:6" x14ac:dyDescent="0.2">
      <c r="D518" t="s">
        <v>55</v>
      </c>
      <c r="F518" t="s">
        <v>14</v>
      </c>
    </row>
    <row r="519" spans="4:6" x14ac:dyDescent="0.2">
      <c r="D519" t="s">
        <v>23</v>
      </c>
      <c r="F519" t="s">
        <v>32</v>
      </c>
    </row>
    <row r="520" spans="4:6" x14ac:dyDescent="0.2">
      <c r="D520" t="s">
        <v>13</v>
      </c>
      <c r="F520" t="s">
        <v>39</v>
      </c>
    </row>
    <row r="521" spans="4:6" x14ac:dyDescent="0.2">
      <c r="D521" t="s">
        <v>31</v>
      </c>
      <c r="F521" t="s">
        <v>15</v>
      </c>
    </row>
    <row r="522" spans="4:6" x14ac:dyDescent="0.2">
      <c r="D522" t="s">
        <v>29</v>
      </c>
      <c r="F522" t="s">
        <v>35</v>
      </c>
    </row>
    <row r="523" spans="4:6" x14ac:dyDescent="0.2">
      <c r="D523" t="s">
        <v>11</v>
      </c>
      <c r="F523" t="s">
        <v>37</v>
      </c>
    </row>
    <row r="524" spans="4:6" x14ac:dyDescent="0.2">
      <c r="D524" t="s">
        <v>36</v>
      </c>
      <c r="F524" t="s">
        <v>40</v>
      </c>
    </row>
    <row r="525" spans="4:6" x14ac:dyDescent="0.2">
      <c r="D525" t="s">
        <v>55</v>
      </c>
      <c r="F525" t="s">
        <v>21</v>
      </c>
    </row>
    <row r="526" spans="4:6" x14ac:dyDescent="0.2">
      <c r="D526" t="s">
        <v>31</v>
      </c>
      <c r="F526" t="s">
        <v>28</v>
      </c>
    </row>
    <row r="527" spans="4:6" x14ac:dyDescent="0.2">
      <c r="D527" t="s">
        <v>30</v>
      </c>
      <c r="F527" t="s">
        <v>26</v>
      </c>
    </row>
    <row r="528" spans="4:6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B1" zoomScale="70" zoomScaleNormal="70" workbookViewId="0">
      <pane ySplit="1" topLeftCell="A306" activePane="bottomLeft" state="frozen"/>
      <selection activeCell="I1" sqref="I1"/>
      <selection pane="bottomLeft" activeCell="Q335" sqref="Q335"/>
    </sheetView>
  </sheetViews>
  <sheetFormatPr baseColWidth="10" defaultColWidth="10.83203125" defaultRowHeight="16" x14ac:dyDescent="0.2"/>
  <cols>
    <col min="1" max="1" width="19.83203125" bestFit="1" customWidth="1"/>
    <col min="2" max="2" width="12.83203125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0.20756018479200911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-0.2184338233275798</v>
      </c>
      <c r="H2" t="s">
        <v>10</v>
      </c>
      <c r="I2">
        <f>VLOOKUP(Table4[[#This Row],[Visitor]],'NHL Model'!$A$6:$B$38,2,FALSE)</f>
        <v>0.28318004708662448</v>
      </c>
      <c r="J2">
        <f>($B$1+Table4[[#This Row],[Home Differential]])-Table4[[#This Row],[Away Differential]]</f>
        <v>-0.29405368562219514</v>
      </c>
      <c r="K2" t="str">
        <f>IF(Table4[[#This Row],[HomeIce Differential]]&gt;0,Table4[[#This Row],[Home]],Table4[[#This Row],[Visitor]])</f>
        <v>Chicago Blackhawks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0.45713807288568231</v>
      </c>
      <c r="M2" t="str">
        <f>IF(OR((NHL2025_26Results[[#This Row],[Winning Team]]="")),"-",IF(Table4[[#This Row],[Predicted Winner]]=NHL2025_26Results[[#This Row],[Winning Team]],"YES","NO"))</f>
        <v>NO</v>
      </c>
      <c r="N2">
        <f>IF(Table4[[#This Row],[Adjusted Correct]]="-", "",IF(Table4[[#This Row],[Adjusted Correct]]="YES",(Table4[[#This Row],[Strength of Win]]-1)^2,(Table4[[#This Row],[Strength of Win]]-0)^2))</f>
        <v>0.20897521768163541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-0.16069632687214722</v>
      </c>
      <c r="H3" t="s">
        <v>12</v>
      </c>
      <c r="I3">
        <f>VLOOKUP(Table4[[#This Row],[Visitor]],'NHL Model'!$A$6:$B$38,2,FALSE)</f>
        <v>1.4229473251234224</v>
      </c>
      <c r="J3">
        <f>($B$1+Table4[[#This Row],[Home Differential]])-Table4[[#This Row],[Away Differential]]</f>
        <v>-1.3760834672035605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0.7157098889716268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8.0820867228524759E-2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189</v>
      </c>
      <c r="V3">
        <f>COUNTIF(Table4[Locked Correct],"YES")</f>
        <v>200</v>
      </c>
    </row>
    <row r="4" spans="1:22" x14ac:dyDescent="0.2">
      <c r="A4" s="4" t="s">
        <v>31</v>
      </c>
      <c r="B4">
        <v>0.51775546328552802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-0.41117752232850285</v>
      </c>
      <c r="H4" t="s">
        <v>14</v>
      </c>
      <c r="I4">
        <f>VLOOKUP(Table4[[#This Row],[Visitor]],'NHL Model'!$A$6:$B$38,2,FALSE)</f>
        <v>0.19812979206825923</v>
      </c>
      <c r="J4">
        <f>($B$1+Table4[[#This Row],[Home Differential]])-Table4[[#This Row],[Away Differential]]</f>
        <v>-0.40174712960475301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0.51529354697647844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0.23494034560264332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129</v>
      </c>
      <c r="V4">
        <f>COUNTIF(Table4[Locked Correct],"NO")</f>
        <v>118</v>
      </c>
    </row>
    <row r="5" spans="1:22" x14ac:dyDescent="0.2">
      <c r="A5" s="4" t="s">
        <v>21</v>
      </c>
      <c r="B5">
        <v>4.029141914856392E-2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-1.0049085234729234</v>
      </c>
      <c r="H5" t="s">
        <v>16</v>
      </c>
      <c r="I5">
        <f>VLOOKUP(Table4[[#This Row],[Visitor]],'NHL Model'!$A$6:$B$38,2,FALSE)</f>
        <v>-1.2993694664931768</v>
      </c>
      <c r="J5">
        <f>($B$1+Table4[[#This Row],[Home Differential]])-Table4[[#This Row],[Away Differential]]</f>
        <v>0.50202112781226249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0.6451313956500021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0.41619451765331955</v>
      </c>
      <c r="O5">
        <v>-4.1674767740132361E-3</v>
      </c>
      <c r="P5" s="11"/>
      <c r="Q5" t="s">
        <v>16</v>
      </c>
      <c r="R5" t="s">
        <v>248</v>
      </c>
      <c r="T5">
        <f>SUM(T3:T4)</f>
        <v>318</v>
      </c>
      <c r="V5">
        <f>SUM(V3:V4)</f>
        <v>318</v>
      </c>
    </row>
    <row r="6" spans="1:22" x14ac:dyDescent="0.2">
      <c r="A6" s="4" t="s">
        <v>23</v>
      </c>
      <c r="B6">
        <v>-0.8683412362501769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-0.76384910289376506</v>
      </c>
      <c r="H6" t="s">
        <v>18</v>
      </c>
      <c r="I6">
        <f>VLOOKUP(Table4[[#This Row],[Visitor]],'NHL Model'!$A$6:$B$38,2,FALSE)</f>
        <v>-0.69497686531268954</v>
      </c>
      <c r="J6">
        <f>($B$1+Table4[[#This Row],[Home Differential]])-Table4[[#This Row],[Away Differential]]</f>
        <v>0.13868794721093358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0.52613025181429085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0.22455253824558741</v>
      </c>
      <c r="O6">
        <v>-4.4363714293103977E-3</v>
      </c>
      <c r="P6" s="11"/>
      <c r="Q6" t="s">
        <v>18</v>
      </c>
      <c r="R6" t="s">
        <v>249</v>
      </c>
      <c r="T6" s="13">
        <f>T3/T5</f>
        <v>0.59433962264150941</v>
      </c>
      <c r="V6" s="13">
        <f>V3/V5</f>
        <v>0.62893081761006286</v>
      </c>
    </row>
    <row r="7" spans="1:22" x14ac:dyDescent="0.2">
      <c r="A7" s="4" t="s">
        <v>16</v>
      </c>
      <c r="B7">
        <v>-1.3903684122795328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-5.3996763649808116E-4</v>
      </c>
      <c r="H7" t="s">
        <v>13</v>
      </c>
      <c r="I7">
        <f>VLOOKUP(Table4[[#This Row],[Visitor]],'NHL Model'!$A$6:$B$38,2,FALSE)</f>
        <v>-0.16069632687214722</v>
      </c>
      <c r="J7">
        <f>($B$1+Table4[[#This Row],[Home Differential]])-Table4[[#This Row],[Away Differential]]</f>
        <v>0.36771654402765824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0.48881207238434871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0.23893724210868175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0.67193921242367816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-3.9931837337852071E-3</v>
      </c>
      <c r="H8" t="s">
        <v>21</v>
      </c>
      <c r="I8">
        <f>VLOOKUP(Table4[[#This Row],[Visitor]],'NHL Model'!$A$6:$B$38,2,FALSE)</f>
        <v>-0.11354210657072454</v>
      </c>
      <c r="J8">
        <f>($B$1+Table4[[#This Row],[Home Differential]])-Table4[[#This Row],[Away Differential]]</f>
        <v>0.31710910762894845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0.58614006567991928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0.34356017659526006</v>
      </c>
      <c r="O8">
        <v>-4.9858230986448791E-3</v>
      </c>
      <c r="P8" s="11"/>
      <c r="Q8" t="s">
        <v>21</v>
      </c>
      <c r="R8" t="s">
        <v>248</v>
      </c>
      <c r="T8">
        <f>SUM(Table4[Error])</f>
        <v>69.884282120828729</v>
      </c>
      <c r="V8">
        <f>COUNTIF(Table4[Locked Correct],"")</f>
        <v>994</v>
      </c>
    </row>
    <row r="9" spans="1:22" x14ac:dyDescent="0.2">
      <c r="A9" s="4" t="s">
        <v>10</v>
      </c>
      <c r="B9">
        <v>0.30570968833820172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-0.11354210657072454</v>
      </c>
      <c r="H9" t="s">
        <v>10</v>
      </c>
      <c r="I9">
        <f>VLOOKUP(Table4[[#This Row],[Visitor]],'NHL Model'!$A$6:$B$38,2,FALSE)</f>
        <v>0.28318004708662448</v>
      </c>
      <c r="J9">
        <f>($B$1+Table4[[#This Row],[Home Differential]])-Table4[[#This Row],[Away Differential]]</f>
        <v>-0.18916196886533992</v>
      </c>
      <c r="K9" t="str">
        <f>IF(Table4[[#This Row],[HomeIce Differential]]&gt;0,Table4[[#This Row],[Home]],Table4[[#This Row],[Visitor]])</f>
        <v>Chicago Blackhawks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0.45460630334927465</v>
      </c>
      <c r="M9" t="str">
        <f>IF(OR((NHL2025_26Results[[#This Row],[Winning Team]]="")),"-",IF(Table4[[#This Row],[Predicted Winner]]=NHL2025_26Results[[#This Row],[Winning Team]],"YES","NO"))</f>
        <v>NO</v>
      </c>
      <c r="N9">
        <f>IF(Table4[[#This Row],[Adjusted Correct]]="-", "",IF(Table4[[#This Row],[Adjusted Correct]]="YES",(Table4[[#This Row],[Strength of Win]]-1)^2,(Table4[[#This Row],[Strength of Win]]-0)^2))</f>
        <v>0.20666689104489272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1.5475013591489768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-1.005023581214965</v>
      </c>
      <c r="H10" t="s">
        <v>15</v>
      </c>
      <c r="I10">
        <f>VLOOKUP(Table4[[#This Row],[Visitor]],'NHL Model'!$A$6:$B$38,2,FALSE)</f>
        <v>-0.41117752232850285</v>
      </c>
      <c r="J10">
        <f>($B$1+Table4[[#This Row],[Home Differential]])-Table4[[#This Row],[Away Differential]]</f>
        <v>-0.38628587409445309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0.63456092128723585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0.13354572025043385</v>
      </c>
      <c r="O10">
        <v>2.893763878885032E-2</v>
      </c>
      <c r="P10" s="11"/>
      <c r="Q10" t="s">
        <v>23</v>
      </c>
      <c r="R10" t="s">
        <v>249</v>
      </c>
      <c r="T10">
        <v>0.1376327119770025</v>
      </c>
    </row>
    <row r="11" spans="1:22" x14ac:dyDescent="0.2">
      <c r="A11" s="4" t="s">
        <v>28</v>
      </c>
      <c r="B11">
        <v>-0.40822279081308277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0.55298967972810642</v>
      </c>
      <c r="H11" t="s">
        <v>24</v>
      </c>
      <c r="I11">
        <f>VLOOKUP(Table4[[#This Row],[Visitor]],'NHL Model'!$A$6:$B$38,2,FALSE)</f>
        <v>0.27405230796993052</v>
      </c>
      <c r="J11">
        <f>($B$1+Table4[[#This Row],[Home Differential]])-Table4[[#This Row],[Away Differential]]</f>
        <v>0.48649755655018501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0.61695797807818709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0.1467211905579506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0.19809534061227302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1.4229473251234224</v>
      </c>
      <c r="H12" t="s">
        <v>55</v>
      </c>
      <c r="I12">
        <f>VLOOKUP(Table4[[#This Row],[Visitor]],'NHL Model'!$A$6:$B$38,2,FALSE)</f>
        <v>-0.24431182281386174</v>
      </c>
      <c r="J12">
        <f>($B$1+Table4[[#This Row],[Home Differential]])-Table4[[#This Row],[Away Differential]]</f>
        <v>1.874819332729293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0.88640271698628159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1.2904342708098837E-2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-0.513643833119658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-0.4992069962886943</v>
      </c>
      <c r="H13" t="s">
        <v>18</v>
      </c>
      <c r="I13">
        <f>VLOOKUP(Table4[[#This Row],[Visitor]],'NHL Model'!$A$6:$B$38,2,FALSE)</f>
        <v>-0.69497686531268954</v>
      </c>
      <c r="J13">
        <f>($B$1+Table4[[#This Row],[Home Differential]])-Table4[[#This Row],[Away Differential]]</f>
        <v>0.40333005381600434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0.58940971421327271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0.34740381120897179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-0.61980804137564283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-0.2184338233275798</v>
      </c>
      <c r="H14" t="s">
        <v>27</v>
      </c>
      <c r="I14">
        <f>VLOOKUP(Table4[[#This Row],[Visitor]],'NHL Model'!$A$6:$B$38,2,FALSE)</f>
        <v>-0.59983976271417982</v>
      </c>
      <c r="J14">
        <f>($B$1+Table4[[#This Row],[Home Differential]])-Table4[[#This Row],[Away Differential]]</f>
        <v>0.58896612417860916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0.684509280795355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9.9534393904264162E-2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-0.28105923893144158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-1.4393526815815083</v>
      </c>
      <c r="H15" t="s">
        <v>28</v>
      </c>
      <c r="I15">
        <f>VLOOKUP(Table4[[#This Row],[Visitor]],'NHL Model'!$A$6:$B$38,2,FALSE)</f>
        <v>-0.58990467102727129</v>
      </c>
      <c r="J15">
        <f>($B$1+Table4[[#This Row],[Home Differential]])-Table4[[#This Row],[Away Differential]]</f>
        <v>-0.64188782576222803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0.5483447622446771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0.30068197828117144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-7.5459708298993802E-2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0.19812979206825923</v>
      </c>
      <c r="H16" t="s">
        <v>30</v>
      </c>
      <c r="I16">
        <f>VLOOKUP(Table4[[#This Row],[Visitor]],'NHL Model'!$A$6:$B$38,2,FALSE)</f>
        <v>-7.6737500378247253E-2</v>
      </c>
      <c r="J16">
        <f>($B$1+Table4[[#This Row],[Home Differential]])-Table4[[#This Row],[Away Differential]]</f>
        <v>0.48242747723851553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0.58363918133490533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0.17335633131946784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-0.53650300840565446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-0.54471700440519322</v>
      </c>
      <c r="H17" t="s">
        <v>31</v>
      </c>
      <c r="I17">
        <f>VLOOKUP(Table4[[#This Row],[Visitor]],'NHL Model'!$A$6:$B$38,2,FALSE)</f>
        <v>0.49887659623169195</v>
      </c>
      <c r="J17">
        <f>($B$1+Table4[[#This Row],[Home Differential]])-Table4[[#This Row],[Away Differential]]</f>
        <v>-0.83603341584487612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0.5696110008715819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0.32445669231392527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-0.52437726201848234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-0.41595305630289253</v>
      </c>
      <c r="H18" t="s">
        <v>20</v>
      </c>
      <c r="I18">
        <f>VLOOKUP(Table4[[#This Row],[Visitor]],'NHL Model'!$A$6:$B$38,2,FALSE)</f>
        <v>-5.3996763649808116E-4</v>
      </c>
      <c r="J18">
        <f>($B$1+Table4[[#This Row],[Home Differential]])-Table4[[#This Row],[Away Differential]]</f>
        <v>-0.20785290387438535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0.50937658962175758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0.24071133081117727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-1.3516250707060606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-1.7049475448313323</v>
      </c>
      <c r="H19" t="s">
        <v>34</v>
      </c>
      <c r="I19">
        <f>VLOOKUP(Table4[[#This Row],[Visitor]],'NHL Model'!$A$6:$B$38,2,FALSE)</f>
        <v>-0.52340626120007572</v>
      </c>
      <c r="J19">
        <f>($B$1+Table4[[#This Row],[Home Differential]])-Table4[[#This Row],[Away Differential]]</f>
        <v>-0.97398109883924733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0.59405166004758658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0.16479405471012021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0.559441163373953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3.7016822058700272E-2</v>
      </c>
      <c r="H20" t="s">
        <v>36</v>
      </c>
      <c r="I20">
        <f>VLOOKUP(Table4[[#This Row],[Visitor]],'NHL Model'!$A$6:$B$38,2,FALSE)</f>
        <v>-0.49956508239762204</v>
      </c>
      <c r="J20">
        <f>($B$1+Table4[[#This Row],[Home Differential]])-Table4[[#This Row],[Away Differential]]</f>
        <v>0.74414208924833147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0.64241829383948057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0.41270126425962922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-6.4729560818359025E-2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-0.87761566951859371</v>
      </c>
      <c r="H21" t="s">
        <v>16</v>
      </c>
      <c r="I21">
        <f>VLOOKUP(Table4[[#This Row],[Visitor]],'NHL Model'!$A$6:$B$38,2,FALSE)</f>
        <v>-1.2993694664931768</v>
      </c>
      <c r="J21">
        <f>($B$1+Table4[[#This Row],[Home Differential]])-Table4[[#This Row],[Away Differential]]</f>
        <v>0.62931398176659215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0.62661418999558205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0.13941696311265531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-0.30719665303039001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0.16605329280468042</v>
      </c>
      <c r="H22" t="s">
        <v>39</v>
      </c>
      <c r="I22">
        <f>VLOOKUP(Table4[[#This Row],[Visitor]],'NHL Model'!$A$6:$B$38,2,FALSE)</f>
        <v>4.3588947679693783E-2</v>
      </c>
      <c r="J22">
        <f>($B$1+Table4[[#This Row],[Home Differential]])-Table4[[#This Row],[Away Differential]]</f>
        <v>0.33002452991699571</v>
      </c>
      <c r="K22" t="str">
        <f>IF(Table4[[#This Row],[HomeIce Differential]]&gt;0,Table4[[#This Row],[Home]],Table4[[#This Row],[Visitor]])</f>
        <v>Winnipeg Jets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0.54542217107141155</v>
      </c>
      <c r="M22" t="str">
        <f>IF(OR((NHL2025_26Results[[#This Row],[Winning Team]]="")),"-",IF(Table4[[#This Row],[Predicted Winner]]=NHL2025_26Results[[#This Row],[Winning Team]],"YES","NO"))</f>
        <v>NO</v>
      </c>
      <c r="N22">
        <f>IF(Table4[[#This Row],[Adjusted Correct]]="-", "",IF(Table4[[#This Row],[Adjusted Correct]]="YES",(Table4[[#This Row],[Strength of Win]]-1)^2,(Table4[[#This Row],[Strength of Win]]-0)^2))</f>
        <v>0.29748534469625215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-0.40651947573390851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-0.11354210657072454</v>
      </c>
      <c r="H23" t="s">
        <v>23</v>
      </c>
      <c r="I23">
        <f>VLOOKUP(Table4[[#This Row],[Visitor]],'NHL Model'!$A$6:$B$38,2,FALSE)</f>
        <v>-1.005023581214965</v>
      </c>
      <c r="J23">
        <f>($B$1+Table4[[#This Row],[Home Differential]])-Table4[[#This Row],[Away Differential]]</f>
        <v>1.0990416594362495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0.74298006049527709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6.6059249303011422E-2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-0.51358590497437617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0.55298967972810642</v>
      </c>
      <c r="H24" t="s">
        <v>27</v>
      </c>
      <c r="I24">
        <f>VLOOKUP(Table4[[#This Row],[Visitor]],'NHL Model'!$A$6:$B$38,2,FALSE)</f>
        <v>-0.59983976271417982</v>
      </c>
      <c r="J24">
        <f>($B$1+Table4[[#This Row],[Home Differential]])-Table4[[#This Row],[Away Differential]]</f>
        <v>1.3603896272342952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0.77895009007300042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4.8863062678734623E-2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0.26289091192875702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-1.2993694664931768</v>
      </c>
      <c r="H25" t="s">
        <v>35</v>
      </c>
      <c r="I25">
        <f>VLOOKUP(Table4[[#This Row],[Visitor]],'NHL Model'!$A$6:$B$38,2,FALSE)</f>
        <v>-1.7049475448313323</v>
      </c>
      <c r="J25">
        <f>($B$1+Table4[[#This Row],[Home Differential]])-Table4[[#This Row],[Away Differential]]</f>
        <v>0.61313826313016451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0.62438788197147355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0.38986022715282276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-0.39418177254008485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0.28318004708662448</v>
      </c>
      <c r="H26" t="s">
        <v>18</v>
      </c>
      <c r="I26">
        <f>VLOOKUP(Table4[[#This Row],[Visitor]],'NHL Model'!$A$6:$B$38,2,FALSE)</f>
        <v>-0.69497686531268954</v>
      </c>
      <c r="J26">
        <f>($B$1+Table4[[#This Row],[Home Differential]])-Table4[[#This Row],[Away Differential]]</f>
        <v>1.1857170971913231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0.66319345972394084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0.43982556502061032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-0.361361309178443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1.4229473251234224</v>
      </c>
      <c r="H27" t="s">
        <v>39</v>
      </c>
      <c r="I27">
        <f>VLOOKUP(Table4[[#This Row],[Visitor]],'NHL Model'!$A$6:$B$38,2,FALSE)</f>
        <v>4.3588947679693783E-2</v>
      </c>
      <c r="J27">
        <f>($B$1+Table4[[#This Row],[Home Differential]])-Table4[[#This Row],[Away Differential]]</f>
        <v>1.5869185622357376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0.7568734438686886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0.57285741003364887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-1.6211574240381006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-0.4992069962886943</v>
      </c>
      <c r="H28" t="s">
        <v>19</v>
      </c>
      <c r="I28">
        <f>VLOOKUP(Table4[[#This Row],[Visitor]],'NHL Model'!$A$6:$B$38,2,FALSE)</f>
        <v>-0.76384910289376506</v>
      </c>
      <c r="J28">
        <f>($B$1+Table4[[#This Row],[Home Differential]])-Table4[[#This Row],[Away Differential]]</f>
        <v>0.47220229139707987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0.64542165941283769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0.12572579961354569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-0.11309445867623392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-1.0049085234729234</v>
      </c>
      <c r="H29" t="s">
        <v>38</v>
      </c>
      <c r="I29">
        <f>VLOOKUP(Table4[[#This Row],[Visitor]],'NHL Model'!$A$6:$B$38,2,FALSE)</f>
        <v>-0.87761566951859371</v>
      </c>
      <c r="J29">
        <f>($B$1+Table4[[#This Row],[Home Differential]])-Table4[[#This Row],[Away Differential]]</f>
        <v>8.0267330837679451E-2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0.56660296598190074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0.18783298909568549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-0.635565543477981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-0.2184338233275798</v>
      </c>
      <c r="H30" t="s">
        <v>36</v>
      </c>
      <c r="I30">
        <f>VLOOKUP(Table4[[#This Row],[Visitor]],'NHL Model'!$A$6:$B$38,2,FALSE)</f>
        <v>-0.49956508239762204</v>
      </c>
      <c r="J30">
        <f>($B$1+Table4[[#This Row],[Home Differential]])-Table4[[#This Row],[Away Differential]]</f>
        <v>0.48869144386205132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0.67070820460076019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0.10843308651725481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-0.12212311954851815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-0.52340626120007572</v>
      </c>
      <c r="H31" t="s">
        <v>28</v>
      </c>
      <c r="I31">
        <f>VLOOKUP(Table4[[#This Row],[Visitor]],'NHL Model'!$A$6:$B$38,2,FALSE)</f>
        <v>-0.58990467102727129</v>
      </c>
      <c r="J31">
        <f>($B$1+Table4[[#This Row],[Home Differential]])-Table4[[#This Row],[Away Differential]]</f>
        <v>0.27405859461920468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0.57771942761804707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0.33375973704732392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-0.6902088310934803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-1.4393526815815083</v>
      </c>
      <c r="H32" t="s">
        <v>55</v>
      </c>
      <c r="I32">
        <f>VLOOKUP(Table4[[#This Row],[Visitor]],'NHL Model'!$A$6:$B$38,2,FALSE)</f>
        <v>-0.24431182281386174</v>
      </c>
      <c r="J32">
        <f>($B$1+Table4[[#This Row],[Home Differential]])-Table4[[#This Row],[Away Differential]]</f>
        <v>-0.98748067397563755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0.5959096431841453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0.16328901647156477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-6.3745791019188943E-4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-7.6737500378247253E-2</v>
      </c>
      <c r="H33" t="s">
        <v>22</v>
      </c>
      <c r="I33">
        <f>VLOOKUP(Table4[[#This Row],[Visitor]],'NHL Model'!$A$6:$B$38,2,FALSE)</f>
        <v>-3.9931837337852071E-3</v>
      </c>
      <c r="J33">
        <f>($B$1+Table4[[#This Row],[Home Differential]])-Table4[[#This Row],[Away Differential]]</f>
        <v>0.13481586814754706</v>
      </c>
      <c r="K33" t="str">
        <f>IF(Table4[[#This Row],[HomeIce Differential]]&gt;0,Table4[[#This Row],[Home]],Table4[[#This Row],[Visitor]])</f>
        <v>New York Islanders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0.5585550735506809</v>
      </c>
      <c r="M33" t="str">
        <f>IF(OR((NHL2025_26Results[[#This Row],[Winning Team]]="")),"-",IF(Table4[[#This Row],[Predicted Winner]]=NHL2025_26Results[[#This Row],[Winning Team]],"YES","NO"))</f>
        <v>NO</v>
      </c>
      <c r="N33">
        <f>IF(Table4[[#This Row],[Adjusted Correct]]="-", "",IF(Table4[[#This Row],[Adjusted Correct]]="YES",(Table4[[#This Row],[Strength of Win]]-1)^2,(Table4[[#This Row],[Strength of Win]]-0)^2))</f>
        <v>0.31198377018920653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-6.1308839486784707E-2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0.19812979206825923</v>
      </c>
      <c r="H34" t="s">
        <v>15</v>
      </c>
      <c r="I34">
        <f>VLOOKUP(Table4[[#This Row],[Visitor]],'NHL Model'!$A$6:$B$38,2,FALSE)</f>
        <v>-0.41117752232850285</v>
      </c>
      <c r="J34">
        <f>($B$1+Table4[[#This Row],[Home Differential]])-Table4[[#This Row],[Away Differential]]</f>
        <v>0.81686749918877122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0.566973143784677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0.32145854577308003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0.105105258369765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-0.54471700440519322</v>
      </c>
      <c r="H35" t="s">
        <v>20</v>
      </c>
      <c r="I35">
        <f>VLOOKUP(Table4[[#This Row],[Visitor]],'NHL Model'!$A$6:$B$38,2,FALSE)</f>
        <v>-5.3996763649808116E-4</v>
      </c>
      <c r="J35">
        <f>($B$1+Table4[[#This Row],[Home Differential]])-Table4[[#This Row],[Away Differential]]</f>
        <v>-0.336616851976686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0.50087494478016703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0.25087571030853539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-7.6523491360758822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-0.41595305630289253</v>
      </c>
      <c r="H36" t="s">
        <v>31</v>
      </c>
      <c r="I36">
        <f>VLOOKUP(Table4[[#This Row],[Visitor]],'NHL Model'!$A$6:$B$38,2,FALSE)</f>
        <v>0.49887659623169195</v>
      </c>
      <c r="J36">
        <f>($B$1+Table4[[#This Row],[Home Differential]])-Table4[[#This Row],[Away Differential]]</f>
        <v>-0.70726946774257538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0.57811264571317245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0.17798893970713917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3.7016822058700272E-2</v>
      </c>
      <c r="H37" t="s">
        <v>24</v>
      </c>
      <c r="I37">
        <f>VLOOKUP(Table4[[#This Row],[Visitor]],'NHL Model'!$A$6:$B$38,2,FALSE)</f>
        <v>0.27405230796993052</v>
      </c>
      <c r="J37">
        <f>($B$1+Table4[[#This Row],[Home Differential]])-Table4[[#This Row],[Away Differential]]</f>
        <v>-2.9475301119221142E-2</v>
      </c>
      <c r="K37" t="str">
        <f>IF(Table4[[#This Row],[HomeIce Differential]]&gt;0,Table4[[#This Row],[Home]],Table4[[#This Row],[Visitor]])</f>
        <v>New Jersey Devils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0.50656932844344749</v>
      </c>
      <c r="M37" t="str">
        <f>IF(OR((NHL2025_26Results[[#This Row],[Winning Team]]="")),"-",IF(Table4[[#This Row],[Predicted Winner]]=NHL2025_26Results[[#This Row],[Winning Team]],"YES","NO"))</f>
        <v>YES</v>
      </c>
      <c r="N37">
        <f>IF(Table4[[#This Row],[Adjusted Correct]]="-", "",IF(Table4[[#This Row],[Adjusted Correct]]="YES",(Table4[[#This Row],[Strength of Win]]-1)^2,(Table4[[#This Row],[Strength of Win]]-0)^2))</f>
        <v>0.24347382763275041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0.16605329280468042</v>
      </c>
      <c r="H38" t="s">
        <v>13</v>
      </c>
      <c r="I38">
        <f>VLOOKUP(Table4[[#This Row],[Visitor]],'NHL Model'!$A$6:$B$38,2,FALSE)</f>
        <v>-0.16069632687214722</v>
      </c>
      <c r="J38">
        <f>($B$1+Table4[[#This Row],[Home Differential]])-Table4[[#This Row],[Away Differential]]</f>
        <v>0.53430980446883669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0.56410454516079689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0.19000484754947575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-0.41117752232850285</v>
      </c>
      <c r="H39" t="s">
        <v>22</v>
      </c>
      <c r="I39">
        <f>VLOOKUP(Table4[[#This Row],[Visitor]],'NHL Model'!$A$6:$B$38,2,FALSE)</f>
        <v>-3.9931837337852071E-3</v>
      </c>
      <c r="J39">
        <f>($B$1+Table4[[#This Row],[Home Differential]])-Table4[[#This Row],[Away Differential]]</f>
        <v>-0.19962415380270854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0.48747481366398104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0.26268206662877097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0.7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-0.11354210657072454</v>
      </c>
      <c r="H40" t="s">
        <v>37</v>
      </c>
      <c r="I40">
        <f>VLOOKUP(Table4[[#This Row],[Visitor]],'NHL Model'!$A$6:$B$38,2,FALSE)</f>
        <v>3.7016822058700272E-2</v>
      </c>
      <c r="J40">
        <f>($B$1+Table4[[#This Row],[Home Differential]])-Table4[[#This Row],[Away Differential]]</f>
        <v>5.7001256162584293E-2</v>
      </c>
      <c r="K40" t="str">
        <f>IF(Table4[[#This Row],[HomeIce Differential]]&gt;0,Table4[[#This Row],[Home]],Table4[[#This Row],[Visitor]])</f>
        <v>Boston Bruins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0.55329978292629767</v>
      </c>
      <c r="M40" t="str">
        <f>IF(OR((NHL2025_26Results[[#This Row],[Winning Team]]="")),"-",IF(Table4[[#This Row],[Predicted Winner]]=NHL2025_26Results[[#This Row],[Winning Team]],"YES","NO"))</f>
        <v>NO</v>
      </c>
      <c r="N40">
        <f>IF(Table4[[#This Row],[Adjusted Correct]]="-", "",IF(Table4[[#This Row],[Adjusted Correct]]="YES",(Table4[[#This Row],[Strength of Win]]-1)^2,(Table4[[#This Row],[Strength of Win]]-0)^2))</f>
        <v>0.30614064978628813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-1.005023581214965</v>
      </c>
      <c r="H41" t="s">
        <v>12</v>
      </c>
      <c r="I41">
        <f>VLOOKUP(Table4[[#This Row],[Visitor]],'NHL Model'!$A$6:$B$38,2,FALSE)</f>
        <v>1.4229473251234224</v>
      </c>
      <c r="J41">
        <f>($B$1+Table4[[#This Row],[Home Differential]])-Table4[[#This Row],[Away Differential]]</f>
        <v>-2.2204107215463784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0.83191693878292516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2.8251915468102927E-2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0.2857142857142857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-0.58990467102727129</v>
      </c>
      <c r="H42" t="s">
        <v>24</v>
      </c>
      <c r="I42">
        <f>VLOOKUP(Table4[[#This Row],[Visitor]],'NHL Model'!$A$6:$B$38,2,FALSE)</f>
        <v>0.27405230796993052</v>
      </c>
      <c r="J42">
        <f>($B$1+Table4[[#This Row],[Home Differential]])-Table4[[#This Row],[Away Differential]]</f>
        <v>-0.6563967942051927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0.58575451495616826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0.17159932187919943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0.8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0.28318004708662448</v>
      </c>
      <c r="H43" t="s">
        <v>55</v>
      </c>
      <c r="I43">
        <f>VLOOKUP(Table4[[#This Row],[Visitor]],'NHL Model'!$A$6:$B$38,2,FALSE)</f>
        <v>-0.24431182281386174</v>
      </c>
      <c r="J43">
        <f>($B$1+Table4[[#This Row],[Home Differential]])-Table4[[#This Row],[Away Differential]]</f>
        <v>0.73505205469249535</v>
      </c>
      <c r="K43" t="str">
        <f>IF(Table4[[#This Row],[HomeIce Differential]]&gt;0,Table4[[#This Row],[Home]],Table4[[#This Row],[Visitor]])</f>
        <v>Chicago Blackhawks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0.64821315959155235</v>
      </c>
      <c r="M43" t="str">
        <f>IF(OR((NHL2025_26Results[[#This Row],[Winning Team]]="")),"-",IF(Table4[[#This Row],[Predicted Winner]]=NHL2025_26Results[[#This Row],[Winning Team]],"YES","NO"))</f>
        <v>YES</v>
      </c>
      <c r="N43">
        <f>IF(Table4[[#This Row],[Adjusted Correct]]="-", "",IF(Table4[[#This Row],[Adjusted Correct]]="YES",(Table4[[#This Row],[Strength of Win]]-1)^2,(Table4[[#This Row],[Strength of Win]]-0)^2))</f>
        <v>0.12375398108455862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-0.52340626120007572</v>
      </c>
      <c r="H44" t="s">
        <v>13</v>
      </c>
      <c r="I44">
        <f>VLOOKUP(Table4[[#This Row],[Visitor]],'NHL Model'!$A$6:$B$38,2,FALSE)</f>
        <v>-0.16069632687214722</v>
      </c>
      <c r="J44">
        <f>($B$1+Table4[[#This Row],[Home Differential]])-Table4[[#This Row],[Away Differential]]</f>
        <v>-0.1551497495359194</v>
      </c>
      <c r="K44" t="str">
        <f>IF(Table4[[#This Row],[HomeIce Differential]]&gt;0,Table4[[#This Row],[Home]],Table4[[#This Row],[Visitor]])</f>
        <v>Los Angeles Kings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0.58315143360016997</v>
      </c>
      <c r="M44" t="str">
        <f>IF(OR((NHL2025_26Results[[#This Row],[Winning Team]]="")),"-",IF(Table4[[#This Row],[Predicted Winner]]=NHL2025_26Results[[#This Row],[Winning Team]],"YES","NO"))</f>
        <v>NO</v>
      </c>
      <c r="N44">
        <f>IF(Table4[[#This Row],[Adjusted Correct]]="-", "",IF(Table4[[#This Row],[Adjusted Correct]]="YES",(Table4[[#This Row],[Strength of Win]]-1)^2,(Table4[[#This Row],[Strength of Win]]-0)^2))</f>
        <v>0.34006559450993346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0.66666666666666663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-7.6737500378247253E-2</v>
      </c>
      <c r="H45" t="s">
        <v>40</v>
      </c>
      <c r="I45">
        <f>VLOOKUP(Table4[[#This Row],[Visitor]],'NHL Model'!$A$6:$B$38,2,FALSE)</f>
        <v>0.16605329280468042</v>
      </c>
      <c r="J45">
        <f>($B$1+Table4[[#This Row],[Home Differential]])-Table4[[#This Row],[Away Differential]]</f>
        <v>-3.5230608390918572E-2</v>
      </c>
      <c r="K45" t="str">
        <f>IF(Table4[[#This Row],[HomeIce Differential]]&gt;0,Table4[[#This Row],[Home]],Table4[[#This Row],[Visitor]])</f>
        <v>Winnipeg Jets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0.53116467365112607</v>
      </c>
      <c r="M45" t="str">
        <f>IF(OR((NHL2025_26Results[[#This Row],[Winning Team]]="")),"-",IF(Table4[[#This Row],[Predicted Winner]]=NHL2025_26Results[[#This Row],[Winning Team]],"YES","NO"))</f>
        <v>YES</v>
      </c>
      <c r="N45">
        <f>IF(Table4[[#This Row],[Adjusted Correct]]="-", "",IF(Table4[[#This Row],[Adjusted Correct]]="YES",(Table4[[#This Row],[Strength of Win]]-1)^2,(Table4[[#This Row],[Strength of Win]]-0)^2))</f>
        <v>0.21980656323265513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-0.49956508239762204</v>
      </c>
      <c r="H46" t="s">
        <v>29</v>
      </c>
      <c r="I46">
        <f>VLOOKUP(Table4[[#This Row],[Visitor]],'NHL Model'!$A$6:$B$38,2,FALSE)</f>
        <v>-1.4393526815815083</v>
      </c>
      <c r="J46">
        <f>($B$1+Table4[[#This Row],[Home Differential]])-Table4[[#This Row],[Away Differential]]</f>
        <v>1.1473477839758954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0.70040806629374641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0.49057145932934509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0.5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-0.59983976271417982</v>
      </c>
      <c r="H47" t="s">
        <v>11</v>
      </c>
      <c r="I47">
        <f>VLOOKUP(Table4[[#This Row],[Visitor]],'NHL Model'!$A$6:$B$38,2,FALSE)</f>
        <v>-0.2184338233275798</v>
      </c>
      <c r="J47">
        <f>($B$1+Table4[[#This Row],[Home Differential]])-Table4[[#This Row],[Away Differential]]</f>
        <v>-0.17384575459459092</v>
      </c>
      <c r="K47" t="str">
        <f>IF(Table4[[#This Row],[HomeIce Differential]]&gt;0,Table4[[#This Row],[Home]],Table4[[#This Row],[Visitor]])</f>
        <v>Florida Panthers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0.48143138346620207</v>
      </c>
      <c r="M47" t="str">
        <f>IF(OR((NHL2025_26Results[[#This Row],[Winning Team]]="")),"-",IF(Table4[[#This Row],[Predicted Winner]]=NHL2025_26Results[[#This Row],[Winning Team]],"YES","NO"))</f>
        <v>NO</v>
      </c>
      <c r="N47">
        <f>IF(Table4[[#This Row],[Adjusted Correct]]="-", "",IF(Table4[[#This Row],[Adjusted Correct]]="YES",(Table4[[#This Row],[Strength of Win]]-1)^2,(Table4[[#This Row],[Strength of Win]]-0)^2))</f>
        <v>0.2317761769861813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0.7142857142857143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-0.76384910289376506</v>
      </c>
      <c r="H48" t="s">
        <v>26</v>
      </c>
      <c r="I48">
        <f>VLOOKUP(Table4[[#This Row],[Visitor]],'NHL Model'!$A$6:$B$38,2,FALSE)</f>
        <v>-0.4992069962886943</v>
      </c>
      <c r="J48">
        <f>($B$1+Table4[[#This Row],[Home Differential]])-Table4[[#This Row],[Away Differential]]</f>
        <v>-5.7081921813061653E-2</v>
      </c>
      <c r="K48" t="str">
        <f>IF(Table4[[#This Row],[HomeIce Differential]]&gt;0,Table4[[#This Row],[Home]],Table4[[#This Row],[Visitor]])</f>
        <v>Detroit Red Wings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0.50081408618286416</v>
      </c>
      <c r="M48" t="str">
        <f>IF(OR((NHL2025_26Results[[#This Row],[Winning Team]]="")),"-",IF(Table4[[#This Row],[Predicted Winner]]=NHL2025_26Results[[#This Row],[Winning Team]],"YES","NO"))</f>
        <v>YES</v>
      </c>
      <c r="N48">
        <f>IF(Table4[[#This Row],[Adjusted Correct]]="-", "",IF(Table4[[#This Row],[Adjusted Correct]]="YES",(Table4[[#This Row],[Strength of Win]]-1)^2,(Table4[[#This Row],[Strength of Win]]-0)^2))</f>
        <v>0.24918657655344897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0.66666666666666663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-0.87761566951859371</v>
      </c>
      <c r="H49" t="s">
        <v>35</v>
      </c>
      <c r="I49">
        <f>VLOOKUP(Table4[[#This Row],[Visitor]],'NHL Model'!$A$6:$B$38,2,FALSE)</f>
        <v>-1.7049475448313323</v>
      </c>
      <c r="J49">
        <f>($B$1+Table4[[#This Row],[Home Differential]])-Table4[[#This Row],[Away Differential]]</f>
        <v>1.0348920601047475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0.68243500083568354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0.46571753036559937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0.7142857142857143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0.49887659623169195</v>
      </c>
      <c r="H50" t="s">
        <v>14</v>
      </c>
      <c r="I50">
        <f>VLOOKUP(Table4[[#This Row],[Visitor]],'NHL Model'!$A$6:$B$38,2,FALSE)</f>
        <v>0.19812979206825923</v>
      </c>
      <c r="J50">
        <f>($B$1+Table4[[#This Row],[Home Differential]])-Table4[[#This Row],[Away Differential]]</f>
        <v>0.50830698895544191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0.7253903810172887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7.5410442837829869E-2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0.14285714285714285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-1.2993694664931768</v>
      </c>
      <c r="H51" t="s">
        <v>20</v>
      </c>
      <c r="I51">
        <f>VLOOKUP(Table4[[#This Row],[Visitor]],'NHL Model'!$A$6:$B$38,2,FALSE)</f>
        <v>-5.3996763649808116E-4</v>
      </c>
      <c r="J51">
        <f>($B$1+Table4[[#This Row],[Home Differential]])-Table4[[#This Row],[Away Differential]]</f>
        <v>-1.0912693140646696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0.63096358596123447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0.13618787488659118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0.375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4.3588947679693783E-2</v>
      </c>
      <c r="H52" t="s">
        <v>34</v>
      </c>
      <c r="I52">
        <f>VLOOKUP(Table4[[#This Row],[Visitor]],'NHL Model'!$A$6:$B$38,2,FALSE)</f>
        <v>-0.52340626120007572</v>
      </c>
      <c r="J52">
        <f>($B$1+Table4[[#This Row],[Home Differential]])-Table4[[#This Row],[Away Differential]]</f>
        <v>0.77455539367177861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0.64909963861180164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0.12313106362236821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0.66666666666666663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-0.69497686531268954</v>
      </c>
      <c r="H53" t="s">
        <v>32</v>
      </c>
      <c r="I53">
        <f>VLOOKUP(Table4[[#This Row],[Visitor]],'NHL Model'!$A$6:$B$38,2,FALSE)</f>
        <v>-0.54471700440519322</v>
      </c>
      <c r="J53">
        <f>($B$1+Table4[[#This Row],[Home Differential]])-Table4[[#This Row],[Away Differential]]</f>
        <v>5.7300323884512783E-2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0.54788639897338609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0.20440670823325222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0.4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-0.41117752232850285</v>
      </c>
      <c r="H54" t="s">
        <v>17</v>
      </c>
      <c r="I54">
        <f>VLOOKUP(Table4[[#This Row],[Visitor]],'NHL Model'!$A$6:$B$38,2,FALSE)</f>
        <v>-1.0049085234729234</v>
      </c>
      <c r="J54">
        <f>($B$1+Table4[[#This Row],[Home Differential]])-Table4[[#This Row],[Away Differential]]</f>
        <v>0.80129118593642956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0.65028387900369944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0.42286912329209803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1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-0.41595305630289253</v>
      </c>
      <c r="H55" t="s">
        <v>25</v>
      </c>
      <c r="I55">
        <f>VLOOKUP(Table4[[#This Row],[Visitor]],'NHL Model'!$A$6:$B$38,2,FALSE)</f>
        <v>0.55298967972810642</v>
      </c>
      <c r="J55">
        <f>($B$1+Table4[[#This Row],[Home Differential]])-Table4[[#This Row],[Away Differential]]</f>
        <v>-0.76138255123898979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0.64574941431253075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0.12549347745991499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0.5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-0.76384910289376506</v>
      </c>
      <c r="H56" t="s">
        <v>29</v>
      </c>
      <c r="I56">
        <f>VLOOKUP(Table4[[#This Row],[Visitor]],'NHL Model'!$A$6:$B$38,2,FALSE)</f>
        <v>-1.4393526815815083</v>
      </c>
      <c r="J56">
        <f>($B$1+Table4[[#This Row],[Home Differential]])-Table4[[#This Row],[Away Differential]]</f>
        <v>0.88306376347975235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0.67555508111495155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0.10526450539032567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-3.9931837337852071E-3</v>
      </c>
      <c r="H57" t="s">
        <v>37</v>
      </c>
      <c r="I57">
        <f>VLOOKUP(Table4[[#This Row],[Visitor]],'NHL Model'!$A$6:$B$38,2,FALSE)</f>
        <v>3.7016822058700272E-2</v>
      </c>
      <c r="J57">
        <f>($B$1+Table4[[#This Row],[Home Differential]])-Table4[[#This Row],[Away Differential]]</f>
        <v>0.16655017899952362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0.51833559685265684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0.23200059725928632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0.5714285714285714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-1.005023581214965</v>
      </c>
      <c r="H58" t="s">
        <v>36</v>
      </c>
      <c r="I58">
        <f>VLOOKUP(Table4[[#This Row],[Visitor]],'NHL Model'!$A$6:$B$38,2,FALSE)</f>
        <v>-0.49956508239762204</v>
      </c>
      <c r="J58">
        <f>($B$1+Table4[[#This Row],[Home Differential]])-Table4[[#This Row],[Away Differential]]</f>
        <v>-0.2978983140253339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0.50100055285268341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0.25100155395869445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0.66666666666666663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-0.4992069962886943</v>
      </c>
      <c r="H59" t="s">
        <v>11</v>
      </c>
      <c r="I59">
        <f>VLOOKUP(Table4[[#This Row],[Visitor]],'NHL Model'!$A$6:$B$38,2,FALSE)</f>
        <v>-0.2184338233275798</v>
      </c>
      <c r="J59">
        <f>($B$1+Table4[[#This Row],[Home Differential]])-Table4[[#This Row],[Away Differential]]</f>
        <v>-7.3212988169105403E-2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0.42964532466755134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0.18459510500868559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0.66666666666666663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-1.7049475448313323</v>
      </c>
      <c r="H60" t="s">
        <v>10</v>
      </c>
      <c r="I60">
        <f>VLOOKUP(Table4[[#This Row],[Visitor]],'NHL Model'!$A$6:$B$38,2,FALSE)</f>
        <v>0.28318004708662448</v>
      </c>
      <c r="J60">
        <f>($B$1+Table4[[#This Row],[Home Differential]])-Table4[[#This Row],[Away Differential]]</f>
        <v>-1.7805674071259476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0.72583355186983445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7.5167241280310756E-2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0.33333333333333331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-0.24431182281386174</v>
      </c>
      <c r="H61" t="s">
        <v>16</v>
      </c>
      <c r="I61">
        <f>VLOOKUP(Table4[[#This Row],[Visitor]],'NHL Model'!$A$6:$B$38,2,FALSE)</f>
        <v>-1.2993694664931768</v>
      </c>
      <c r="J61">
        <f>($B$1+Table4[[#This Row],[Home Differential]])-Table4[[#This Row],[Away Differential]]</f>
        <v>1.2626178284713241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0.78205002200574714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4.7502192907695306E-2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0.5714285714285714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0.49887659623169195</v>
      </c>
      <c r="H62" t="s">
        <v>25</v>
      </c>
      <c r="I62">
        <f>VLOOKUP(Table4[[#This Row],[Visitor]],'NHL Model'!$A$6:$B$38,2,FALSE)</f>
        <v>0.55298967972810642</v>
      </c>
      <c r="J62">
        <f>($B$1+Table4[[#This Row],[Home Differential]])-Table4[[#This Row],[Away Differential]]</f>
        <v>0.15344710129559469</v>
      </c>
      <c r="K62" t="str">
        <f>IF(Table4[[#This Row],[HomeIce Differential]]&gt;0,Table4[[#This Row],[Home]],Table4[[#This Row],[Visitor]])</f>
        <v>Anaheim Ducks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0.60006670911737514</v>
      </c>
      <c r="M62" t="str">
        <f>IF(OR((NHL2025_26Results[[#This Row],[Winning Team]]="")),"-",IF(Table4[[#This Row],[Predicted Winner]]=NHL2025_26Results[[#This Row],[Winning Team]],"YES","NO"))</f>
        <v>NO</v>
      </c>
      <c r="N62">
        <f>IF(Table4[[#This Row],[Adjusted Correct]]="-", "",IF(Table4[[#This Row],[Adjusted Correct]]="YES",(Table4[[#This Row],[Strength of Win]]-1)^2,(Table4[[#This Row],[Strength of Win]]-0)^2))</f>
        <v>0.3600800553909565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0.25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-0.58990467102727129</v>
      </c>
      <c r="H63" t="s">
        <v>12</v>
      </c>
      <c r="I63">
        <f>VLOOKUP(Table4[[#This Row],[Visitor]],'NHL Model'!$A$6:$B$38,2,FALSE)</f>
        <v>1.4229473251234224</v>
      </c>
      <c r="J63">
        <f>($B$1+Table4[[#This Row],[Home Differential]])-Table4[[#This Row],[Away Differential]]</f>
        <v>-1.8052918113586847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0.76769797713794019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5.3964229825804962E-2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4.3588947679693783E-2</v>
      </c>
      <c r="H64" t="s">
        <v>38</v>
      </c>
      <c r="I64">
        <f>VLOOKUP(Table4[[#This Row],[Visitor]],'NHL Model'!$A$6:$B$38,2,FALSE)</f>
        <v>-0.87761566951859371</v>
      </c>
      <c r="J64">
        <f>($B$1+Table4[[#This Row],[Home Differential]])-Table4[[#This Row],[Away Differential]]</f>
        <v>1.1287648019902967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0.67709409131689136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0.4584564084962468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0.7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-0.16069632687214722</v>
      </c>
      <c r="H65" t="s">
        <v>14</v>
      </c>
      <c r="I65">
        <f>VLOOKUP(Table4[[#This Row],[Visitor]],'NHL Model'!$A$6:$B$38,2,FALSE)</f>
        <v>0.19812979206825923</v>
      </c>
      <c r="J65">
        <f>($B$1+Table4[[#This Row],[Home Differential]])-Table4[[#This Row],[Away Differential]]</f>
        <v>-0.15126593414839734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0.48081914074657861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0.26954876461512095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0.8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-0.69497686531268954</v>
      </c>
      <c r="H66" t="s">
        <v>29</v>
      </c>
      <c r="I66">
        <f>VLOOKUP(Table4[[#This Row],[Visitor]],'NHL Model'!$A$6:$B$38,2,FALSE)</f>
        <v>-1.4393526815815083</v>
      </c>
      <c r="J66">
        <f>($B$1+Table4[[#This Row],[Home Differential]])-Table4[[#This Row],[Away Differential]]</f>
        <v>0.95193600106082787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0.67101753345454451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0.10822946329433174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0.33333333333333331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0.27405230796993052</v>
      </c>
      <c r="H67" t="s">
        <v>11</v>
      </c>
      <c r="I67">
        <f>VLOOKUP(Table4[[#This Row],[Visitor]],'NHL Model'!$A$6:$B$38,2,FALSE)</f>
        <v>-0.2184338233275798</v>
      </c>
      <c r="J67">
        <f>($B$1+Table4[[#This Row],[Home Differential]])-Table4[[#This Row],[Away Differential]]</f>
        <v>0.70004631608951939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0.75177998460339746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6.1613176043489606E-2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0.5714285714285714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-7.6737500378247253E-2</v>
      </c>
      <c r="H68" t="s">
        <v>17</v>
      </c>
      <c r="I68">
        <f>VLOOKUP(Table4[[#This Row],[Visitor]],'NHL Model'!$A$6:$B$38,2,FALSE)</f>
        <v>-1.0049085234729234</v>
      </c>
      <c r="J68">
        <f>($B$1+Table4[[#This Row],[Home Differential]])-Table4[[#This Row],[Away Differential]]</f>
        <v>1.1357312078866852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0.69631376621836139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9.2225328588476069E-2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-0.49956508239762204</v>
      </c>
      <c r="H69" t="s">
        <v>32</v>
      </c>
      <c r="I69">
        <f>VLOOKUP(Table4[[#This Row],[Visitor]],'NHL Model'!$A$6:$B$38,2,FALSE)</f>
        <v>-0.54471700440519322</v>
      </c>
      <c r="J69">
        <f>($B$1+Table4[[#This Row],[Home Differential]])-Table4[[#This Row],[Away Differential]]</f>
        <v>0.25271210679958028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0.5772769318125881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0.1786947923777793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0.625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-0.59983976271417982</v>
      </c>
      <c r="H70" t="s">
        <v>40</v>
      </c>
      <c r="I70">
        <f>VLOOKUP(Table4[[#This Row],[Visitor]],'NHL Model'!$A$6:$B$38,2,FALSE)</f>
        <v>0.16605329280468042</v>
      </c>
      <c r="J70">
        <f>($B$1+Table4[[#This Row],[Home Differential]])-Table4[[#This Row],[Away Differential]]</f>
        <v>-0.55833287072685112</v>
      </c>
      <c r="K70" t="str">
        <f>IF(Table4[[#This Row],[HomeIce Differential]]&gt;0,Table4[[#This Row],[Home]],Table4[[#This Row],[Visitor]])</f>
        <v>Winnipeg Jets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0.60065439099356543</v>
      </c>
      <c r="M70" t="str">
        <f>IF(OR((NHL2025_26Results[[#This Row],[Winning Team]]="")),"-",IF(Table4[[#This Row],[Predicted Winner]]=NHL2025_26Results[[#This Row],[Winning Team]],"YES","NO"))</f>
        <v>YES</v>
      </c>
      <c r="N70">
        <f>IF(Table4[[#This Row],[Adjusted Correct]]="-", "",IF(Table4[[#This Row],[Adjusted Correct]]="YES",(Table4[[#This Row],[Strength of Win]]-1)^2,(Table4[[#This Row],[Strength of Win]]-0)^2))</f>
        <v>0.15947691543272011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17.521428571428572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-0.76384910289376506</v>
      </c>
      <c r="H71" t="s">
        <v>15</v>
      </c>
      <c r="I71">
        <f>VLOOKUP(Table4[[#This Row],[Visitor]],'NHL Model'!$A$6:$B$38,2,FALSE)</f>
        <v>-0.41117752232850285</v>
      </c>
      <c r="J71">
        <f>($B$1+Table4[[#This Row],[Home Differential]])-Table4[[#This Row],[Away Differential]]</f>
        <v>-0.1451113957732531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0.58753964250660851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0.34520283151679332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-5.3996763649808116E-4</v>
      </c>
      <c r="H72" t="s">
        <v>21</v>
      </c>
      <c r="I72">
        <f>VLOOKUP(Table4[[#This Row],[Visitor]],'NHL Model'!$A$6:$B$38,2,FALSE)</f>
        <v>-0.11354210657072454</v>
      </c>
      <c r="J72">
        <f>($B$1+Table4[[#This Row],[Home Differential]])-Table4[[#This Row],[Away Differential]]</f>
        <v>0.32056232372623555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0.58411986197209165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0.17295628920611211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0.28318004708662448</v>
      </c>
      <c r="H73" t="s">
        <v>38</v>
      </c>
      <c r="I73">
        <f>VLOOKUP(Table4[[#This Row],[Visitor]],'NHL Model'!$A$6:$B$38,2,FALSE)</f>
        <v>-0.87761566951859371</v>
      </c>
      <c r="J73">
        <f>($B$1+Table4[[#This Row],[Home Differential]])-Table4[[#This Row],[Away Differential]]</f>
        <v>1.3683559013972273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0.71464632313272036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0.51071936716711652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-0.4992069962886943</v>
      </c>
      <c r="H74" t="s">
        <v>37</v>
      </c>
      <c r="I74">
        <f>VLOOKUP(Table4[[#This Row],[Visitor]],'NHL Model'!$A$6:$B$38,2,FALSE)</f>
        <v>3.7016822058700272E-2</v>
      </c>
      <c r="J74">
        <f>($B$1+Table4[[#This Row],[Home Differential]])-Table4[[#This Row],[Away Differential]]</f>
        <v>-0.32866363355538547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0.51133656212969769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0.26146507977061817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-0.24431182281386174</v>
      </c>
      <c r="H75" t="s">
        <v>33</v>
      </c>
      <c r="I75">
        <f>VLOOKUP(Table4[[#This Row],[Visitor]],'NHL Model'!$A$6:$B$38,2,FALSE)</f>
        <v>-0.41595305630289253</v>
      </c>
      <c r="J75">
        <f>($B$1+Table4[[#This Row],[Home Differential]])-Table4[[#This Row],[Away Differential]]</f>
        <v>0.37920141828103993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0.66046302566627024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0.11528535693970386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-3.9931837337852071E-3</v>
      </c>
      <c r="H76" t="s">
        <v>34</v>
      </c>
      <c r="I76">
        <f>VLOOKUP(Table4[[#This Row],[Visitor]],'NHL Model'!$A$6:$B$38,2,FALSE)</f>
        <v>-0.52340626120007572</v>
      </c>
      <c r="J76">
        <f>($B$1+Table4[[#This Row],[Home Differential]])-Table4[[#This Row],[Away Differential]]</f>
        <v>0.72697326225829961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0.64255078082371841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0.1277699442897334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-1.005023581214965</v>
      </c>
      <c r="H77" t="s">
        <v>11</v>
      </c>
      <c r="I77">
        <f>VLOOKUP(Table4[[#This Row],[Visitor]],'NHL Model'!$A$6:$B$38,2,FALSE)</f>
        <v>-0.2184338233275798</v>
      </c>
      <c r="J77">
        <f>($B$1+Table4[[#This Row],[Home Differential]])-Table4[[#This Row],[Away Differential]]</f>
        <v>-0.57902957309537617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0.53969341046000263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0.29126897729394891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-0.58990467102727129</v>
      </c>
      <c r="H78" t="s">
        <v>37</v>
      </c>
      <c r="I78">
        <f>VLOOKUP(Table4[[#This Row],[Visitor]],'NHL Model'!$A$6:$B$38,2,FALSE)</f>
        <v>3.7016822058700272E-2</v>
      </c>
      <c r="J78">
        <f>($B$1+Table4[[#This Row],[Home Differential]])-Table4[[#This Row],[Away Differential]]</f>
        <v>-0.41936130829396245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0.55771783415872189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0.31104918253869562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1.4229473251234224</v>
      </c>
      <c r="H79" t="s">
        <v>21</v>
      </c>
      <c r="I79">
        <f>VLOOKUP(Table4[[#This Row],[Visitor]],'NHL Model'!$A$6:$B$38,2,FALSE)</f>
        <v>-0.11354210657072454</v>
      </c>
      <c r="J79">
        <f>($B$1+Table4[[#This Row],[Home Differential]])-Table4[[#This Row],[Away Differential]]</f>
        <v>1.7440496164861559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0.86840452629527554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1.7317368699570828E-2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-0.16069632687214722</v>
      </c>
      <c r="H80" t="s">
        <v>25</v>
      </c>
      <c r="I80">
        <f>VLOOKUP(Table4[[#This Row],[Visitor]],'NHL Model'!$A$6:$B$38,2,FALSE)</f>
        <v>0.55298967972810642</v>
      </c>
      <c r="J80">
        <f>($B$1+Table4[[#This Row],[Home Differential]])-Table4[[#This Row],[Away Differential]]</f>
        <v>-0.5061258218082445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0.6106177383905973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0.15161854565605332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-0.69497686531268954</v>
      </c>
      <c r="H81" t="s">
        <v>15</v>
      </c>
      <c r="I81">
        <f>VLOOKUP(Table4[[#This Row],[Visitor]],'NHL Model'!$A$6:$B$38,2,FALSE)</f>
        <v>-0.41117752232850285</v>
      </c>
      <c r="J81">
        <f>($B$1+Table4[[#This Row],[Home Differential]])-Table4[[#This Row],[Away Differential]]</f>
        <v>-7.6239158192177581E-2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0.59188835093804248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0.16655511810007037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0.27405230796993052</v>
      </c>
      <c r="H82" t="s">
        <v>17</v>
      </c>
      <c r="I82">
        <f>VLOOKUP(Table4[[#This Row],[Visitor]],'NHL Model'!$A$6:$B$38,2,FALSE)</f>
        <v>-1.0049085234729234</v>
      </c>
      <c r="J82">
        <f>($B$1+Table4[[#This Row],[Home Differential]])-Table4[[#This Row],[Away Differential]]</f>
        <v>1.486521016234863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0.86002463048570088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1.9593104070664578E-2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-0.49956508239762204</v>
      </c>
      <c r="H83" t="s">
        <v>30</v>
      </c>
      <c r="I83">
        <f>VLOOKUP(Table4[[#This Row],[Visitor]],'NHL Model'!$A$6:$B$38,2,FALSE)</f>
        <v>-7.6737500378247253E-2</v>
      </c>
      <c r="J83">
        <f>($B$1+Table4[[#This Row],[Home Differential]])-Table4[[#This Row],[Away Differential]]</f>
        <v>-0.21526739722736568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0.5464063591705659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0.20574719100090166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-0.59983976271417982</v>
      </c>
      <c r="H84" t="s">
        <v>34</v>
      </c>
      <c r="I84">
        <f>VLOOKUP(Table4[[#This Row],[Visitor]],'NHL Model'!$A$6:$B$38,2,FALSE)</f>
        <v>-0.52340626120007572</v>
      </c>
      <c r="J84">
        <f>($B$1+Table4[[#This Row],[Home Differential]])-Table4[[#This Row],[Away Differential]]</f>
        <v>0.131126683277905</v>
      </c>
      <c r="K84" t="str">
        <f>IF(Table4[[#This Row],[HomeIce Differential]]&gt;0,Table4[[#This Row],[Home]],Table4[[#This Row],[Visitor]])</f>
        <v>Philadelphia Flyers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0.56054280023642744</v>
      </c>
      <c r="M84" t="str">
        <f>IF(OR((NHL2025_26Results[[#This Row],[Winning Team]]="")),"-",IF(Table4[[#This Row],[Predicted Winner]]=NHL2025_26Results[[#This Row],[Winning Team]],"YES","NO"))</f>
        <v>YES</v>
      </c>
      <c r="N84">
        <f>IF(Table4[[#This Row],[Adjusted Correct]]="-", "",IF(Table4[[#This Row],[Adjusted Correct]]="YES",(Table4[[#This Row],[Strength of Win]]-1)^2,(Table4[[#This Row],[Strength of Win]]-0)^2))</f>
        <v>0.19312263042404051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-0.41595305630289253</v>
      </c>
      <c r="H85" t="s">
        <v>14</v>
      </c>
      <c r="I85">
        <f>VLOOKUP(Table4[[#This Row],[Visitor]],'NHL Model'!$A$6:$B$38,2,FALSE)</f>
        <v>0.19812979206825923</v>
      </c>
      <c r="J85">
        <f>($B$1+Table4[[#This Row],[Home Differential]])-Table4[[#This Row],[Away Differential]]</f>
        <v>-0.40652266357914268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0.51595081666851206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0.23430361188388044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-1.7049475448313323</v>
      </c>
      <c r="H86" t="s">
        <v>39</v>
      </c>
      <c r="I86">
        <f>VLOOKUP(Table4[[#This Row],[Visitor]],'NHL Model'!$A$6:$B$38,2,FALSE)</f>
        <v>4.3588947679693783E-2</v>
      </c>
      <c r="J86">
        <f>($B$1+Table4[[#This Row],[Home Differential]])-Table4[[#This Row],[Away Differential]]</f>
        <v>-1.5409763077190168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0.76457493616898009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0.5845748330178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-0.76384910289376506</v>
      </c>
      <c r="H87" t="s">
        <v>32</v>
      </c>
      <c r="I87">
        <f>VLOOKUP(Table4[[#This Row],[Visitor]],'NHL Model'!$A$6:$B$38,2,FALSE)</f>
        <v>-0.54471700440519322</v>
      </c>
      <c r="J87">
        <f>($B$1+Table4[[#This Row],[Home Differential]])-Table4[[#This Row],[Away Differential]]</f>
        <v>-1.1571913696562741E-2</v>
      </c>
      <c r="K87" t="str">
        <f>IF(Table4[[#This Row],[HomeIce Differential]]&gt;0,Table4[[#This Row],[Home]],Table4[[#This Row],[Visitor]])</f>
        <v>Seattle Kraken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0.44757605336620687</v>
      </c>
      <c r="M87" t="str">
        <f>IF(OR((NHL2025_26Results[[#This Row],[Winning Team]]="")),"-",IF(Table4[[#This Row],[Predicted Winner]]=NHL2025_26Results[[#This Row],[Winning Team]],"YES","NO"))</f>
        <v>YES</v>
      </c>
      <c r="N87">
        <f>IF(Table4[[#This Row],[Adjusted Correct]]="-", "",IF(Table4[[#This Row],[Adjusted Correct]]="YES",(Table4[[#This Row],[Strength of Win]]-1)^2,(Table4[[#This Row],[Strength of Win]]-0)^2))</f>
        <v>0.30517221681445594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-5.3996763649808116E-4</v>
      </c>
      <c r="H88" t="s">
        <v>16</v>
      </c>
      <c r="I88">
        <f>VLOOKUP(Table4[[#This Row],[Visitor]],'NHL Model'!$A$6:$B$38,2,FALSE)</f>
        <v>-1.2993694664931768</v>
      </c>
      <c r="J88">
        <f>($B$1+Table4[[#This Row],[Home Differential]])-Table4[[#This Row],[Away Differential]]</f>
        <v>1.5063896836486879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0.74732849745474783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6.3842888198475375E-2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0.16605329280468042</v>
      </c>
      <c r="H89" t="s">
        <v>29</v>
      </c>
      <c r="I89">
        <f>VLOOKUP(Table4[[#This Row],[Visitor]],'NHL Model'!$A$6:$B$38,2,FALSE)</f>
        <v>-1.4393526815815083</v>
      </c>
      <c r="J89">
        <f>($B$1+Table4[[#This Row],[Home Differential]])-Table4[[#This Row],[Away Differential]]</f>
        <v>1.8129661591781978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0.84123942554158626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2.5204920002365534E-2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0.28318004708662448</v>
      </c>
      <c r="H90" t="s">
        <v>31</v>
      </c>
      <c r="I90">
        <f>VLOOKUP(Table4[[#This Row],[Visitor]],'NHL Model'!$A$6:$B$38,2,FALSE)</f>
        <v>0.49887659623169195</v>
      </c>
      <c r="J90">
        <f>($B$1+Table4[[#This Row],[Home Differential]])-Table4[[#This Row],[Away Differential]]</f>
        <v>-8.1363643530583674E-3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0.47480404041786017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0.22543887679712499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-0.4992069962886943</v>
      </c>
      <c r="H91" t="s">
        <v>17</v>
      </c>
      <c r="I91">
        <f>VLOOKUP(Table4[[#This Row],[Visitor]],'NHL Model'!$A$6:$B$38,2,FALSE)</f>
        <v>-1.0049085234729234</v>
      </c>
      <c r="J91">
        <f>($B$1+Table4[[#This Row],[Home Differential]])-Table4[[#This Row],[Away Differential]]</f>
        <v>0.71326171197623811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0.67859932121475208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0.10329839632361811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-0.24431182281386174</v>
      </c>
      <c r="H92" t="s">
        <v>21</v>
      </c>
      <c r="I92">
        <f>VLOOKUP(Table4[[#This Row],[Visitor]],'NHL Model'!$A$6:$B$38,2,FALSE)</f>
        <v>-0.11354210657072454</v>
      </c>
      <c r="J92">
        <f>($B$1+Table4[[#This Row],[Home Differential]])-Table4[[#This Row],[Away Differential]]</f>
        <v>7.6790468548871907E-2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0.61884138652309095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0.14528188862763974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-3.9931837337852071E-3</v>
      </c>
      <c r="H93" t="s">
        <v>38</v>
      </c>
      <c r="I93">
        <f>VLOOKUP(Table4[[#This Row],[Visitor]],'NHL Model'!$A$6:$B$38,2,FALSE)</f>
        <v>-0.87761566951859371</v>
      </c>
      <c r="J93">
        <f>($B$1+Table4[[#This Row],[Home Differential]])-Table4[[#This Row],[Away Differential]]</f>
        <v>1.0811826705768177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0.67054523352880813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0.44963091020820384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-1.2993694664931768</v>
      </c>
      <c r="H94" t="s">
        <v>40</v>
      </c>
      <c r="I94">
        <f>VLOOKUP(Table4[[#This Row],[Visitor]],'NHL Model'!$A$6:$B$38,2,FALSE)</f>
        <v>0.16605329280468042</v>
      </c>
      <c r="J94">
        <f>($B$1+Table4[[#This Row],[Home Differential]])-Table4[[#This Row],[Away Differential]]</f>
        <v>-1.2578625745058483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0.69943882689729842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9.0337018776872141E-2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-0.69497686531268954</v>
      </c>
      <c r="H95" t="s">
        <v>23</v>
      </c>
      <c r="I95">
        <f>VLOOKUP(Table4[[#This Row],[Visitor]],'NHL Model'!$A$6:$B$38,2,FALSE)</f>
        <v>-1.005023581214965</v>
      </c>
      <c r="J95">
        <f>($B$1+Table4[[#This Row],[Home Differential]])-Table4[[#This Row],[Away Differential]]</f>
        <v>0.51760690069428461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0.61123964148056542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0.15113461635615932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-0.41117752232850285</v>
      </c>
      <c r="H96" t="s">
        <v>34</v>
      </c>
      <c r="I96">
        <f>VLOOKUP(Table4[[#This Row],[Visitor]],'NHL Model'!$A$6:$B$38,2,FALSE)</f>
        <v>-0.52340626120007572</v>
      </c>
      <c r="J96">
        <f>($B$1+Table4[[#This Row],[Home Differential]])-Table4[[#This Row],[Away Differential]]</f>
        <v>0.31978892366358197</v>
      </c>
      <c r="K96" t="str">
        <f>IF(Table4[[#This Row],[HomeIce Differential]]&gt;0,Table4[[#This Row],[Home]],Table4[[#This Row],[Visitor]])</f>
        <v>New York Rangers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0.58401341682402541</v>
      </c>
      <c r="M96" t="str">
        <f>IF(OR((NHL2025_26Results[[#This Row],[Winning Team]]="")),"-",IF(Table4[[#This Row],[Predicted Winner]]=NHL2025_26Results[[#This Row],[Winning Team]],"YES","NO"))</f>
        <v>NO</v>
      </c>
      <c r="N96">
        <f>IF(Table4[[#This Row],[Adjusted Correct]]="-", "",IF(Table4[[#This Row],[Adjusted Correct]]="YES",(Table4[[#This Row],[Strength of Win]]-1)^2,(Table4[[#This Row],[Strength of Win]]-0)^2))</f>
        <v>0.34107167103047287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-0.59983976271417982</v>
      </c>
      <c r="H97" t="s">
        <v>32</v>
      </c>
      <c r="I97">
        <f>VLOOKUP(Table4[[#This Row],[Visitor]],'NHL Model'!$A$6:$B$38,2,FALSE)</f>
        <v>-0.54471700440519322</v>
      </c>
      <c r="J97">
        <f>($B$1+Table4[[#This Row],[Home Differential]])-Table4[[#This Row],[Away Differential]]</f>
        <v>0.1524374264830225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0.56347585561799329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0.19055332862844304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-5.3996763649808116E-4</v>
      </c>
      <c r="H98" t="s">
        <v>25</v>
      </c>
      <c r="I98">
        <f>VLOOKUP(Table4[[#This Row],[Visitor]],'NHL Model'!$A$6:$B$38,2,FALSE)</f>
        <v>0.55298967972810642</v>
      </c>
      <c r="J98">
        <f>($B$1+Table4[[#This Row],[Home Differential]])-Table4[[#This Row],[Away Differential]]</f>
        <v>-0.34596946257259542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0.58857498432863187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0.34642051217744924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-0.11354210657072454</v>
      </c>
      <c r="H99" t="s">
        <v>11</v>
      </c>
      <c r="I99">
        <f>VLOOKUP(Table4[[#This Row],[Visitor]],'NHL Model'!$A$6:$B$38,2,FALSE)</f>
        <v>-0.2184338233275798</v>
      </c>
      <c r="J99">
        <f>($B$1+Table4[[#This Row],[Home Differential]])-Table4[[#This Row],[Away Differential]]</f>
        <v>0.31245190154886437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0.6347195789039024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0.40286894384394717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4.3588947679693783E-2</v>
      </c>
      <c r="H100" t="s">
        <v>28</v>
      </c>
      <c r="I100">
        <f>VLOOKUP(Table4[[#This Row],[Visitor]],'NHL Model'!$A$6:$B$38,2,FALSE)</f>
        <v>-0.58990467102727129</v>
      </c>
      <c r="J100">
        <f>($B$1+Table4[[#This Row],[Home Differential]])-Table4[[#This Row],[Away Differential]]</f>
        <v>0.84105380349897418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0.65825199509847665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0.43329568905112492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-1.4393526815815083</v>
      </c>
      <c r="H101" t="s">
        <v>31</v>
      </c>
      <c r="I101">
        <f>VLOOKUP(Table4[[#This Row],[Visitor]],'NHL Model'!$A$6:$B$38,2,FALSE)</f>
        <v>0.49887659623169195</v>
      </c>
      <c r="J101">
        <f>($B$1+Table4[[#This Row],[Home Differential]])-Table4[[#This Row],[Away Differential]]</f>
        <v>-1.7306690930211912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0.71896591157651646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7.8980158856018362E-2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-7.6737500378247253E-2</v>
      </c>
      <c r="H102" t="s">
        <v>33</v>
      </c>
      <c r="I102">
        <f>VLOOKUP(Table4[[#This Row],[Visitor]],'NHL Model'!$A$6:$B$38,2,FALSE)</f>
        <v>-0.41595305630289253</v>
      </c>
      <c r="J102">
        <f>($B$1+Table4[[#This Row],[Home Differential]])-Table4[[#This Row],[Away Differential]]</f>
        <v>0.54677574071665436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0.61525422803806751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0.14802930904258335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-0.49956508239762204</v>
      </c>
      <c r="H103" t="s">
        <v>17</v>
      </c>
      <c r="I103">
        <f>VLOOKUP(Table4[[#This Row],[Visitor]],'NHL Model'!$A$6:$B$38,2,FALSE)</f>
        <v>-1.0049085234729234</v>
      </c>
      <c r="J103">
        <f>($B$1+Table4[[#This Row],[Home Differential]])-Table4[[#This Row],[Away Differential]]</f>
        <v>0.71290362586731049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0.64061433861069617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0.41038673083361971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0.19812979206825923</v>
      </c>
      <c r="H104" t="s">
        <v>38</v>
      </c>
      <c r="I104">
        <f>VLOOKUP(Table4[[#This Row],[Visitor]],'NHL Model'!$A$6:$B$38,2,FALSE)</f>
        <v>-0.87761566951859371</v>
      </c>
      <c r="J104">
        <f>($B$1+Table4[[#This Row],[Home Differential]])-Table4[[#This Row],[Away Differential]]</f>
        <v>1.2833056463788619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0.73218039196207851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7.1727342449585896E-2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-1.7049475448313323</v>
      </c>
      <c r="H105" t="s">
        <v>13</v>
      </c>
      <c r="I105">
        <f>VLOOKUP(Table4[[#This Row],[Visitor]],'NHL Model'!$A$6:$B$38,2,FALSE)</f>
        <v>-0.16069632687214722</v>
      </c>
      <c r="J105">
        <f>($B$1+Table4[[#This Row],[Home Differential]])-Table4[[#This Row],[Away Differential]]</f>
        <v>-1.3366910331671757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0.7457701647791285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6.4632809116431475E-2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-0.76384910289376506</v>
      </c>
      <c r="H106" t="s">
        <v>24</v>
      </c>
      <c r="I106">
        <f>VLOOKUP(Table4[[#This Row],[Visitor]],'NHL Model'!$A$6:$B$38,2,FALSE)</f>
        <v>0.27405230796993052</v>
      </c>
      <c r="J106">
        <f>($B$1+Table4[[#This Row],[Home Differential]])-Table4[[#This Row],[Away Differential]]</f>
        <v>-0.83034122607168648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0.6026542078338113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0.15788367855217603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-0.24431182281386174</v>
      </c>
      <c r="H107" t="s">
        <v>12</v>
      </c>
      <c r="I107">
        <f>VLOOKUP(Table4[[#This Row],[Visitor]],'NHL Model'!$A$6:$B$38,2,FALSE)</f>
        <v>1.4229473251234224</v>
      </c>
      <c r="J107">
        <f>($B$1+Table4[[#This Row],[Home Differential]])-Table4[[#This Row],[Away Differential]]</f>
        <v>-1.459698963145275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0.65742406609813764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0.43220640268500843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-3.9931837337852071E-3</v>
      </c>
      <c r="H108" t="s">
        <v>32</v>
      </c>
      <c r="I108">
        <f>VLOOKUP(Table4[[#This Row],[Visitor]],'NHL Model'!$A$6:$B$38,2,FALSE)</f>
        <v>-0.54471700440519322</v>
      </c>
      <c r="J108">
        <f>($B$1+Table4[[#This Row],[Home Differential]])-Table4[[#This Row],[Away Differential]]</f>
        <v>0.74828400546341711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0.64548383620528416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0.1256817103917218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-1.005023581214965</v>
      </c>
      <c r="H109" t="s">
        <v>26</v>
      </c>
      <c r="I109">
        <f>VLOOKUP(Table4[[#This Row],[Visitor]],'NHL Model'!$A$6:$B$38,2,FALSE)</f>
        <v>-0.4992069962886943</v>
      </c>
      <c r="J109">
        <f>($B$1+Table4[[#This Row],[Home Differential]])-Table4[[#This Row],[Away Differential]]</f>
        <v>-0.29825640013426163</v>
      </c>
      <c r="K109" t="str">
        <f>IF(Table4[[#This Row],[HomeIce Differential]]&gt;0,Table4[[#This Row],[Home]],Table4[[#This Row],[Visitor]])</f>
        <v>Detroit Red Wings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0.5481492286957067</v>
      </c>
      <c r="M109" t="str">
        <f>IF(OR((NHL2025_26Results[[#This Row],[Winning Team]]="")),"-",IF(Table4[[#This Row],[Predicted Winner]]=NHL2025_26Results[[#This Row],[Winning Team]],"YES","NO"))</f>
        <v>NO</v>
      </c>
      <c r="N109">
        <f>IF(Table4[[#This Row],[Adjusted Correct]]="-", "",IF(Table4[[#This Row],[Adjusted Correct]]="YES",(Table4[[#This Row],[Strength of Win]]-1)^2,(Table4[[#This Row],[Strength of Win]]-0)^2))</f>
        <v>0.30046757691969816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-1.2993694664931768</v>
      </c>
      <c r="H110" t="s">
        <v>18</v>
      </c>
      <c r="I110">
        <f>VLOOKUP(Table4[[#This Row],[Visitor]],'NHL Model'!$A$6:$B$38,2,FALSE)</f>
        <v>-0.69497686531268954</v>
      </c>
      <c r="J110">
        <f>($B$1+Table4[[#This Row],[Home Differential]])-Table4[[#This Row],[Away Differential]]</f>
        <v>-0.39683241638847822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0.56171651314866355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0.19209241484656561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0.27405230796993052</v>
      </c>
      <c r="H111" t="s">
        <v>34</v>
      </c>
      <c r="I111">
        <f>VLOOKUP(Table4[[#This Row],[Visitor]],'NHL Model'!$A$6:$B$38,2,FALSE)</f>
        <v>-0.52340626120007572</v>
      </c>
      <c r="J111">
        <f>($B$1+Table4[[#This Row],[Home Differential]])-Table4[[#This Row],[Away Differential]]</f>
        <v>1.0050187539620152</v>
      </c>
      <c r="K111" t="str">
        <f>IF(Table4[[#This Row],[HomeIce Differential]]&gt;0,Table4[[#This Row],[Home]],Table4[[#This Row],[Visitor]])</f>
        <v>New Jersey Devils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0.79375416830602696</v>
      </c>
      <c r="M111" t="str">
        <f>IF(OR((NHL2025_26Results[[#This Row],[Winning Team]]="")),"-",IF(Table4[[#This Row],[Predicted Winner]]=NHL2025_26Results[[#This Row],[Winning Team]],"YES","NO"))</f>
        <v>YES</v>
      </c>
      <c r="N111">
        <f>IF(Table4[[#This Row],[Adjusted Correct]]="-", "",IF(Table4[[#This Row],[Adjusted Correct]]="YES",(Table4[[#This Row],[Strength of Win]]-1)^2,(Table4[[#This Row],[Strength of Win]]-0)^2))</f>
        <v>4.253734309113865E-2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-0.11354210657072454</v>
      </c>
      <c r="H112" t="s">
        <v>31</v>
      </c>
      <c r="I112">
        <f>VLOOKUP(Table4[[#This Row],[Visitor]],'NHL Model'!$A$6:$B$38,2,FALSE)</f>
        <v>0.49887659623169195</v>
      </c>
      <c r="J112">
        <f>($B$1+Table4[[#This Row],[Home Differential]])-Table4[[#This Row],[Away Differential]]</f>
        <v>-0.4048585180104074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0.48429320437219109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0.26595349905670274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1.4229473251234224</v>
      </c>
      <c r="H113" t="s">
        <v>25</v>
      </c>
      <c r="I113">
        <f>VLOOKUP(Table4[[#This Row],[Visitor]],'NHL Model'!$A$6:$B$38,2,FALSE)</f>
        <v>0.55298967972810642</v>
      </c>
      <c r="J113">
        <f>($B$1+Table4[[#This Row],[Home Differential]])-Table4[[#This Row],[Away Differential]]</f>
        <v>1.0775178301873249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0.69830170117225676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0.48762526586006777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4.3588947679693783E-2</v>
      </c>
      <c r="H114" t="s">
        <v>13</v>
      </c>
      <c r="I114">
        <f>VLOOKUP(Table4[[#This Row],[Visitor]],'NHL Model'!$A$6:$B$38,2,FALSE)</f>
        <v>-0.16069632687214722</v>
      </c>
      <c r="J114">
        <f>($B$1+Table4[[#This Row],[Home Differential]])-Table4[[#This Row],[Away Differential]]</f>
        <v>0.41184545934385008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0.49736137358660332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0.24736833593595278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-1.0049085234729234</v>
      </c>
      <c r="H115" t="s">
        <v>18</v>
      </c>
      <c r="I115">
        <f>VLOOKUP(Table4[[#This Row],[Visitor]],'NHL Model'!$A$6:$B$38,2,FALSE)</f>
        <v>-0.69497686531268954</v>
      </c>
      <c r="J115">
        <f>($B$1+Table4[[#This Row],[Home Differential]])-Table4[[#This Row],[Away Differential]]</f>
        <v>-0.10237147336822472</v>
      </c>
      <c r="K115" t="str">
        <f>IF(Table4[[#This Row],[HomeIce Differential]]&gt;0,Table4[[#This Row],[Home]],Table4[[#This Row],[Visitor]])</f>
        <v>Montreal Canadiens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0.48467789880286788</v>
      </c>
      <c r="M115" t="str">
        <f>IF(OR((NHL2025_26Results[[#This Row],[Winning Team]]="")),"-",IF(Table4[[#This Row],[Predicted Winner]]=NHL2025_26Results[[#This Row],[Winning Team]],"YES","NO"))</f>
        <v>NO</v>
      </c>
      <c r="N115">
        <f>IF(Table4[[#This Row],[Adjusted Correct]]="-", "",IF(Table4[[#This Row],[Adjusted Correct]]="YES",(Table4[[#This Row],[Strength of Win]]-1)^2,(Table4[[#This Row],[Strength of Win]]-0)^2))</f>
        <v>0.23491266558796303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-0.2184338233275798</v>
      </c>
      <c r="H116" t="s">
        <v>14</v>
      </c>
      <c r="I116">
        <f>VLOOKUP(Table4[[#This Row],[Visitor]],'NHL Model'!$A$6:$B$38,2,FALSE)</f>
        <v>0.19812979206825923</v>
      </c>
      <c r="J116">
        <f>($B$1+Table4[[#This Row],[Home Differential]])-Table4[[#This Row],[Away Differential]]</f>
        <v>-0.20900343060382992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0.42531743310443348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0.33026005269367731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-1.4393526815815083</v>
      </c>
      <c r="H117" t="s">
        <v>38</v>
      </c>
      <c r="I117">
        <f>VLOOKUP(Table4[[#This Row],[Visitor]],'NHL Model'!$A$6:$B$38,2,FALSE)</f>
        <v>-0.87761566951859371</v>
      </c>
      <c r="J117">
        <f>($B$1+Table4[[#This Row],[Home Differential]])-Table4[[#This Row],[Away Differential]]</f>
        <v>-0.3541768272709056</v>
      </c>
      <c r="K117" t="str">
        <f>IF(Table4[[#This Row],[HomeIce Differential]]&gt;0,Table4[[#This Row],[Home]],Table4[[#This Row],[Visitor]])</f>
        <v>Vancouver Canucks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0.52951554802593581</v>
      </c>
      <c r="M117" t="str">
        <f>IF(OR((NHL2025_26Results[[#This Row],[Winning Team]]="")),"-",IF(Table4[[#This Row],[Predicted Winner]]=NHL2025_26Results[[#This Row],[Winning Team]],"YES","NO"))</f>
        <v>NO</v>
      </c>
      <c r="N117">
        <f>IF(Table4[[#This Row],[Adjusted Correct]]="-", "",IF(Table4[[#This Row],[Adjusted Correct]]="YES",(Table4[[#This Row],[Strength of Win]]-1)^2,(Table4[[#This Row],[Strength of Win]]-0)^2))</f>
        <v>0.28038671560120715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-7.6737500378247253E-2</v>
      </c>
      <c r="H118" t="s">
        <v>26</v>
      </c>
      <c r="I118">
        <f>VLOOKUP(Table4[[#This Row],[Visitor]],'NHL Model'!$A$6:$B$38,2,FALSE)</f>
        <v>-0.4992069962886943</v>
      </c>
      <c r="J118">
        <f>($B$1+Table4[[#This Row],[Home Differential]])-Table4[[#This Row],[Away Differential]]</f>
        <v>0.63002968070245613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0.57961330210035378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0.17672497577096841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-0.41117752232850285</v>
      </c>
      <c r="H119" t="s">
        <v>33</v>
      </c>
      <c r="I119">
        <f>VLOOKUP(Table4[[#This Row],[Visitor]],'NHL Model'!$A$6:$B$38,2,FALSE)</f>
        <v>-0.41595305630289253</v>
      </c>
      <c r="J119">
        <f>($B$1+Table4[[#This Row],[Home Differential]])-Table4[[#This Row],[Away Differential]]</f>
        <v>0.21233571876639878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0.56922434082340556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0.32401635018584057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-0.49956508239762204</v>
      </c>
      <c r="H120" t="s">
        <v>27</v>
      </c>
      <c r="I120">
        <f>VLOOKUP(Table4[[#This Row],[Visitor]],'NHL Model'!$A$6:$B$38,2,FALSE)</f>
        <v>-0.59983976271417982</v>
      </c>
      <c r="J120">
        <f>($B$1+Table4[[#This Row],[Home Differential]])-Table4[[#This Row],[Away Differential]]</f>
        <v>0.30783486510856689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0.58486362653030677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0.17233820857756862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-1.7049475448313323</v>
      </c>
      <c r="H121" t="s">
        <v>55</v>
      </c>
      <c r="I121">
        <f>VLOOKUP(Table4[[#This Row],[Visitor]],'NHL Model'!$A$6:$B$38,2,FALSE)</f>
        <v>-0.24431182281386174</v>
      </c>
      <c r="J121">
        <f>($B$1+Table4[[#This Row],[Home Differential]])-Table4[[#This Row],[Away Differential]]</f>
        <v>-1.2530755372254614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0.63246418450037956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0.13508257567497103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3.7016822058700272E-2</v>
      </c>
      <c r="H122" t="s">
        <v>10</v>
      </c>
      <c r="I122">
        <f>VLOOKUP(Table4[[#This Row],[Visitor]],'NHL Model'!$A$6:$B$38,2,FALSE)</f>
        <v>0.28318004708662448</v>
      </c>
      <c r="J122">
        <f>($B$1+Table4[[#This Row],[Home Differential]])-Table4[[#This Row],[Away Differential]]</f>
        <v>-3.8603040235915098E-2</v>
      </c>
      <c r="K122" t="str">
        <f>IF(Table4[[#This Row],[HomeIce Differential]]&gt;0,Table4[[#This Row],[Home]],Table4[[#This Row],[Visitor]])</f>
        <v>Chicago Blackhawks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0.48608227188745706</v>
      </c>
      <c r="M122" t="str">
        <f>IF(OR((NHL2025_26Results[[#This Row],[Winning Team]]="")),"-",IF(Table4[[#This Row],[Predicted Winner]]=NHL2025_26Results[[#This Row],[Winning Team]],"YES","NO"))</f>
        <v>YES</v>
      </c>
      <c r="N122">
        <f>IF(Table4[[#This Row],[Adjusted Correct]]="-", "",IF(Table4[[#This Row],[Adjusted Correct]]="YES",(Table4[[#This Row],[Strength of Win]]-1)^2,(Table4[[#This Row],[Strength of Win]]-0)^2))</f>
        <v>0.26411143126835757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0.16605329280468042</v>
      </c>
      <c r="H123" t="s">
        <v>32</v>
      </c>
      <c r="I123">
        <f>VLOOKUP(Table4[[#This Row],[Visitor]],'NHL Model'!$A$6:$B$38,2,FALSE)</f>
        <v>-0.54471700440519322</v>
      </c>
      <c r="J123">
        <f>($B$1+Table4[[#This Row],[Home Differential]])-Table4[[#This Row],[Away Differential]]</f>
        <v>0.91833048200188272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0.71810829106042784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0.5156795176897282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-1.005023581214965</v>
      </c>
      <c r="H124" t="s">
        <v>19</v>
      </c>
      <c r="I124">
        <f>VLOOKUP(Table4[[#This Row],[Visitor]],'NHL Model'!$A$6:$B$38,2,FALSE)</f>
        <v>-0.76384910289376506</v>
      </c>
      <c r="J124">
        <f>($B$1+Table4[[#This Row],[Home Differential]])-Table4[[#This Row],[Away Differential]]</f>
        <v>-3.3614293529190875E-2</v>
      </c>
      <c r="K124" t="str">
        <f>IF(Table4[[#This Row],[HomeIce Differential]]&gt;0,Table4[[#This Row],[Home]],Table4[[#This Row],[Visitor]])</f>
        <v>Toronto Maple Leafs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0.46462642637961354</v>
      </c>
      <c r="M124" t="str">
        <f>IF(OR((NHL2025_26Results[[#This Row],[Winning Team]]="")),"-",IF(Table4[[#This Row],[Predicted Winner]]=NHL2025_26Results[[#This Row],[Winning Team]],"YES","NO"))</f>
        <v>NO</v>
      </c>
      <c r="N124">
        <f>IF(Table4[[#This Row],[Adjusted Correct]]="-", "",IF(Table4[[#This Row],[Adjusted Correct]]="YES",(Table4[[#This Row],[Strength of Win]]-1)^2,(Table4[[#This Row],[Strength of Win]]-0)^2))</f>
        <v>0.21587771609029044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-0.58990467102727129</v>
      </c>
      <c r="H125" t="s">
        <v>22</v>
      </c>
      <c r="I125">
        <f>VLOOKUP(Table4[[#This Row],[Visitor]],'NHL Model'!$A$6:$B$38,2,FALSE)</f>
        <v>-3.9931837337852071E-3</v>
      </c>
      <c r="J125">
        <f>($B$1+Table4[[#This Row],[Home Differential]])-Table4[[#This Row],[Away Differential]]</f>
        <v>-0.37835130250147697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0.50502756398335336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0.24499771241625334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0.27405230796993052</v>
      </c>
      <c r="H126" t="s">
        <v>33</v>
      </c>
      <c r="I126">
        <f>VLOOKUP(Table4[[#This Row],[Visitor]],'NHL Model'!$A$6:$B$38,2,FALSE)</f>
        <v>-0.41595305630289253</v>
      </c>
      <c r="J126">
        <f>($B$1+Table4[[#This Row],[Home Differential]])-Table4[[#This Row],[Away Differential]]</f>
        <v>0.89756554906483221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0.77896509230540711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4.8856430419557201E-2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0.16605329280468042</v>
      </c>
      <c r="H127" t="s">
        <v>16</v>
      </c>
      <c r="I127">
        <f>VLOOKUP(Table4[[#This Row],[Visitor]],'NHL Model'!$A$6:$B$38,2,FALSE)</f>
        <v>-1.2993694664931768</v>
      </c>
      <c r="J127">
        <f>($B$1+Table4[[#This Row],[Home Differential]])-Table4[[#This Row],[Away Differential]]</f>
        <v>1.6729829440898663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0.82197315601771903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3.1693557178291407E-2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-0.11354210657072454</v>
      </c>
      <c r="H128" t="s">
        <v>12</v>
      </c>
      <c r="I128">
        <f>VLOOKUP(Table4[[#This Row],[Visitor]],'NHL Model'!$A$6:$B$38,2,FALSE)</f>
        <v>1.4229473251234224</v>
      </c>
      <c r="J128">
        <f>($B$1+Table4[[#This Row],[Home Differential]])-Table4[[#This Row],[Away Differential]]</f>
        <v>-1.3289292469021379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0.65658834680301259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0.43110825715751311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4.3588947679693783E-2</v>
      </c>
      <c r="H129" t="s">
        <v>25</v>
      </c>
      <c r="I129">
        <f>VLOOKUP(Table4[[#This Row],[Visitor]],'NHL Model'!$A$6:$B$38,2,FALSE)</f>
        <v>0.55298967972810642</v>
      </c>
      <c r="J129">
        <f>($B$1+Table4[[#This Row],[Home Differential]])-Table4[[#This Row],[Away Differential]]</f>
        <v>-0.30184054725640352</v>
      </c>
      <c r="K129" t="str">
        <f>IF(Table4[[#This Row],[HomeIce Differential]]&gt;0,Table4[[#This Row],[Home]],Table4[[#This Row],[Visitor]])</f>
        <v>Carolina Hurricanes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0.58000467156505997</v>
      </c>
      <c r="M129" t="str">
        <f>IF(OR((NHL2025_26Results[[#This Row],[Winning Team]]="")),"-",IF(Table4[[#This Row],[Predicted Winner]]=NHL2025_26Results[[#This Row],[Winning Team]],"YES","NO"))</f>
        <v>NO</v>
      </c>
      <c r="N129">
        <f>IF(Table4[[#This Row],[Adjusted Correct]]="-", "",IF(Table4[[#This Row],[Adjusted Correct]]="YES",(Table4[[#This Row],[Strength of Win]]-1)^2,(Table4[[#This Row],[Strength of Win]]-0)^2))</f>
        <v>0.3364054190372931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-0.4992069962886943</v>
      </c>
      <c r="H130" t="s">
        <v>35</v>
      </c>
      <c r="I130">
        <f>VLOOKUP(Table4[[#This Row],[Visitor]],'NHL Model'!$A$6:$B$38,2,FALSE)</f>
        <v>-1.7049475448313323</v>
      </c>
      <c r="J130">
        <f>($B$1+Table4[[#This Row],[Home Differential]])-Table4[[#This Row],[Away Differential]]</f>
        <v>1.413300733334647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0.77494759021403659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5.0648587150469201E-2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-0.2184338233275798</v>
      </c>
      <c r="H131" t="s">
        <v>20</v>
      </c>
      <c r="I131">
        <f>VLOOKUP(Table4[[#This Row],[Visitor]],'NHL Model'!$A$6:$B$38,2,FALSE)</f>
        <v>-5.3996763649808116E-4</v>
      </c>
      <c r="J131">
        <f>($B$1+Table4[[#This Row],[Home Differential]])-Table4[[#This Row],[Away Differential]]</f>
        <v>-1.0333670899072609E-2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0.41808891781718388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0.17479834320154394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-0.52340626120007572</v>
      </c>
      <c r="H132" t="s">
        <v>55</v>
      </c>
      <c r="I132">
        <f>VLOOKUP(Table4[[#This Row],[Visitor]],'NHL Model'!$A$6:$B$38,2,FALSE)</f>
        <v>-0.24431182281386174</v>
      </c>
      <c r="J132">
        <f>($B$1+Table4[[#This Row],[Home Differential]])-Table4[[#This Row],[Away Differential]]</f>
        <v>-7.1534253594204872E-2</v>
      </c>
      <c r="K132" t="str">
        <f>IF(Table4[[#This Row],[HomeIce Differential]]&gt;0,Table4[[#This Row],[Home]],Table4[[#This Row],[Visitor]])</f>
        <v>Utah Mammoth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0.46984545332142108</v>
      </c>
      <c r="M132" t="str">
        <f>IF(OR((NHL2025_26Results[[#This Row],[Winning Team]]="")),"-",IF(Table4[[#This Row],[Predicted Winner]]=NHL2025_26Results[[#This Row],[Winning Team]],"YES","NO"))</f>
        <v>YES</v>
      </c>
      <c r="N132">
        <f>IF(Table4[[#This Row],[Adjusted Correct]]="-", "",IF(Table4[[#This Row],[Adjusted Correct]]="YES",(Table4[[#This Row],[Strength of Win]]-1)^2,(Table4[[#This Row],[Strength of Win]]-0)^2))</f>
        <v>0.28106384336396945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-1.4393526815815083</v>
      </c>
      <c r="H133" t="s">
        <v>13</v>
      </c>
      <c r="I133">
        <f>VLOOKUP(Table4[[#This Row],[Visitor]],'NHL Model'!$A$6:$B$38,2,FALSE)</f>
        <v>-0.16069632687214722</v>
      </c>
      <c r="J133">
        <f>($B$1+Table4[[#This Row],[Home Differential]])-Table4[[#This Row],[Away Differential]]</f>
        <v>-1.071096169917352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0.70921562346289413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0.50298680056386158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-0.59983976271417982</v>
      </c>
      <c r="H134" t="s">
        <v>30</v>
      </c>
      <c r="I134">
        <f>VLOOKUP(Table4[[#This Row],[Visitor]],'NHL Model'!$A$6:$B$38,2,FALSE)</f>
        <v>-7.6737500378247253E-2</v>
      </c>
      <c r="J134">
        <f>($B$1+Table4[[#This Row],[Home Differential]])-Table4[[#This Row],[Away Differential]]</f>
        <v>-0.31554207754392349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0.56020743536516071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0.31383237063841074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0.19812979206825923</v>
      </c>
      <c r="H135" t="s">
        <v>28</v>
      </c>
      <c r="I135">
        <f>VLOOKUP(Table4[[#This Row],[Visitor]],'NHL Model'!$A$6:$B$38,2,FALSE)</f>
        <v>-0.58990467102727129</v>
      </c>
      <c r="J135">
        <f>($B$1+Table4[[#This Row],[Home Differential]])-Table4[[#This Row],[Away Differential]]</f>
        <v>0.9955946478875396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0.71306325777799806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0.50845920959297175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-0.54471700440519322</v>
      </c>
      <c r="H136" t="s">
        <v>17</v>
      </c>
      <c r="I136">
        <f>VLOOKUP(Table4[[#This Row],[Visitor]],'NHL Model'!$A$6:$B$38,2,FALSE)</f>
        <v>-1.0049085234729234</v>
      </c>
      <c r="J136">
        <f>($B$1+Table4[[#This Row],[Home Differential]])-Table4[[#This Row],[Away Differential]]</f>
        <v>0.66775170385973925</v>
      </c>
      <c r="K136" t="str">
        <f>IF(Table4[[#This Row],[HomeIce Differential]]&gt;0,Table4[[#This Row],[Home]],Table4[[#This Row],[Visitor]])</f>
        <v>Seattle Kraken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0.65794221377853679</v>
      </c>
      <c r="M136" t="str">
        <f>IF(OR((NHL2025_26Results[[#This Row],[Winning Team]]="")),"-",IF(Table4[[#This Row],[Predicted Winner]]=NHL2025_26Results[[#This Row],[Winning Team]],"YES","NO"))</f>
        <v>YES</v>
      </c>
      <c r="N136">
        <f>IF(Table4[[#This Row],[Adjusted Correct]]="-", "",IF(Table4[[#This Row],[Adjusted Correct]]="YES",(Table4[[#This Row],[Strength of Win]]-1)^2,(Table4[[#This Row],[Strength of Win]]-0)^2))</f>
        <v>0.11700352911472822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3.7016822058700272E-2</v>
      </c>
      <c r="H137" t="s">
        <v>31</v>
      </c>
      <c r="I137">
        <f>VLOOKUP(Table4[[#This Row],[Visitor]],'NHL Model'!$A$6:$B$38,2,FALSE)</f>
        <v>0.49887659623169195</v>
      </c>
      <c r="J137">
        <f>($B$1+Table4[[#This Row],[Home Differential]])-Table4[[#This Row],[Away Differential]]</f>
        <v>-0.25429958938098257</v>
      </c>
      <c r="K137" t="str">
        <f>IF(Table4[[#This Row],[HomeIce Differential]]&gt;0,Table4[[#This Row],[Home]],Table4[[#This Row],[Visitor]])</f>
        <v>Anaheim Ducks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0.5157691729103735</v>
      </c>
      <c r="M137" t="str">
        <f>IF(OR((NHL2025_26Results[[#This Row],[Winning Team]]="")),"-",IF(Table4[[#This Row],[Predicted Winner]]=NHL2025_26Results[[#This Row],[Winning Team]],"YES","NO"))</f>
        <v>NO</v>
      </c>
      <c r="N137">
        <f>IF(Table4[[#This Row],[Adjusted Correct]]="-", "",IF(Table4[[#This Row],[Adjusted Correct]]="YES",(Table4[[#This Row],[Strength of Win]]-1)^2,(Table4[[#This Row],[Strength of Win]]-0)^2))</f>
        <v>0.26601783972465076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-0.76384910289376506</v>
      </c>
      <c r="H138" t="s">
        <v>23</v>
      </c>
      <c r="I138">
        <f>VLOOKUP(Table4[[#This Row],[Visitor]],'NHL Model'!$A$6:$B$38,2,FALSE)</f>
        <v>-1.005023581214965</v>
      </c>
      <c r="J138">
        <f>($B$1+Table4[[#This Row],[Home Differential]])-Table4[[#This Row],[Away Differential]]</f>
        <v>0.44873466311320909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0.61577718914097257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0.14762716838441198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-0.87761566951859371</v>
      </c>
      <c r="H139" t="s">
        <v>18</v>
      </c>
      <c r="I139">
        <f>VLOOKUP(Table4[[#This Row],[Visitor]],'NHL Model'!$A$6:$B$38,2,FALSE)</f>
        <v>-0.69497686531268954</v>
      </c>
      <c r="J139">
        <f>($B$1+Table4[[#This Row],[Home Differential]])-Table4[[#This Row],[Away Differential]]</f>
        <v>2.4921380586104935E-2</v>
      </c>
      <c r="K139" t="str">
        <f>IF(Table4[[#This Row],[HomeIce Differential]]&gt;0,Table4[[#This Row],[Home]],Table4[[#This Row],[Visitor]])</f>
        <v>Vancouver Canucks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0.49633060571554638</v>
      </c>
      <c r="M139" t="str">
        <f>IF(OR((NHL2025_26Results[[#This Row],[Winning Team]]="")),"-",IF(Table4[[#This Row],[Predicted Winner]]=NHL2025_26Results[[#This Row],[Winning Team]],"YES","NO"))</f>
        <v>NO</v>
      </c>
      <c r="N139">
        <f>IF(Table4[[#This Row],[Adjusted Correct]]="-", "",IF(Table4[[#This Row],[Adjusted Correct]]="YES",(Table4[[#This Row],[Strength of Win]]-1)^2,(Table4[[#This Row],[Strength of Win]]-0)^2))</f>
        <v>0.24634407016996115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-3.9931837337852071E-3</v>
      </c>
      <c r="H140" t="s">
        <v>36</v>
      </c>
      <c r="I140">
        <f>VLOOKUP(Table4[[#This Row],[Visitor]],'NHL Model'!$A$6:$B$38,2,FALSE)</f>
        <v>-0.49956508239762204</v>
      </c>
      <c r="J140">
        <f>($B$1+Table4[[#This Row],[Home Differential]])-Table4[[#This Row],[Away Differential]]</f>
        <v>0.70313208345584588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0.63926945472840802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0.40866543574875608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-1.2993694664931768</v>
      </c>
      <c r="H141" t="s">
        <v>15</v>
      </c>
      <c r="I141">
        <f>VLOOKUP(Table4[[#This Row],[Visitor]],'NHL Model'!$A$6:$B$38,2,FALSE)</f>
        <v>-0.41117752232850285</v>
      </c>
      <c r="J141">
        <f>($B$1+Table4[[#This Row],[Home Differential]])-Table4[[#This Row],[Away Differential]]</f>
        <v>-0.68063175937266496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0.67507254373734782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0.45572293930801339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0.28318004708662448</v>
      </c>
      <c r="H142" t="s">
        <v>13</v>
      </c>
      <c r="I142">
        <f>VLOOKUP(Table4[[#This Row],[Visitor]],'NHL Model'!$A$6:$B$38,2,FALSE)</f>
        <v>-0.16069632687214722</v>
      </c>
      <c r="J142">
        <f>($B$1+Table4[[#This Row],[Home Differential]])-Table4[[#This Row],[Away Differential]]</f>
        <v>0.65143655875078077</v>
      </c>
      <c r="K142" t="str">
        <f>IF(Table4[[#This Row],[HomeIce Differential]]&gt;0,Table4[[#This Row],[Home]],Table4[[#This Row],[Visitor]])</f>
        <v>Chicago Blackhawks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0.53486445971389063</v>
      </c>
      <c r="M142" t="str">
        <f>IF(OR((NHL2025_26Results[[#This Row],[Winning Team]]="")),"-",IF(Table4[[#This Row],[Predicted Winner]]=NHL2025_26Results[[#This Row],[Winning Team]],"YES","NO"))</f>
        <v>NO</v>
      </c>
      <c r="N142">
        <f>IF(Table4[[#This Row],[Adjusted Correct]]="-", "",IF(Table4[[#This Row],[Adjusted Correct]]="YES",(Table4[[#This Row],[Strength of Win]]-1)^2,(Table4[[#This Row],[Strength of Win]]-0)^2))</f>
        <v>0.28607999026503211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-0.52340626120007572</v>
      </c>
      <c r="H143" t="s">
        <v>33</v>
      </c>
      <c r="I143">
        <f>VLOOKUP(Table4[[#This Row],[Visitor]],'NHL Model'!$A$6:$B$38,2,FALSE)</f>
        <v>-0.41595305630289253</v>
      </c>
      <c r="J143">
        <f>($B$1+Table4[[#This Row],[Home Differential]])-Table4[[#This Row],[Away Differential]]</f>
        <v>0.10010697989482592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0.55377799513075221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0.3066700678910354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0.27405230796993052</v>
      </c>
      <c r="H144" t="s">
        <v>12</v>
      </c>
      <c r="I144">
        <f>VLOOKUP(Table4[[#This Row],[Visitor]],'NHL Model'!$A$6:$B$38,2,FALSE)</f>
        <v>1.4229473251234224</v>
      </c>
      <c r="J144">
        <f>($B$1+Table4[[#This Row],[Home Differential]])-Table4[[#This Row],[Away Differential]]</f>
        <v>-0.94133483236148274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0.53633812687327698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0.28765858633793534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-1.4393526815815083</v>
      </c>
      <c r="H145" t="s">
        <v>39</v>
      </c>
      <c r="I145">
        <f>VLOOKUP(Table4[[#This Row],[Visitor]],'NHL Model'!$A$6:$B$38,2,FALSE)</f>
        <v>4.3588947679693783E-2</v>
      </c>
      <c r="J145">
        <f>($B$1+Table4[[#This Row],[Home Differential]])-Table4[[#This Row],[Away Differential]]</f>
        <v>-1.2753814444691931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0.72802039485274572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7.397290561605635E-2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3.7016822058700272E-2</v>
      </c>
      <c r="H146" t="s">
        <v>20</v>
      </c>
      <c r="I146">
        <f>VLOOKUP(Table4[[#This Row],[Visitor]],'NHL Model'!$A$6:$B$38,2,FALSE)</f>
        <v>-5.3996763649808116E-4</v>
      </c>
      <c r="J146">
        <f>($B$1+Table4[[#This Row],[Home Differential]])-Table4[[#This Row],[Away Differential]]</f>
        <v>0.24511697448720746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0.55296688318104137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0.19983860753287272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-0.87761566951859371</v>
      </c>
      <c r="H147" t="s">
        <v>17</v>
      </c>
      <c r="I147">
        <f>VLOOKUP(Table4[[#This Row],[Visitor]],'NHL Model'!$A$6:$B$38,2,FALSE)</f>
        <v>-1.0049085234729234</v>
      </c>
      <c r="J147">
        <f>($B$1+Table4[[#This Row],[Home Differential]])-Table4[[#This Row],[Away Differential]]</f>
        <v>0.33485303874633876</v>
      </c>
      <c r="K147" t="str">
        <f>IF(Table4[[#This Row],[HomeIce Differential]]&gt;0,Table4[[#This Row],[Home]],Table4[[#This Row],[Visitor]])</f>
        <v>Vancouver Canucks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0.58608673183639892</v>
      </c>
      <c r="M147" t="str">
        <f>IF(OR((NHL2025_26Results[[#This Row],[Winning Team]]="")),"-",IF(Table4[[#This Row],[Predicted Winner]]=NHL2025_26Results[[#This Row],[Winning Team]],"YES","NO"))</f>
        <v>YES</v>
      </c>
      <c r="N147">
        <f>IF(Table4[[#This Row],[Adjusted Correct]]="-", "",IF(Table4[[#This Row],[Adjusted Correct]]="YES",(Table4[[#This Row],[Strength of Win]]-1)^2,(Table4[[#This Row],[Strength of Win]]-0)^2))</f>
        <v>0.17132419356187314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0.16605329280468042</v>
      </c>
      <c r="H148" t="s">
        <v>55</v>
      </c>
      <c r="I148">
        <f>VLOOKUP(Table4[[#This Row],[Visitor]],'NHL Model'!$A$6:$B$38,2,FALSE)</f>
        <v>-0.24431182281386174</v>
      </c>
      <c r="J148">
        <f>($B$1+Table4[[#This Row],[Home Differential]])-Table4[[#This Row],[Away Differential]]</f>
        <v>0.61792530041055127</v>
      </c>
      <c r="K148" t="str">
        <f>IF(Table4[[#This Row],[HomeIce Differential]]&gt;0,Table4[[#This Row],[Home]],Table4[[#This Row],[Visitor]])</f>
        <v>Winnipeg Jets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0.67676271122606901</v>
      </c>
      <c r="M148" t="str">
        <f>IF(OR((NHL2025_26Results[[#This Row],[Winning Team]]="")),"-",IF(Table4[[#This Row],[Predicted Winner]]=NHL2025_26Results[[#This Row],[Winning Team]],"YES","NO"))</f>
        <v>NO</v>
      </c>
      <c r="N148">
        <f>IF(Table4[[#This Row],[Adjusted Correct]]="-", "",IF(Table4[[#This Row],[Adjusted Correct]]="YES",(Table4[[#This Row],[Strength of Win]]-1)^2,(Table4[[#This Row],[Strength of Win]]-0)^2))</f>
        <v>0.45800776730605969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-0.49956508239762204</v>
      </c>
      <c r="H149" t="s">
        <v>21</v>
      </c>
      <c r="I149">
        <f>VLOOKUP(Table4[[#This Row],[Visitor]],'NHL Model'!$A$6:$B$38,2,FALSE)</f>
        <v>-0.11354210657072454</v>
      </c>
      <c r="J149">
        <f>($B$1+Table4[[#This Row],[Home Differential]])-Table4[[#This Row],[Away Differential]]</f>
        <v>-0.17846279103488838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0.48206683871277684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0.23238843698653039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0.19812979206825923</v>
      </c>
      <c r="H150" t="s">
        <v>35</v>
      </c>
      <c r="I150">
        <f>VLOOKUP(Table4[[#This Row],[Visitor]],'NHL Model'!$A$6:$B$38,2,FALSE)</f>
        <v>-1.7049475448313323</v>
      </c>
      <c r="J150">
        <f>($B$1+Table4[[#This Row],[Home Differential]])-Table4[[#This Row],[Away Differential]]</f>
        <v>2.1106375216916007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0.86652963247028147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1.7814339008518143E-2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-0.11354210657072454</v>
      </c>
      <c r="H151" t="s">
        <v>30</v>
      </c>
      <c r="I151">
        <f>VLOOKUP(Table4[[#This Row],[Visitor]],'NHL Model'!$A$6:$B$38,2,FALSE)</f>
        <v>-7.6737500378247253E-2</v>
      </c>
      <c r="J151">
        <f>($B$1+Table4[[#This Row],[Home Differential]])-Table4[[#This Row],[Away Differential]]</f>
        <v>0.17075557859953183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0.55683488670118908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0.19639531764514792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-1.005023581214965</v>
      </c>
      <c r="H152" t="s">
        <v>28</v>
      </c>
      <c r="I152">
        <f>VLOOKUP(Table4[[#This Row],[Visitor]],'NHL Model'!$A$6:$B$38,2,FALSE)</f>
        <v>-0.58990467102727129</v>
      </c>
      <c r="J152">
        <f>($B$1+Table4[[#This Row],[Home Differential]])-Table4[[#This Row],[Away Differential]]</f>
        <v>-0.20755872539568465</v>
      </c>
      <c r="K152" t="str">
        <f>IF(Table4[[#This Row],[HomeIce Differential]]&gt;0,Table4[[#This Row],[Home]],Table4[[#This Row],[Visitor]])</f>
        <v>Columbus Blue Jackets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0.48856687027069806</v>
      </c>
      <c r="M152" t="str">
        <f>IF(OR((NHL2025_26Results[[#This Row],[Winning Team]]="")),"-",IF(Table4[[#This Row],[Predicted Winner]]=NHL2025_26Results[[#This Row],[Winning Team]],"YES","NO"))</f>
        <v>YES</v>
      </c>
      <c r="N152">
        <f>IF(Table4[[#This Row],[Adjusted Correct]]="-", "",IF(Table4[[#This Row],[Adjusted Correct]]="YES",(Table4[[#This Row],[Strength of Win]]-1)^2,(Table4[[#This Row],[Strength of Win]]-0)^2))</f>
        <v>0.26156384618470907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0.55298967972810642</v>
      </c>
      <c r="H153" t="s">
        <v>20</v>
      </c>
      <c r="I153">
        <f>VLOOKUP(Table4[[#This Row],[Visitor]],'NHL Model'!$A$6:$B$38,2,FALSE)</f>
        <v>-5.3996763649808116E-4</v>
      </c>
      <c r="J153">
        <f>($B$1+Table4[[#This Row],[Home Differential]])-Table4[[#This Row],[Away Differential]]</f>
        <v>0.76108983215661363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0.67617942908640782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0.45721862031962041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0.28318004708662448</v>
      </c>
      <c r="H154" t="s">
        <v>36</v>
      </c>
      <c r="I154">
        <f>VLOOKUP(Table4[[#This Row],[Visitor]],'NHL Model'!$A$6:$B$38,2,FALSE)</f>
        <v>-0.49956508239762204</v>
      </c>
      <c r="J154">
        <f>($B$1+Table4[[#This Row],[Home Differential]])-Table4[[#This Row],[Away Differential]]</f>
        <v>0.99030531427625568</v>
      </c>
      <c r="K154" t="str">
        <f>IF(Table4[[#This Row],[HomeIce Differential]]&gt;0,Table4[[#This Row],[Home]],Table4[[#This Row],[Visitor]])</f>
        <v>Chicago Blackhawks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0.68334435794903514</v>
      </c>
      <c r="M154" t="str">
        <f>IF(OR((NHL2025_26Results[[#This Row],[Winning Team]]="")),"-",IF(Table4[[#This Row],[Predicted Winner]]=NHL2025_26Results[[#This Row],[Winning Team]],"YES","NO"))</f>
        <v>YES</v>
      </c>
      <c r="N154">
        <f>IF(Table4[[#This Row],[Adjusted Correct]]="-", "",IF(Table4[[#This Row],[Adjusted Correct]]="YES",(Table4[[#This Row],[Strength of Win]]-1)^2,(Table4[[#This Row],[Strength of Win]]-0)^2))</f>
        <v>0.10027079564270878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1.4229473251234224</v>
      </c>
      <c r="H155" t="s">
        <v>24</v>
      </c>
      <c r="I155">
        <f>VLOOKUP(Table4[[#This Row],[Visitor]],'NHL Model'!$A$6:$B$38,2,FALSE)</f>
        <v>0.27405230796993052</v>
      </c>
      <c r="J155">
        <f>($B$1+Table4[[#This Row],[Home Differential]])-Table4[[#This Row],[Away Differential]]</f>
        <v>1.3564552019455007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0.77447886766105667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5.0859781131439193E-2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4.3588947679693783E-2</v>
      </c>
      <c r="H156" t="s">
        <v>22</v>
      </c>
      <c r="I156">
        <f>VLOOKUP(Table4[[#This Row],[Visitor]],'NHL Model'!$A$6:$B$38,2,FALSE)</f>
        <v>-3.9931837337852071E-3</v>
      </c>
      <c r="J156">
        <f>($B$1+Table4[[#This Row],[Home Differential]])-Table4[[#This Row],[Away Differential]]</f>
        <v>0.25514231620548811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0.57761140812379519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0.1784121225471631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-1.0049085234729234</v>
      </c>
      <c r="H157" t="s">
        <v>55</v>
      </c>
      <c r="I157">
        <f>VLOOKUP(Table4[[#This Row],[Visitor]],'NHL Model'!$A$6:$B$38,2,FALSE)</f>
        <v>-0.24431182281386174</v>
      </c>
      <c r="J157">
        <f>($B$1+Table4[[#This Row],[Home Differential]])-Table4[[#This Row],[Away Differential]]</f>
        <v>-0.55303651586705249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0.50007904914164802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0.25007905539041481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-0.2184338233275798</v>
      </c>
      <c r="H158" t="s">
        <v>31</v>
      </c>
      <c r="I158">
        <f>VLOOKUP(Table4[[#This Row],[Visitor]],'NHL Model'!$A$6:$B$38,2,FALSE)</f>
        <v>0.49887659623169195</v>
      </c>
      <c r="J158">
        <f>($B$1+Table4[[#This Row],[Home Differential]])-Table4[[#This Row],[Away Differential]]</f>
        <v>-0.50975023476726267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0.48682497390859875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0.26334860740391031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-0.52340626120007572</v>
      </c>
      <c r="H159" t="s">
        <v>40</v>
      </c>
      <c r="I159">
        <f>VLOOKUP(Table4[[#This Row],[Visitor]],'NHL Model'!$A$6:$B$38,2,FALSE)</f>
        <v>0.16605329280468042</v>
      </c>
      <c r="J159">
        <f>($B$1+Table4[[#This Row],[Home Differential]])-Table4[[#This Row],[Away Differential]]</f>
        <v>-0.48189936921274701</v>
      </c>
      <c r="K159" t="str">
        <f>IF(Table4[[#This Row],[HomeIce Differential]]&gt;0,Table4[[#This Row],[Home]],Table4[[#This Row],[Visitor]])</f>
        <v>Winnipeg Jets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0.59264090655844137</v>
      </c>
      <c r="M159" t="str">
        <f>IF(OR((NHL2025_26Results[[#This Row],[Winning Team]]="")),"-",IF(Table4[[#This Row],[Predicted Winner]]=NHL2025_26Results[[#This Row],[Winning Team]],"YES","NO"))</f>
        <v>YES</v>
      </c>
      <c r="N159">
        <f>IF(Table4[[#This Row],[Adjusted Correct]]="-", "",IF(Table4[[#This Row],[Adjusted Correct]]="YES",(Table4[[#This Row],[Strength of Win]]-1)^2,(Table4[[#This Row],[Strength of Win]]-0)^2))</f>
        <v>0.16594143100952849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-1.4393526815815083</v>
      </c>
      <c r="H160" t="s">
        <v>37</v>
      </c>
      <c r="I160">
        <f>VLOOKUP(Table4[[#This Row],[Visitor]],'NHL Model'!$A$6:$B$38,2,FALSE)</f>
        <v>3.7016822058700272E-2</v>
      </c>
      <c r="J160">
        <f>($B$1+Table4[[#This Row],[Home Differential]])-Table4[[#This Row],[Away Differential]]</f>
        <v>-1.2688093188481995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0.68172905901550118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0.10129639187515833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-0.59983976271417982</v>
      </c>
      <c r="H161" t="s">
        <v>14</v>
      </c>
      <c r="I161">
        <f>VLOOKUP(Table4[[#This Row],[Visitor]],'NHL Model'!$A$6:$B$38,2,FALSE)</f>
        <v>0.19812979206825923</v>
      </c>
      <c r="J161">
        <f>($B$1+Table4[[#This Row],[Home Differential]])-Table4[[#This Row],[Away Differential]]</f>
        <v>-0.59040936999042992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0.53876416356407641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0.29026682394089887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-0.54471700440519322</v>
      </c>
      <c r="H162" t="s">
        <v>18</v>
      </c>
      <c r="I162">
        <f>VLOOKUP(Table4[[#This Row],[Visitor]],'NHL Model'!$A$6:$B$38,2,FALSE)</f>
        <v>-0.69497686531268954</v>
      </c>
      <c r="J162">
        <f>($B$1+Table4[[#This Row],[Home Differential]])-Table4[[#This Row],[Away Differential]]</f>
        <v>0.35782004569950543</v>
      </c>
      <c r="K162" t="str">
        <f>IF(Table4[[#This Row],[HomeIce Differential]]&gt;0,Table4[[#This Row],[Home]],Table4[[#This Row],[Visitor]])</f>
        <v>Seattle Kraken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0.56847851252012715</v>
      </c>
      <c r="M162" t="str">
        <f>IF(OR((NHL2025_26Results[[#This Row],[Winning Team]]="")),"-",IF(Table4[[#This Row],[Predicted Winner]]=NHL2025_26Results[[#This Row],[Winning Team]],"YES","NO"))</f>
        <v>NO</v>
      </c>
      <c r="N162">
        <f>IF(Table4[[#This Row],[Adjusted Correct]]="-", "",IF(Table4[[#This Row],[Adjusted Correct]]="YES",(Table4[[#This Row],[Strength of Win]]-1)^2,(Table4[[#This Row],[Strength of Win]]-0)^2))</f>
        <v>0.32316781919709636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-0.41595305630289253</v>
      </c>
      <c r="H163" t="s">
        <v>13</v>
      </c>
      <c r="I163">
        <f>VLOOKUP(Table4[[#This Row],[Visitor]],'NHL Model'!$A$6:$B$38,2,FALSE)</f>
        <v>-0.16069632687214722</v>
      </c>
      <c r="J163">
        <f>($B$1+Table4[[#This Row],[Home Differential]])-Table4[[#This Row],[Away Differential]]</f>
        <v>-4.769654463873621E-2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0.56836235759955012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0.18631105433701864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-1.7049475448313323</v>
      </c>
      <c r="H164" t="s">
        <v>26</v>
      </c>
      <c r="I164">
        <f>VLOOKUP(Table4[[#This Row],[Visitor]],'NHL Model'!$A$6:$B$38,2,FALSE)</f>
        <v>-0.4992069962886943</v>
      </c>
      <c r="J164">
        <f>($B$1+Table4[[#This Row],[Home Differential]])-Table4[[#This Row],[Away Differential]]</f>
        <v>-0.9981803637506288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0.64448166198592016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0.12639328866429353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-0.76384910289376506</v>
      </c>
      <c r="H165" t="s">
        <v>16</v>
      </c>
      <c r="I165">
        <f>VLOOKUP(Table4[[#This Row],[Visitor]],'NHL Model'!$A$6:$B$38,2,FALSE)</f>
        <v>-1.2993694664931768</v>
      </c>
      <c r="J165">
        <f>($B$1+Table4[[#This Row],[Home Differential]])-Table4[[#This Row],[Away Differential]]</f>
        <v>0.74308054839142079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0.65628881159108454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0.11813738103746899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-0.87761566951859371</v>
      </c>
      <c r="H166" t="s">
        <v>15</v>
      </c>
      <c r="I166">
        <f>VLOOKUP(Table4[[#This Row],[Visitor]],'NHL Model'!$A$6:$B$38,2,FALSE)</f>
        <v>-0.41117752232850285</v>
      </c>
      <c r="J166">
        <f>($B$1+Table4[[#This Row],[Home Differential]])-Table4[[#This Row],[Away Differential]]</f>
        <v>-0.25887796239808175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0.61702542487313783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0.1466695251936006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-0.58990467102727129</v>
      </c>
      <c r="H167" t="s">
        <v>19</v>
      </c>
      <c r="I167">
        <f>VLOOKUP(Table4[[#This Row],[Visitor]],'NHL Model'!$A$6:$B$38,2,FALSE)</f>
        <v>-0.76384910289376506</v>
      </c>
      <c r="J167">
        <f>($B$1+Table4[[#This Row],[Home Differential]])-Table4[[#This Row],[Away Differential]]</f>
        <v>0.38150461665850288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0.59955346688241273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0.16035742588589491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-0.11354210657072454</v>
      </c>
      <c r="H168" t="s">
        <v>23</v>
      </c>
      <c r="I168">
        <f>VLOOKUP(Table4[[#This Row],[Visitor]],'NHL Model'!$A$6:$B$38,2,FALSE)</f>
        <v>-1.005023581214965</v>
      </c>
      <c r="J168">
        <f>($B$1+Table4[[#This Row],[Home Differential]])-Table4[[#This Row],[Away Differential]]</f>
        <v>1.0990416594362495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0.74298006049527709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6.6059249303011422E-2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0.55298967972810642</v>
      </c>
      <c r="H169" t="s">
        <v>30</v>
      </c>
      <c r="I169">
        <f>VLOOKUP(Table4[[#This Row],[Visitor]],'NHL Model'!$A$6:$B$38,2,FALSE)</f>
        <v>-7.6737500378247253E-2</v>
      </c>
      <c r="J169">
        <f>($B$1+Table4[[#This Row],[Home Differential]])-Table4[[#This Row],[Away Differential]]</f>
        <v>0.83728736489836275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0.64857146406837307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0.1235020158670468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-1.0049085234729234</v>
      </c>
      <c r="H170" t="s">
        <v>15</v>
      </c>
      <c r="I170">
        <f>VLOOKUP(Table4[[#This Row],[Visitor]],'NHL Model'!$A$6:$B$38,2,FALSE)</f>
        <v>-0.41117752232850285</v>
      </c>
      <c r="J170">
        <f>($B$1+Table4[[#This Row],[Home Differential]])-Table4[[#This Row],[Away Differential]]</f>
        <v>-0.38617081635241141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0.59860428219550077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0.16111852227178919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-0.16069632687214722</v>
      </c>
      <c r="H171" t="s">
        <v>26</v>
      </c>
      <c r="I171">
        <f>VLOOKUP(Table4[[#This Row],[Visitor]],'NHL Model'!$A$6:$B$38,2,FALSE)</f>
        <v>-0.4992069962886943</v>
      </c>
      <c r="J171">
        <f>($B$1+Table4[[#This Row],[Home Differential]])-Table4[[#This Row],[Away Differential]]</f>
        <v>0.54607085420855617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0.56805782111559167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0.32268968813059357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-0.52340626120007572</v>
      </c>
      <c r="H172" t="s">
        <v>14</v>
      </c>
      <c r="I172">
        <f>VLOOKUP(Table4[[#This Row],[Visitor]],'NHL Model'!$A$6:$B$38,2,FALSE)</f>
        <v>0.19812979206825923</v>
      </c>
      <c r="J172">
        <f>($B$1+Table4[[#This Row],[Home Differential]])-Table4[[#This Row],[Away Differential]]</f>
        <v>-0.51397586847632581</v>
      </c>
      <c r="K172" t="str">
        <f>IF(Table4[[#This Row],[HomeIce Differential]]&gt;0,Table4[[#This Row],[Home]],Table4[[#This Row],[Visitor]])</f>
        <v>Pittsburgh Penguins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0.53073989266913191</v>
      </c>
      <c r="M172" t="str">
        <f>IF(OR((NHL2025_26Results[[#This Row],[Winning Team]]="")),"-",IF(Table4[[#This Row],[Predicted Winner]]=NHL2025_26Results[[#This Row],[Winning Team]],"YES","NO"))</f>
        <v>YES</v>
      </c>
      <c r="N172">
        <f>IF(Table4[[#This Row],[Adjusted Correct]]="-", "",IF(Table4[[#This Row],[Adjusted Correct]]="YES",(Table4[[#This Row],[Strength of Win]]-1)^2,(Table4[[#This Row],[Strength of Win]]-0)^2))</f>
        <v>0.22020504833217786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-0.49956508239762204</v>
      </c>
      <c r="H173" t="s">
        <v>16</v>
      </c>
      <c r="I173">
        <f>VLOOKUP(Table4[[#This Row],[Visitor]],'NHL Model'!$A$6:$B$38,2,FALSE)</f>
        <v>-1.2993694664931768</v>
      </c>
      <c r="J173">
        <f>($B$1+Table4[[#This Row],[Home Differential]])-Table4[[#This Row],[Away Differential]]</f>
        <v>1.0073645688875639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0.68114179676987929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0.10167055376714096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-0.59983976271417982</v>
      </c>
      <c r="H174" t="s">
        <v>29</v>
      </c>
      <c r="I174">
        <f>VLOOKUP(Table4[[#This Row],[Visitor]],'NHL Model'!$A$6:$B$38,2,FALSE)</f>
        <v>-1.4393526815815083</v>
      </c>
      <c r="J174">
        <f>($B$1+Table4[[#This Row],[Home Differential]])-Table4[[#This Row],[Away Differential]]</f>
        <v>1.0470731036593377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0.6866069900991516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9.8215178654713256E-2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-0.41595305630289253</v>
      </c>
      <c r="H175" t="s">
        <v>24</v>
      </c>
      <c r="I175">
        <f>VLOOKUP(Table4[[#This Row],[Visitor]],'NHL Model'!$A$6:$B$38,2,FALSE)</f>
        <v>0.27405230796993052</v>
      </c>
      <c r="J175">
        <f>($B$1+Table4[[#This Row],[Home Differential]])-Table4[[#This Row],[Away Differential]]</f>
        <v>-0.48244517948081395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0.56891280124624644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0.32366177542185109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-1.7049475448313323</v>
      </c>
      <c r="H176" t="s">
        <v>38</v>
      </c>
      <c r="I176">
        <f>VLOOKUP(Table4[[#This Row],[Visitor]],'NHL Model'!$A$6:$B$38,2,FALSE)</f>
        <v>-0.87761566951859371</v>
      </c>
      <c r="J176">
        <f>($B$1+Table4[[#This Row],[Home Differential]])-Table4[[#This Row],[Away Differential]]</f>
        <v>-0.61977169052072933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0.56607008934217018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0.18829516736351218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3.7016822058700272E-2</v>
      </c>
      <c r="H177" t="s">
        <v>39</v>
      </c>
      <c r="I177">
        <f>VLOOKUP(Table4[[#This Row],[Visitor]],'NHL Model'!$A$6:$B$38,2,FALSE)</f>
        <v>4.3588947679693783E-2</v>
      </c>
      <c r="J177">
        <f>($B$1+Table4[[#This Row],[Home Differential]])-Table4[[#This Row],[Away Differential]]</f>
        <v>0.20098805917101559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0.47517634381339735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0.2754398700930733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0.16605329280468042</v>
      </c>
      <c r="H178" t="s">
        <v>10</v>
      </c>
      <c r="I178">
        <f>VLOOKUP(Table4[[#This Row],[Visitor]],'NHL Model'!$A$6:$B$38,2,FALSE)</f>
        <v>0.28318004708662448</v>
      </c>
      <c r="J178">
        <f>($B$1+Table4[[#This Row],[Home Differential]])-Table4[[#This Row],[Away Differential]]</f>
        <v>9.0433430510065027E-2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0.58387516972305553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0.17315987437301583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0.49887659623169195</v>
      </c>
      <c r="H179" t="s">
        <v>26</v>
      </c>
      <c r="I179">
        <f>VLOOKUP(Table4[[#This Row],[Visitor]],'NHL Model'!$A$6:$B$38,2,FALSE)</f>
        <v>-0.4992069962886943</v>
      </c>
      <c r="J179">
        <f>($B$1+Table4[[#This Row],[Home Differential]])-Table4[[#This Row],[Away Differential]]</f>
        <v>1.2056437773123954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0.77758650818659536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4.9467761340631411E-2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-5.3996763649808116E-4</v>
      </c>
      <c r="H180" t="s">
        <v>12</v>
      </c>
      <c r="I180">
        <f>VLOOKUP(Table4[[#This Row],[Visitor]],'NHL Model'!$A$6:$B$38,2,FALSE)</f>
        <v>1.4229473251234224</v>
      </c>
      <c r="J180">
        <f>($B$1+Table4[[#This Row],[Home Differential]])-Table4[[#This Row],[Away Differential]]</f>
        <v>-1.2159271079679113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0.69366713490966136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9.383982423445561E-2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-3.9931837337852071E-3</v>
      </c>
      <c r="H181" t="s">
        <v>30</v>
      </c>
      <c r="I181">
        <f>VLOOKUP(Table4[[#This Row],[Visitor]],'NHL Model'!$A$6:$B$38,2,FALSE)</f>
        <v>-7.6737500378247253E-2</v>
      </c>
      <c r="J181">
        <f>($B$1+Table4[[#This Row],[Home Differential]])-Table4[[#This Row],[Away Differential]]</f>
        <v>0.28030450143647112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0.52180054522213015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0.2722758089941123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-0.11354210657072454</v>
      </c>
      <c r="H182" t="s">
        <v>25</v>
      </c>
      <c r="I182">
        <f>VLOOKUP(Table4[[#This Row],[Visitor]],'NHL Model'!$A$6:$B$38,2,FALSE)</f>
        <v>0.55298967972810642</v>
      </c>
      <c r="J182">
        <f>($B$1+Table4[[#This Row],[Home Differential]])-Table4[[#This Row],[Away Differential]]</f>
        <v>-0.45897160150682187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0.55154159925906787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0.30419813571325022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-1.005023581214965</v>
      </c>
      <c r="H183" t="s">
        <v>22</v>
      </c>
      <c r="I183">
        <f>VLOOKUP(Table4[[#This Row],[Visitor]],'NHL Model'!$A$6:$B$38,2,FALSE)</f>
        <v>-3.9931837337852071E-3</v>
      </c>
      <c r="J183">
        <f>($B$1+Table4[[#This Row],[Home Differential]])-Table4[[#This Row],[Away Differential]]</f>
        <v>-0.79347021268917073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0.56920745724537958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0.32399712938375064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-0.58990467102727129</v>
      </c>
      <c r="H184" t="s">
        <v>35</v>
      </c>
      <c r="I184">
        <f>VLOOKUP(Table4[[#This Row],[Visitor]],'NHL Model'!$A$6:$B$38,2,FALSE)</f>
        <v>-1.7049475448313323</v>
      </c>
      <c r="J184">
        <f>($B$1+Table4[[#This Row],[Home Differential]])-Table4[[#This Row],[Away Differential]]</f>
        <v>1.3226030585960702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0.72907939768361185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7.3397972759474545E-2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-1.0049085234729234</v>
      </c>
      <c r="H185" t="s">
        <v>10</v>
      </c>
      <c r="I185">
        <f>VLOOKUP(Table4[[#This Row],[Visitor]],'NHL Model'!$A$6:$B$38,2,FALSE)</f>
        <v>0.28318004708662448</v>
      </c>
      <c r="J185">
        <f>($B$1+Table4[[#This Row],[Home Differential]])-Table4[[#This Row],[Away Differential]]</f>
        <v>-1.0805283857675387</v>
      </c>
      <c r="K185" t="str">
        <f>IF(Table4[[#This Row],[HomeIce Differential]]&gt;0,Table4[[#This Row],[Home]],Table4[[#This Row],[Visitor]])</f>
        <v>Chicago Blackhawks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0.59316049654576353</v>
      </c>
      <c r="M185" t="str">
        <f>IF(OR((NHL2025_26Results[[#This Row],[Winning Team]]="")),"-",IF(Table4[[#This Row],[Predicted Winner]]=NHL2025_26Results[[#This Row],[Winning Team]],"YES","NO"))</f>
        <v>NO</v>
      </c>
      <c r="N185">
        <f>IF(Table4[[#This Row],[Adjusted Correct]]="-", "",IF(Table4[[#This Row],[Adjusted Correct]]="YES",(Table4[[#This Row],[Strength of Win]]-1)^2,(Table4[[#This Row],[Strength of Win]]-0)^2))</f>
        <v>0.35183937466241677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-0.2184338233275798</v>
      </c>
      <c r="H186" t="s">
        <v>39</v>
      </c>
      <c r="I186">
        <f>VLOOKUP(Table4[[#This Row],[Visitor]],'NHL Model'!$A$6:$B$38,2,FALSE)</f>
        <v>4.3588947679693783E-2</v>
      </c>
      <c r="J186">
        <f>($B$1+Table4[[#This Row],[Home Differential]])-Table4[[#This Row],[Away Differential]]</f>
        <v>-5.4462586215264473E-2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0.49530071149086863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0.24532279480336069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-0.16069632687214722</v>
      </c>
      <c r="H187" t="s">
        <v>24</v>
      </c>
      <c r="I187">
        <f>VLOOKUP(Table4[[#This Row],[Visitor]],'NHL Model'!$A$6:$B$38,2,FALSE)</f>
        <v>0.27405230796993052</v>
      </c>
      <c r="J187">
        <f>($B$1+Table4[[#This Row],[Home Differential]])-Table4[[#This Row],[Away Differential]]</f>
        <v>-0.22718845005006863</v>
      </c>
      <c r="K187" t="str">
        <f>IF(Table4[[#This Row],[HomeIce Differential]]&gt;0,Table4[[#This Row],[Home]],Table4[[#This Row],[Visitor]])</f>
        <v>New Jersey Devils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0.53378112532431299</v>
      </c>
      <c r="M187" t="str">
        <f>IF(OR((NHL2025_26Results[[#This Row],[Winning Team]]="")),"-",IF(Table4[[#This Row],[Predicted Winner]]=NHL2025_26Results[[#This Row],[Winning Team]],"YES","NO"))</f>
        <v>YES</v>
      </c>
      <c r="N187">
        <f>IF(Table4[[#This Row],[Adjusted Correct]]="-", "",IF(Table4[[#This Row],[Adjusted Correct]]="YES",(Table4[[#This Row],[Strength of Win]]-1)^2,(Table4[[#This Row],[Strength of Win]]-0)^2))</f>
        <v>0.21736003910386395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-0.52340626120007572</v>
      </c>
      <c r="H188" t="s">
        <v>38</v>
      </c>
      <c r="I188">
        <f>VLOOKUP(Table4[[#This Row],[Visitor]],'NHL Model'!$A$6:$B$38,2,FALSE)</f>
        <v>-0.87761566951859371</v>
      </c>
      <c r="J188">
        <f>($B$1+Table4[[#This Row],[Home Differential]])-Table4[[#This Row],[Away Differential]]</f>
        <v>0.5617695931105271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0.59654864183678835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0.1627729984037401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-0.69497686531268954</v>
      </c>
      <c r="H189" t="s">
        <v>36</v>
      </c>
      <c r="I189">
        <f>VLOOKUP(Table4[[#This Row],[Visitor]],'NHL Model'!$A$6:$B$38,2,FALSE)</f>
        <v>-0.49956508239762204</v>
      </c>
      <c r="J189">
        <f>($B$1+Table4[[#This Row],[Home Differential]])-Table4[[#This Row],[Away Differential]]</f>
        <v>1.2148401876941606E-2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0.54167201749651006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0.21006453954571938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-1.4393526815815083</v>
      </c>
      <c r="H190" t="s">
        <v>16</v>
      </c>
      <c r="I190">
        <f>VLOOKUP(Table4[[#This Row],[Visitor]],'NHL Model'!$A$6:$B$38,2,FALSE)</f>
        <v>-1.2993694664931768</v>
      </c>
      <c r="J190">
        <f>($B$1+Table4[[#This Row],[Home Differential]])-Table4[[#This Row],[Away Differential]]</f>
        <v>6.7576969703677436E-2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0.54930080160750494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0.20312976743163763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-0.59983976271417982</v>
      </c>
      <c r="H191" t="s">
        <v>19</v>
      </c>
      <c r="I191">
        <f>VLOOKUP(Table4[[#This Row],[Visitor]],'NHL Model'!$A$6:$B$38,2,FALSE)</f>
        <v>-0.76384910289376506</v>
      </c>
      <c r="J191">
        <f>($B$1+Table4[[#This Row],[Home Differential]])-Table4[[#This Row],[Away Differential]]</f>
        <v>0.37156952497159434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0.59363560061418696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0.35240322631656651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-0.54471700440519322</v>
      </c>
      <c r="H192" t="s">
        <v>15</v>
      </c>
      <c r="I192">
        <f>VLOOKUP(Table4[[#This Row],[Visitor]],'NHL Model'!$A$6:$B$38,2,FALSE)</f>
        <v>-0.41117752232850285</v>
      </c>
      <c r="J192">
        <f>($B$1+Table4[[#This Row],[Home Differential]])-Table4[[#This Row],[Away Differential]]</f>
        <v>7.4020702715318742E-2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0.45463211450159718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0.20669035953619339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-0.41595305630289253</v>
      </c>
      <c r="H193" t="s">
        <v>12</v>
      </c>
      <c r="I193">
        <f>VLOOKUP(Table4[[#This Row],[Visitor]],'NHL Model'!$A$6:$B$38,2,FALSE)</f>
        <v>1.4229473251234224</v>
      </c>
      <c r="J193">
        <f>($B$1+Table4[[#This Row],[Home Differential]])-Table4[[#This Row],[Away Differential]]</f>
        <v>-1.6313401966343057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0.75084156489356024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0.56376305557181039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0.16605329280468042</v>
      </c>
      <c r="H194" t="s">
        <v>14</v>
      </c>
      <c r="I194">
        <f>VLOOKUP(Table4[[#This Row],[Visitor]],'NHL Model'!$A$6:$B$38,2,FALSE)</f>
        <v>0.19812979206825923</v>
      </c>
      <c r="J194">
        <f>($B$1+Table4[[#This Row],[Home Differential]])-Table4[[#This Row],[Away Differential]]</f>
        <v>0.17548368552843027</v>
      </c>
      <c r="K194" t="str">
        <f>IF(Table4[[#This Row],[HomeIce Differential]]&gt;0,Table4[[#This Row],[Home]],Table4[[#This Row],[Visitor]])</f>
        <v>Winnipeg Jets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0.61586827187835813</v>
      </c>
      <c r="M194" t="str">
        <f>IF(OR((NHL2025_26Results[[#This Row],[Winning Team]]="")),"-",IF(Table4[[#This Row],[Predicted Winner]]=NHL2025_26Results[[#This Row],[Winning Team]],"YES","NO"))</f>
        <v>YES</v>
      </c>
      <c r="N194">
        <f>IF(Table4[[#This Row],[Adjusted Correct]]="-", "",IF(Table4[[#This Row],[Adjusted Correct]]="YES",(Table4[[#This Row],[Strength of Win]]-1)^2,(Table4[[#This Row],[Strength of Win]]-0)^2))</f>
        <v>0.147557184549719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0.49887659623169195</v>
      </c>
      <c r="H195" t="s">
        <v>24</v>
      </c>
      <c r="I195">
        <f>VLOOKUP(Table4[[#This Row],[Visitor]],'NHL Model'!$A$6:$B$38,2,FALSE)</f>
        <v>0.27405230796993052</v>
      </c>
      <c r="J195">
        <f>($B$1+Table4[[#This Row],[Home Differential]])-Table4[[#This Row],[Away Differential]]</f>
        <v>0.43238447305377059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0.67551024764313761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0.10529359938461788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-7.6737500378247253E-2</v>
      </c>
      <c r="H196" t="s">
        <v>28</v>
      </c>
      <c r="I196">
        <f>VLOOKUP(Table4[[#This Row],[Visitor]],'NHL Model'!$A$6:$B$38,2,FALSE)</f>
        <v>-0.58990467102727129</v>
      </c>
      <c r="J196">
        <f>($B$1+Table4[[#This Row],[Home Differential]])-Table4[[#This Row],[Away Differential]]</f>
        <v>0.72072735544103317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0.63919566052536247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0.13017977138372949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-0.59983976271417982</v>
      </c>
      <c r="H197" t="s">
        <v>16</v>
      </c>
      <c r="I197">
        <f>VLOOKUP(Table4[[#This Row],[Visitor]],'NHL Model'!$A$6:$B$38,2,FALSE)</f>
        <v>-1.2993694664931768</v>
      </c>
      <c r="J197">
        <f>($B$1+Table4[[#This Row],[Home Differential]])-Table4[[#This Row],[Away Differential]]</f>
        <v>0.90708988857100603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0.66734072057528449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0.44534363733793991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-0.41595305630289253</v>
      </c>
      <c r="H198" t="s">
        <v>26</v>
      </c>
      <c r="I198">
        <f>VLOOKUP(Table4[[#This Row],[Visitor]],'NHL Model'!$A$6:$B$38,2,FALSE)</f>
        <v>-0.4992069962886943</v>
      </c>
      <c r="J198">
        <f>($B$1+Table4[[#This Row],[Home Differential]])-Table4[[#This Row],[Away Differential]]</f>
        <v>0.29081412477781088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0.53292614519365822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0.28401027623097208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-0.24431182281386174</v>
      </c>
      <c r="H199" t="s">
        <v>37</v>
      </c>
      <c r="I199">
        <f>VLOOKUP(Table4[[#This Row],[Visitor]],'NHL Model'!$A$6:$B$38,2,FALSE)</f>
        <v>3.7016822058700272E-2</v>
      </c>
      <c r="J199">
        <f>($B$1+Table4[[#This Row],[Home Differential]])-Table4[[#This Row],[Away Differential]]</f>
        <v>-7.3768460080552906E-2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0.4476529532192538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0.30508726008741183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-1.4393526815815083</v>
      </c>
      <c r="H200" t="s">
        <v>38</v>
      </c>
      <c r="I200">
        <f>VLOOKUP(Table4[[#This Row],[Visitor]],'NHL Model'!$A$6:$B$38,2,FALSE)</f>
        <v>-0.87761566951859371</v>
      </c>
      <c r="J200">
        <f>($B$1+Table4[[#This Row],[Home Differential]])-Table4[[#This Row],[Away Differential]]</f>
        <v>-0.3541768272709056</v>
      </c>
      <c r="K200" t="str">
        <f>IF(Table4[[#This Row],[HomeIce Differential]]&gt;0,Table4[[#This Row],[Home]],Table4[[#This Row],[Visitor]])</f>
        <v>Vancouver Canucks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0.52951554802593581</v>
      </c>
      <c r="M200" t="str">
        <f>IF(OR((NHL2025_26Results[[#This Row],[Winning Team]]="")),"-",IF(Table4[[#This Row],[Predicted Winner]]=NHL2025_26Results[[#This Row],[Winning Team]],"YES","NO"))</f>
        <v>YES</v>
      </c>
      <c r="N200">
        <f>IF(Table4[[#This Row],[Adjusted Correct]]="-", "",IF(Table4[[#This Row],[Adjusted Correct]]="YES",(Table4[[#This Row],[Strength of Win]]-1)^2,(Table4[[#This Row],[Strength of Win]]-0)^2))</f>
        <v>0.22135561954933552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-0.54471700440519322</v>
      </c>
      <c r="H201" t="s">
        <v>10</v>
      </c>
      <c r="I201">
        <f>VLOOKUP(Table4[[#This Row],[Visitor]],'NHL Model'!$A$6:$B$38,2,FALSE)</f>
        <v>0.28318004708662448</v>
      </c>
      <c r="J201">
        <f>($B$1+Table4[[#This Row],[Home Differential]])-Table4[[#This Row],[Away Differential]]</f>
        <v>-0.62033686669980859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0.53992409984866552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0.29151803359739176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-1.7049475448313323</v>
      </c>
      <c r="H202" t="s">
        <v>17</v>
      </c>
      <c r="I202">
        <f>VLOOKUP(Table4[[#This Row],[Visitor]],'NHL Model'!$A$6:$B$38,2,FALSE)</f>
        <v>-1.0049085234729234</v>
      </c>
      <c r="J202">
        <f>($B$1+Table4[[#This Row],[Home Differential]])-Table4[[#This Row],[Away Differential]]</f>
        <v>-0.49247883656639968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0.52778119786791255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0.27855299282288865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-0.76384910289376506</v>
      </c>
      <c r="H203" t="s">
        <v>14</v>
      </c>
      <c r="I203">
        <f>VLOOKUP(Table4[[#This Row],[Visitor]],'NHL Model'!$A$6:$B$38,2,FALSE)</f>
        <v>0.19812979206825923</v>
      </c>
      <c r="J203">
        <f>($B$1+Table4[[#This Row],[Home Differential]])-Table4[[#This Row],[Away Differential]]</f>
        <v>-0.75441871017001516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0.54981607254827658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0.30229771363241176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0.49887659623169195</v>
      </c>
      <c r="H204" t="s">
        <v>11</v>
      </c>
      <c r="I204">
        <f>VLOOKUP(Table4[[#This Row],[Visitor]],'NHL Model'!$A$6:$B$38,2,FALSE)</f>
        <v>-0.2184338233275798</v>
      </c>
      <c r="J204">
        <f>($B$1+Table4[[#This Row],[Home Differential]])-Table4[[#This Row],[Away Differential]]</f>
        <v>0.92487060435128088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0.78272316111516305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4.7209224715787396E-2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-1.005023581214965</v>
      </c>
      <c r="H205" t="s">
        <v>55</v>
      </c>
      <c r="I205">
        <f>VLOOKUP(Table4[[#This Row],[Visitor]],'NHL Model'!$A$6:$B$38,2,FALSE)</f>
        <v>-0.24431182281386174</v>
      </c>
      <c r="J205">
        <f>($B$1+Table4[[#This Row],[Home Differential]])-Table4[[#This Row],[Away Differential]]</f>
        <v>-0.55315157360909417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0.53613175121016621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0.21517375223534713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1.4229473251234224</v>
      </c>
      <c r="H206" t="s">
        <v>37</v>
      </c>
      <c r="I206">
        <f>VLOOKUP(Table4[[#This Row],[Visitor]],'NHL Model'!$A$6:$B$38,2,FALSE)</f>
        <v>3.7016822058700272E-2</v>
      </c>
      <c r="J206">
        <f>($B$1+Table4[[#This Row],[Home Differential]])-Table4[[#This Row],[Away Differential]]</f>
        <v>1.5934906878567312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0.80264977821315431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3.8947110039317182E-2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4.3588947679693783E-2</v>
      </c>
      <c r="H207" t="s">
        <v>17</v>
      </c>
      <c r="I207">
        <f>VLOOKUP(Table4[[#This Row],[Visitor]],'NHL Model'!$A$6:$B$38,2,FALSE)</f>
        <v>-1.0049085234729234</v>
      </c>
      <c r="J207">
        <f>($B$1+Table4[[#This Row],[Home Differential]])-Table4[[#This Row],[Away Differential]]</f>
        <v>1.2560576559446264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0.71537010079147556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8.1014179523454785E-2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-0.16069632687214722</v>
      </c>
      <c r="H208" t="s">
        <v>40</v>
      </c>
      <c r="I208">
        <f>VLOOKUP(Table4[[#This Row],[Visitor]],'NHL Model'!$A$6:$B$38,2,FALSE)</f>
        <v>0.16605329280468042</v>
      </c>
      <c r="J208">
        <f>($B$1+Table4[[#This Row],[Home Differential]])-Table4[[#This Row],[Away Differential]]</f>
        <v>-0.11918943488481853</v>
      </c>
      <c r="K208" t="str">
        <f>IF(Table4[[#This Row],[HomeIce Differential]]&gt;0,Table4[[#This Row],[Home]],Table4[[#This Row],[Visitor]])</f>
        <v>Winnipeg Jets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0.54272015463588807</v>
      </c>
      <c r="M208" t="str">
        <f>IF(OR((NHL2025_26Results[[#This Row],[Winning Team]]="")),"-",IF(Table4[[#This Row],[Predicted Winner]]=NHL2025_26Results[[#This Row],[Winning Team]],"YES","NO"))</f>
        <v>NO</v>
      </c>
      <c r="N208">
        <f>IF(Table4[[#This Row],[Adjusted Correct]]="-", "",IF(Table4[[#This Row],[Adjusted Correct]]="YES",(Table4[[#This Row],[Strength of Win]]-1)^2,(Table4[[#This Row],[Strength of Win]]-0)^2))</f>
        <v>0.29454516624800225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-0.52340626120007572</v>
      </c>
      <c r="H209" t="s">
        <v>29</v>
      </c>
      <c r="I209">
        <f>VLOOKUP(Table4[[#This Row],[Visitor]],'NHL Model'!$A$6:$B$38,2,FALSE)</f>
        <v>-1.4393526815815083</v>
      </c>
      <c r="J209">
        <f>($B$1+Table4[[#This Row],[Home Differential]])-Table4[[#This Row],[Away Differential]]</f>
        <v>1.1235066051734417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0.69463126099409622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9.3250066762055786E-2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-0.69497686531268954</v>
      </c>
      <c r="H210" t="s">
        <v>27</v>
      </c>
      <c r="I210">
        <f>VLOOKUP(Table4[[#This Row],[Visitor]],'NHL Model'!$A$6:$B$38,2,FALSE)</f>
        <v>-0.59983976271417982</v>
      </c>
      <c r="J210">
        <f>($B$1+Table4[[#This Row],[Home Differential]])-Table4[[#This Row],[Away Differential]]</f>
        <v>0.11242308219349939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0.55547309369110487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0.30855035781476697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-7.6737500378247253E-2</v>
      </c>
      <c r="H211" t="s">
        <v>21</v>
      </c>
      <c r="I211">
        <f>VLOOKUP(Table4[[#This Row],[Visitor]],'NHL Model'!$A$6:$B$38,2,FALSE)</f>
        <v>-0.11354210657072454</v>
      </c>
      <c r="J211">
        <f>($B$1+Table4[[#This Row],[Home Differential]])-Table4[[#This Row],[Away Differential]]</f>
        <v>0.24436479098448638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0.57363258889488822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0.32905434704225184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-0.41117752232850285</v>
      </c>
      <c r="H212" t="s">
        <v>25</v>
      </c>
      <c r="I212">
        <f>VLOOKUP(Table4[[#This Row],[Visitor]],'NHL Model'!$A$6:$B$38,2,FALSE)</f>
        <v>0.55298967972810642</v>
      </c>
      <c r="J212">
        <f>($B$1+Table4[[#This Row],[Home Differential]])-Table4[[#This Row],[Away Differential]]</f>
        <v>-0.75660701726460022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0.64509214462049713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0.12595958581007813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-5.3996763649808116E-4</v>
      </c>
      <c r="H213" t="s">
        <v>26</v>
      </c>
      <c r="I213">
        <f>VLOOKUP(Table4[[#This Row],[Visitor]],'NHL Model'!$A$6:$B$38,2,FALSE)</f>
        <v>-0.4992069962886943</v>
      </c>
      <c r="J213">
        <f>($B$1+Table4[[#This Row],[Home Differential]])-Table4[[#This Row],[Away Differential]]</f>
        <v>0.70622721344420536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0.5901005751775571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0.16801753846976952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-1.2993694664931768</v>
      </c>
      <c r="H214" t="s">
        <v>28</v>
      </c>
      <c r="I214">
        <f>VLOOKUP(Table4[[#This Row],[Visitor]],'NHL Model'!$A$6:$B$38,2,FALSE)</f>
        <v>-0.58990467102727129</v>
      </c>
      <c r="J214">
        <f>($B$1+Table4[[#This Row],[Home Differential]])-Table4[[#This Row],[Away Differential]]</f>
        <v>-0.50190461067389647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0.52907849272080998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0.27992405145972415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-0.54471700440519322</v>
      </c>
      <c r="H215" t="s">
        <v>33</v>
      </c>
      <c r="I215">
        <f>VLOOKUP(Table4[[#This Row],[Visitor]],'NHL Model'!$A$6:$B$38,2,FALSE)</f>
        <v>-0.41595305630289253</v>
      </c>
      <c r="J215">
        <f>($B$1+Table4[[#This Row],[Home Differential]])-Table4[[#This Row],[Away Differential]]</f>
        <v>7.8796236689708421E-2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0.57688267559824291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0.33279362140538754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-0.76384910289376506</v>
      </c>
      <c r="H216" t="s">
        <v>55</v>
      </c>
      <c r="I216">
        <f>VLOOKUP(Table4[[#This Row],[Visitor]],'NHL Model'!$A$6:$B$38,2,FALSE)</f>
        <v>-0.24431182281386174</v>
      </c>
      <c r="J216">
        <f>($B$1+Table4[[#This Row],[Home Differential]])-Table4[[#This Row],[Away Differential]]</f>
        <v>-0.31197709528789419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0.4889216332005657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0.2390443634115085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-0.87761566951859371</v>
      </c>
      <c r="H217" t="s">
        <v>10</v>
      </c>
      <c r="I217">
        <f>VLOOKUP(Table4[[#This Row],[Visitor]],'NHL Model'!$A$6:$B$38,2,FALSE)</f>
        <v>0.28318004708662448</v>
      </c>
      <c r="J217">
        <f>($B$1+Table4[[#This Row],[Home Differential]])-Table4[[#This Row],[Away Differential]]</f>
        <v>-0.95323553181320908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0.61196562216552297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0.15057067838138968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-3.9931837337852071E-3</v>
      </c>
      <c r="H218" t="s">
        <v>35</v>
      </c>
      <c r="I218">
        <f>VLOOKUP(Table4[[#This Row],[Visitor]],'NHL Model'!$A$6:$B$38,2,FALSE)</f>
        <v>-1.7049475448313323</v>
      </c>
      <c r="J218">
        <f>($B$1+Table4[[#This Row],[Home Differential]])-Table4[[#This Row],[Away Differential]]</f>
        <v>1.908514545889556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0.80516951200267695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3.7958919053275045E-2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-0.11354210657072454</v>
      </c>
      <c r="H219" t="s">
        <v>36</v>
      </c>
      <c r="I219">
        <f>VLOOKUP(Table4[[#This Row],[Visitor]],'NHL Model'!$A$6:$B$38,2,FALSE)</f>
        <v>-0.49956508239762204</v>
      </c>
      <c r="J219">
        <f>($B$1+Table4[[#This Row],[Home Differential]])-Table4[[#This Row],[Away Differential]]</f>
        <v>0.59358316061890659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0.67341243651122162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0.10665943662553684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-1.005023581214965</v>
      </c>
      <c r="H220" t="s">
        <v>35</v>
      </c>
      <c r="I220">
        <f>VLOOKUP(Table4[[#This Row],[Visitor]],'NHL Model'!$A$6:$B$38,2,FALSE)</f>
        <v>-1.7049475448313323</v>
      </c>
      <c r="J220">
        <f>($B$1+Table4[[#This Row],[Home Differential]])-Table4[[#This Row],[Away Differential]]</f>
        <v>0.90748414840837632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0.66489950442158552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0.44209135098007002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0.55298967972810642</v>
      </c>
      <c r="H221" t="s">
        <v>34</v>
      </c>
      <c r="I221">
        <f>VLOOKUP(Table4[[#This Row],[Visitor]],'NHL Model'!$A$6:$B$38,2,FALSE)</f>
        <v>-0.52340626120007572</v>
      </c>
      <c r="J221">
        <f>($B$1+Table4[[#This Row],[Home Differential]])-Table4[[#This Row],[Away Differential]]</f>
        <v>1.2839561257201912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0.76843033997371601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5.3624507444688746E-2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4.3588947679693783E-2</v>
      </c>
      <c r="H222" t="s">
        <v>31</v>
      </c>
      <c r="I222">
        <f>VLOOKUP(Table4[[#This Row],[Visitor]],'NHL Model'!$A$6:$B$38,2,FALSE)</f>
        <v>0.49887659623169195</v>
      </c>
      <c r="J222">
        <f>($B$1+Table4[[#This Row],[Home Differential]])-Table4[[#This Row],[Away Differential]]</f>
        <v>-0.24772746375998905</v>
      </c>
      <c r="K222" t="str">
        <f>IF(Table4[[#This Row],[HomeIce Differential]]&gt;0,Table4[[#This Row],[Home]],Table4[[#This Row],[Visitor]])</f>
        <v>Anaheim Ducks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0.51235627223368929</v>
      </c>
      <c r="M222" t="str">
        <f>IF(OR((NHL2025_26Results[[#This Row],[Winning Team]]="")),"-",IF(Table4[[#This Row],[Predicted Winner]]=NHL2025_26Results[[#This Row],[Winning Team]],"YES","NO"))</f>
        <v>YES</v>
      </c>
      <c r="N222">
        <f>IF(Table4[[#This Row],[Adjusted Correct]]="-", "",IF(Table4[[#This Row],[Adjusted Correct]]="YES",(Table4[[#This Row],[Strength of Win]]-1)^2,(Table4[[#This Row],[Strength of Win]]-0)^2))</f>
        <v>0.23779640522982376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-0.16069632687214722</v>
      </c>
      <c r="H223" t="s">
        <v>11</v>
      </c>
      <c r="I223">
        <f>VLOOKUP(Table4[[#This Row],[Visitor]],'NHL Model'!$A$6:$B$38,2,FALSE)</f>
        <v>-0.2184338233275798</v>
      </c>
      <c r="J223">
        <f>($B$1+Table4[[#This Row],[Home Differential]])-Table4[[#This Row],[Away Differential]]</f>
        <v>0.26529768124744169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0.57651363935129574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0.33236797635807591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0.27405230796993052</v>
      </c>
      <c r="H224" t="s">
        <v>18</v>
      </c>
      <c r="I224">
        <f>VLOOKUP(Table4[[#This Row],[Visitor]],'NHL Model'!$A$6:$B$38,2,FALSE)</f>
        <v>-0.69497686531268954</v>
      </c>
      <c r="J224">
        <f>($B$1+Table4[[#This Row],[Home Differential]])-Table4[[#This Row],[Away Differential]]</f>
        <v>1.1765893580746292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0.77358766967198478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5.1262543324562281E-2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-1.4393526815815083</v>
      </c>
      <c r="H225" t="s">
        <v>27</v>
      </c>
      <c r="I225">
        <f>VLOOKUP(Table4[[#This Row],[Visitor]],'NHL Model'!$A$6:$B$38,2,FALSE)</f>
        <v>-0.59983976271417982</v>
      </c>
      <c r="J225">
        <f>($B$1+Table4[[#This Row],[Home Differential]])-Table4[[#This Row],[Away Differential]]</f>
        <v>-0.63195273407531949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0.5469773686320677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0.20522950453152547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0.19812979206825923</v>
      </c>
      <c r="H226" t="s">
        <v>22</v>
      </c>
      <c r="I226">
        <f>VLOOKUP(Table4[[#This Row],[Visitor]],'NHL Model'!$A$6:$B$38,2,FALSE)</f>
        <v>-3.9931837337852071E-3</v>
      </c>
      <c r="J226">
        <f>($B$1+Table4[[#This Row],[Home Differential]])-Table4[[#This Row],[Away Differential]]</f>
        <v>0.40968316059405352</v>
      </c>
      <c r="K226" t="str">
        <f>IF(Table4[[#This Row],[HomeIce Differential]]&gt;0,Table4[[#This Row],[Home]],Table4[[#This Row],[Visitor]])</f>
        <v>Pittsburgh Penguins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0.63242267080331649</v>
      </c>
      <c r="M226" t="str">
        <f>IF(OR((NHL2025_26Results[[#This Row],[Winning Team]]="")),"-",IF(Table4[[#This Row],[Predicted Winner]]=NHL2025_26Results[[#This Row],[Winning Team]],"YES","NO"))</f>
        <v>YES</v>
      </c>
      <c r="N226">
        <f>IF(Table4[[#This Row],[Adjusted Correct]]="-", "",IF(Table4[[#This Row],[Adjusted Correct]]="YES",(Table4[[#This Row],[Strength of Win]]-1)^2,(Table4[[#This Row],[Strength of Win]]-0)^2))</f>
        <v>0.13511309293936705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-5.3996763649808116E-4</v>
      </c>
      <c r="H227" t="s">
        <v>37</v>
      </c>
      <c r="I227">
        <f>VLOOKUP(Table4[[#This Row],[Visitor]],'NHL Model'!$A$6:$B$38,2,FALSE)</f>
        <v>3.7016822058700272E-2</v>
      </c>
      <c r="J227">
        <f>($B$1+Table4[[#This Row],[Home Differential]])-Table4[[#This Row],[Away Differential]]</f>
        <v>0.17000339509681076</v>
      </c>
      <c r="K227" t="str">
        <f>IF(Table4[[#This Row],[HomeIce Differential]]&gt;0,Table4[[#This Row],[Home]],Table4[[#This Row],[Visitor]])</f>
        <v>Vegas Golden Knights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0.51629863683174171</v>
      </c>
      <c r="M227" t="str">
        <f>IF(OR((NHL2025_26Results[[#This Row],[Winning Team]]="")),"-",IF(Table4[[#This Row],[Predicted Winner]]=NHL2025_26Results[[#This Row],[Winning Team]],"YES","NO"))</f>
        <v>NO</v>
      </c>
      <c r="N227">
        <f>IF(Table4[[#This Row],[Adjusted Correct]]="-", "",IF(Table4[[#This Row],[Adjusted Correct]]="YES",(Table4[[#This Row],[Strength of Win]]-1)^2,(Table4[[#This Row],[Strength of Win]]-0)^2))</f>
        <v>0.26656428239431473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-1.2993694664931768</v>
      </c>
      <c r="H228" t="s">
        <v>10</v>
      </c>
      <c r="I228">
        <f>VLOOKUP(Table4[[#This Row],[Visitor]],'NHL Model'!$A$6:$B$38,2,FALSE)</f>
        <v>0.28318004708662448</v>
      </c>
      <c r="J228">
        <f>($B$1+Table4[[#This Row],[Home Differential]])-Table4[[#This Row],[Away Differential]]</f>
        <v>-1.3749893287877923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0.67001274102973296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0.10889159108271008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-0.4992069962886943</v>
      </c>
      <c r="H229" t="s">
        <v>15</v>
      </c>
      <c r="I229">
        <f>VLOOKUP(Table4[[#This Row],[Visitor]],'NHL Model'!$A$6:$B$38,2,FALSE)</f>
        <v>-0.41117752232850285</v>
      </c>
      <c r="J229">
        <f>($B$1+Table4[[#This Row],[Home Differential]])-Table4[[#This Row],[Away Differential]]</f>
        <v>0.11953071083181765</v>
      </c>
      <c r="K229" t="str">
        <f>IF(Table4[[#This Row],[HomeIce Differential]]&gt;0,Table4[[#This Row],[Home]],Table4[[#This Row],[Visitor]])</f>
        <v>Detroit Red Wings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0.47546772933894488</v>
      </c>
      <c r="M229" t="str">
        <f>IF(OR((NHL2025_26Results[[#This Row],[Winning Team]]="")),"-",IF(Table4[[#This Row],[Predicted Winner]]=NHL2025_26Results[[#This Row],[Winning Team]],"YES","NO"))</f>
        <v>NO</v>
      </c>
      <c r="N229">
        <f>IF(Table4[[#This Row],[Adjusted Correct]]="-", "",IF(Table4[[#This Row],[Adjusted Correct]]="YES",(Table4[[#This Row],[Strength of Win]]-1)^2,(Table4[[#This Row],[Strength of Win]]-0)^2))</f>
        <v>0.22606956164273215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-7.6737500378247253E-2</v>
      </c>
      <c r="H230" t="s">
        <v>34</v>
      </c>
      <c r="I230">
        <f>VLOOKUP(Table4[[#This Row],[Visitor]],'NHL Model'!$A$6:$B$38,2,FALSE)</f>
        <v>-0.52340626120007572</v>
      </c>
      <c r="J230">
        <f>($B$1+Table4[[#This Row],[Home Differential]])-Table4[[#This Row],[Away Differential]]</f>
        <v>0.6542289456138376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0.63004330403868736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0.39695456496398585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-0.41595305630289253</v>
      </c>
      <c r="H231" t="s">
        <v>40</v>
      </c>
      <c r="I231">
        <f>VLOOKUP(Table4[[#This Row],[Visitor]],'NHL Model'!$A$6:$B$38,2,FALSE)</f>
        <v>0.16605329280468042</v>
      </c>
      <c r="J231">
        <f>($B$1+Table4[[#This Row],[Home Differential]])-Table4[[#This Row],[Away Differential]]</f>
        <v>-0.37444616431556388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0.57785183055782152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0.33391273807902527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0.55298967972810642</v>
      </c>
      <c r="H232" t="s">
        <v>23</v>
      </c>
      <c r="I232">
        <f>VLOOKUP(Table4[[#This Row],[Visitor]],'NHL Model'!$A$6:$B$38,2,FALSE)</f>
        <v>-1.005023581214965</v>
      </c>
      <c r="J232">
        <f>($B$1+Table4[[#This Row],[Home Differential]])-Table4[[#This Row],[Away Differential]]</f>
        <v>1.7655734457350807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0.83471663786246109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2.7318589799488834E-2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-1.0049085234729234</v>
      </c>
      <c r="H233" t="s">
        <v>12</v>
      </c>
      <c r="I233">
        <f>VLOOKUP(Table4[[#This Row],[Visitor]],'NHL Model'!$A$6:$B$38,2,FALSE)</f>
        <v>1.4229473251234224</v>
      </c>
      <c r="J233">
        <f>($B$1+Table4[[#This Row],[Home Differential]])-Table4[[#This Row],[Away Differential]]</f>
        <v>-2.2202956638043365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0.79538123196751664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4.186884023113123E-2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-0.69497686531268954</v>
      </c>
      <c r="H234" t="s">
        <v>55</v>
      </c>
      <c r="I234">
        <f>VLOOKUP(Table4[[#This Row],[Visitor]],'NHL Model'!$A$6:$B$38,2,FALSE)</f>
        <v>-0.24431182281386174</v>
      </c>
      <c r="J234">
        <f>($B$1+Table4[[#This Row],[Home Differential]])-Table4[[#This Row],[Away Differential]]</f>
        <v>-0.24310485770681869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0.49345918086097279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0.24350196317598224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0.27405230796993052</v>
      </c>
      <c r="H235" t="s">
        <v>14</v>
      </c>
      <c r="I235">
        <f>VLOOKUP(Table4[[#This Row],[Visitor]],'NHL Model'!$A$6:$B$38,2,FALSE)</f>
        <v>0.19812979206825923</v>
      </c>
      <c r="J235">
        <f>($B$1+Table4[[#This Row],[Home Differential]])-Table4[[#This Row],[Away Differential]]</f>
        <v>0.28348270069368042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0.69444720450552311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9.3362510834489612E-2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-1.4393526815815083</v>
      </c>
      <c r="H236" t="s">
        <v>39</v>
      </c>
      <c r="I236">
        <f>VLOOKUP(Table4[[#This Row],[Visitor]],'NHL Model'!$A$6:$B$38,2,FALSE)</f>
        <v>4.3588947679693783E-2</v>
      </c>
      <c r="J236">
        <f>($B$1+Table4[[#This Row],[Home Differential]])-Table4[[#This Row],[Away Differential]]</f>
        <v>-1.2753814444691931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0.72802039485274572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7.397290561605635E-2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-0.41117752232850285</v>
      </c>
      <c r="H237" t="s">
        <v>30</v>
      </c>
      <c r="I237">
        <f>VLOOKUP(Table4[[#This Row],[Visitor]],'NHL Model'!$A$6:$B$38,2,FALSE)</f>
        <v>-7.6737500378247253E-2</v>
      </c>
      <c r="J237">
        <f>($B$1+Table4[[#This Row],[Home Differential]])-Table4[[#This Row],[Away Differential]]</f>
        <v>-0.12687983715824649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0.53675064991118304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0.21459996035771128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-0.59983976271417982</v>
      </c>
      <c r="H238" t="s">
        <v>36</v>
      </c>
      <c r="I238">
        <f>VLOOKUP(Table4[[#This Row],[Visitor]],'NHL Model'!$A$6:$B$38,2,FALSE)</f>
        <v>-0.49956508239762204</v>
      </c>
      <c r="J238">
        <f>($B$1+Table4[[#This Row],[Home Differential]])-Table4[[#This Row],[Away Differential]]</f>
        <v>0.10728550447545132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0.55726147414111715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0.31054035056193097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-0.41595305630289253</v>
      </c>
      <c r="H239" t="s">
        <v>11</v>
      </c>
      <c r="I239">
        <f>VLOOKUP(Table4[[#This Row],[Visitor]],'NHL Model'!$A$6:$B$38,2,FALSE)</f>
        <v>-0.2184338233275798</v>
      </c>
      <c r="J239">
        <f>($B$1+Table4[[#This Row],[Home Differential]])-Table4[[#This Row],[Away Differential]]</f>
        <v>1.004095181669637E-2</v>
      </c>
      <c r="K239" t="str">
        <f>IF(Table4[[#This Row],[HomeIce Differential]]&gt;0,Table4[[#This Row],[Home]],Table4[[#This Row],[Visitor]])</f>
        <v>San Jose Sharks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0.5413819634293624</v>
      </c>
      <c r="M239" t="str">
        <f>IF(OR((NHL2025_26Results[[#This Row],[Winning Team]]="")),"-",IF(Table4[[#This Row],[Predicted Winner]]=NHL2025_26Results[[#This Row],[Winning Team]],"YES","NO"))</f>
        <v>YES</v>
      </c>
      <c r="N239">
        <f>IF(Table4[[#This Row],[Adjusted Correct]]="-", "",IF(Table4[[#This Row],[Adjusted Correct]]="YES",(Table4[[#This Row],[Strength of Win]]-1)^2,(Table4[[#This Row],[Strength of Win]]-0)^2))</f>
        <v>0.21033050346790669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San Jose Sharks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-1.7049475448313323</v>
      </c>
      <c r="H240" t="s">
        <v>32</v>
      </c>
      <c r="I240">
        <f>VLOOKUP(Table4[[#This Row],[Visitor]],'NHL Model'!$A$6:$B$38,2,FALSE)</f>
        <v>-0.54471700440519322</v>
      </c>
      <c r="J240">
        <f>($B$1+Table4[[#This Row],[Home Differential]])-Table4[[#This Row],[Away Differential]]</f>
        <v>-0.95267035563412983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0.59111860466602073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0.16718399545026186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3.7016822058700272E-2</v>
      </c>
      <c r="H241" t="s">
        <v>22</v>
      </c>
      <c r="I241">
        <f>VLOOKUP(Table4[[#This Row],[Visitor]],'NHL Model'!$A$6:$B$38,2,FALSE)</f>
        <v>-3.9931837337852071E-3</v>
      </c>
      <c r="J241">
        <f>($B$1+Table4[[#This Row],[Home Differential]])-Table4[[#This Row],[Away Differential]]</f>
        <v>0.24857019058449459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0.5742113894467844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0.1812959408768379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-0.76384910289376506</v>
      </c>
      <c r="H242" t="s">
        <v>21</v>
      </c>
      <c r="I242">
        <f>VLOOKUP(Table4[[#This Row],[Visitor]],'NHL Model'!$A$6:$B$38,2,FALSE)</f>
        <v>-0.11354210657072454</v>
      </c>
      <c r="J242">
        <f>($B$1+Table4[[#This Row],[Home Differential]])-Table4[[#This Row],[Away Differential]]</f>
        <v>-0.4427468115310314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0.50691982389157175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0.24312806007111862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-0.87761566951859371</v>
      </c>
      <c r="H243" t="s">
        <v>28</v>
      </c>
      <c r="I243">
        <f>VLOOKUP(Table4[[#This Row],[Visitor]],'NHL Model'!$A$6:$B$38,2,FALSE)</f>
        <v>-0.58990467102727129</v>
      </c>
      <c r="J243">
        <f>($B$1+Table4[[#This Row],[Home Differential]])-Table4[[#This Row],[Away Differential]]</f>
        <v>-8.0150813699313317E-2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0.47103137385659999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0.22187055515723605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-5.3996763649808116E-4</v>
      </c>
      <c r="H244" t="s">
        <v>31</v>
      </c>
      <c r="I244">
        <f>VLOOKUP(Table4[[#This Row],[Visitor]],'NHL Model'!$A$6:$B$38,2,FALSE)</f>
        <v>0.49887659623169195</v>
      </c>
      <c r="J244">
        <f>($B$1+Table4[[#This Row],[Home Differential]])-Table4[[#This Row],[Away Differential]]</f>
        <v>-0.29185637907618089</v>
      </c>
      <c r="K244" t="str">
        <f>IF(Table4[[#This Row],[HomeIce Differential]]&gt;0,Table4[[#This Row],[Home]],Table4[[#This Row],[Visitor]])</f>
        <v>Anaheim Ducks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0.52093821572927357</v>
      </c>
      <c r="M244" t="str">
        <f>IF(OR((NHL2025_26Results[[#This Row],[Winning Team]]="")),"-",IF(Table4[[#This Row],[Predicted Winner]]=NHL2025_26Results[[#This Row],[Winning Team]],"YES","NO"))</f>
        <v>YES</v>
      </c>
      <c r="N244">
        <f>IF(Table4[[#This Row],[Adjusted Correct]]="-", "",IF(Table4[[#This Row],[Adjusted Correct]]="YES",(Table4[[#This Row],[Strength of Win]]-1)^2,(Table4[[#This Row],[Strength of Win]]-0)^2))</f>
        <v>0.22950019314865203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0.49887659623169195</v>
      </c>
      <c r="H245" t="s">
        <v>40</v>
      </c>
      <c r="I245">
        <f>VLOOKUP(Table4[[#This Row],[Visitor]],'NHL Model'!$A$6:$B$38,2,FALSE)</f>
        <v>0.16605329280468042</v>
      </c>
      <c r="J245">
        <f>($B$1+Table4[[#This Row],[Home Differential]])-Table4[[#This Row],[Away Differential]]</f>
        <v>0.54038348821902071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0.66759478397422722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0.11049322764114067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4.3588947679693783E-2</v>
      </c>
      <c r="H246" t="s">
        <v>32</v>
      </c>
      <c r="I246">
        <f>VLOOKUP(Table4[[#This Row],[Visitor]],'NHL Model'!$A$6:$B$38,2,FALSE)</f>
        <v>-0.54471700440519322</v>
      </c>
      <c r="J246">
        <f>($B$1+Table4[[#This Row],[Home Differential]])-Table4[[#This Row],[Away Differential]]</f>
        <v>0.79586613687689611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0.65203269399336738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0.12108124604951351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-0.4992069962886943</v>
      </c>
      <c r="H247" t="s">
        <v>10</v>
      </c>
      <c r="I247">
        <f>VLOOKUP(Table4[[#This Row],[Visitor]],'NHL Model'!$A$6:$B$38,2,FALSE)</f>
        <v>0.28318004708662448</v>
      </c>
      <c r="J247">
        <f>($B$1+Table4[[#This Row],[Home Differential]])-Table4[[#This Row],[Away Differential]]</f>
        <v>-0.57482685858330962</v>
      </c>
      <c r="K247" t="str">
        <f>IF(Table4[[#This Row],[HomeIce Differential]]&gt;0,Table4[[#This Row],[Home]],Table4[[#This Row],[Visitor]])</f>
        <v>Chicago Blackhawks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0.51911497946404184</v>
      </c>
      <c r="M247" t="str">
        <f>IF(OR((NHL2025_26Results[[#This Row],[Winning Team]]="")),"-",IF(Table4[[#This Row],[Predicted Winner]]=NHL2025_26Results[[#This Row],[Winning Team]],"YES","NO"))</f>
        <v>YES</v>
      </c>
      <c r="N247">
        <f>IF(Table4[[#This Row],[Adjusted Correct]]="-", "",IF(Table4[[#This Row],[Adjusted Correct]]="YES",(Table4[[#This Row],[Strength of Win]]-1)^2,(Table4[[#This Row],[Strength of Win]]-0)^2))</f>
        <v>0.23125040297586891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-0.52340626120007572</v>
      </c>
      <c r="H248" t="s">
        <v>16</v>
      </c>
      <c r="I248">
        <f>VLOOKUP(Table4[[#This Row],[Visitor]],'NHL Model'!$A$6:$B$38,2,FALSE)</f>
        <v>-1.2993694664931768</v>
      </c>
      <c r="J248">
        <f>($B$1+Table4[[#This Row],[Home Differential]])-Table4[[#This Row],[Away Differential]]</f>
        <v>0.98352339008511014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0.6753649914702291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0.10538788876312442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-0.49956508239762204</v>
      </c>
      <c r="H249" t="s">
        <v>55</v>
      </c>
      <c r="I249">
        <f>VLOOKUP(Table4[[#This Row],[Visitor]],'NHL Model'!$A$6:$B$38,2,FALSE)</f>
        <v>-0.24431182281386174</v>
      </c>
      <c r="J249">
        <f>($B$1+Table4[[#This Row],[Home Differential]])-Table4[[#This Row],[Away Differential]]</f>
        <v>-4.7693074791751194E-2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0.46406864802177078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0.21535971007675417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0.19812979206825923</v>
      </c>
      <c r="H250" t="s">
        <v>13</v>
      </c>
      <c r="I250">
        <f>VLOOKUP(Table4[[#This Row],[Visitor]],'NHL Model'!$A$6:$B$38,2,FALSE)</f>
        <v>-0.16069632687214722</v>
      </c>
      <c r="J250">
        <f>($B$1+Table4[[#This Row],[Home Differential]])-Table4[[#This Row],[Away Differential]]</f>
        <v>0.5663863037324155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0.55240583775384822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0.30515220958453088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-0.76384910289376506</v>
      </c>
      <c r="H251" t="s">
        <v>25</v>
      </c>
      <c r="I251">
        <f>VLOOKUP(Table4[[#This Row],[Visitor]],'NHL Model'!$A$6:$B$38,2,FALSE)</f>
        <v>0.55298967972810642</v>
      </c>
      <c r="J251">
        <f>($B$1+Table4[[#This Row],[Home Differential]])-Table4[[#This Row],[Away Differential]]</f>
        <v>-1.1092785978298623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0.67955474218747813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0.10268516325453361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-0.87761566951859371</v>
      </c>
      <c r="H252" t="s">
        <v>12</v>
      </c>
      <c r="I252">
        <f>VLOOKUP(Table4[[#This Row],[Visitor]],'NHL Model'!$A$6:$B$38,2,FALSE)</f>
        <v>1.4229473251234224</v>
      </c>
      <c r="J252">
        <f>($B$1+Table4[[#This Row],[Home Differential]])-Table4[[#This Row],[Away Differential]]</f>
        <v>-2.0930028098500069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0.81438144236882715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3.4454248937077041E-2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-1.0049085234729234</v>
      </c>
      <c r="H253" t="s">
        <v>28</v>
      </c>
      <c r="I253">
        <f>VLOOKUP(Table4[[#This Row],[Visitor]],'NHL Model'!$A$6:$B$38,2,FALSE)</f>
        <v>-0.58990467102727129</v>
      </c>
      <c r="J253">
        <f>($B$1+Table4[[#This Row],[Home Differential]])-Table4[[#This Row],[Away Differential]]</f>
        <v>-0.20744366765364297</v>
      </c>
      <c r="K253" t="str">
        <f>IF(Table4[[#This Row],[HomeIce Differential]]&gt;0,Table4[[#This Row],[Home]],Table4[[#This Row],[Visitor]])</f>
        <v>Columbus Blue Jackets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0.45251416820217993</v>
      </c>
      <c r="M253" t="str">
        <f>IF(OR((NHL2025_26Results[[#This Row],[Winning Team]]="")),"-",IF(Table4[[#This Row],[Predicted Winner]]=NHL2025_26Results[[#This Row],[Winning Team]],"YES","NO"))</f>
        <v>NO</v>
      </c>
      <c r="N253">
        <f>IF(Table4[[#This Row],[Adjusted Correct]]="-", "",IF(Table4[[#This Row],[Adjusted Correct]]="YES",(Table4[[#This Row],[Strength of Win]]-1)^2,(Table4[[#This Row],[Strength of Win]]-0)^2))</f>
        <v>0.20476907242371079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0.27405230796993052</v>
      </c>
      <c r="H254" t="s">
        <v>30</v>
      </c>
      <c r="I254">
        <f>VLOOKUP(Table4[[#This Row],[Visitor]],'NHL Model'!$A$6:$B$38,2,FALSE)</f>
        <v>-7.6737500378247253E-2</v>
      </c>
      <c r="J254">
        <f>($B$1+Table4[[#This Row],[Home Differential]])-Table4[[#This Row],[Away Differential]]</f>
        <v>0.55834999314018685</v>
      </c>
      <c r="K254" t="str">
        <f>IF(Table4[[#This Row],[HomeIce Differential]]&gt;0,Table4[[#This Row],[Home]],Table4[[#This Row],[Visitor]])</f>
        <v>New Jersey Devils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0.67684722378822459</v>
      </c>
      <c r="M254" t="str">
        <f>IF(OR((NHL2025_26Results[[#This Row],[Winning Team]]="")),"-",IF(Table4[[#This Row],[Predicted Winner]]=NHL2025_26Results[[#This Row],[Winning Team]],"YES","NO"))</f>
        <v>NO</v>
      </c>
      <c r="N254">
        <f>IF(Table4[[#This Row],[Adjusted Correct]]="-", "",IF(Table4[[#This Row],[Adjusted Correct]]="YES",(Table4[[#This Row],[Strength of Win]]-1)^2,(Table4[[#This Row],[Strength of Win]]-0)^2))</f>
        <v>0.458122164349827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-0.41117752232850285</v>
      </c>
      <c r="H255" t="s">
        <v>29</v>
      </c>
      <c r="I255">
        <f>VLOOKUP(Table4[[#This Row],[Visitor]],'NHL Model'!$A$6:$B$38,2,FALSE)</f>
        <v>-1.4393526815815083</v>
      </c>
      <c r="J255">
        <f>($B$1+Table4[[#This Row],[Home Differential]])-Table4[[#This Row],[Away Differential]]</f>
        <v>1.2357353440450145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0.71007760668674957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8.4054994144483072E-2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-5.3996763649808116E-4</v>
      </c>
      <c r="H256" t="s">
        <v>11</v>
      </c>
      <c r="I256">
        <f>VLOOKUP(Table4[[#This Row],[Visitor]],'NHL Model'!$A$6:$B$38,2,FALSE)</f>
        <v>-0.2184338233275798</v>
      </c>
      <c r="J256">
        <f>($B$1+Table4[[#This Row],[Home Differential]])-Table4[[#This Row],[Away Differential]]</f>
        <v>0.42545404048309082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0.59855639341326128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0.35826975609589079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-0.11354210657072454</v>
      </c>
      <c r="H257" t="s">
        <v>19</v>
      </c>
      <c r="I257">
        <f>VLOOKUP(Table4[[#This Row],[Visitor]],'NHL Model'!$A$6:$B$38,2,FALSE)</f>
        <v>-0.76384910289376506</v>
      </c>
      <c r="J257">
        <f>($B$1+Table4[[#This Row],[Home Differential]])-Table4[[#This Row],[Away Differential]]</f>
        <v>0.85786718111504967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0.70978656298429155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8.4223839024470573E-2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0.55298967972810642</v>
      </c>
      <c r="H258" t="s">
        <v>22</v>
      </c>
      <c r="I258">
        <f>VLOOKUP(Table4[[#This Row],[Visitor]],'NHL Model'!$A$6:$B$38,2,FALSE)</f>
        <v>-3.9931837337852071E-3</v>
      </c>
      <c r="J258">
        <f>($B$1+Table4[[#This Row],[Home Differential]])-Table4[[#This Row],[Away Differential]]</f>
        <v>0.76454304825390074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0.69694210948570956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0.48572830397439076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1.4229473251234224</v>
      </c>
      <c r="H259" t="s">
        <v>31</v>
      </c>
      <c r="I259">
        <f>VLOOKUP(Table4[[#This Row],[Visitor]],'NHL Model'!$A$6:$B$38,2,FALSE)</f>
        <v>0.49887659623169195</v>
      </c>
      <c r="J259">
        <f>($B$1+Table4[[#This Row],[Home Differential]])-Table4[[#This Row],[Away Differential]]</f>
        <v>1.1316309136837395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0.76444508378121934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5.5486118554836775E-2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-0.52340626120007572</v>
      </c>
      <c r="H260" t="s">
        <v>33</v>
      </c>
      <c r="I260">
        <f>VLOOKUP(Table4[[#This Row],[Visitor]],'NHL Model'!$A$6:$B$38,2,FALSE)</f>
        <v>-0.41595305630289253</v>
      </c>
      <c r="J260">
        <f>($B$1+Table4[[#This Row],[Home Differential]])-Table4[[#This Row],[Away Differential]]</f>
        <v>0.10010697989482592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0.55377799513075221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0.3066700678910354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-0.69497686531268954</v>
      </c>
      <c r="H261" t="s">
        <v>13</v>
      </c>
      <c r="I261">
        <f>VLOOKUP(Table4[[#This Row],[Visitor]],'NHL Model'!$A$6:$B$38,2,FALSE)</f>
        <v>-0.16069632687214722</v>
      </c>
      <c r="J261">
        <f>($B$1+Table4[[#This Row],[Home Differential]])-Table4[[#This Row],[Away Differential]]</f>
        <v>-0.32672035364853325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0.60676516113972168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0.15463363849346906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-0.49956508239762204</v>
      </c>
      <c r="H262" t="s">
        <v>39</v>
      </c>
      <c r="I262">
        <f>VLOOKUP(Table4[[#This Row],[Visitor]],'NHL Model'!$A$6:$B$38,2,FALSE)</f>
        <v>4.3588947679693783E-2</v>
      </c>
      <c r="J262">
        <f>($B$1+Table4[[#This Row],[Home Differential]])-Table4[[#This Row],[Away Differential]]</f>
        <v>-0.33559384528530672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0.59618869104940742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0.16306357323639092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-0.54471700440519322</v>
      </c>
      <c r="H263" t="s">
        <v>28</v>
      </c>
      <c r="I263">
        <f>VLOOKUP(Table4[[#This Row],[Visitor]],'NHL Model'!$A$6:$B$38,2,FALSE)</f>
        <v>-0.58990467102727129</v>
      </c>
      <c r="J263">
        <f>($B$1+Table4[[#This Row],[Home Differential]])-Table4[[#This Row],[Away Differential]]</f>
        <v>0.25274785141408718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0.60082410808553788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0.36098960885678211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-1.7049475448313323</v>
      </c>
      <c r="H264" t="s">
        <v>16</v>
      </c>
      <c r="I264">
        <f>VLOOKUP(Table4[[#This Row],[Visitor]],'NHL Model'!$A$6:$B$38,2,FALSE)</f>
        <v>-1.2993694664931768</v>
      </c>
      <c r="J264">
        <f>($B$1+Table4[[#This Row],[Home Differential]])-Table4[[#This Row],[Away Differential]]</f>
        <v>-0.1980178935461463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0.48725373970872954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0.23741620686014236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-0.87761566951859371</v>
      </c>
      <c r="H265" t="s">
        <v>40</v>
      </c>
      <c r="I265">
        <f>VLOOKUP(Table4[[#This Row],[Visitor]],'NHL Model'!$A$6:$B$38,2,FALSE)</f>
        <v>0.16605329280468042</v>
      </c>
      <c r="J265">
        <f>($B$1+Table4[[#This Row],[Home Differential]])-Table4[[#This Row],[Away Differential]]</f>
        <v>-0.836108777531265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0.64139170803308843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0.12859990706742569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0.28318004708662448</v>
      </c>
      <c r="H266" t="s">
        <v>24</v>
      </c>
      <c r="I266">
        <f>VLOOKUP(Table4[[#This Row],[Visitor]],'NHL Model'!$A$6:$B$38,2,FALSE)</f>
        <v>0.27405230796993052</v>
      </c>
      <c r="J266">
        <f>($B$1+Table4[[#This Row],[Home Differential]])-Table4[[#This Row],[Away Differential]]</f>
        <v>0.21668792390870306</v>
      </c>
      <c r="K266" t="str">
        <f>IF(Table4[[#This Row],[HomeIce Differential]]&gt;0,Table4[[#This Row],[Home]],Table4[[#This Row],[Visitor]])</f>
        <v>Chicago Blackhawks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0.53441050258352396</v>
      </c>
      <c r="M266" t="str">
        <f>IF(OR((NHL2025_26Results[[#This Row],[Winning Team]]="")),"-",IF(Table4[[#This Row],[Predicted Winner]]=NHL2025_26Results[[#This Row],[Winning Team]],"YES","NO"))</f>
        <v>NO</v>
      </c>
      <c r="N266">
        <f>IF(Table4[[#This Row],[Adjusted Correct]]="-", "",IF(Table4[[#This Row],[Adjusted Correct]]="YES",(Table4[[#This Row],[Strength of Win]]-1)^2,(Table4[[#This Row],[Strength of Win]]-0)^2))</f>
        <v>0.28559458527157466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-0.59983976271417982</v>
      </c>
      <c r="H267" t="s">
        <v>17</v>
      </c>
      <c r="I267">
        <f>VLOOKUP(Table4[[#This Row],[Visitor]],'NHL Model'!$A$6:$B$38,2,FALSE)</f>
        <v>-1.0049085234729234</v>
      </c>
      <c r="J267">
        <f>($B$1+Table4[[#This Row],[Home Differential]])-Table4[[#This Row],[Away Differential]]</f>
        <v>0.61262894555075265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0.62681326241610147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0.39289486594071649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3.7016822058700272E-2</v>
      </c>
      <c r="H268" t="s">
        <v>15</v>
      </c>
      <c r="I268">
        <f>VLOOKUP(Table4[[#This Row],[Visitor]],'NHL Model'!$A$6:$B$38,2,FALSE)</f>
        <v>-0.41117752232850285</v>
      </c>
      <c r="J268">
        <f>($B$1+Table4[[#This Row],[Home Differential]])-Table4[[#This Row],[Away Differential]]</f>
        <v>0.65575452917921218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0.50885792540492814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0.25893638824740739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-0.24431182281386174</v>
      </c>
      <c r="H269" t="s">
        <v>23</v>
      </c>
      <c r="I269">
        <f>VLOOKUP(Table4[[#This Row],[Visitor]],'NHL Model'!$A$6:$B$38,2,FALSE)</f>
        <v>-1.005023581214965</v>
      </c>
      <c r="J269">
        <f>($B$1+Table4[[#This Row],[Home Differential]])-Table4[[#This Row],[Away Differential]]</f>
        <v>0.96827194319311238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0.74153839955563516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6.6802398904262497E-2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-0.58990467102727129</v>
      </c>
      <c r="H270" t="s">
        <v>17</v>
      </c>
      <c r="I270">
        <f>VLOOKUP(Table4[[#This Row],[Visitor]],'NHL Model'!$A$6:$B$38,2,FALSE)</f>
        <v>-1.0049085234729234</v>
      </c>
      <c r="J270">
        <f>($B$1+Table4[[#This Row],[Home Differential]])-Table4[[#This Row],[Away Differential]]</f>
        <v>0.62256403723766118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0.63273112868432713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0.13488642383748828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-1.2993694664931768</v>
      </c>
      <c r="H271" t="s">
        <v>33</v>
      </c>
      <c r="I271">
        <f>VLOOKUP(Table4[[#This Row],[Visitor]],'NHL Model'!$A$6:$B$38,2,FALSE)</f>
        <v>-0.41595305630289253</v>
      </c>
      <c r="J271">
        <f>($B$1+Table4[[#This Row],[Home Differential]])-Table4[[#This Row],[Away Differential]]</f>
        <v>-0.67585622539827517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0.55301992520810495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0.30583103767717801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1.4229473251234224</v>
      </c>
      <c r="H272" t="s">
        <v>23</v>
      </c>
      <c r="I272">
        <f>VLOOKUP(Table4[[#This Row],[Visitor]],'NHL Model'!$A$6:$B$38,2,FALSE)</f>
        <v>-1.005023581214965</v>
      </c>
      <c r="J272">
        <f>($B$1+Table4[[#This Row],[Home Differential]])-Table4[[#This Row],[Away Differential]]</f>
        <v>2.6355310911303964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0.99110153932781975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7.9182602334338631E-5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-0.4992069962886943</v>
      </c>
      <c r="H273" t="s">
        <v>31</v>
      </c>
      <c r="I273">
        <f>VLOOKUP(Table4[[#This Row],[Visitor]],'NHL Model'!$A$6:$B$38,2,FALSE)</f>
        <v>0.49887659623169195</v>
      </c>
      <c r="J273">
        <f>($B$1+Table4[[#This Row],[Home Differential]])-Table4[[#This Row],[Away Differential]]</f>
        <v>-0.79052340772837715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0.54880188048695833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0.30118350402602168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-0.2184338233275798</v>
      </c>
      <c r="H274" t="s">
        <v>22</v>
      </c>
      <c r="I274">
        <f>VLOOKUP(Table4[[#This Row],[Visitor]],'NHL Model'!$A$6:$B$38,2,FALSE)</f>
        <v>-3.9931837337852071E-3</v>
      </c>
      <c r="J274">
        <f>($B$1+Table4[[#This Row],[Home Differential]])-Table4[[#This Row],[Away Differential]]</f>
        <v>-6.8804548017854829E-3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0.39749869979193603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0.15800521633627967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-0.69497686531268954</v>
      </c>
      <c r="H275" t="s">
        <v>39</v>
      </c>
      <c r="I275">
        <f>VLOOKUP(Table4[[#This Row],[Visitor]],'NHL Model'!$A$6:$B$38,2,FALSE)</f>
        <v>4.3588947679693783E-2</v>
      </c>
      <c r="J275">
        <f>($B$1+Table4[[#This Row],[Home Differential]])-Table4[[#This Row],[Away Differential]]</f>
        <v>-0.53100562820037422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0.62556993252957327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0.14019787542590831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-0.49956508239762204</v>
      </c>
      <c r="H276" t="s">
        <v>21</v>
      </c>
      <c r="I276">
        <f>VLOOKUP(Table4[[#This Row],[Visitor]],'NHL Model'!$A$6:$B$38,2,FALSE)</f>
        <v>-0.11354210657072454</v>
      </c>
      <c r="J276">
        <f>($B$1+Table4[[#This Row],[Home Differential]])-Table4[[#This Row],[Away Differential]]</f>
        <v>-0.17846279103488838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0.48206683871277684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0.23238843698653039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-0.54471700440519322</v>
      </c>
      <c r="H277" t="s">
        <v>40</v>
      </c>
      <c r="I277">
        <f>VLOOKUP(Table4[[#This Row],[Visitor]],'NHL Model'!$A$6:$B$38,2,FALSE)</f>
        <v>0.16605329280468042</v>
      </c>
      <c r="J277">
        <f>($B$1+Table4[[#This Row],[Home Differential]])-Table4[[#This Row],[Away Differential]]</f>
        <v>-0.50321011241786451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0.56925817246632304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0.32405486691969798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-0.76384910289376506</v>
      </c>
      <c r="H278" t="s">
        <v>13</v>
      </c>
      <c r="I278">
        <f>VLOOKUP(Table4[[#This Row],[Visitor]],'NHL Model'!$A$6:$B$38,2,FALSE)</f>
        <v>-0.16069632687214722</v>
      </c>
      <c r="J278">
        <f>($B$1+Table4[[#This Row],[Home Differential]])-Table4[[#This Row],[Away Differential]]</f>
        <v>-0.39559259122960877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0.60227256812546259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0.15818711006551481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-5.3996763649808116E-4</v>
      </c>
      <c r="H279" t="s">
        <v>30</v>
      </c>
      <c r="I279">
        <f>VLOOKUP(Table4[[#This Row],[Visitor]],'NHL Model'!$A$6:$B$38,2,FALSE)</f>
        <v>-7.6737500378247253E-2</v>
      </c>
      <c r="J279">
        <f>($B$1+Table4[[#This Row],[Home Differential]])-Table4[[#This Row],[Away Differential]]</f>
        <v>0.28375771753375828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0.51976651038068211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0.27015722531331171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0.55298967972810642</v>
      </c>
      <c r="H280" t="s">
        <v>38</v>
      </c>
      <c r="I280">
        <f>VLOOKUP(Table4[[#This Row],[Visitor]],'NHL Model'!$A$6:$B$38,2,FALSE)</f>
        <v>-0.87761566951859371</v>
      </c>
      <c r="J280">
        <f>($B$1+Table4[[#This Row],[Home Differential]])-Table4[[#This Row],[Away Differential]]</f>
        <v>1.6381655340387091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0.79689373654557361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4.125215425441886E-2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-1.4393526815815083</v>
      </c>
      <c r="H281" t="s">
        <v>14</v>
      </c>
      <c r="I281">
        <f>VLOOKUP(Table4[[#This Row],[Visitor]],'NHL Model'!$A$6:$B$38,2,FALSE)</f>
        <v>0.19812979206825923</v>
      </c>
      <c r="J281">
        <f>($B$1+Table4[[#This Row],[Home Differential]])-Table4[[#This Row],[Away Differential]]</f>
        <v>-1.4299222888577585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0.65680408253185607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0.4313916028305132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-1.7049475448313323</v>
      </c>
      <c r="H282" t="s">
        <v>27</v>
      </c>
      <c r="I282">
        <f>VLOOKUP(Table4[[#This Row],[Visitor]],'NHL Model'!$A$6:$B$38,2,FALSE)</f>
        <v>-0.59983976271417982</v>
      </c>
      <c r="J282">
        <f>($B$1+Table4[[#This Row],[Home Differential]])-Table4[[#This Row],[Away Differential]]</f>
        <v>-0.89754759732514322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0.58353190994830206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0.17344567003130917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-0.24431182281386174</v>
      </c>
      <c r="H283" t="s">
        <v>30</v>
      </c>
      <c r="I283">
        <f>VLOOKUP(Table4[[#This Row],[Visitor]],'NHL Model'!$A$6:$B$38,2,FALSE)</f>
        <v>-7.6737500378247253E-2</v>
      </c>
      <c r="J283">
        <f>($B$1+Table4[[#This Row],[Home Differential]])-Table4[[#This Row],[Away Differential]]</f>
        <v>3.9985862356394619E-2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0.55596207827318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0.30909383247783351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0.55298967972810642</v>
      </c>
      <c r="H284" t="s">
        <v>17</v>
      </c>
      <c r="I284">
        <f>VLOOKUP(Table4[[#This Row],[Visitor]],'NHL Model'!$A$6:$B$38,2,FALSE)</f>
        <v>-1.0049085234729234</v>
      </c>
      <c r="J284">
        <f>($B$1+Table4[[#This Row],[Home Differential]])-Table4[[#This Row],[Away Differential]]</f>
        <v>1.7654583879930388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0.83470080215338993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0.69672542911551261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-0.58990467102727129</v>
      </c>
      <c r="H285" t="s">
        <v>15</v>
      </c>
      <c r="I285">
        <f>VLOOKUP(Table4[[#This Row],[Visitor]],'NHL Model'!$A$6:$B$38,2,FALSE)</f>
        <v>-0.41117752232850285</v>
      </c>
      <c r="J285">
        <f>($B$1+Table4[[#This Row],[Home Differential]])-Table4[[#This Row],[Away Differential]]</f>
        <v>2.8833036093240672E-2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0.42950028384566052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0.18447049382350295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-1.2993694664931768</v>
      </c>
      <c r="H286" t="s">
        <v>40</v>
      </c>
      <c r="I286">
        <f>VLOOKUP(Table4[[#This Row],[Visitor]],'NHL Model'!$A$6:$B$38,2,FALSE)</f>
        <v>0.16605329280468042</v>
      </c>
      <c r="J286">
        <f>($B$1+Table4[[#This Row],[Home Differential]])-Table4[[#This Row],[Away Differential]]</f>
        <v>-1.2578625745058483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0.69943882689729842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9.0337018776872141E-2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0.28318004708662448</v>
      </c>
      <c r="H287" t="s">
        <v>19</v>
      </c>
      <c r="I287">
        <f>VLOOKUP(Table4[[#This Row],[Visitor]],'NHL Model'!$A$6:$B$38,2,FALSE)</f>
        <v>-0.76384910289376506</v>
      </c>
      <c r="J287">
        <f>($B$1+Table4[[#This Row],[Home Differential]])-Table4[[#This Row],[Away Differential]]</f>
        <v>1.2545893347723986</v>
      </c>
      <c r="K287" t="str">
        <f>IF(Table4[[#This Row],[HomeIce Differential]]&gt;0,Table4[[#This Row],[Home]],Table4[[#This Row],[Visitor]])</f>
        <v>Chicago Blackhawks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0.71971848442210495</v>
      </c>
      <c r="M287" t="str">
        <f>IF(OR((NHL2025_26Results[[#This Row],[Winning Team]]="")),"-",IF(Table4[[#This Row],[Predicted Winner]]=NHL2025_26Results[[#This Row],[Winning Team]],"YES","NO"))</f>
        <v>YES</v>
      </c>
      <c r="N287">
        <f>IF(Table4[[#This Row],[Adjusted Correct]]="-", "",IF(Table4[[#This Row],[Adjusted Correct]]="YES",(Table4[[#This Row],[Strength of Win]]-1)^2,(Table4[[#This Row],[Strength of Win]]-0)^2))</f>
        <v>7.8557727974641819E-2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4.3588947679693783E-2</v>
      </c>
      <c r="H288" t="s">
        <v>27</v>
      </c>
      <c r="I288">
        <f>VLOOKUP(Table4[[#This Row],[Visitor]],'NHL Model'!$A$6:$B$38,2,FALSE)</f>
        <v>-0.59983976271417982</v>
      </c>
      <c r="J288">
        <f>($B$1+Table4[[#This Row],[Home Differential]])-Table4[[#This Row],[Away Differential]]</f>
        <v>0.85098889518588272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0.65961938871108605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0.11585896054141473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-0.4992069962886943</v>
      </c>
      <c r="H289" t="s">
        <v>23</v>
      </c>
      <c r="I289">
        <f>VLOOKUP(Table4[[#This Row],[Visitor]],'NHL Model'!$A$6:$B$38,2,FALSE)</f>
        <v>-1.005023581214965</v>
      </c>
      <c r="J289">
        <f>($B$1+Table4[[#This Row],[Home Differential]])-Table4[[#This Row],[Away Differential]]</f>
        <v>0.71337676971827979</v>
      </c>
      <c r="K289" t="str">
        <f>IF(Table4[[#This Row],[HomeIce Differential]]&gt;0,Table4[[#This Row],[Home]],Table4[[#This Row],[Visitor]])</f>
        <v>Detroit Red Wings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0.67861515692382313</v>
      </c>
      <c r="M289" t="str">
        <f>IF(OR((NHL2025_26Results[[#This Row],[Winning Team]]="")),"-",IF(Table4[[#This Row],[Predicted Winner]]=NHL2025_26Results[[#This Row],[Winning Team]],"YES","NO"))</f>
        <v>NO</v>
      </c>
      <c r="N289">
        <f>IF(Table4[[#This Row],[Adjusted Correct]]="-", "",IF(Table4[[#This Row],[Adjusted Correct]]="YES",(Table4[[#This Row],[Strength of Win]]-1)^2,(Table4[[#This Row],[Strength of Win]]-0)^2))</f>
        <v>0.46051853120674507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-0.2184338233275798</v>
      </c>
      <c r="H290" t="s">
        <v>37</v>
      </c>
      <c r="I290">
        <f>VLOOKUP(Table4[[#This Row],[Visitor]],'NHL Model'!$A$6:$B$38,2,FALSE)</f>
        <v>3.7016822058700272E-2</v>
      </c>
      <c r="J290">
        <f>($B$1+Table4[[#This Row],[Home Differential]])-Table4[[#This Row],[Away Differential]]</f>
        <v>-4.7890460594270962E-2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0.44906917007561198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0.30352477936117495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-0.52340626120007572</v>
      </c>
      <c r="H291" t="s">
        <v>31</v>
      </c>
      <c r="I291">
        <f>VLOOKUP(Table4[[#This Row],[Visitor]],'NHL Model'!$A$6:$B$38,2,FALSE)</f>
        <v>0.49887659623169195</v>
      </c>
      <c r="J291">
        <f>($B$1+Table4[[#This Row],[Home Differential]])-Table4[[#This Row],[Away Differential]]</f>
        <v>-0.81472267263975851</v>
      </c>
      <c r="K291" t="str">
        <f>IF(Table4[[#This Row],[HomeIce Differential]]&gt;0,Table4[[#This Row],[Home]],Table4[[#This Row],[Visitor]])</f>
        <v>Anaheim Ducks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0.5929017217137923</v>
      </c>
      <c r="M291" t="str">
        <f>IF(OR((NHL2025_26Results[[#This Row],[Winning Team]]="")),"-",IF(Table4[[#This Row],[Predicted Winner]]=NHL2025_26Results[[#This Row],[Winning Team]],"YES","NO"))</f>
        <v>NO</v>
      </c>
      <c r="N291">
        <f>IF(Table4[[#This Row],[Adjusted Correct]]="-", "",IF(Table4[[#This Row],[Adjusted Correct]]="YES",(Table4[[#This Row],[Strength of Win]]-1)^2,(Table4[[#This Row],[Strength of Win]]-0)^2))</f>
        <v>0.35153245161117919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-0.69497686531268954</v>
      </c>
      <c r="H292" t="s">
        <v>21</v>
      </c>
      <c r="I292">
        <f>VLOOKUP(Table4[[#This Row],[Visitor]],'NHL Model'!$A$6:$B$38,2,FALSE)</f>
        <v>-0.11354210657072454</v>
      </c>
      <c r="J292">
        <f>($B$1+Table4[[#This Row],[Home Differential]])-Table4[[#This Row],[Away Differential]]</f>
        <v>-0.37387457394995588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0.51145737155197879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0.23867389981090131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-0.49956508239762204</v>
      </c>
      <c r="H293" t="s">
        <v>13</v>
      </c>
      <c r="I293">
        <f>VLOOKUP(Table4[[#This Row],[Visitor]],'NHL Model'!$A$6:$B$38,2,FALSE)</f>
        <v>-0.16069632687214722</v>
      </c>
      <c r="J293">
        <f>($B$1+Table4[[#This Row],[Home Differential]])-Table4[[#This Row],[Away Differential]]</f>
        <v>-0.13130857073346572</v>
      </c>
      <c r="K293" t="str">
        <f>IF(Table4[[#This Row],[HomeIce Differential]]&gt;0,Table4[[#This Row],[Home]],Table4[[#This Row],[Visitor]])</f>
        <v>Los Angeles Kings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0.57739438859417613</v>
      </c>
      <c r="M293" t="str">
        <f>IF(OR((NHL2025_26Results[[#This Row],[Winning Team]]="")),"-",IF(Table4[[#This Row],[Predicted Winner]]=NHL2025_26Results[[#This Row],[Winning Team]],"YES","NO"))</f>
        <v>YES</v>
      </c>
      <c r="N293">
        <f>IF(Table4[[#This Row],[Adjusted Correct]]="-", "",IF(Table4[[#This Row],[Adjusted Correct]]="YES",(Table4[[#This Row],[Strength of Win]]-1)^2,(Table4[[#This Row],[Strength of Win]]-0)^2))</f>
        <v>0.1785955027916902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-0.54471700440519322</v>
      </c>
      <c r="H294" t="s">
        <v>33</v>
      </c>
      <c r="I294">
        <f>VLOOKUP(Table4[[#This Row],[Visitor]],'NHL Model'!$A$6:$B$38,2,FALSE)</f>
        <v>-0.41595305630289253</v>
      </c>
      <c r="J294">
        <f>($B$1+Table4[[#This Row],[Home Differential]])-Table4[[#This Row],[Away Differential]]</f>
        <v>7.8796236689708421E-2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0.57688267559824291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0.17902827020890175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-1.7049475448313323</v>
      </c>
      <c r="H295" t="s">
        <v>20</v>
      </c>
      <c r="I295">
        <f>VLOOKUP(Table4[[#This Row],[Visitor]],'NHL Model'!$A$6:$B$38,2,FALSE)</f>
        <v>-5.3996763649808116E-4</v>
      </c>
      <c r="J295">
        <f>($B$1+Table4[[#This Row],[Home Differential]])-Table4[[#This Row],[Away Differential]]</f>
        <v>-1.4968473924028249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0.68678439680133596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9.8104014087102967E-2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-3.9931837337852071E-3</v>
      </c>
      <c r="H296" t="s">
        <v>24</v>
      </c>
      <c r="I296">
        <f>VLOOKUP(Table4[[#This Row],[Visitor]],'NHL Model'!$A$6:$B$38,2,FALSE)</f>
        <v>0.27405230796993052</v>
      </c>
      <c r="J296">
        <f>($B$1+Table4[[#This Row],[Home Differential]])-Table4[[#This Row],[Away Differential]]</f>
        <v>-7.0485306911706624E-2</v>
      </c>
      <c r="K296" t="str">
        <f>IF(Table4[[#This Row],[HomeIce Differential]]&gt;0,Table4[[#This Row],[Home]],Table4[[#This Row],[Visitor]])</f>
        <v>New Jersey Devils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0.50970108394478952</v>
      </c>
      <c r="M296" t="str">
        <f>IF(OR((NHL2025_26Results[[#This Row],[Winning Team]]="")),"-",IF(Table4[[#This Row],[Predicted Winner]]=NHL2025_26Results[[#This Row],[Winning Team]],"YES","NO"))</f>
        <v>YES</v>
      </c>
      <c r="N296">
        <f>IF(Table4[[#This Row],[Adjusted Correct]]="-", "",IF(Table4[[#This Row],[Adjusted Correct]]="YES",(Table4[[#This Row],[Strength of Win]]-1)^2,(Table4[[#This Row],[Strength of Win]]-0)^2))</f>
        <v>0.24039302708491433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1.4229473251234224</v>
      </c>
      <c r="H297" t="s">
        <v>30</v>
      </c>
      <c r="I297">
        <f>VLOOKUP(Table4[[#This Row],[Visitor]],'NHL Model'!$A$6:$B$38,2,FALSE)</f>
        <v>-7.6737500378247253E-2</v>
      </c>
      <c r="J297">
        <f>($B$1+Table4[[#This Row],[Home Differential]])-Table4[[#This Row],[Away Differential]]</f>
        <v>1.7072450102936787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0.80640133220449595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3.7480444172193941E-2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-0.52340626120007572</v>
      </c>
      <c r="H298" t="s">
        <v>20</v>
      </c>
      <c r="I298">
        <f>VLOOKUP(Table4[[#This Row],[Visitor]],'NHL Model'!$A$6:$B$38,2,FALSE)</f>
        <v>-5.3996763649808116E-4</v>
      </c>
      <c r="J298">
        <f>($B$1+Table4[[#This Row],[Home Differential]])-Table4[[#This Row],[Away Differential]]</f>
        <v>-0.31530610877156851</v>
      </c>
      <c r="K298" t="str">
        <f>IF(Table4[[#This Row],[HomeIce Differential]]&gt;0,Table4[[#This Row],[Home]],Table4[[#This Row],[Visitor]])</f>
        <v>Vegas Golden Knights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0.52416566562237743</v>
      </c>
      <c r="M298" t="str">
        <f>IF(OR((NHL2025_26Results[[#This Row],[Winning Team]]="")),"-",IF(Table4[[#This Row],[Predicted Winner]]=NHL2025_26Results[[#This Row],[Winning Team]],"YES","NO"))</f>
        <v>NO</v>
      </c>
      <c r="N298">
        <f>IF(Table4[[#This Row],[Adjusted Correct]]="-", "",IF(Table4[[#This Row],[Adjusted Correct]]="YES",(Table4[[#This Row],[Strength of Win]]-1)^2,(Table4[[#This Row],[Strength of Win]]-0)^2))</f>
        <v>0.27474964501735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-0.41117752232850285</v>
      </c>
      <c r="H299" t="s">
        <v>26</v>
      </c>
      <c r="I299">
        <f>VLOOKUP(Table4[[#This Row],[Visitor]],'NHL Model'!$A$6:$B$38,2,FALSE)</f>
        <v>-0.4992069962886943</v>
      </c>
      <c r="J299">
        <f>($B$1+Table4[[#This Row],[Home Differential]])-Table4[[#This Row],[Away Differential]]</f>
        <v>0.29558965875220056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0.53358341488569183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0.28471126064107632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0.19812979206825923</v>
      </c>
      <c r="H300" t="s">
        <v>29</v>
      </c>
      <c r="I300">
        <f>VLOOKUP(Table4[[#This Row],[Visitor]],'NHL Model'!$A$6:$B$38,2,FALSE)</f>
        <v>-1.4393526815815083</v>
      </c>
      <c r="J300">
        <f>($B$1+Table4[[#This Row],[Home Differential]])-Table4[[#This Row],[Away Differential]]</f>
        <v>1.8450426584417765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0.82997509115404711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2.8908469628074591E-2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3.7016822058700272E-2</v>
      </c>
      <c r="H301" t="s">
        <v>38</v>
      </c>
      <c r="I301">
        <f>VLOOKUP(Table4[[#This Row],[Visitor]],'NHL Model'!$A$6:$B$38,2,FALSE)</f>
        <v>-0.87761566951859371</v>
      </c>
      <c r="J301">
        <f>($B$1+Table4[[#This Row],[Home Differential]])-Table4[[#This Row],[Away Differential]]</f>
        <v>1.1221926763693031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0.67368119064020715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0.45384634662240714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0.49887659623169195</v>
      </c>
      <c r="H302" t="s">
        <v>55</v>
      </c>
      <c r="I302">
        <f>VLOOKUP(Table4[[#This Row],[Visitor]],'NHL Model'!$A$6:$B$38,2,FALSE)</f>
        <v>-0.24431182281386174</v>
      </c>
      <c r="J302">
        <f>($B$1+Table4[[#This Row],[Home Differential]])-Table4[[#This Row],[Away Differential]]</f>
        <v>0.95074860383756288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0.78628482036499947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4.5674178006420547E-2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-0.11354210657072454</v>
      </c>
      <c r="H303" t="s">
        <v>25</v>
      </c>
      <c r="I303">
        <f>VLOOKUP(Table4[[#This Row],[Visitor]],'NHL Model'!$A$6:$B$38,2,FALSE)</f>
        <v>0.55298967972810642</v>
      </c>
      <c r="J303">
        <f>($B$1+Table4[[#This Row],[Home Differential]])-Table4[[#This Row],[Away Differential]]</f>
        <v>-0.45897160150682187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0.55154159925906787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0.20111493719511447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-1.005023581214965</v>
      </c>
      <c r="H304" t="s">
        <v>17</v>
      </c>
      <c r="I304">
        <f>VLOOKUP(Table4[[#This Row],[Visitor]],'NHL Model'!$A$6:$B$38,2,FALSE)</f>
        <v>-1.0049085234729234</v>
      </c>
      <c r="J304">
        <f>($B$1+Table4[[#This Row],[Home Differential]])-Table4[[#This Row],[Away Differential]]</f>
        <v>0.20744512704996743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0.5685512354223009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0.18614803645562281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-0.58990467102727129</v>
      </c>
      <c r="H305" t="s">
        <v>18</v>
      </c>
      <c r="I305">
        <f>VLOOKUP(Table4[[#This Row],[Visitor]],'NHL Model'!$A$6:$B$38,2,FALSE)</f>
        <v>-0.69497686531268954</v>
      </c>
      <c r="J305">
        <f>($B$1+Table4[[#This Row],[Home Differential]])-Table4[[#This Row],[Away Differential]]</f>
        <v>0.31263237907742736</v>
      </c>
      <c r="K305" t="str">
        <f>IF(Table4[[#This Row],[HomeIce Differential]]&gt;0,Table4[[#This Row],[Home]],Table4[[#This Row],[Visitor]])</f>
        <v>Columbus Blue Jackets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0.54302844218424862</v>
      </c>
      <c r="M305" t="str">
        <f>IF(OR((NHL2025_26Results[[#This Row],[Winning Team]]="")),"-",IF(Table4[[#This Row],[Predicted Winner]]=NHL2025_26Results[[#This Row],[Winning Team]],"YES","NO"))</f>
        <v>YES</v>
      </c>
      <c r="N305">
        <f>IF(Table4[[#This Row],[Adjusted Correct]]="-", "",IF(Table4[[#This Row],[Adjusted Correct]]="YES",(Table4[[#This Row],[Strength of Win]]-1)^2,(Table4[[#This Row],[Strength of Win]]-0)^2))</f>
        <v>0.2088230046525546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-0.2184338233275798</v>
      </c>
      <c r="H306" t="s">
        <v>38</v>
      </c>
      <c r="I306">
        <f>VLOOKUP(Table4[[#This Row],[Visitor]],'NHL Model'!$A$6:$B$38,2,FALSE)</f>
        <v>-0.87761566951859371</v>
      </c>
      <c r="J306">
        <f>($B$1+Table4[[#This Row],[Home Differential]])-Table4[[#This Row],[Away Differential]]</f>
        <v>0.86674203098302305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0.70262538964198196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8.8431658885583048E-2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-3.9931837337852071E-3</v>
      </c>
      <c r="H307" t="s">
        <v>13</v>
      </c>
      <c r="I307">
        <f>VLOOKUP(Table4[[#This Row],[Visitor]],'NHL Model'!$A$6:$B$38,2,FALSE)</f>
        <v>-0.16069632687214722</v>
      </c>
      <c r="J307">
        <f>($B$1+Table4[[#This Row],[Home Differential]])-Table4[[#This Row],[Away Differential]]</f>
        <v>0.36426332793037108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0.49081251579852009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0.25927189406743228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0.28318004708662448</v>
      </c>
      <c r="H308" t="s">
        <v>16</v>
      </c>
      <c r="I308">
        <f>VLOOKUP(Table4[[#This Row],[Visitor]],'NHL Model'!$A$6:$B$38,2,FALSE)</f>
        <v>-1.2993694664931768</v>
      </c>
      <c r="J308">
        <f>($B$1+Table4[[#This Row],[Home Differential]])-Table4[[#This Row],[Away Differential]]</f>
        <v>1.7901096983718103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0.79342360438320247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4.2673807226027642E-2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4.3588947679693783E-2</v>
      </c>
      <c r="H309" t="s">
        <v>30</v>
      </c>
      <c r="I309">
        <f>VLOOKUP(Table4[[#This Row],[Visitor]],'NHL Model'!$A$6:$B$38,2,FALSE)</f>
        <v>-7.6737500378247253E-2</v>
      </c>
      <c r="J309">
        <f>($B$1+Table4[[#This Row],[Home Differential]])-Table4[[#This Row],[Away Differential]]</f>
        <v>0.32788663284995012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0.52834940301021338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0.27915309166124885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-0.4992069962886943</v>
      </c>
      <c r="H310" t="s">
        <v>32</v>
      </c>
      <c r="I310">
        <f>VLOOKUP(Table4[[#This Row],[Visitor]],'NHL Model'!$A$6:$B$38,2,FALSE)</f>
        <v>-0.54471700440519322</v>
      </c>
      <c r="J310">
        <f>($B$1+Table4[[#This Row],[Home Differential]])-Table4[[#This Row],[Away Differential]]</f>
        <v>0.25307019290850802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0.61526191441664391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0.14802339449834584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-0.41595305630289253</v>
      </c>
      <c r="H311" t="s">
        <v>55</v>
      </c>
      <c r="I311">
        <f>VLOOKUP(Table4[[#This Row],[Visitor]],'NHL Model'!$A$6:$B$38,2,FALSE)</f>
        <v>-0.24431182281386174</v>
      </c>
      <c r="J311">
        <f>($B$1+Table4[[#This Row],[Home Differential]])-Table4[[#This Row],[Away Differential]]</f>
        <v>3.5918951302978314E-2</v>
      </c>
      <c r="K311" t="str">
        <f>IF(Table4[[#This Row],[HomeIce Differential]]&gt;0,Table4[[#This Row],[Home]],Table4[[#This Row],[Visitor]])</f>
        <v>San Jose Sharks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0.54494362267919882</v>
      </c>
      <c r="M311" t="str">
        <f>IF(OR((NHL2025_26Results[[#This Row],[Winning Team]]="")),"-",IF(Table4[[#This Row],[Predicted Winner]]=NHL2025_26Results[[#This Row],[Winning Team]],"YES","NO"))</f>
        <v>YES</v>
      </c>
      <c r="N311">
        <f>IF(Table4[[#This Row],[Adjusted Correct]]="-", "",IF(Table4[[#This Row],[Adjusted Correct]]="YES",(Table4[[#This Row],[Strength of Win]]-1)^2,(Table4[[#This Row],[Strength of Win]]-0)^2))</f>
        <v>0.20707630654033138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3.7016822058700272E-2</v>
      </c>
      <c r="H312" t="s">
        <v>24</v>
      </c>
      <c r="I312">
        <f>VLOOKUP(Table4[[#This Row],[Visitor]],'NHL Model'!$A$6:$B$38,2,FALSE)</f>
        <v>0.27405230796993052</v>
      </c>
      <c r="J312">
        <f>($B$1+Table4[[#This Row],[Home Differential]])-Table4[[#This Row],[Away Differential]]</f>
        <v>-2.9475301119221142E-2</v>
      </c>
      <c r="K312" t="str">
        <f>IF(Table4[[#This Row],[HomeIce Differential]]&gt;0,Table4[[#This Row],[Home]],Table4[[#This Row],[Visitor]])</f>
        <v>New Jersey Devils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0.50656932844344749</v>
      </c>
      <c r="M312" t="str">
        <f>IF(OR((NHL2025_26Results[[#This Row],[Winning Team]]="")),"-",IF(Table4[[#This Row],[Predicted Winner]]=NHL2025_26Results[[#This Row],[Winning Team]],"YES","NO"))</f>
        <v>NO</v>
      </c>
      <c r="N312">
        <f>IF(Table4[[#This Row],[Adjusted Correct]]="-", "",IF(Table4[[#This Row],[Adjusted Correct]]="YES",(Table4[[#This Row],[Strength of Win]]-1)^2,(Table4[[#This Row],[Strength of Win]]-0)^2))</f>
        <v>0.25661248451964536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-0.76384910289376506</v>
      </c>
      <c r="H313" t="s">
        <v>35</v>
      </c>
      <c r="I313">
        <f>VLOOKUP(Table4[[#This Row],[Visitor]],'NHL Model'!$A$6:$B$38,2,FALSE)</f>
        <v>-1.7049475448313323</v>
      </c>
      <c r="J313">
        <f>($B$1+Table4[[#This Row],[Home Differential]])-Table4[[#This Row],[Away Differential]]</f>
        <v>1.1486586267295764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0.71210962243118603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8.2880869496714263E-2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-5.3996763649808116E-4</v>
      </c>
      <c r="H314" t="s">
        <v>15</v>
      </c>
      <c r="I314">
        <f>VLOOKUP(Table4[[#This Row],[Visitor]],'NHL Model'!$A$6:$B$38,2,FALSE)</f>
        <v>-0.41117752232850285</v>
      </c>
      <c r="J314">
        <f>($B$1+Table4[[#This Row],[Home Differential]])-Table4[[#This Row],[Away Differential]]</f>
        <v>0.61819773948401391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0.50368888258602806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0.24632472526870544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0.16605329280468042</v>
      </c>
      <c r="H315" t="s">
        <v>28</v>
      </c>
      <c r="I315">
        <f>VLOOKUP(Table4[[#This Row],[Visitor]],'NHL Model'!$A$6:$B$38,2,FALSE)</f>
        <v>-0.58990467102727129</v>
      </c>
      <c r="J315">
        <f>($B$1+Table4[[#This Row],[Home Differential]])-Table4[[#This Row],[Away Differential]]</f>
        <v>0.96351814862396079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0.7243275921655371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7.5995276441250439E-2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0.49887659623169195</v>
      </c>
      <c r="H316" t="s">
        <v>21</v>
      </c>
      <c r="I316">
        <f>VLOOKUP(Table4[[#This Row],[Visitor]],'NHL Model'!$A$6:$B$38,2,FALSE)</f>
        <v>-0.11354210657072454</v>
      </c>
      <c r="J316">
        <f>($B$1+Table4[[#This Row],[Home Differential]])-Table4[[#This Row],[Away Differential]]</f>
        <v>0.81997888759442561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0.76828662967399342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5.3691085987837069E-2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-1.005023581214965</v>
      </c>
      <c r="H317" t="s">
        <v>16</v>
      </c>
      <c r="I317">
        <f>VLOOKUP(Table4[[#This Row],[Visitor]],'NHL Model'!$A$6:$B$38,2,FALSE)</f>
        <v>-1.2993694664931768</v>
      </c>
      <c r="J317">
        <f>($B$1+Table4[[#This Row],[Home Differential]])-Table4[[#This Row],[Away Differential]]</f>
        <v>0.50190607007022081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0.60907869358148403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0.37097685497492733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-0.52340626120007572</v>
      </c>
      <c r="H318" t="s">
        <v>25</v>
      </c>
      <c r="I318">
        <f>VLOOKUP(Table4[[#This Row],[Visitor]],'NHL Model'!$A$6:$B$38,2,FALSE)</f>
        <v>0.55298967972810642</v>
      </c>
      <c r="J318">
        <f>($B$1+Table4[[#This Row],[Home Differential]])-Table4[[#This Row],[Away Differential]]</f>
        <v>-0.86883575613617303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0.66053849031315059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0.43631109718517613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-3.9931837337852071E-3</v>
      </c>
      <c r="H319" t="s">
        <v>17</v>
      </c>
      <c r="I319">
        <f>VLOOKUP(Table4[[#This Row],[Visitor]],'NHL Model'!$A$6:$B$38,2,FALSE)</f>
        <v>-1.0049085234729234</v>
      </c>
      <c r="J319">
        <f>($B$1+Table4[[#This Row],[Home Differential]])-Table4[[#This Row],[Away Differential]]</f>
        <v>1.2084755245311474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0.70882124300339233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8.4785068526089497E-2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0.49887659623169195</v>
      </c>
      <c r="H320" t="s">
        <v>36</v>
      </c>
      <c r="I320">
        <f>VLOOKUP(Table4[[#This Row],[Visitor]],'NHL Model'!$A$6:$B$38,2,FALSE)</f>
        <v>-0.49956508239762204</v>
      </c>
      <c r="J320">
        <f>($B$1+Table4[[#This Row],[Home Differential]])-Table4[[#This Row],[Away Differential]]</f>
        <v>1.2060018634213232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0.82141601872248216</v>
      </c>
      <c r="M320" t="str">
        <f>IF(OR((NHL2025_26Results[[#This Row],[Winning Team]]="")),"-",IF(Table4[[#This Row],[Predicted Winner]]=NHL2025_26Results[[#This Row],[Winning Team]],"YES","NO"))</f>
        <v>-</v>
      </c>
      <c r="N320" t="str">
        <f>IF(Table4[[#This Row],[Adjusted Correct]]="-", "",IF(Table4[[#This Row],[Adjusted Correct]]="YES",(Table4[[#This Row],[Strength of Win]]-1)^2,(Table4[[#This Row],[Strength of Win]]-0)^2))</f>
        <v/>
      </c>
      <c r="O320">
        <v>1.2060018634213232</v>
      </c>
      <c r="P320" s="11">
        <v>0.82141601872248216</v>
      </c>
      <c r="Q320" t="s">
        <v>31</v>
      </c>
    </row>
    <row r="321" spans="4:17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0.28318004708662448</v>
      </c>
      <c r="H321" t="s">
        <v>32</v>
      </c>
      <c r="I321">
        <f>VLOOKUP(Table4[[#This Row],[Visitor]],'NHL Model'!$A$6:$B$38,2,FALSE)</f>
        <v>-0.54471700440519322</v>
      </c>
      <c r="J321">
        <f>($B$1+Table4[[#This Row],[Home Differential]])-Table4[[#This Row],[Away Differential]]</f>
        <v>1.0354572362838268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0.68955873942591128</v>
      </c>
      <c r="M321" t="str">
        <f>IF(OR((NHL2025_26Results[[#This Row],[Winning Team]]="")),"-",IF(Table4[[#This Row],[Predicted Winner]]=NHL2025_26Results[[#This Row],[Winning Team]],"YES","NO"))</f>
        <v>-</v>
      </c>
      <c r="N321" t="str">
        <f>IF(Table4[[#This Row],[Adjusted Correct]]="-", "",IF(Table4[[#This Row],[Adjusted Correct]]="YES",(Table4[[#This Row],[Strength of Win]]-1)^2,(Table4[[#This Row],[Strength of Win]]-0)^2))</f>
        <v/>
      </c>
      <c r="O321">
        <v>1.0354572362838268</v>
      </c>
      <c r="P321" s="11">
        <v>0.68955873942591128</v>
      </c>
      <c r="Q321" t="s">
        <v>10</v>
      </c>
    </row>
    <row r="322" spans="4:17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1.4229473251234224</v>
      </c>
      <c r="H322" t="s">
        <v>15</v>
      </c>
      <c r="I322">
        <f>VLOOKUP(Table4[[#This Row],[Visitor]],'NHL Model'!$A$6:$B$38,2,FALSE)</f>
        <v>-0.41117752232850285</v>
      </c>
      <c r="J322">
        <f>($B$1+Table4[[#This Row],[Home Differential]])-Table4[[#This Row],[Away Differential]]</f>
        <v>2.0416850322439344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0.79009355708149565</v>
      </c>
      <c r="M322" t="str">
        <f>IF(OR((NHL2025_26Results[[#This Row],[Winning Team]]="")),"-",IF(Table4[[#This Row],[Predicted Winner]]=NHL2025_26Results[[#This Row],[Winning Team]],"YES","NO"))</f>
        <v>-</v>
      </c>
      <c r="N322" t="str">
        <f>IF(Table4[[#This Row],[Adjusted Correct]]="-", "",IF(Table4[[#This Row],[Adjusted Correct]]="YES",(Table4[[#This Row],[Strength of Win]]-1)^2,(Table4[[#This Row],[Strength of Win]]-0)^2))</f>
        <v/>
      </c>
      <c r="O322">
        <v>2.0416850322439344</v>
      </c>
      <c r="P322" s="11">
        <v>0.79009355708149565</v>
      </c>
      <c r="Q322" t="s">
        <v>12</v>
      </c>
    </row>
    <row r="323" spans="4:17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-0.4992069962886943</v>
      </c>
      <c r="H323" t="s">
        <v>30</v>
      </c>
      <c r="I323">
        <f>VLOOKUP(Table4[[#This Row],[Visitor]],'NHL Model'!$A$6:$B$38,2,FALSE)</f>
        <v>-7.6737500378247253E-2</v>
      </c>
      <c r="J323">
        <f>($B$1+Table4[[#This Row],[Home Differential]])-Table4[[#This Row],[Away Differential]]</f>
        <v>-0.21490931111843795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0.50783942088355738</v>
      </c>
      <c r="M323" t="str">
        <f>IF(OR((NHL2025_26Results[[#This Row],[Winning Team]]="")),"-",IF(Table4[[#This Row],[Predicted Winner]]=NHL2025_26Results[[#This Row],[Winning Team]],"YES","NO"))</f>
        <v>-</v>
      </c>
      <c r="N323" t="str">
        <f>IF(Table4[[#This Row],[Adjusted Correct]]="-", "",IF(Table4[[#This Row],[Adjusted Correct]]="YES",(Table4[[#This Row],[Strength of Win]]-1)^2,(Table4[[#This Row],[Strength of Win]]-0)^2))</f>
        <v/>
      </c>
      <c r="O323">
        <v>-0.21490931111843795</v>
      </c>
      <c r="P323" s="11">
        <v>0.50783942088355738</v>
      </c>
      <c r="Q323" t="s">
        <v>30</v>
      </c>
    </row>
    <row r="324" spans="4:17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-0.2184338233275798</v>
      </c>
      <c r="H324" t="s">
        <v>24</v>
      </c>
      <c r="I324">
        <f>VLOOKUP(Table4[[#This Row],[Visitor]],'NHL Model'!$A$6:$B$38,2,FALSE)</f>
        <v>0.27405230796993052</v>
      </c>
      <c r="J324">
        <f>($B$1+Table4[[#This Row],[Home Differential]])-Table4[[#This Row],[Away Differential]]</f>
        <v>-0.28492594650550118</v>
      </c>
      <c r="K324" t="str">
        <f>IF(Table4[[#This Row],[HomeIce Differential]]&gt;0,Table4[[#This Row],[Home]],Table4[[#This Row],[Visitor]])</f>
        <v>New Jersey Devils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0.47717133510972853</v>
      </c>
      <c r="M324" t="str">
        <f>IF(OR((NHL2025_26Results[[#This Row],[Winning Team]]="")),"-",IF(Table4[[#This Row],[Predicted Winner]]=NHL2025_26Results[[#This Row],[Winning Team]],"YES","NO"))</f>
        <v>-</v>
      </c>
      <c r="N324" t="str">
        <f>IF(Table4[[#This Row],[Adjusted Correct]]="-", "",IF(Table4[[#This Row],[Adjusted Correct]]="YES",(Table4[[#This Row],[Strength of Win]]-1)^2,(Table4[[#This Row],[Strength of Win]]-0)^2))</f>
        <v/>
      </c>
      <c r="O324">
        <v>-0.28492594650550118</v>
      </c>
      <c r="P324" s="11">
        <v>0.47717133510972853</v>
      </c>
      <c r="Q324" t="s">
        <v>24</v>
      </c>
    </row>
    <row r="325" spans="4:17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-0.69497686531268954</v>
      </c>
      <c r="H325" t="s">
        <v>22</v>
      </c>
      <c r="I325">
        <f>VLOOKUP(Table4[[#This Row],[Visitor]],'NHL Model'!$A$6:$B$38,2,FALSE)</f>
        <v>-3.9931837337852071E-3</v>
      </c>
      <c r="J325">
        <f>($B$1+Table4[[#This Row],[Home Differential]])-Table4[[#This Row],[Away Differential]]</f>
        <v>-0.48342349678689522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0.52653488689618611</v>
      </c>
      <c r="M325" t="str">
        <f>IF(OR((NHL2025_26Results[[#This Row],[Winning Team]]="")),"-",IF(Table4[[#This Row],[Predicted Winner]]=NHL2025_26Results[[#This Row],[Winning Team]],"YES","NO"))</f>
        <v>-</v>
      </c>
      <c r="N325" t="str">
        <f>IF(Table4[[#This Row],[Adjusted Correct]]="-", "",IF(Table4[[#This Row],[Adjusted Correct]]="YES",(Table4[[#This Row],[Strength of Win]]-1)^2,(Table4[[#This Row],[Strength of Win]]-0)^2))</f>
        <v/>
      </c>
      <c r="O325">
        <v>-0.48342349678689522</v>
      </c>
      <c r="P325" s="11">
        <v>0.52653488689618611</v>
      </c>
      <c r="Q325" t="s">
        <v>22</v>
      </c>
    </row>
    <row r="326" spans="4:17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-0.59983976271417982</v>
      </c>
      <c r="H326" t="s">
        <v>35</v>
      </c>
      <c r="I326">
        <f>VLOOKUP(Table4[[#This Row],[Visitor]],'NHL Model'!$A$6:$B$38,2,FALSE)</f>
        <v>-1.7049475448313323</v>
      </c>
      <c r="J326">
        <f>($B$1+Table4[[#This Row],[Home Differential]])-Table4[[#This Row],[Away Differential]]</f>
        <v>1.3126679669091614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0.72316153141538597</v>
      </c>
      <c r="M326" t="str">
        <f>IF(OR((NHL2025_26Results[[#This Row],[Winning Team]]="")),"-",IF(Table4[[#This Row],[Predicted Winner]]=NHL2025_26Results[[#This Row],[Winning Team]],"YES","NO"))</f>
        <v>-</v>
      </c>
      <c r="N326" t="str">
        <f>IF(Table4[[#This Row],[Adjusted Correct]]="-", "",IF(Table4[[#This Row],[Adjusted Correct]]="YES",(Table4[[#This Row],[Strength of Win]]-1)^2,(Table4[[#This Row],[Strength of Win]]-0)^2))</f>
        <v/>
      </c>
      <c r="O326">
        <v>1.3126679669091614</v>
      </c>
      <c r="P326" s="11">
        <v>0.72316153141538597</v>
      </c>
      <c r="Q326" t="s">
        <v>27</v>
      </c>
    </row>
    <row r="327" spans="4:17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-0.41595305630289253</v>
      </c>
      <c r="H327" t="s">
        <v>13</v>
      </c>
      <c r="I327">
        <f>VLOOKUP(Table4[[#This Row],[Visitor]],'NHL Model'!$A$6:$B$38,2,FALSE)</f>
        <v>-0.16069632687214722</v>
      </c>
      <c r="J327">
        <f>($B$1+Table4[[#This Row],[Home Differential]])-Table4[[#This Row],[Away Differential]]</f>
        <v>-4.769654463873621E-2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0.56836235759955012</v>
      </c>
      <c r="M327" t="str">
        <f>IF(OR((NHL2025_26Results[[#This Row],[Winning Team]]="")),"-",IF(Table4[[#This Row],[Predicted Winner]]=NHL2025_26Results[[#This Row],[Winning Team]],"YES","NO"))</f>
        <v>-</v>
      </c>
      <c r="N327" t="str">
        <f>IF(Table4[[#This Row],[Adjusted Correct]]="-", "",IF(Table4[[#This Row],[Adjusted Correct]]="YES",(Table4[[#This Row],[Strength of Win]]-1)^2,(Table4[[#This Row],[Strength of Win]]-0)^2))</f>
        <v/>
      </c>
      <c r="O327">
        <v>-4.769654463873621E-2</v>
      </c>
      <c r="P327" s="11">
        <v>0.56836235759955012</v>
      </c>
      <c r="Q327" t="s">
        <v>13</v>
      </c>
    </row>
    <row r="328" spans="4:17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3.7016822058700272E-2</v>
      </c>
      <c r="H328" t="s">
        <v>17</v>
      </c>
      <c r="I328">
        <f>VLOOKUP(Table4[[#This Row],[Visitor]],'NHL Model'!$A$6:$B$38,2,FALSE)</f>
        <v>-1.0049085234729234</v>
      </c>
      <c r="J328">
        <f>($B$1+Table4[[#This Row],[Home Differential]])-Table4[[#This Row],[Away Differential]]</f>
        <v>1.2494855303236327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0.71197008211446478</v>
      </c>
      <c r="M328" t="str">
        <f>IF(OR((NHL2025_26Results[[#This Row],[Winning Team]]="")),"-",IF(Table4[[#This Row],[Predicted Winner]]=NHL2025_26Results[[#This Row],[Winning Team]],"YES","NO"))</f>
        <v>-</v>
      </c>
      <c r="N328" t="str">
        <f>IF(Table4[[#This Row],[Adjusted Correct]]="-", "",IF(Table4[[#This Row],[Adjusted Correct]]="YES",(Table4[[#This Row],[Strength of Win]]-1)^2,(Table4[[#This Row],[Strength of Win]]-0)^2))</f>
        <v/>
      </c>
      <c r="O328">
        <v>1.2494855303236327</v>
      </c>
      <c r="P328" s="11">
        <v>0.71197008211446478</v>
      </c>
      <c r="Q328" t="s">
        <v>37</v>
      </c>
    </row>
    <row r="329" spans="4:17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-0.76384910289376506</v>
      </c>
      <c r="H329" t="s">
        <v>28</v>
      </c>
      <c r="I329">
        <f>VLOOKUP(Table4[[#This Row],[Visitor]],'NHL Model'!$A$6:$B$38,2,FALSE)</f>
        <v>-0.58990467102727129</v>
      </c>
      <c r="J329">
        <f>($B$1+Table4[[#This Row],[Home Differential]])-Table4[[#This Row],[Away Differential]]</f>
        <v>3.361575292551533E-2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0.5586432477389025</v>
      </c>
      <c r="M329" t="str">
        <f>IF(OR((NHL2025_26Results[[#This Row],[Winning Team]]="")),"-",IF(Table4[[#This Row],[Predicted Winner]]=NHL2025_26Results[[#This Row],[Winning Team]],"YES","NO"))</f>
        <v>-</v>
      </c>
      <c r="N329" t="str">
        <f>IF(Table4[[#This Row],[Adjusted Correct]]="-", "",IF(Table4[[#This Row],[Adjusted Correct]]="YES",(Table4[[#This Row],[Strength of Win]]-1)^2,(Table4[[#This Row],[Strength of Win]]-0)^2))</f>
        <v/>
      </c>
      <c r="O329">
        <v>3.361575292551533E-2</v>
      </c>
      <c r="P329" s="11">
        <v>0.5586432477389025</v>
      </c>
      <c r="Q329" t="s">
        <v>19</v>
      </c>
    </row>
    <row r="330" spans="4:17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-0.24431182281386174</v>
      </c>
      <c r="H330" t="s">
        <v>20</v>
      </c>
      <c r="I330">
        <f>VLOOKUP(Table4[[#This Row],[Visitor]],'NHL Model'!$A$6:$B$38,2,FALSE)</f>
        <v>-5.3996763649808116E-4</v>
      </c>
      <c r="J330">
        <f>($B$1+Table4[[#This Row],[Home Differential]])-Table4[[#This Row],[Away Differential]]</f>
        <v>-3.6211670385354555E-2</v>
      </c>
      <c r="K330" t="str">
        <f>IF(Table4[[#This Row],[HomeIce Differential]]&gt;0,Table4[[#This Row],[Home]],Table4[[#This Row],[Visitor]])</f>
        <v>Vegas Golden Knights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0.4167486162827066</v>
      </c>
      <c r="M330" t="str">
        <f>IF(OR((NHL2025_26Results[[#This Row],[Winning Team]]="")),"-",IF(Table4[[#This Row],[Predicted Winner]]=NHL2025_26Results[[#This Row],[Winning Team]],"YES","NO"))</f>
        <v>-</v>
      </c>
      <c r="N330" t="str">
        <f>IF(Table4[[#This Row],[Adjusted Correct]]="-", "",IF(Table4[[#This Row],[Adjusted Correct]]="YES",(Table4[[#This Row],[Strength of Win]]-1)^2,(Table4[[#This Row],[Strength of Win]]-0)^2))</f>
        <v/>
      </c>
      <c r="O330">
        <v>-3.6211670385354555E-2</v>
      </c>
      <c r="P330" s="11">
        <v>0.4167486162827066</v>
      </c>
      <c r="Q330" t="s">
        <v>20</v>
      </c>
    </row>
    <row r="331" spans="4:17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-0.87761566951859371</v>
      </c>
      <c r="H331" t="s">
        <v>39</v>
      </c>
      <c r="I331">
        <f>VLOOKUP(Table4[[#This Row],[Visitor]],'NHL Model'!$A$6:$B$38,2,FALSE)</f>
        <v>4.3588947679693783E-2</v>
      </c>
      <c r="J331">
        <f>($B$1+Table4[[#This Row],[Home Differential]])-Table4[[#This Row],[Away Differential]]</f>
        <v>-0.7136444324062784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0.65070700646466861</v>
      </c>
      <c r="M331" t="str">
        <f>IF(OR((NHL2025_26Results[[#This Row],[Winning Team]]="")),"-",IF(Table4[[#This Row],[Predicted Winner]]=NHL2025_26Results[[#This Row],[Winning Team]],"YES","NO"))</f>
        <v>-</v>
      </c>
      <c r="N331" t="str">
        <f>IF(Table4[[#This Row],[Adjusted Correct]]="-", "",IF(Table4[[#This Row],[Adjusted Correct]]="YES",(Table4[[#This Row],[Strength of Win]]-1)^2,(Table4[[#This Row],[Strength of Win]]-0)^2))</f>
        <v/>
      </c>
      <c r="O331">
        <v>-0.7136444324062784</v>
      </c>
      <c r="P331" s="11">
        <v>0.65070700646466861</v>
      </c>
      <c r="Q331" t="s">
        <v>39</v>
      </c>
    </row>
    <row r="332" spans="4:17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-1.005023581214965</v>
      </c>
      <c r="H332" t="s">
        <v>10</v>
      </c>
      <c r="I332">
        <f>VLOOKUP(Table4[[#This Row],[Visitor]],'NHL Model'!$A$6:$B$38,2,FALSE)</f>
        <v>0.28318004708662448</v>
      </c>
      <c r="J332">
        <f>($B$1+Table4[[#This Row],[Home Differential]])-Table4[[#This Row],[Away Differential]]</f>
        <v>-1.0806434435095804</v>
      </c>
      <c r="K332" t="str">
        <f>IF(Table4[[#This Row],[HomeIce Differential]]&gt;0,Table4[[#This Row],[Home]],Table4[[#This Row],[Visitor]])</f>
        <v>Chicago Blackhawks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0.62950111857962099</v>
      </c>
      <c r="M332" t="str">
        <f>IF(OR((NHL2025_26Results[[#This Row],[Winning Team]]="")),"-",IF(Table4[[#This Row],[Predicted Winner]]=NHL2025_26Results[[#This Row],[Winning Team]],"YES","NO"))</f>
        <v>-</v>
      </c>
      <c r="N332" t="str">
        <f>IF(Table4[[#This Row],[Adjusted Correct]]="-", "",IF(Table4[[#This Row],[Adjusted Correct]]="YES",(Table4[[#This Row],[Strength of Win]]-1)^2,(Table4[[#This Row],[Strength of Win]]-0)^2))</f>
        <v/>
      </c>
      <c r="P332" s="11"/>
    </row>
    <row r="333" spans="4:17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-0.16069632687214722</v>
      </c>
      <c r="H333" t="s">
        <v>21</v>
      </c>
      <c r="I333">
        <f>VLOOKUP(Table4[[#This Row],[Visitor]],'NHL Model'!$A$6:$B$38,2,FALSE)</f>
        <v>-0.11354210657072454</v>
      </c>
      <c r="J333">
        <f>($B$1+Table4[[#This Row],[Home Differential]])-Table4[[#This Row],[Away Differential]]</f>
        <v>0.16040596449058642</v>
      </c>
      <c r="K333" t="str">
        <f>IF(Table4[[#This Row],[HomeIce Differential]]&gt;0,Table4[[#This Row],[Home]],Table4[[#This Row],[Visitor]])</f>
        <v>Los Angeles Kings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0.56207710791012622</v>
      </c>
      <c r="M333" t="str">
        <f>IF(OR((NHL2025_26Results[[#This Row],[Winning Team]]="")),"-",IF(Table4[[#This Row],[Predicted Winner]]=NHL2025_26Results[[#This Row],[Winning Team]],"YES","NO"))</f>
        <v>-</v>
      </c>
      <c r="N333" t="str">
        <f>IF(Table4[[#This Row],[Adjusted Correct]]="-", "",IF(Table4[[#This Row],[Adjusted Correct]]="YES",(Table4[[#This Row],[Strength of Win]]-1)^2,(Table4[[#This Row],[Strength of Win]]-0)^2))</f>
        <v/>
      </c>
      <c r="P333" s="11"/>
    </row>
    <row r="334" spans="4:17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0.19812979206825923</v>
      </c>
      <c r="H334" t="s">
        <v>34</v>
      </c>
      <c r="I334">
        <f>VLOOKUP(Table4[[#This Row],[Visitor]],'NHL Model'!$A$6:$B$38,2,FALSE)</f>
        <v>-0.52340626120007572</v>
      </c>
      <c r="J334">
        <f>($B$1+Table4[[#This Row],[Home Differential]])-Table4[[#This Row],[Away Differential]]</f>
        <v>0.92909623806034403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0.70391090129132294</v>
      </c>
      <c r="M334" t="str">
        <f>IF(OR((NHL2025_26Results[[#This Row],[Winning Team]]="")),"-",IF(Table4[[#This Row],[Predicted Winner]]=NHL2025_26Results[[#This Row],[Winning Team]],"YES","NO"))</f>
        <v>-</v>
      </c>
      <c r="N334" t="str">
        <f>IF(Table4[[#This Row],[Adjusted Correct]]="-", "",IF(Table4[[#This Row],[Adjusted Correct]]="YES",(Table4[[#This Row],[Strength of Win]]-1)^2,(Table4[[#This Row],[Strength of Win]]-0)^2))</f>
        <v/>
      </c>
      <c r="P334" s="11"/>
    </row>
    <row r="335" spans="4:17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0.16605329280468042</v>
      </c>
      <c r="H335" t="s">
        <v>25</v>
      </c>
      <c r="I335">
        <f>VLOOKUP(Table4[[#This Row],[Visitor]],'NHL Model'!$A$6:$B$38,2,FALSE)</f>
        <v>0.55298967972810642</v>
      </c>
      <c r="J335">
        <f>($B$1+Table4[[#This Row],[Home Differential]])-Table4[[#This Row],[Away Differential]]</f>
        <v>-0.17937620213141692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0.51306012618673769</v>
      </c>
      <c r="M335" t="str">
        <f>IF(OR((NHL2025_26Results[[#This Row],[Winning Team]]="")),"-",IF(Table4[[#This Row],[Predicted Winner]]=NHL2025_26Results[[#This Row],[Winning Team]],"YES","NO"))</f>
        <v>-</v>
      </c>
      <c r="N335" t="str">
        <f>IF(Table4[[#This Row],[Adjusted Correct]]="-", "",IF(Table4[[#This Row],[Adjusted Correct]]="YES",(Table4[[#This Row],[Strength of Win]]-1)^2,(Table4[[#This Row],[Strength of Win]]-0)^2))</f>
        <v/>
      </c>
      <c r="P335" s="11"/>
    </row>
    <row r="336" spans="4:17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0.49887659623169195</v>
      </c>
      <c r="H336" t="s">
        <v>20</v>
      </c>
      <c r="I336">
        <f>VLOOKUP(Table4[[#This Row],[Visitor]],'NHL Model'!$A$6:$B$38,2,FALSE)</f>
        <v>-5.3996763649808116E-4</v>
      </c>
      <c r="J336">
        <f>($B$1+Table4[[#This Row],[Home Differential]])-Table4[[#This Row],[Away Differential]]</f>
        <v>0.70697674866019922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0.73366676358642324</v>
      </c>
      <c r="M336" t="str">
        <f>IF(OR((NHL2025_26Results[[#This Row],[Winning Team]]="")),"-",IF(Table4[[#This Row],[Predicted Winner]]=NHL2025_26Results[[#This Row],[Winning Team]],"YES","NO"))</f>
        <v>-</v>
      </c>
      <c r="N336" t="str">
        <f>IF(Table4[[#This Row],[Adjusted Correct]]="-", "",IF(Table4[[#This Row],[Adjusted Correct]]="YES",(Table4[[#This Row],[Strength of Win]]-1)^2,(Table4[[#This Row],[Strength of Win]]-0)^2))</f>
        <v/>
      </c>
      <c r="P336" s="11"/>
    </row>
    <row r="337" spans="4:16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-1.2993694664931768</v>
      </c>
      <c r="H337" t="s">
        <v>39</v>
      </c>
      <c r="I337">
        <f>VLOOKUP(Table4[[#This Row],[Visitor]],'NHL Model'!$A$6:$B$38,2,FALSE)</f>
        <v>4.3588947679693783E-2</v>
      </c>
      <c r="J337">
        <f>($B$1+Table4[[#This Row],[Home Differential]])-Table4[[#This Row],[Away Differential]]</f>
        <v>-1.1353982293808615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0.7087541253288786</v>
      </c>
      <c r="M337" t="str">
        <f>IF(OR((NHL2025_26Results[[#This Row],[Winning Team]]="")),"-",IF(Table4[[#This Row],[Predicted Winner]]=NHL2025_26Results[[#This Row],[Winning Team]],"YES","NO"))</f>
        <v>-</v>
      </c>
      <c r="N337" t="str">
        <f>IF(Table4[[#This Row],[Adjusted Correct]]="-", "",IF(Table4[[#This Row],[Adjusted Correct]]="YES",(Table4[[#This Row],[Strength of Win]]-1)^2,(Table4[[#This Row],[Strength of Win]]-0)^2))</f>
        <v/>
      </c>
      <c r="P337" s="11"/>
    </row>
    <row r="338" spans="4:16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-0.4992069962886943</v>
      </c>
      <c r="H338" t="s">
        <v>28</v>
      </c>
      <c r="I338">
        <f>VLOOKUP(Table4[[#This Row],[Visitor]],'NHL Model'!$A$6:$B$38,2,FALSE)</f>
        <v>-0.58990467102727129</v>
      </c>
      <c r="J338">
        <f>($B$1+Table4[[#This Row],[Home Differential]])-Table4[[#This Row],[Away Differential]]</f>
        <v>0.29825785953058609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0.62148121552175317</v>
      </c>
      <c r="M338" t="str">
        <f>IF(OR((NHL2025_26Results[[#This Row],[Winning Team]]="")),"-",IF(Table4[[#This Row],[Predicted Winner]]=NHL2025_26Results[[#This Row],[Winning Team]],"YES","NO"))</f>
        <v>-</v>
      </c>
      <c r="N338" t="str">
        <f>IF(Table4[[#This Row],[Adjusted Correct]]="-", "",IF(Table4[[#This Row],[Adjusted Correct]]="YES",(Table4[[#This Row],[Strength of Win]]-1)^2,(Table4[[#This Row],[Strength of Win]]-0)^2))</f>
        <v/>
      </c>
      <c r="P338" s="11"/>
    </row>
    <row r="339" spans="4:16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-0.2184338233275798</v>
      </c>
      <c r="H339" t="s">
        <v>17</v>
      </c>
      <c r="I339">
        <f>VLOOKUP(Table4[[#This Row],[Visitor]],'NHL Model'!$A$6:$B$38,2,FALSE)</f>
        <v>-1.0049085234729234</v>
      </c>
      <c r="J339">
        <f>($B$1+Table4[[#This Row],[Home Differential]])-Table4[[#This Row],[Away Differential]]</f>
        <v>0.9940348849373527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0.7402599928757444</v>
      </c>
      <c r="M339" t="str">
        <f>IF(OR((NHL2025_26Results[[#This Row],[Winning Team]]="")),"-",IF(Table4[[#This Row],[Predicted Winner]]=NHL2025_26Results[[#This Row],[Winning Team]],"YES","NO"))</f>
        <v>-</v>
      </c>
      <c r="N339" t="str">
        <f>IF(Table4[[#This Row],[Adjusted Correct]]="-", "",IF(Table4[[#This Row],[Adjusted Correct]]="YES",(Table4[[#This Row],[Strength of Win]]-1)^2,(Table4[[#This Row],[Strength of Win]]-0)^2))</f>
        <v/>
      </c>
      <c r="P339" s="11"/>
    </row>
    <row r="340" spans="4:16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-0.69497686531268954</v>
      </c>
      <c r="H340" t="s">
        <v>19</v>
      </c>
      <c r="I340">
        <f>VLOOKUP(Table4[[#This Row],[Visitor]],'NHL Model'!$A$6:$B$38,2,FALSE)</f>
        <v>-0.76384910289376506</v>
      </c>
      <c r="J340">
        <f>($B$1+Table4[[#This Row],[Home Differential]])-Table4[[#This Row],[Away Differential]]</f>
        <v>0.27643242237308463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0.57804614396957987</v>
      </c>
      <c r="M340" t="str">
        <f>IF(OR((NHL2025_26Results[[#This Row],[Winning Team]]="")),"-",IF(Table4[[#This Row],[Predicted Winner]]=NHL2025_26Results[[#This Row],[Winning Team]],"YES","NO"))</f>
        <v>-</v>
      </c>
      <c r="N340" t="str">
        <f>IF(Table4[[#This Row],[Adjusted Correct]]="-", "",IF(Table4[[#This Row],[Adjusted Correct]]="YES",(Table4[[#This Row],[Strength of Win]]-1)^2,(Table4[[#This Row],[Strength of Win]]-0)^2))</f>
        <v/>
      </c>
      <c r="P340" s="11"/>
    </row>
    <row r="341" spans="4:16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-1.4393526815815083</v>
      </c>
      <c r="H341" t="s">
        <v>12</v>
      </c>
      <c r="I341">
        <f>VLOOKUP(Table4[[#This Row],[Visitor]],'NHL Model'!$A$6:$B$38,2,FALSE)</f>
        <v>1.4229473251234224</v>
      </c>
      <c r="J341">
        <f>($B$1+Table4[[#This Row],[Home Differential]])-Table4[[#This Row],[Away Differential]]</f>
        <v>-2.6547398219129219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0.89169483075690426</v>
      </c>
      <c r="M341" t="str">
        <f>IF(OR((NHL2025_26Results[[#This Row],[Winning Team]]="")),"-",IF(Table4[[#This Row],[Predicted Winner]]=NHL2025_26Results[[#This Row],[Winning Team]],"YES","NO"))</f>
        <v>-</v>
      </c>
      <c r="N341" t="str">
        <f>IF(Table4[[#This Row],[Adjusted Correct]]="-", "",IF(Table4[[#This Row],[Adjusted Correct]]="YES",(Table4[[#This Row],[Strength of Win]]-1)^2,(Table4[[#This Row],[Strength of Win]]-0)^2))</f>
        <v/>
      </c>
      <c r="P341" s="11"/>
    </row>
    <row r="342" spans="4:16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-7.6737500378247253E-2</v>
      </c>
      <c r="H342" t="s">
        <v>35</v>
      </c>
      <c r="I342">
        <f>VLOOKUP(Table4[[#This Row],[Visitor]],'NHL Model'!$A$6:$B$38,2,FALSE)</f>
        <v>-1.7049475448313323</v>
      </c>
      <c r="J342">
        <f>($B$1+Table4[[#This Row],[Home Differential]])-Table4[[#This Row],[Away Differential]]</f>
        <v>1.8357702292450941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0.79266203521764589</v>
      </c>
      <c r="M342" t="str">
        <f>IF(OR((NHL2025_26Results[[#This Row],[Winning Team]]="")),"-",IF(Table4[[#This Row],[Predicted Winner]]=NHL2025_26Results[[#This Row],[Winning Team]],"YES","NO"))</f>
        <v>-</v>
      </c>
      <c r="N342" t="str">
        <f>IF(Table4[[#This Row],[Adjusted Correct]]="-", "",IF(Table4[[#This Row],[Adjusted Correct]]="YES",(Table4[[#This Row],[Strength of Win]]-1)^2,(Table4[[#This Row],[Strength of Win]]-0)^2))</f>
        <v/>
      </c>
      <c r="P342" s="11"/>
    </row>
    <row r="343" spans="4:16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-0.59983976271417982</v>
      </c>
      <c r="H343" t="s">
        <v>24</v>
      </c>
      <c r="I343">
        <f>VLOOKUP(Table4[[#This Row],[Visitor]],'NHL Model'!$A$6:$B$38,2,FALSE)</f>
        <v>0.27405230796993052</v>
      </c>
      <c r="J343">
        <f>($B$1+Table4[[#This Row],[Home Differential]])-Table4[[#This Row],[Away Differential]]</f>
        <v>-0.66633188589210124</v>
      </c>
      <c r="K343" t="str">
        <f>IF(Table4[[#This Row],[HomeIce Differential]]&gt;0,Table4[[#This Row],[Home]],Table4[[#This Row],[Visitor]])</f>
        <v>New Jersey Devils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0.5917090645320805</v>
      </c>
      <c r="M343" t="str">
        <f>IF(OR((NHL2025_26Results[[#This Row],[Winning Team]]="")),"-",IF(Table4[[#This Row],[Predicted Winner]]=NHL2025_26Results[[#This Row],[Winning Team]],"YES","NO"))</f>
        <v>-</v>
      </c>
      <c r="N343" t="str">
        <f>IF(Table4[[#This Row],[Adjusted Correct]]="-", "",IF(Table4[[#This Row],[Adjusted Correct]]="YES",(Table4[[#This Row],[Strength of Win]]-1)^2,(Table4[[#This Row],[Strength of Win]]-0)^2))</f>
        <v/>
      </c>
      <c r="P343" s="11"/>
    </row>
    <row r="344" spans="4:16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0.19812979206825923</v>
      </c>
      <c r="H344" t="s">
        <v>32</v>
      </c>
      <c r="I344">
        <f>VLOOKUP(Table4[[#This Row],[Visitor]],'NHL Model'!$A$6:$B$38,2,FALSE)</f>
        <v>-0.54471700440519322</v>
      </c>
      <c r="J344">
        <f>($B$1+Table4[[#This Row],[Home Differential]])-Table4[[#This Row],[Away Differential]]</f>
        <v>0.95040698126546153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0.7068439566728888</v>
      </c>
      <c r="M344" t="str">
        <f>IF(OR((NHL2025_26Results[[#This Row],[Winning Team]]="")),"-",IF(Table4[[#This Row],[Predicted Winner]]=NHL2025_26Results[[#This Row],[Winning Team]],"YES","NO"))</f>
        <v>-</v>
      </c>
      <c r="N344" t="str">
        <f>IF(Table4[[#This Row],[Adjusted Correct]]="-", "",IF(Table4[[#This Row],[Adjusted Correct]]="YES",(Table4[[#This Row],[Strength of Win]]-1)^2,(Table4[[#This Row],[Strength of Win]]-0)^2))</f>
        <v/>
      </c>
      <c r="P344" s="11"/>
    </row>
    <row r="345" spans="4:16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-0.41595305630289253</v>
      </c>
      <c r="H345" t="s">
        <v>36</v>
      </c>
      <c r="I345">
        <f>VLOOKUP(Table4[[#This Row],[Visitor]],'NHL Model'!$A$6:$B$38,2,FALSE)</f>
        <v>-0.49956508239762204</v>
      </c>
      <c r="J345">
        <f>($B$1+Table4[[#This Row],[Home Differential]])-Table4[[#This Row],[Away Differential]]</f>
        <v>0.29117221088673861</v>
      </c>
      <c r="K345" t="str">
        <f>IF(Table4[[#This Row],[HomeIce Differential]]&gt;0,Table4[[#This Row],[Home]],Table4[[#This Row],[Visitor]])</f>
        <v>San Jose Sharks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0.58007482103668151</v>
      </c>
      <c r="M345" t="str">
        <f>IF(OR((NHL2025_26Results[[#This Row],[Winning Team]]="")),"-",IF(Table4[[#This Row],[Predicted Winner]]=NHL2025_26Results[[#This Row],[Winning Team]],"YES","NO"))</f>
        <v>-</v>
      </c>
      <c r="N345" t="str">
        <f>IF(Table4[[#This Row],[Adjusted Correct]]="-", "",IF(Table4[[#This Row],[Adjusted Correct]]="YES",(Table4[[#This Row],[Strength of Win]]-1)^2,(Table4[[#This Row],[Strength of Win]]-0)^2))</f>
        <v/>
      </c>
      <c r="P345" s="11"/>
    </row>
    <row r="346" spans="4:16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-0.24431182281386174</v>
      </c>
      <c r="H346" t="s">
        <v>15</v>
      </c>
      <c r="I346">
        <f>VLOOKUP(Table4[[#This Row],[Visitor]],'NHL Model'!$A$6:$B$38,2,FALSE)</f>
        <v>-0.41117752232850285</v>
      </c>
      <c r="J346">
        <f>($B$1+Table4[[#This Row],[Home Differential]])-Table4[[#This Row],[Away Differential]]</f>
        <v>0.37442588430665025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0.53933812794029212</v>
      </c>
      <c r="M346" t="str">
        <f>IF(OR((NHL2025_26Results[[#This Row],[Winning Team]]="")),"-",IF(Table4[[#This Row],[Predicted Winner]]=NHL2025_26Results[[#This Row],[Winning Team]],"YES","NO"))</f>
        <v>-</v>
      </c>
      <c r="N346" t="str">
        <f>IF(Table4[[#This Row],[Adjusted Correct]]="-", "",IF(Table4[[#This Row],[Adjusted Correct]]="YES",(Table4[[#This Row],[Strength of Win]]-1)^2,(Table4[[#This Row],[Strength of Win]]-0)^2))</f>
        <v/>
      </c>
      <c r="P346" s="11"/>
    </row>
    <row r="347" spans="4:16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-3.9931837337852071E-3</v>
      </c>
      <c r="H347" t="s">
        <v>37</v>
      </c>
      <c r="I347">
        <f>VLOOKUP(Table4[[#This Row],[Visitor]],'NHL Model'!$A$6:$B$38,2,FALSE)</f>
        <v>3.7016822058700272E-2</v>
      </c>
      <c r="J347">
        <f>($B$1+Table4[[#This Row],[Home Differential]])-Table4[[#This Row],[Away Differential]]</f>
        <v>0.16655017899952362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0.51833559685265684</v>
      </c>
      <c r="M347" t="str">
        <f>IF(OR((NHL2025_26Results[[#This Row],[Winning Team]]="")),"-",IF(Table4[[#This Row],[Predicted Winner]]=NHL2025_26Results[[#This Row],[Winning Team]],"YES","NO"))</f>
        <v>-</v>
      </c>
      <c r="N347" t="str">
        <f>IF(Table4[[#This Row],[Adjusted Correct]]="-", "",IF(Table4[[#This Row],[Adjusted Correct]]="YES",(Table4[[#This Row],[Strength of Win]]-1)^2,(Table4[[#This Row],[Strength of Win]]-0)^2))</f>
        <v/>
      </c>
      <c r="P347" s="11"/>
    </row>
    <row r="348" spans="4:16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-1.005023581214965</v>
      </c>
      <c r="H348" t="s">
        <v>25</v>
      </c>
      <c r="I348">
        <f>VLOOKUP(Table4[[#This Row],[Visitor]],'NHL Model'!$A$6:$B$38,2,FALSE)</f>
        <v>0.55298967972810642</v>
      </c>
      <c r="J348">
        <f>($B$1+Table4[[#This Row],[Home Differential]])-Table4[[#This Row],[Away Differential]]</f>
        <v>-1.3504530761510622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0.72682478820189567</v>
      </c>
      <c r="M348" t="str">
        <f>IF(OR((NHL2025_26Results[[#This Row],[Winning Team]]="")),"-",IF(Table4[[#This Row],[Predicted Winner]]=NHL2025_26Results[[#This Row],[Winning Team]],"YES","NO"))</f>
        <v>-</v>
      </c>
      <c r="N348" t="str">
        <f>IF(Table4[[#This Row],[Adjusted Correct]]="-", "",IF(Table4[[#This Row],[Adjusted Correct]]="YES",(Table4[[#This Row],[Strength of Win]]-1)^2,(Table4[[#This Row],[Strength of Win]]-0)^2))</f>
        <v/>
      </c>
      <c r="P348" s="11"/>
    </row>
    <row r="349" spans="4:16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0.28318004708662448</v>
      </c>
      <c r="H349" t="s">
        <v>12</v>
      </c>
      <c r="I349">
        <f>VLOOKUP(Table4[[#This Row],[Visitor]],'NHL Model'!$A$6:$B$38,2,FALSE)</f>
        <v>1.4229473251234224</v>
      </c>
      <c r="J349">
        <f>($B$1+Table4[[#This Row],[Home Differential]])-Table4[[#This Row],[Away Differential]]</f>
        <v>-0.93220709324478879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0.64753295959824797</v>
      </c>
      <c r="M349" t="str">
        <f>IF(OR((NHL2025_26Results[[#This Row],[Winning Team]]="")),"-",IF(Table4[[#This Row],[Predicted Winner]]=NHL2025_26Results[[#This Row],[Winning Team]],"YES","NO"))</f>
        <v>-</v>
      </c>
      <c r="N349" t="str">
        <f>IF(Table4[[#This Row],[Adjusted Correct]]="-", "",IF(Table4[[#This Row],[Adjusted Correct]]="YES",(Table4[[#This Row],[Strength of Win]]-1)^2,(Table4[[#This Row],[Strength of Win]]-0)^2))</f>
        <v/>
      </c>
      <c r="P349" s="11"/>
    </row>
    <row r="350" spans="4:16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-7.6737500378247253E-2</v>
      </c>
      <c r="H350" t="s">
        <v>32</v>
      </c>
      <c r="I350">
        <f>VLOOKUP(Table4[[#This Row],[Visitor]],'NHL Model'!$A$6:$B$38,2,FALSE)</f>
        <v>-0.54471700440519322</v>
      </c>
      <c r="J350">
        <f>($B$1+Table4[[#This Row],[Home Differential]])-Table4[[#This Row],[Away Differential]]</f>
        <v>0.6755396888189551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0.63297635942025321</v>
      </c>
      <c r="M350" t="str">
        <f>IF(OR((NHL2025_26Results[[#This Row],[Winning Team]]="")),"-",IF(Table4[[#This Row],[Predicted Winner]]=NHL2025_26Results[[#This Row],[Winning Team]],"YES","NO"))</f>
        <v>-</v>
      </c>
      <c r="N350" t="str">
        <f>IF(Table4[[#This Row],[Adjusted Correct]]="-", "",IF(Table4[[#This Row],[Adjusted Correct]]="YES",(Table4[[#This Row],[Strength of Win]]-1)^2,(Table4[[#This Row],[Strength of Win]]-0)^2))</f>
        <v/>
      </c>
      <c r="P350" s="11"/>
    </row>
    <row r="351" spans="4:16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-0.41595305630289253</v>
      </c>
      <c r="H351" t="s">
        <v>21</v>
      </c>
      <c r="I351">
        <f>VLOOKUP(Table4[[#This Row],[Visitor]],'NHL Model'!$A$6:$B$38,2,FALSE)</f>
        <v>-0.11354210657072454</v>
      </c>
      <c r="J351">
        <f>($B$1+Table4[[#This Row],[Home Differential]])-Table4[[#This Row],[Away Differential]]</f>
        <v>-9.4850764940158885E-2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0.47305456801180729</v>
      </c>
      <c r="M351" t="str">
        <f>IF(OR((NHL2025_26Results[[#This Row],[Winning Team]]="")),"-",IF(Table4[[#This Row],[Predicted Winner]]=NHL2025_26Results[[#This Row],[Winning Team]],"YES","NO"))</f>
        <v>-</v>
      </c>
      <c r="N351" t="str">
        <f>IF(Table4[[#This Row],[Adjusted Correct]]="-", "",IF(Table4[[#This Row],[Adjusted Correct]]="YES",(Table4[[#This Row],[Strength of Win]]-1)^2,(Table4[[#This Row],[Strength of Win]]-0)^2))</f>
        <v/>
      </c>
      <c r="P351" s="11"/>
    </row>
    <row r="352" spans="4:16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-0.87761566951859371</v>
      </c>
      <c r="H352" t="s">
        <v>16</v>
      </c>
      <c r="I352">
        <f>VLOOKUP(Table4[[#This Row],[Visitor]],'NHL Model'!$A$6:$B$38,2,FALSE)</f>
        <v>-1.2993694664931768</v>
      </c>
      <c r="J352">
        <f>($B$1+Table4[[#This Row],[Home Differential]])-Table4[[#This Row],[Away Differential]]</f>
        <v>0.62931398176659215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0.62661418999558205</v>
      </c>
      <c r="M352" t="str">
        <f>IF(OR((NHL2025_26Results[[#This Row],[Winning Team]]="")),"-",IF(Table4[[#This Row],[Predicted Winner]]=NHL2025_26Results[[#This Row],[Winning Team]],"YES","NO"))</f>
        <v>-</v>
      </c>
      <c r="N352" t="str">
        <f>IF(Table4[[#This Row],[Adjusted Correct]]="-", "",IF(Table4[[#This Row],[Adjusted Correct]]="YES",(Table4[[#This Row],[Strength of Win]]-1)^2,(Table4[[#This Row],[Strength of Win]]-0)^2))</f>
        <v/>
      </c>
      <c r="P352" s="11"/>
    </row>
    <row r="353" spans="4:16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0.16605329280468042</v>
      </c>
      <c r="H353" t="s">
        <v>34</v>
      </c>
      <c r="I353">
        <f>VLOOKUP(Table4[[#This Row],[Visitor]],'NHL Model'!$A$6:$B$38,2,FALSE)</f>
        <v>-0.52340626120007572</v>
      </c>
      <c r="J353">
        <f>($B$1+Table4[[#This Row],[Home Differential]])-Table4[[#This Row],[Away Differential]]</f>
        <v>0.89701973879676522</v>
      </c>
      <c r="K353" t="str">
        <f>IF(Table4[[#This Row],[HomeIce Differential]]&gt;0,Table4[[#This Row],[Home]],Table4[[#This Row],[Visitor]])</f>
        <v>Winnipeg Jets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0.7151752356788621</v>
      </c>
      <c r="M353" t="str">
        <f>IF(OR((NHL2025_26Results[[#This Row],[Winning Team]]="")),"-",IF(Table4[[#This Row],[Predicted Winner]]=NHL2025_26Results[[#This Row],[Winning Team]],"YES","NO"))</f>
        <v>-</v>
      </c>
      <c r="N353" t="str">
        <f>IF(Table4[[#This Row],[Adjusted Correct]]="-", "",IF(Table4[[#This Row],[Adjusted Correct]]="YES",(Table4[[#This Row],[Strength of Win]]-1)^2,(Table4[[#This Row],[Strength of Win]]-0)^2))</f>
        <v/>
      </c>
      <c r="P353" s="11"/>
    </row>
    <row r="354" spans="4:16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-0.16069632687214722</v>
      </c>
      <c r="H354" t="s">
        <v>36</v>
      </c>
      <c r="I354">
        <f>VLOOKUP(Table4[[#This Row],[Visitor]],'NHL Model'!$A$6:$B$38,2,FALSE)</f>
        <v>-0.49956508239762204</v>
      </c>
      <c r="J354">
        <f>($B$1+Table4[[#This Row],[Home Differential]])-Table4[[#This Row],[Away Differential]]</f>
        <v>0.5464289403174839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0.61520649695861496</v>
      </c>
      <c r="M354" t="str">
        <f>IF(OR((NHL2025_26Results[[#This Row],[Winning Team]]="")),"-",IF(Table4[[#This Row],[Predicted Winner]]=NHL2025_26Results[[#This Row],[Winning Team]],"YES","NO"))</f>
        <v>-</v>
      </c>
      <c r="N354" t="str">
        <f>IF(Table4[[#This Row],[Adjusted Correct]]="-", "",IF(Table4[[#This Row],[Adjusted Correct]]="YES",(Table4[[#This Row],[Strength of Win]]-1)^2,(Table4[[#This Row],[Strength of Win]]-0)^2))</f>
        <v/>
      </c>
      <c r="P354" s="11"/>
    </row>
    <row r="355" spans="4:16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0.27405230796993052</v>
      </c>
      <c r="H355" t="s">
        <v>26</v>
      </c>
      <c r="I355">
        <f>VLOOKUP(Table4[[#This Row],[Visitor]],'NHL Model'!$A$6:$B$38,2,FALSE)</f>
        <v>-0.4992069962886943</v>
      </c>
      <c r="J355">
        <f>($B$1+Table4[[#This Row],[Home Differential]])-Table4[[#This Row],[Away Differential]]</f>
        <v>0.98081948905063387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0.74664333167482977</v>
      </c>
      <c r="M355" t="str">
        <f>IF(OR((NHL2025_26Results[[#This Row],[Winning Team]]="")),"-",IF(Table4[[#This Row],[Predicted Winner]]=NHL2025_26Results[[#This Row],[Winning Team]],"YES","NO"))</f>
        <v>-</v>
      </c>
      <c r="N355" t="str">
        <f>IF(Table4[[#This Row],[Adjusted Correct]]="-", "",IF(Table4[[#This Row],[Adjusted Correct]]="YES",(Table4[[#This Row],[Strength of Win]]-1)^2,(Table4[[#This Row],[Strength of Win]]-0)^2))</f>
        <v/>
      </c>
      <c r="P355" s="11"/>
    </row>
    <row r="356" spans="4:16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-1.4393526815815083</v>
      </c>
      <c r="H356" t="s">
        <v>11</v>
      </c>
      <c r="I356">
        <f>VLOOKUP(Table4[[#This Row],[Visitor]],'NHL Model'!$A$6:$B$38,2,FALSE)</f>
        <v>-0.2184338233275798</v>
      </c>
      <c r="J356">
        <f>($B$1+Table4[[#This Row],[Home Differential]])-Table4[[#This Row],[Away Differential]]</f>
        <v>-1.0133586734619195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0.59947130243398172</v>
      </c>
      <c r="M356" t="str">
        <f>IF(OR((NHL2025_26Results[[#This Row],[Winning Team]]="")),"-",IF(Table4[[#This Row],[Predicted Winner]]=NHL2025_26Results[[#This Row],[Winning Team]],"YES","NO"))</f>
        <v>-</v>
      </c>
      <c r="N356" t="str">
        <f>IF(Table4[[#This Row],[Adjusted Correct]]="-", "",IF(Table4[[#This Row],[Adjusted Correct]]="YES",(Table4[[#This Row],[Strength of Win]]-1)^2,(Table4[[#This Row],[Strength of Win]]-0)^2))</f>
        <v/>
      </c>
      <c r="P356" s="11"/>
    </row>
    <row r="357" spans="4:16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-0.41117752232850285</v>
      </c>
      <c r="H357" t="s">
        <v>35</v>
      </c>
      <c r="I357">
        <f>VLOOKUP(Table4[[#This Row],[Visitor]],'NHL Model'!$A$6:$B$38,2,FALSE)</f>
        <v>-1.7049475448313323</v>
      </c>
      <c r="J357">
        <f>($B$1+Table4[[#This Row],[Home Differential]])-Table4[[#This Row],[Away Differential]]</f>
        <v>1.5013302072948385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0.74663214800298405</v>
      </c>
      <c r="M357" t="str">
        <f>IF(OR((NHL2025_26Results[[#This Row],[Winning Team]]="")),"-",IF(Table4[[#This Row],[Predicted Winner]]=NHL2025_26Results[[#This Row],[Winning Team]],"YES","NO"))</f>
        <v>-</v>
      </c>
      <c r="N357" t="str">
        <f>IF(Table4[[#This Row],[Adjusted Correct]]="-", "",IF(Table4[[#This Row],[Adjusted Correct]]="YES",(Table4[[#This Row],[Strength of Win]]-1)^2,(Table4[[#This Row],[Strength of Win]]-0)^2))</f>
        <v/>
      </c>
      <c r="P357" s="11"/>
    </row>
    <row r="358" spans="4:16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3.7016822058700272E-2</v>
      </c>
      <c r="H358" t="s">
        <v>27</v>
      </c>
      <c r="I358">
        <f>VLOOKUP(Table4[[#This Row],[Visitor]],'NHL Model'!$A$6:$B$38,2,FALSE)</f>
        <v>-0.59983976271417982</v>
      </c>
      <c r="J358">
        <f>($B$1+Table4[[#This Row],[Home Differential]])-Table4[[#This Row],[Away Differential]]</f>
        <v>0.8444167695648892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0.65621937003407527</v>
      </c>
      <c r="M358" t="str">
        <f>IF(OR((NHL2025_26Results[[#This Row],[Winning Team]]="")),"-",IF(Table4[[#This Row],[Predicted Winner]]=NHL2025_26Results[[#This Row],[Winning Team]],"YES","NO"))</f>
        <v>-</v>
      </c>
      <c r="N358" t="str">
        <f>IF(Table4[[#This Row],[Adjusted Correct]]="-", "",IF(Table4[[#This Row],[Adjusted Correct]]="YES",(Table4[[#This Row],[Strength of Win]]-1)^2,(Table4[[#This Row],[Strength of Win]]-0)^2))</f>
        <v/>
      </c>
      <c r="P358" s="11"/>
    </row>
    <row r="359" spans="4:16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-0.24431182281386174</v>
      </c>
      <c r="H359" t="s">
        <v>20</v>
      </c>
      <c r="I359">
        <f>VLOOKUP(Table4[[#This Row],[Visitor]],'NHL Model'!$A$6:$B$38,2,FALSE)</f>
        <v>-5.3996763649808116E-4</v>
      </c>
      <c r="J359">
        <f>($B$1+Table4[[#This Row],[Home Differential]])-Table4[[#This Row],[Away Differential]]</f>
        <v>-3.6211670385354555E-2</v>
      </c>
      <c r="K359" t="str">
        <f>IF(Table4[[#This Row],[HomeIce Differential]]&gt;0,Table4[[#This Row],[Home]],Table4[[#This Row],[Visitor]])</f>
        <v>Vegas Golden Knights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0.4167486162827066</v>
      </c>
      <c r="M359" t="str">
        <f>IF(OR((NHL2025_26Results[[#This Row],[Winning Team]]="")),"-",IF(Table4[[#This Row],[Predicted Winner]]=NHL2025_26Results[[#This Row],[Winning Team]],"YES","NO"))</f>
        <v>-</v>
      </c>
      <c r="N359" t="str">
        <f>IF(Table4[[#This Row],[Adjusted Correct]]="-", "",IF(Table4[[#This Row],[Adjusted Correct]]="YES",(Table4[[#This Row],[Strength of Win]]-1)^2,(Table4[[#This Row],[Strength of Win]]-0)^2))</f>
        <v/>
      </c>
      <c r="P359" s="11"/>
    </row>
    <row r="360" spans="4:16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-3.9931837337852071E-3</v>
      </c>
      <c r="H360" t="s">
        <v>28</v>
      </c>
      <c r="I360">
        <f>VLOOKUP(Table4[[#This Row],[Visitor]],'NHL Model'!$A$6:$B$38,2,FALSE)</f>
        <v>-0.58990467102727129</v>
      </c>
      <c r="J360">
        <f>($B$1+Table4[[#This Row],[Home Differential]])-Table4[[#This Row],[Away Differential]]</f>
        <v>0.79347167208549518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0.65170313731039342</v>
      </c>
      <c r="M360" t="str">
        <f>IF(OR((NHL2025_26Results[[#This Row],[Winning Team]]="")),"-",IF(Table4[[#This Row],[Predicted Winner]]=NHL2025_26Results[[#This Row],[Winning Team]],"YES","NO"))</f>
        <v>-</v>
      </c>
      <c r="N360" t="str">
        <f>IF(Table4[[#This Row],[Adjusted Correct]]="-", "",IF(Table4[[#This Row],[Adjusted Correct]]="YES",(Table4[[#This Row],[Strength of Win]]-1)^2,(Table4[[#This Row],[Strength of Win]]-0)^2))</f>
        <v/>
      </c>
      <c r="P360" s="11"/>
    </row>
    <row r="361" spans="4:16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-1.0049085234729234</v>
      </c>
      <c r="H361" t="s">
        <v>39</v>
      </c>
      <c r="I361">
        <f>VLOOKUP(Table4[[#This Row],[Visitor]],'NHL Model'!$A$6:$B$38,2,FALSE)</f>
        <v>4.3588947679693783E-2</v>
      </c>
      <c r="J361">
        <f>($B$1+Table4[[#This Row],[Home Differential]])-Table4[[#This Row],[Away Differential]]</f>
        <v>-0.84093728636060805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0.63186951158245619</v>
      </c>
      <c r="M361" t="str">
        <f>IF(OR((NHL2025_26Results[[#This Row],[Winning Team]]="")),"-",IF(Table4[[#This Row],[Predicted Winner]]=NHL2025_26Results[[#This Row],[Winning Team]],"YES","NO"))</f>
        <v>-</v>
      </c>
      <c r="N361" t="str">
        <f>IF(Table4[[#This Row],[Adjusted Correct]]="-", "",IF(Table4[[#This Row],[Adjusted Correct]]="YES",(Table4[[#This Row],[Strength of Win]]-1)^2,(Table4[[#This Row],[Strength of Win]]-0)^2))</f>
        <v/>
      </c>
      <c r="P361" s="11"/>
    </row>
    <row r="362" spans="4:16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0.49887659623169195</v>
      </c>
      <c r="H362" t="s">
        <v>38</v>
      </c>
      <c r="I362">
        <f>VLOOKUP(Table4[[#This Row],[Visitor]],'NHL Model'!$A$6:$B$38,2,FALSE)</f>
        <v>-0.87761566951859371</v>
      </c>
      <c r="J362">
        <f>($B$1+Table4[[#This Row],[Home Differential]])-Table4[[#This Row],[Away Differential]]</f>
        <v>1.5840524505422948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0.85438107104558902</v>
      </c>
      <c r="M362" t="str">
        <f>IF(OR((NHL2025_26Results[[#This Row],[Winning Team]]="")),"-",IF(Table4[[#This Row],[Predicted Winner]]=NHL2025_26Results[[#This Row],[Winning Team]],"YES","NO"))</f>
        <v>-</v>
      </c>
      <c r="N362" t="str">
        <f>IF(Table4[[#This Row],[Adjusted Correct]]="-", "",IF(Table4[[#This Row],[Adjusted Correct]]="YES",(Table4[[#This Row],[Strength of Win]]-1)^2,(Table4[[#This Row],[Strength of Win]]-0)^2))</f>
        <v/>
      </c>
      <c r="P362" s="11"/>
    </row>
    <row r="363" spans="4:16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0.55298967972810642</v>
      </c>
      <c r="H363" t="s">
        <v>15</v>
      </c>
      <c r="I363">
        <f>VLOOKUP(Table4[[#This Row],[Visitor]],'NHL Model'!$A$6:$B$38,2,FALSE)</f>
        <v>-0.41117752232850285</v>
      </c>
      <c r="J363">
        <f>($B$1+Table4[[#This Row],[Home Differential]])-Table4[[#This Row],[Away Differential]]</f>
        <v>1.1717273868486184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0.63185625324381944</v>
      </c>
      <c r="M363" t="str">
        <f>IF(OR((NHL2025_26Results[[#This Row],[Winning Team]]="")),"-",IF(Table4[[#This Row],[Predicted Winner]]=NHL2025_26Results[[#This Row],[Winning Team]],"YES","NO"))</f>
        <v>-</v>
      </c>
      <c r="N363" t="str">
        <f>IF(Table4[[#This Row],[Adjusted Correct]]="-", "",IF(Table4[[#This Row],[Adjusted Correct]]="YES",(Table4[[#This Row],[Strength of Win]]-1)^2,(Table4[[#This Row],[Strength of Win]]-0)^2))</f>
        <v/>
      </c>
      <c r="P363" s="11"/>
    </row>
    <row r="364" spans="4:16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-0.58990467102727129</v>
      </c>
      <c r="H364" t="s">
        <v>19</v>
      </c>
      <c r="I364">
        <f>VLOOKUP(Table4[[#This Row],[Visitor]],'NHL Model'!$A$6:$B$38,2,FALSE)</f>
        <v>-0.76384910289376506</v>
      </c>
      <c r="J364">
        <f>($B$1+Table4[[#This Row],[Home Differential]])-Table4[[#This Row],[Away Differential]]</f>
        <v>0.38150461665850288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0.59955346688241273</v>
      </c>
      <c r="M364" t="str">
        <f>IF(OR((NHL2025_26Results[[#This Row],[Winning Team]]="")),"-",IF(Table4[[#This Row],[Predicted Winner]]=NHL2025_26Results[[#This Row],[Winning Team]],"YES","NO"))</f>
        <v>-</v>
      </c>
      <c r="N364" t="str">
        <f>IF(Table4[[#This Row],[Adjusted Correct]]="-", "",IF(Table4[[#This Row],[Adjusted Correct]]="YES",(Table4[[#This Row],[Strength of Win]]-1)^2,(Table4[[#This Row],[Strength of Win]]-0)^2))</f>
        <v/>
      </c>
      <c r="P364" s="11"/>
    </row>
    <row r="365" spans="4:16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0.28318004708662448</v>
      </c>
      <c r="H365" t="s">
        <v>34</v>
      </c>
      <c r="I365">
        <f>VLOOKUP(Table4[[#This Row],[Visitor]],'NHL Model'!$A$6:$B$38,2,FALSE)</f>
        <v>-0.52340626120007572</v>
      </c>
      <c r="J365">
        <f>($B$1+Table4[[#This Row],[Home Differential]])-Table4[[#This Row],[Away Differential]]</f>
        <v>1.0141464930787092</v>
      </c>
      <c r="K365" t="str">
        <f>IF(Table4[[#This Row],[HomeIce Differential]]&gt;0,Table4[[#This Row],[Home]],Table4[[#This Row],[Visitor]])</f>
        <v>Chicago Blackhawks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0.68662568404434543</v>
      </c>
      <c r="M365" t="str">
        <f>IF(OR((NHL2025_26Results[[#This Row],[Winning Team]]="")),"-",IF(Table4[[#This Row],[Predicted Winner]]=NHL2025_26Results[[#This Row],[Winning Team]],"YES","NO"))</f>
        <v>-</v>
      </c>
      <c r="N365" t="str">
        <f>IF(Table4[[#This Row],[Adjusted Correct]]="-", "",IF(Table4[[#This Row],[Adjusted Correct]]="YES",(Table4[[#This Row],[Strength of Win]]-1)^2,(Table4[[#This Row],[Strength of Win]]-0)^2))</f>
        <v/>
      </c>
      <c r="P365" s="11"/>
    </row>
    <row r="366" spans="4:16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1.4229473251234224</v>
      </c>
      <c r="H366" t="s">
        <v>33</v>
      </c>
      <c r="I366">
        <f>VLOOKUP(Table4[[#This Row],[Visitor]],'NHL Model'!$A$6:$B$38,2,FALSE)</f>
        <v>-0.41595305630289253</v>
      </c>
      <c r="J366">
        <f>($B$1+Table4[[#This Row],[Home Differential]])-Table4[[#This Row],[Away Differential]]</f>
        <v>2.046460566218324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0.91002616543845494</v>
      </c>
      <c r="M366" t="str">
        <f>IF(OR((NHL2025_26Results[[#This Row],[Winning Team]]="")),"-",IF(Table4[[#This Row],[Predicted Winner]]=NHL2025_26Results[[#This Row],[Winning Team]],"YES","NO"))</f>
        <v>-</v>
      </c>
      <c r="N366" t="str">
        <f>IF(Table4[[#This Row],[Adjusted Correct]]="-", "",IF(Table4[[#This Row],[Adjusted Correct]]="YES",(Table4[[#This Row],[Strength of Win]]-1)^2,(Table4[[#This Row],[Strength of Win]]-0)^2))</f>
        <v/>
      </c>
      <c r="P366" s="11"/>
    </row>
    <row r="367" spans="4:16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-0.4992069962886943</v>
      </c>
      <c r="H367" t="s">
        <v>29</v>
      </c>
      <c r="I367">
        <f>VLOOKUP(Table4[[#This Row],[Visitor]],'NHL Model'!$A$6:$B$38,2,FALSE)</f>
        <v>-1.4393526815815083</v>
      </c>
      <c r="J367">
        <f>($B$1+Table4[[#This Row],[Home Differential]])-Table4[[#This Row],[Away Differential]]</f>
        <v>1.1477058700848231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0.73839304889780222</v>
      </c>
      <c r="M367" t="str">
        <f>IF(OR((NHL2025_26Results[[#This Row],[Winning Team]]="")),"-",IF(Table4[[#This Row],[Predicted Winner]]=NHL2025_26Results[[#This Row],[Winning Team]],"YES","NO"))</f>
        <v>-</v>
      </c>
      <c r="N367" t="str">
        <f>IF(Table4[[#This Row],[Adjusted Correct]]="-", "",IF(Table4[[#This Row],[Adjusted Correct]]="YES",(Table4[[#This Row],[Strength of Win]]-1)^2,(Table4[[#This Row],[Strength of Win]]-0)^2))</f>
        <v/>
      </c>
      <c r="P367" s="11"/>
    </row>
    <row r="368" spans="4:16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-0.2184338233275798</v>
      </c>
      <c r="H368" t="s">
        <v>27</v>
      </c>
      <c r="I368">
        <f>VLOOKUP(Table4[[#This Row],[Visitor]],'NHL Model'!$A$6:$B$38,2,FALSE)</f>
        <v>-0.59983976271417982</v>
      </c>
      <c r="J368">
        <f>($B$1+Table4[[#This Row],[Home Differential]])-Table4[[#This Row],[Away Differential]]</f>
        <v>0.58896612417860916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0.684509280795355</v>
      </c>
      <c r="M368" t="str">
        <f>IF(OR((NHL2025_26Results[[#This Row],[Winning Team]]="")),"-",IF(Table4[[#This Row],[Predicted Winner]]=NHL2025_26Results[[#This Row],[Winning Team]],"YES","NO"))</f>
        <v>-</v>
      </c>
      <c r="N368" t="str">
        <f>IF(Table4[[#This Row],[Adjusted Correct]]="-", "",IF(Table4[[#This Row],[Adjusted Correct]]="YES",(Table4[[#This Row],[Strength of Win]]-1)^2,(Table4[[#This Row],[Strength of Win]]-0)^2))</f>
        <v/>
      </c>
      <c r="P368" s="11"/>
    </row>
    <row r="369" spans="4:16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0.27405230796993052</v>
      </c>
      <c r="H369" t="s">
        <v>35</v>
      </c>
      <c r="I369">
        <f>VLOOKUP(Table4[[#This Row],[Visitor]],'NHL Model'!$A$6:$B$38,2,FALSE)</f>
        <v>-1.7049475448313323</v>
      </c>
      <c r="J369">
        <f>($B$1+Table4[[#This Row],[Home Differential]])-Table4[[#This Row],[Away Differential]]</f>
        <v>2.1865600375932717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0.95637289948498538</v>
      </c>
      <c r="M369" t="str">
        <f>IF(OR((NHL2025_26Results[[#This Row],[Winning Team]]="")),"-",IF(Table4[[#This Row],[Predicted Winner]]=NHL2025_26Results[[#This Row],[Winning Team]],"YES","NO"))</f>
        <v>-</v>
      </c>
      <c r="N369" t="str">
        <f>IF(Table4[[#This Row],[Adjusted Correct]]="-", "",IF(Table4[[#This Row],[Adjusted Correct]]="YES",(Table4[[#This Row],[Strength of Win]]-1)^2,(Table4[[#This Row],[Strength of Win]]-0)^2))</f>
        <v/>
      </c>
      <c r="P369" s="11"/>
    </row>
    <row r="370" spans="4:16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-7.6737500378247253E-2</v>
      </c>
      <c r="H370" t="s">
        <v>21</v>
      </c>
      <c r="I370">
        <f>VLOOKUP(Table4[[#This Row],[Visitor]],'NHL Model'!$A$6:$B$38,2,FALSE)</f>
        <v>-0.11354210657072454</v>
      </c>
      <c r="J370">
        <f>($B$1+Table4[[#This Row],[Home Differential]])-Table4[[#This Row],[Away Differential]]</f>
        <v>0.24436479098448638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0.57363258889488822</v>
      </c>
      <c r="M370" t="str">
        <f>IF(OR((NHL2025_26Results[[#This Row],[Winning Team]]="")),"-",IF(Table4[[#This Row],[Predicted Winner]]=NHL2025_26Results[[#This Row],[Winning Team]],"YES","NO"))</f>
        <v>-</v>
      </c>
      <c r="N370" t="str">
        <f>IF(Table4[[#This Row],[Adjusted Correct]]="-", "",IF(Table4[[#This Row],[Adjusted Correct]]="YES",(Table4[[#This Row],[Strength of Win]]-1)^2,(Table4[[#This Row],[Strength of Win]]-0)^2))</f>
        <v/>
      </c>
      <c r="P370" s="11"/>
    </row>
    <row r="371" spans="4:16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0.19812979206825923</v>
      </c>
      <c r="H371" t="s">
        <v>23</v>
      </c>
      <c r="I371">
        <f>VLOOKUP(Table4[[#This Row],[Visitor]],'NHL Model'!$A$6:$B$38,2,FALSE)</f>
        <v>-1.005023581214965</v>
      </c>
      <c r="J371">
        <f>($B$1+Table4[[#This Row],[Home Differential]])-Table4[[#This Row],[Away Differential]]</f>
        <v>1.4107135580752335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0.77019719918006802</v>
      </c>
      <c r="M371" t="str">
        <f>IF(OR((NHL2025_26Results[[#This Row],[Winning Team]]="")),"-",IF(Table4[[#This Row],[Predicted Winner]]=NHL2025_26Results[[#This Row],[Winning Team]],"YES","NO"))</f>
        <v>-</v>
      </c>
      <c r="N371" t="str">
        <f>IF(Table4[[#This Row],[Adjusted Correct]]="-", "",IF(Table4[[#This Row],[Adjusted Correct]]="YES",(Table4[[#This Row],[Strength of Win]]-1)^2,(Table4[[#This Row],[Strength of Win]]-0)^2))</f>
        <v/>
      </c>
      <c r="P371" s="11"/>
    </row>
    <row r="372" spans="4:16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-0.54471700440519322</v>
      </c>
      <c r="H372" t="s">
        <v>39</v>
      </c>
      <c r="I372">
        <f>VLOOKUP(Table4[[#This Row],[Visitor]],'NHL Model'!$A$6:$B$38,2,FALSE)</f>
        <v>4.3588947679693783E-2</v>
      </c>
      <c r="J372">
        <f>($B$1+Table4[[#This Row],[Home Differential]])-Table4[[#This Row],[Away Differential]]</f>
        <v>-0.3807457672928779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0.57871886199996769</v>
      </c>
      <c r="M372" t="str">
        <f>IF(OR((NHL2025_26Results[[#This Row],[Winning Team]]="")),"-",IF(Table4[[#This Row],[Predicted Winner]]=NHL2025_26Results[[#This Row],[Winning Team]],"YES","NO"))</f>
        <v>-</v>
      </c>
      <c r="N372" t="str">
        <f>IF(Table4[[#This Row],[Adjusted Correct]]="-", "",IF(Table4[[#This Row],[Adjusted Correct]]="YES",(Table4[[#This Row],[Strength of Win]]-1)^2,(Table4[[#This Row],[Strength of Win]]-0)^2))</f>
        <v/>
      </c>
      <c r="P372" s="11"/>
    </row>
    <row r="373" spans="4:16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3.7016822058700272E-2</v>
      </c>
      <c r="H373" t="s">
        <v>16</v>
      </c>
      <c r="I373">
        <f>VLOOKUP(Table4[[#This Row],[Visitor]],'NHL Model'!$A$6:$B$38,2,FALSE)</f>
        <v>-1.2993694664931768</v>
      </c>
      <c r="J373">
        <f>($B$1+Table4[[#This Row],[Home Differential]])-Table4[[#This Row],[Away Differential]]</f>
        <v>1.5439464733438861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0.7524975402736479</v>
      </c>
      <c r="M373" t="str">
        <f>IF(OR((NHL2025_26Results[[#This Row],[Winning Team]]="")),"-",IF(Table4[[#This Row],[Predicted Winner]]=NHL2025_26Results[[#This Row],[Winning Team]],"YES","NO"))</f>
        <v>-</v>
      </c>
      <c r="N373" t="str">
        <f>IF(Table4[[#This Row],[Adjusted Correct]]="-", "",IF(Table4[[#This Row],[Adjusted Correct]]="YES",(Table4[[#This Row],[Strength of Win]]-1)^2,(Table4[[#This Row],[Strength of Win]]-0)^2))</f>
        <v/>
      </c>
      <c r="P373" s="11"/>
    </row>
    <row r="374" spans="4:16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-0.24431182281386174</v>
      </c>
      <c r="H374" t="s">
        <v>18</v>
      </c>
      <c r="I374">
        <f>VLOOKUP(Table4[[#This Row],[Visitor]],'NHL Model'!$A$6:$B$38,2,FALSE)</f>
        <v>-0.69497686531268954</v>
      </c>
      <c r="J374">
        <f>($B$1+Table4[[#This Row],[Home Differential]])-Table4[[#This Row],[Away Differential]]</f>
        <v>0.65822522729083688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0.65309332312371682</v>
      </c>
      <c r="M374" t="str">
        <f>IF(OR((NHL2025_26Results[[#This Row],[Winning Team]]="")),"-",IF(Table4[[#This Row],[Predicted Winner]]=NHL2025_26Results[[#This Row],[Winning Team]],"YES","NO"))</f>
        <v>-</v>
      </c>
      <c r="N374" t="str">
        <f>IF(Table4[[#This Row],[Adjusted Correct]]="-", "",IF(Table4[[#This Row],[Adjusted Correct]]="YES",(Table4[[#This Row],[Strength of Win]]-1)^2,(Table4[[#This Row],[Strength of Win]]-0)^2))</f>
        <v/>
      </c>
      <c r="P374" s="11"/>
    </row>
    <row r="375" spans="4:16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-5.3996763649808116E-4</v>
      </c>
      <c r="H375" t="s">
        <v>36</v>
      </c>
      <c r="I375">
        <f>VLOOKUP(Table4[[#This Row],[Visitor]],'NHL Model'!$A$6:$B$38,2,FALSE)</f>
        <v>-0.49956508239762204</v>
      </c>
      <c r="J375">
        <f>($B$1+Table4[[#This Row],[Home Differential]])-Table4[[#This Row],[Away Differential]]</f>
        <v>0.70658529955313309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0.63724925102058039</v>
      </c>
      <c r="M375" t="str">
        <f>IF(OR((NHL2025_26Results[[#This Row],[Winning Team]]="")),"-",IF(Table4[[#This Row],[Predicted Winner]]=NHL2025_26Results[[#This Row],[Winning Team]],"YES","NO"))</f>
        <v>-</v>
      </c>
      <c r="N375" t="str">
        <f>IF(Table4[[#This Row],[Adjusted Correct]]="-", "",IF(Table4[[#This Row],[Adjusted Correct]]="YES",(Table4[[#This Row],[Strength of Win]]-1)^2,(Table4[[#This Row],[Strength of Win]]-0)^2))</f>
        <v/>
      </c>
      <c r="P375" s="11"/>
    </row>
    <row r="376" spans="4:16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-3.9931837337852071E-3</v>
      </c>
      <c r="H376" t="s">
        <v>40</v>
      </c>
      <c r="I376">
        <f>VLOOKUP(Table4[[#This Row],[Visitor]],'NHL Model'!$A$6:$B$38,2,FALSE)</f>
        <v>0.16605329280468042</v>
      </c>
      <c r="J376">
        <f>($B$1+Table4[[#This Row],[Home Differential]])-Table4[[#This Row],[Away Differential]]</f>
        <v>3.7513708253543471E-2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0.48135358959372537</v>
      </c>
      <c r="M376" t="str">
        <f>IF(OR((NHL2025_26Results[[#This Row],[Winning Team]]="")),"-",IF(Table4[[#This Row],[Predicted Winner]]=NHL2025_26Results[[#This Row],[Winning Team]],"YES","NO"))</f>
        <v>-</v>
      </c>
      <c r="N376" t="str">
        <f>IF(Table4[[#This Row],[Adjusted Correct]]="-", "",IF(Table4[[#This Row],[Adjusted Correct]]="YES",(Table4[[#This Row],[Strength of Win]]-1)^2,(Table4[[#This Row],[Strength of Win]]-0)^2))</f>
        <v/>
      </c>
      <c r="P376" s="11"/>
    </row>
    <row r="377" spans="4:16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0.49887659623169195</v>
      </c>
      <c r="H377" t="s">
        <v>13</v>
      </c>
      <c r="I377">
        <f>VLOOKUP(Table4[[#This Row],[Visitor]],'NHL Model'!$A$6:$B$38,2,FALSE)</f>
        <v>-0.16069632687214722</v>
      </c>
      <c r="J377">
        <f>($B$1+Table4[[#This Row],[Home Differential]])-Table4[[#This Row],[Away Differential]]</f>
        <v>0.8671331078958483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0.67762808987370937</v>
      </c>
      <c r="M377" t="str">
        <f>IF(OR((NHL2025_26Results[[#This Row],[Winning Team]]="")),"-",IF(Table4[[#This Row],[Predicted Winner]]=NHL2025_26Results[[#This Row],[Winning Team]],"YES","NO"))</f>
        <v>-</v>
      </c>
      <c r="N377" t="str">
        <f>IF(Table4[[#This Row],[Adjusted Correct]]="-", "",IF(Table4[[#This Row],[Adjusted Correct]]="YES",(Table4[[#This Row],[Strength of Win]]-1)^2,(Table4[[#This Row],[Strength of Win]]-0)^2))</f>
        <v/>
      </c>
      <c r="P377" s="11"/>
    </row>
    <row r="378" spans="4:16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-0.11354210657072454</v>
      </c>
      <c r="H378" t="s">
        <v>15</v>
      </c>
      <c r="I378">
        <f>VLOOKUP(Table4[[#This Row],[Visitor]],'NHL Model'!$A$6:$B$38,2,FALSE)</f>
        <v>-0.41117752232850285</v>
      </c>
      <c r="J378">
        <f>($B$1+Table4[[#This Row],[Home Differential]])-Table4[[#This Row],[Away Differential]]</f>
        <v>0.5051956005497874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0.54011967587663534</v>
      </c>
      <c r="M378" t="str">
        <f>IF(OR((NHL2025_26Results[[#This Row],[Winning Team]]="")),"-",IF(Table4[[#This Row],[Predicted Winner]]=NHL2025_26Results[[#This Row],[Winning Team]],"YES","NO"))</f>
        <v>-</v>
      </c>
      <c r="N378" t="str">
        <f>IF(Table4[[#This Row],[Adjusted Correct]]="-", "",IF(Table4[[#This Row],[Adjusted Correct]]="YES",(Table4[[#This Row],[Strength of Win]]-1)^2,(Table4[[#This Row],[Strength of Win]]-0)^2))</f>
        <v/>
      </c>
      <c r="P378" s="11"/>
    </row>
    <row r="379" spans="4:16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-1.005023581214965</v>
      </c>
      <c r="H379" t="s">
        <v>24</v>
      </c>
      <c r="I379">
        <f>VLOOKUP(Table4[[#This Row],[Visitor]],'NHL Model'!$A$6:$B$38,2,FALSE)</f>
        <v>0.27405230796993052</v>
      </c>
      <c r="J379">
        <f>($B$1+Table4[[#This Row],[Home Differential]])-Table4[[#This Row],[Away Differential]]</f>
        <v>-1.0715157043928865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0.64998817513561136</v>
      </c>
      <c r="M379" t="str">
        <f>IF(OR((NHL2025_26Results[[#This Row],[Winning Team]]="")),"-",IF(Table4[[#This Row],[Predicted Winner]]=NHL2025_26Results[[#This Row],[Winning Team]],"YES","NO"))</f>
        <v>-</v>
      </c>
      <c r="N379" t="str">
        <f>IF(Table4[[#This Row],[Adjusted Correct]]="-", "",IF(Table4[[#This Row],[Adjusted Correct]]="YES",(Table4[[#This Row],[Strength of Win]]-1)^2,(Table4[[#This Row],[Strength of Win]]-0)^2))</f>
        <v/>
      </c>
      <c r="P379" s="11"/>
    </row>
    <row r="380" spans="4:16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0.55298967972810642</v>
      </c>
      <c r="H380" t="s">
        <v>40</v>
      </c>
      <c r="I380">
        <f>VLOOKUP(Table4[[#This Row],[Visitor]],'NHL Model'!$A$6:$B$38,2,FALSE)</f>
        <v>0.16605329280468042</v>
      </c>
      <c r="J380">
        <f>($B$1+Table4[[#This Row],[Home Differential]])-Table4[[#This Row],[Away Differential]]</f>
        <v>0.59449657171543513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0.60813796489991012</v>
      </c>
      <c r="M380" t="str">
        <f>IF(OR((NHL2025_26Results[[#This Row],[Winning Team]]="")),"-",IF(Table4[[#This Row],[Predicted Winner]]=NHL2025_26Results[[#This Row],[Winning Team]],"YES","NO"))</f>
        <v>-</v>
      </c>
      <c r="N380" t="str">
        <f>IF(Table4[[#This Row],[Adjusted Correct]]="-", "",IF(Table4[[#This Row],[Adjusted Correct]]="YES",(Table4[[#This Row],[Strength of Win]]-1)^2,(Table4[[#This Row],[Strength of Win]]-0)^2))</f>
        <v/>
      </c>
      <c r="P380" s="11"/>
    </row>
    <row r="381" spans="4:16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-0.58990467102727129</v>
      </c>
      <c r="H381" t="s">
        <v>14</v>
      </c>
      <c r="I381">
        <f>VLOOKUP(Table4[[#This Row],[Visitor]],'NHL Model'!$A$6:$B$38,2,FALSE)</f>
        <v>0.19812979206825923</v>
      </c>
      <c r="J381">
        <f>($B$1+Table4[[#This Row],[Home Differential]])-Table4[[#This Row],[Away Differential]]</f>
        <v>-0.58047427830352138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0.53284629729585076</v>
      </c>
      <c r="M381" t="str">
        <f>IF(OR((NHL2025_26Results[[#This Row],[Winning Team]]="")),"-",IF(Table4[[#This Row],[Predicted Winner]]=NHL2025_26Results[[#This Row],[Winning Team]],"YES","NO"))</f>
        <v>-</v>
      </c>
      <c r="N381" t="str">
        <f>IF(Table4[[#This Row],[Adjusted Correct]]="-", "",IF(Table4[[#This Row],[Adjusted Correct]]="YES",(Table4[[#This Row],[Strength of Win]]-1)^2,(Table4[[#This Row],[Strength of Win]]-0)^2))</f>
        <v/>
      </c>
      <c r="P381" s="11"/>
    </row>
    <row r="382" spans="4:16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0.28318004708662448</v>
      </c>
      <c r="H382" t="s">
        <v>29</v>
      </c>
      <c r="I382">
        <f>VLOOKUP(Table4[[#This Row],[Visitor]],'NHL Model'!$A$6:$B$38,2,FALSE)</f>
        <v>-1.4393526815815083</v>
      </c>
      <c r="J382">
        <f>($B$1+Table4[[#This Row],[Home Differential]])-Table4[[#This Row],[Away Differential]]</f>
        <v>1.9300929134601419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0.81268987390706959</v>
      </c>
      <c r="M382" t="str">
        <f>IF(OR((NHL2025_26Results[[#This Row],[Winning Team]]="")),"-",IF(Table4[[#This Row],[Predicted Winner]]=NHL2025_26Results[[#This Row],[Winning Team]],"YES","NO"))</f>
        <v>-</v>
      </c>
      <c r="N382" t="str">
        <f>IF(Table4[[#This Row],[Adjusted Correct]]="-", "",IF(Table4[[#This Row],[Adjusted Correct]]="YES",(Table4[[#This Row],[Strength of Win]]-1)^2,(Table4[[#This Row],[Strength of Win]]-0)^2))</f>
        <v/>
      </c>
      <c r="P382" s="11"/>
    </row>
    <row r="383" spans="4:16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4.3588947679693783E-2</v>
      </c>
      <c r="H383" t="s">
        <v>55</v>
      </c>
      <c r="I383">
        <f>VLOOKUP(Table4[[#This Row],[Visitor]],'NHL Model'!$A$6:$B$38,2,FALSE)</f>
        <v>-0.24431182281386174</v>
      </c>
      <c r="J383">
        <f>($B$1+Table4[[#This Row],[Home Differential]])-Table4[[#This Row],[Away Differential]]</f>
        <v>0.49546095528556466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0.61068711415900856</v>
      </c>
      <c r="M383" t="str">
        <f>IF(OR((NHL2025_26Results[[#This Row],[Winning Team]]="")),"-",IF(Table4[[#This Row],[Predicted Winner]]=NHL2025_26Results[[#This Row],[Winning Team]],"YES","NO"))</f>
        <v>-</v>
      </c>
      <c r="N383" t="str">
        <f>IF(Table4[[#This Row],[Adjusted Correct]]="-", "",IF(Table4[[#This Row],[Adjusted Correct]]="YES",(Table4[[#This Row],[Strength of Win]]-1)^2,(Table4[[#This Row],[Strength of Win]]-0)^2))</f>
        <v/>
      </c>
      <c r="P383" s="11"/>
    </row>
    <row r="384" spans="4:16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-0.4992069962886943</v>
      </c>
      <c r="H384" t="s">
        <v>37</v>
      </c>
      <c r="I384">
        <f>VLOOKUP(Table4[[#This Row],[Visitor]],'NHL Model'!$A$6:$B$38,2,FALSE)</f>
        <v>3.7016822058700272E-2</v>
      </c>
      <c r="J384">
        <f>($B$1+Table4[[#This Row],[Home Differential]])-Table4[[#This Row],[Away Differential]]</f>
        <v>-0.32866363355538547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0.51133656212969769</v>
      </c>
      <c r="M384" t="str">
        <f>IF(OR((NHL2025_26Results[[#This Row],[Winning Team]]="")),"-",IF(Table4[[#This Row],[Predicted Winner]]=NHL2025_26Results[[#This Row],[Winning Team]],"YES","NO"))</f>
        <v>-</v>
      </c>
      <c r="N384" t="str">
        <f>IF(Table4[[#This Row],[Adjusted Correct]]="-", "",IF(Table4[[#This Row],[Adjusted Correct]]="YES",(Table4[[#This Row],[Strength of Win]]-1)^2,(Table4[[#This Row],[Strength of Win]]-0)^2))</f>
        <v/>
      </c>
      <c r="P384" s="11"/>
    </row>
    <row r="385" spans="4:16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-0.2184338233275798</v>
      </c>
      <c r="H385" t="s">
        <v>16</v>
      </c>
      <c r="I385">
        <f>VLOOKUP(Table4[[#This Row],[Visitor]],'NHL Model'!$A$6:$B$38,2,FALSE)</f>
        <v>-1.2993694664931768</v>
      </c>
      <c r="J385">
        <f>($B$1+Table4[[#This Row],[Home Differential]])-Table4[[#This Row],[Away Differential]]</f>
        <v>1.288495827957606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0.78078745103492753</v>
      </c>
      <c r="M385" t="str">
        <f>IF(OR((NHL2025_26Results[[#This Row],[Winning Team]]="")),"-",IF(Table4[[#This Row],[Predicted Winner]]=NHL2025_26Results[[#This Row],[Winning Team]],"YES","NO"))</f>
        <v>-</v>
      </c>
      <c r="N385" t="str">
        <f>IF(Table4[[#This Row],[Adjusted Correct]]="-", "",IF(Table4[[#This Row],[Adjusted Correct]]="YES",(Table4[[#This Row],[Strength of Win]]-1)^2,(Table4[[#This Row],[Strength of Win]]-0)^2))</f>
        <v/>
      </c>
      <c r="P385" s="11"/>
    </row>
    <row r="386" spans="4:16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-0.52340626120007572</v>
      </c>
      <c r="H386" t="s">
        <v>12</v>
      </c>
      <c r="I386">
        <f>VLOOKUP(Table4[[#This Row],[Visitor]],'NHL Model'!$A$6:$B$38,2,FALSE)</f>
        <v>1.4229473251234224</v>
      </c>
      <c r="J386">
        <f>($B$1+Table4[[#This Row],[Home Differential]])-Table4[[#This Row],[Away Differential]]</f>
        <v>-1.738793401531489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0.76563064089418009</v>
      </c>
      <c r="M386" t="str">
        <f>IF(OR((NHL2025_26Results[[#This Row],[Winning Team]]="")),"-",IF(Table4[[#This Row],[Predicted Winner]]=NHL2025_26Results[[#This Row],[Winning Team]],"YES","NO"))</f>
        <v>-</v>
      </c>
      <c r="N386" t="str">
        <f>IF(Table4[[#This Row],[Adjusted Correct]]="-", "",IF(Table4[[#This Row],[Adjusted Correct]]="YES",(Table4[[#This Row],[Strength of Win]]-1)^2,(Table4[[#This Row],[Strength of Win]]-0)^2))</f>
        <v/>
      </c>
      <c r="P386" s="11"/>
    </row>
    <row r="387" spans="4:16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-7.6737500378247253E-2</v>
      </c>
      <c r="H387" t="s">
        <v>27</v>
      </c>
      <c r="I387">
        <f>VLOOKUP(Table4[[#This Row],[Visitor]],'NHL Model'!$A$6:$B$38,2,FALSE)</f>
        <v>-0.59983976271417982</v>
      </c>
      <c r="J387">
        <f>($B$1+Table4[[#This Row],[Home Differential]])-Table4[[#This Row],[Away Differential]]</f>
        <v>0.73066244712794171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0.64056305413797188</v>
      </c>
      <c r="M387" t="str">
        <f>IF(OR((NHL2025_26Results[[#This Row],[Winning Team]]="")),"-",IF(Table4[[#This Row],[Predicted Winner]]=NHL2025_26Results[[#This Row],[Winning Team]],"YES","NO"))</f>
        <v>-</v>
      </c>
      <c r="N387" t="str">
        <f>IF(Table4[[#This Row],[Adjusted Correct]]="-", "",IF(Table4[[#This Row],[Adjusted Correct]]="YES",(Table4[[#This Row],[Strength of Win]]-1)^2,(Table4[[#This Row],[Strength of Win]]-0)^2))</f>
        <v/>
      </c>
      <c r="P387" s="11"/>
    </row>
    <row r="388" spans="4:16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-0.41595305630289253</v>
      </c>
      <c r="H388" t="s">
        <v>38</v>
      </c>
      <c r="I388">
        <f>VLOOKUP(Table4[[#This Row],[Visitor]],'NHL Model'!$A$6:$B$38,2,FALSE)</f>
        <v>-0.87761566951859371</v>
      </c>
      <c r="J388">
        <f>($B$1+Table4[[#This Row],[Home Differential]])-Table4[[#This Row],[Away Differential]]</f>
        <v>0.66922279800771034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0.6113377178374082</v>
      </c>
      <c r="M388" t="str">
        <f>IF(OR((NHL2025_26Results[[#This Row],[Winning Team]]="")),"-",IF(Table4[[#This Row],[Predicted Winner]]=NHL2025_26Results[[#This Row],[Winning Team]],"YES","NO"))</f>
        <v>-</v>
      </c>
      <c r="N388" t="str">
        <f>IF(Table4[[#This Row],[Adjusted Correct]]="-", "",IF(Table4[[#This Row],[Adjusted Correct]]="YES",(Table4[[#This Row],[Strength of Win]]-1)^2,(Table4[[#This Row],[Strength of Win]]-0)^2))</f>
        <v/>
      </c>
      <c r="P388" s="11"/>
    </row>
    <row r="389" spans="4:16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-1.7049475448313323</v>
      </c>
      <c r="H389" t="s">
        <v>36</v>
      </c>
      <c r="I389">
        <f>VLOOKUP(Table4[[#This Row],[Visitor]],'NHL Model'!$A$6:$B$38,2,FALSE)</f>
        <v>-0.49956508239762204</v>
      </c>
      <c r="J389">
        <f>($B$1+Table4[[#This Row],[Home Differential]])-Table4[[#This Row],[Away Differential]]</f>
        <v>-0.99782227764170095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0.59733298614289687</v>
      </c>
      <c r="M389" t="str">
        <f>IF(OR((NHL2025_26Results[[#This Row],[Winning Team]]="")),"-",IF(Table4[[#This Row],[Predicted Winner]]=NHL2025_26Results[[#This Row],[Winning Team]],"YES","NO"))</f>
        <v>-</v>
      </c>
      <c r="N389" t="str">
        <f>IF(Table4[[#This Row],[Adjusted Correct]]="-", "",IF(Table4[[#This Row],[Adjusted Correct]]="YES",(Table4[[#This Row],[Strength of Win]]-1)^2,(Table4[[#This Row],[Strength of Win]]-0)^2))</f>
        <v/>
      </c>
      <c r="P389" s="11"/>
    </row>
    <row r="390" spans="4:16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-5.3996763649808116E-4</v>
      </c>
      <c r="H390" t="s">
        <v>18</v>
      </c>
      <c r="I390">
        <f>VLOOKUP(Table4[[#This Row],[Visitor]],'NHL Model'!$A$6:$B$38,2,FALSE)</f>
        <v>-0.69497686531268954</v>
      </c>
      <c r="J390">
        <f>($B$1+Table4[[#This Row],[Home Differential]])-Table4[[#This Row],[Away Differential]]</f>
        <v>0.90199708246820054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0.61704491317471222</v>
      </c>
      <c r="M390" t="str">
        <f>IF(OR((NHL2025_26Results[[#This Row],[Winning Team]]="")),"-",IF(Table4[[#This Row],[Predicted Winner]]=NHL2025_26Results[[#This Row],[Winning Team]],"YES","NO"))</f>
        <v>-</v>
      </c>
      <c r="N390" t="str">
        <f>IF(Table4[[#This Row],[Adjusted Correct]]="-", "",IF(Table4[[#This Row],[Adjusted Correct]]="YES",(Table4[[#This Row],[Strength of Win]]-1)^2,(Table4[[#This Row],[Strength of Win]]-0)^2))</f>
        <v/>
      </c>
      <c r="P390" s="11"/>
    </row>
    <row r="391" spans="4:16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-3.9931837337852071E-3</v>
      </c>
      <c r="H391" t="s">
        <v>19</v>
      </c>
      <c r="I391">
        <f>VLOOKUP(Table4[[#This Row],[Visitor]],'NHL Model'!$A$6:$B$38,2,FALSE)</f>
        <v>-0.76384910289376506</v>
      </c>
      <c r="J391">
        <f>($B$1+Table4[[#This Row],[Home Differential]])-Table4[[#This Row],[Away Differential]]</f>
        <v>0.96741610395198896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0.67564358120147794</v>
      </c>
      <c r="M391" t="str">
        <f>IF(OR((NHL2025_26Results[[#This Row],[Winning Team]]="")),"-",IF(Table4[[#This Row],[Predicted Winner]]=NHL2025_26Results[[#This Row],[Winning Team]],"YES","NO"))</f>
        <v>-</v>
      </c>
      <c r="N391" t="str">
        <f>IF(Table4[[#This Row],[Adjusted Correct]]="-", "",IF(Table4[[#This Row],[Adjusted Correct]]="YES",(Table4[[#This Row],[Strength of Win]]-1)^2,(Table4[[#This Row],[Strength of Win]]-0)^2))</f>
        <v/>
      </c>
      <c r="P391" s="11"/>
    </row>
    <row r="392" spans="4:16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-0.11354210657072454</v>
      </c>
      <c r="H392" t="s">
        <v>26</v>
      </c>
      <c r="I392">
        <f>VLOOKUP(Table4[[#This Row],[Visitor]],'NHL Model'!$A$6:$B$38,2,FALSE)</f>
        <v>-0.4992069962886943</v>
      </c>
      <c r="J392">
        <f>($B$1+Table4[[#This Row],[Home Differential]])-Table4[[#This Row],[Away Differential]]</f>
        <v>0.59322507450997886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0.62710172127211317</v>
      </c>
      <c r="M392" t="str">
        <f>IF(OR((NHL2025_26Results[[#This Row],[Winning Team]]="")),"-",IF(Table4[[#This Row],[Predicted Winner]]=NHL2025_26Results[[#This Row],[Winning Team]],"YES","NO"))</f>
        <v>-</v>
      </c>
      <c r="N392" t="str">
        <f>IF(Table4[[#This Row],[Adjusted Correct]]="-", "",IF(Table4[[#This Row],[Adjusted Correct]]="YES",(Table4[[#This Row],[Strength of Win]]-1)^2,(Table4[[#This Row],[Strength of Win]]-0)^2))</f>
        <v/>
      </c>
      <c r="P392" s="11"/>
    </row>
    <row r="393" spans="4:16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1.4229473251234224</v>
      </c>
      <c r="H393" t="s">
        <v>18</v>
      </c>
      <c r="I393">
        <f>VLOOKUP(Table4[[#This Row],[Visitor]],'NHL Model'!$A$6:$B$38,2,FALSE)</f>
        <v>-0.69497686531268954</v>
      </c>
      <c r="J393">
        <f>($B$1+Table4[[#This Row],[Home Differential]])-Table4[[#This Row],[Away Differential]]</f>
        <v>2.3254843752281209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0.90339605455612482</v>
      </c>
      <c r="M393" t="str">
        <f>IF(OR((NHL2025_26Results[[#This Row],[Winning Team]]="")),"-",IF(Table4[[#This Row],[Predicted Winner]]=NHL2025_26Results[[#This Row],[Winning Team]],"YES","NO"))</f>
        <v>-</v>
      </c>
      <c r="N393" t="str">
        <f>IF(Table4[[#This Row],[Adjusted Correct]]="-", "",IF(Table4[[#This Row],[Adjusted Correct]]="YES",(Table4[[#This Row],[Strength of Win]]-1)^2,(Table4[[#This Row],[Strength of Win]]-0)^2))</f>
        <v/>
      </c>
      <c r="P393" s="11"/>
    </row>
    <row r="394" spans="4:16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-0.16069632687214722</v>
      </c>
      <c r="H394" t="s">
        <v>38</v>
      </c>
      <c r="I394">
        <f>VLOOKUP(Table4[[#This Row],[Visitor]],'NHL Model'!$A$6:$B$38,2,FALSE)</f>
        <v>-0.87761566951859371</v>
      </c>
      <c r="J394">
        <f>($B$1+Table4[[#This Row],[Home Differential]])-Table4[[#This Row],[Away Differential]]</f>
        <v>0.92447952743845563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0.64646939375934165</v>
      </c>
      <c r="M394" t="str">
        <f>IF(OR((NHL2025_26Results[[#This Row],[Winning Team]]="")),"-",IF(Table4[[#This Row],[Predicted Winner]]=NHL2025_26Results[[#This Row],[Winning Team]],"YES","NO"))</f>
        <v>-</v>
      </c>
      <c r="N394" t="str">
        <f>IF(Table4[[#This Row],[Adjusted Correct]]="-", "",IF(Table4[[#This Row],[Adjusted Correct]]="YES",(Table4[[#This Row],[Strength of Win]]-1)^2,(Table4[[#This Row],[Strength of Win]]-0)^2))</f>
        <v/>
      </c>
      <c r="P394" s="11"/>
    </row>
    <row r="395" spans="4:16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-0.52340626120007572</v>
      </c>
      <c r="H395" t="s">
        <v>23</v>
      </c>
      <c r="I395">
        <f>VLOOKUP(Table4[[#This Row],[Visitor]],'NHL Model'!$A$6:$B$38,2,FALSE)</f>
        <v>-1.005023581214965</v>
      </c>
      <c r="J395">
        <f>($B$1+Table4[[#This Row],[Home Differential]])-Table4[[#This Row],[Away Differential]]</f>
        <v>0.68917750480689843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0.63485336902011713</v>
      </c>
      <c r="M395" t="str">
        <f>IF(OR((NHL2025_26Results[[#This Row],[Winning Team]]="")),"-",IF(Table4[[#This Row],[Predicted Winner]]=NHL2025_26Results[[#This Row],[Winning Team]],"YES","NO"))</f>
        <v>-</v>
      </c>
      <c r="N395" t="str">
        <f>IF(Table4[[#This Row],[Adjusted Correct]]="-", "",IF(Table4[[#This Row],[Adjusted Correct]]="YES",(Table4[[#This Row],[Strength of Win]]-1)^2,(Table4[[#This Row],[Strength of Win]]-0)^2))</f>
        <v/>
      </c>
      <c r="P395" s="11"/>
    </row>
    <row r="396" spans="4:16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0.27405230796993052</v>
      </c>
      <c r="H396" t="s">
        <v>27</v>
      </c>
      <c r="I396">
        <f>VLOOKUP(Table4[[#This Row],[Visitor]],'NHL Model'!$A$6:$B$38,2,FALSE)</f>
        <v>-0.59983976271417982</v>
      </c>
      <c r="J396">
        <f>($B$1+Table4[[#This Row],[Home Differential]])-Table4[[#This Row],[Away Differential]]</f>
        <v>1.0814522554761195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0.80427391840531137</v>
      </c>
      <c r="M396" t="str">
        <f>IF(OR((NHL2025_26Results[[#This Row],[Winning Team]]="")),"-",IF(Table4[[#This Row],[Predicted Winner]]=NHL2025_26Results[[#This Row],[Winning Team]],"YES","NO"))</f>
        <v>-</v>
      </c>
      <c r="N396" t="str">
        <f>IF(Table4[[#This Row],[Adjusted Correct]]="-", "",IF(Table4[[#This Row],[Adjusted Correct]]="YES",(Table4[[#This Row],[Strength of Win]]-1)^2,(Table4[[#This Row],[Strength of Win]]-0)^2))</f>
        <v/>
      </c>
      <c r="P396" s="11"/>
    </row>
    <row r="397" spans="4:16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-1.4393526815815083</v>
      </c>
      <c r="H397" t="s">
        <v>40</v>
      </c>
      <c r="I397">
        <f>VLOOKUP(Table4[[#This Row],[Visitor]],'NHL Model'!$A$6:$B$38,2,FALSE)</f>
        <v>0.16605329280468042</v>
      </c>
      <c r="J397">
        <f>($B$1+Table4[[#This Row],[Home Differential]])-Table4[[#This Row],[Away Differential]]</f>
        <v>-1.3978457895941798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0.71870509642116553</v>
      </c>
      <c r="M397" t="str">
        <f>IF(OR((NHL2025_26Results[[#This Row],[Winning Team]]="")),"-",IF(Table4[[#This Row],[Predicted Winner]]=NHL2025_26Results[[#This Row],[Winning Team]],"YES","NO"))</f>
        <v>-</v>
      </c>
      <c r="N397" t="str">
        <f>IF(Table4[[#This Row],[Adjusted Correct]]="-", "",IF(Table4[[#This Row],[Adjusted Correct]]="YES",(Table4[[#This Row],[Strength of Win]]-1)^2,(Table4[[#This Row],[Strength of Win]]-0)^2))</f>
        <v/>
      </c>
      <c r="P397" s="11"/>
    </row>
    <row r="398" spans="4:16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-0.41117752232850285</v>
      </c>
      <c r="H398" t="s">
        <v>37</v>
      </c>
      <c r="I398">
        <f>VLOOKUP(Table4[[#This Row],[Visitor]],'NHL Model'!$A$6:$B$38,2,FALSE)</f>
        <v>3.7016822058700272E-2</v>
      </c>
      <c r="J398">
        <f>($B$1+Table4[[#This Row],[Home Differential]])-Table4[[#This Row],[Away Differential]]</f>
        <v>-0.24063415959519402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0.54021852346012367</v>
      </c>
      <c r="M398" t="str">
        <f>IF(OR((NHL2025_26Results[[#This Row],[Winning Team]]="")),"-",IF(Table4[[#This Row],[Predicted Winner]]=NHL2025_26Results[[#This Row],[Winning Team]],"YES","NO"))</f>
        <v>-</v>
      </c>
      <c r="N398" t="str">
        <f>IF(Table4[[#This Row],[Adjusted Correct]]="-", "",IF(Table4[[#This Row],[Adjusted Correct]]="YES",(Table4[[#This Row],[Strength of Win]]-1)^2,(Table4[[#This Row],[Strength of Win]]-0)^2))</f>
        <v/>
      </c>
      <c r="P398" s="11"/>
    </row>
    <row r="399" spans="4:16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0.19812979206825923</v>
      </c>
      <c r="H399" t="s">
        <v>19</v>
      </c>
      <c r="I399">
        <f>VLOOKUP(Table4[[#This Row],[Visitor]],'NHL Model'!$A$6:$B$38,2,FALSE)</f>
        <v>-0.76384910289376506</v>
      </c>
      <c r="J399">
        <f>($B$1+Table4[[#This Row],[Home Differential]])-Table4[[#This Row],[Away Differential]]</f>
        <v>1.1695390797540335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0.73700370166908247</v>
      </c>
      <c r="M399" t="str">
        <f>IF(OR((NHL2025_26Results[[#This Row],[Winning Team]]="")),"-",IF(Table4[[#This Row],[Predicted Winner]]=NHL2025_26Results[[#This Row],[Winning Team]],"YES","NO"))</f>
        <v>-</v>
      </c>
      <c r="N399" t="str">
        <f>IF(Table4[[#This Row],[Adjusted Correct]]="-", "",IF(Table4[[#This Row],[Adjusted Correct]]="YES",(Table4[[#This Row],[Strength of Win]]-1)^2,(Table4[[#This Row],[Strength of Win]]-0)^2))</f>
        <v/>
      </c>
      <c r="P399" s="11"/>
    </row>
    <row r="400" spans="4:16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-0.54471700440519322</v>
      </c>
      <c r="H400" t="s">
        <v>17</v>
      </c>
      <c r="I400">
        <f>VLOOKUP(Table4[[#This Row],[Visitor]],'NHL Model'!$A$6:$B$38,2,FALSE)</f>
        <v>-1.0049085234729234</v>
      </c>
      <c r="J400">
        <f>($B$1+Table4[[#This Row],[Home Differential]])-Table4[[#This Row],[Away Differential]]</f>
        <v>0.66775170385973925</v>
      </c>
      <c r="K400" t="str">
        <f>IF(Table4[[#This Row],[HomeIce Differential]]&gt;0,Table4[[#This Row],[Home]],Table4[[#This Row],[Visitor]])</f>
        <v>Seattle Kraken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0.65794221377853679</v>
      </c>
      <c r="M400" t="str">
        <f>IF(OR((NHL2025_26Results[[#This Row],[Winning Team]]="")),"-",IF(Table4[[#This Row],[Predicted Winner]]=NHL2025_26Results[[#This Row],[Winning Team]],"YES","NO"))</f>
        <v>-</v>
      </c>
      <c r="N400" t="str">
        <f>IF(Table4[[#This Row],[Adjusted Correct]]="-", "",IF(Table4[[#This Row],[Adjusted Correct]]="YES",(Table4[[#This Row],[Strength of Win]]-1)^2,(Table4[[#This Row],[Strength of Win]]-0)^2))</f>
        <v/>
      </c>
      <c r="P400" s="11"/>
    </row>
    <row r="401" spans="4:16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-1.7049475448313323</v>
      </c>
      <c r="H401" t="s">
        <v>55</v>
      </c>
      <c r="I401">
        <f>VLOOKUP(Table4[[#This Row],[Visitor]],'NHL Model'!$A$6:$B$38,2,FALSE)</f>
        <v>-0.24431182281386174</v>
      </c>
      <c r="J401">
        <f>($B$1+Table4[[#This Row],[Home Differential]])-Table4[[#This Row],[Away Differential]]</f>
        <v>-1.2530755372254614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0.63246418450037956</v>
      </c>
      <c r="M401" t="str">
        <f>IF(OR((NHL2025_26Results[[#This Row],[Winning Team]]="")),"-",IF(Table4[[#This Row],[Predicted Winner]]=NHL2025_26Results[[#This Row],[Winning Team]],"YES","NO"))</f>
        <v>-</v>
      </c>
      <c r="N401" t="str">
        <f>IF(Table4[[#This Row],[Adjusted Correct]]="-", "",IF(Table4[[#This Row],[Adjusted Correct]]="YES",(Table4[[#This Row],[Strength of Win]]-1)^2,(Table4[[#This Row],[Strength of Win]]-0)^2))</f>
        <v/>
      </c>
      <c r="P401" s="11"/>
    </row>
    <row r="402" spans="4:16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-5.3996763649808116E-4</v>
      </c>
      <c r="H402" t="s">
        <v>33</v>
      </c>
      <c r="I402">
        <f>VLOOKUP(Table4[[#This Row],[Visitor]],'NHL Model'!$A$6:$B$38,2,FALSE)</f>
        <v>-0.41595305630289253</v>
      </c>
      <c r="J402">
        <f>($B$1+Table4[[#This Row],[Home Differential]])-Table4[[#This Row],[Away Differential]]</f>
        <v>0.62297327345840359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0.62574150111527094</v>
      </c>
      <c r="M402" t="str">
        <f>IF(OR((NHL2025_26Results[[#This Row],[Winning Team]]="")),"-",IF(Table4[[#This Row],[Predicted Winner]]=NHL2025_26Results[[#This Row],[Winning Team]],"YES","NO"))</f>
        <v>-</v>
      </c>
      <c r="N402" t="str">
        <f>IF(Table4[[#This Row],[Adjusted Correct]]="-", "",IF(Table4[[#This Row],[Adjusted Correct]]="YES",(Table4[[#This Row],[Strength of Win]]-1)^2,(Table4[[#This Row],[Strength of Win]]-0)^2))</f>
        <v/>
      </c>
      <c r="P402" s="11"/>
    </row>
    <row r="403" spans="4:16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0.55298967972810642</v>
      </c>
      <c r="H403" t="s">
        <v>16</v>
      </c>
      <c r="I403">
        <f>VLOOKUP(Table4[[#This Row],[Visitor]],'NHL Model'!$A$6:$B$38,2,FALSE)</f>
        <v>-1.2993694664931768</v>
      </c>
      <c r="J403">
        <f>($B$1+Table4[[#This Row],[Home Differential]])-Table4[[#This Row],[Away Differential]]</f>
        <v>2.0599193310132922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0.87522826031257295</v>
      </c>
      <c r="M403" t="str">
        <f>IF(OR((NHL2025_26Results[[#This Row],[Winning Team]]="")),"-",IF(Table4[[#This Row],[Predicted Winner]]=NHL2025_26Results[[#This Row],[Winning Team]],"YES","NO"))</f>
        <v>-</v>
      </c>
      <c r="N403" t="str">
        <f>IF(Table4[[#This Row],[Adjusted Correct]]="-", "",IF(Table4[[#This Row],[Adjusted Correct]]="YES",(Table4[[#This Row],[Strength of Win]]-1)^2,(Table4[[#This Row],[Strength of Win]]-0)^2))</f>
        <v/>
      </c>
      <c r="P403" s="11"/>
    </row>
    <row r="404" spans="4:16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0.28318004708662448</v>
      </c>
      <c r="H404" t="s">
        <v>31</v>
      </c>
      <c r="I404">
        <f>VLOOKUP(Table4[[#This Row],[Visitor]],'NHL Model'!$A$6:$B$38,2,FALSE)</f>
        <v>0.49887659623169195</v>
      </c>
      <c r="J404">
        <f>($B$1+Table4[[#This Row],[Home Differential]])-Table4[[#This Row],[Away Differential]]</f>
        <v>-8.1363643530583674E-3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0.47480404041786017</v>
      </c>
      <c r="M404" t="str">
        <f>IF(OR((NHL2025_26Results[[#This Row],[Winning Team]]="")),"-",IF(Table4[[#This Row],[Predicted Winner]]=NHL2025_26Results[[#This Row],[Winning Team]],"YES","NO"))</f>
        <v>-</v>
      </c>
      <c r="N404" t="str">
        <f>IF(Table4[[#This Row],[Adjusted Correct]]="-", "",IF(Table4[[#This Row],[Adjusted Correct]]="YES",(Table4[[#This Row],[Strength of Win]]-1)^2,(Table4[[#This Row],[Strength of Win]]-0)^2))</f>
        <v/>
      </c>
      <c r="P404" s="11"/>
    </row>
    <row r="405" spans="4:16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4.3588947679693783E-2</v>
      </c>
      <c r="H405" t="s">
        <v>36</v>
      </c>
      <c r="I405">
        <f>VLOOKUP(Table4[[#This Row],[Visitor]],'NHL Model'!$A$6:$B$38,2,FALSE)</f>
        <v>-0.49956508239762204</v>
      </c>
      <c r="J405">
        <f>($B$1+Table4[[#This Row],[Home Differential]])-Table4[[#This Row],[Away Differential]]</f>
        <v>0.75071421486932488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0.64581831251649136</v>
      </c>
      <c r="M405" t="str">
        <f>IF(OR((NHL2025_26Results[[#This Row],[Winning Team]]="")),"-",IF(Table4[[#This Row],[Predicted Winner]]=NHL2025_26Results[[#This Row],[Winning Team]],"YES","NO"))</f>
        <v>-</v>
      </c>
      <c r="N405" t="str">
        <f>IF(Table4[[#This Row],[Adjusted Correct]]="-", "",IF(Table4[[#This Row],[Adjusted Correct]]="YES",(Table4[[#This Row],[Strength of Win]]-1)^2,(Table4[[#This Row],[Strength of Win]]-0)^2))</f>
        <v/>
      </c>
      <c r="P405" s="11"/>
    </row>
    <row r="406" spans="4:16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-7.6737500378247253E-2</v>
      </c>
      <c r="H406" t="s">
        <v>22</v>
      </c>
      <c r="I406">
        <f>VLOOKUP(Table4[[#This Row],[Visitor]],'NHL Model'!$A$6:$B$38,2,FALSE)</f>
        <v>-3.9931837337852071E-3</v>
      </c>
      <c r="J406">
        <f>($B$1+Table4[[#This Row],[Home Differential]])-Table4[[#This Row],[Away Differential]]</f>
        <v>0.13481586814754706</v>
      </c>
      <c r="K406" t="str">
        <f>IF(Table4[[#This Row],[HomeIce Differential]]&gt;0,Table4[[#This Row],[Home]],Table4[[#This Row],[Visitor]])</f>
        <v>New York Islanders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0.5585550735506809</v>
      </c>
      <c r="M406" t="str">
        <f>IF(OR((NHL2025_26Results[[#This Row],[Winning Team]]="")),"-",IF(Table4[[#This Row],[Predicted Winner]]=NHL2025_26Results[[#This Row],[Winning Team]],"YES","NO"))</f>
        <v>-</v>
      </c>
      <c r="N406" t="str">
        <f>IF(Table4[[#This Row],[Adjusted Correct]]="-", "",IF(Table4[[#This Row],[Adjusted Correct]]="YES",(Table4[[#This Row],[Strength of Win]]-1)^2,(Table4[[#This Row],[Strength of Win]]-0)^2))</f>
        <v/>
      </c>
      <c r="P406" s="11"/>
    </row>
    <row r="407" spans="4:16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-1.005023581214965</v>
      </c>
      <c r="H407" t="s">
        <v>40</v>
      </c>
      <c r="I407">
        <f>VLOOKUP(Table4[[#This Row],[Visitor]],'NHL Model'!$A$6:$B$38,2,FALSE)</f>
        <v>0.16605329280468042</v>
      </c>
      <c r="J407">
        <f>($B$1+Table4[[#This Row],[Home Differential]])-Table4[[#This Row],[Away Differential]]</f>
        <v>-0.96351668922763634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0.65892720444718644</v>
      </c>
      <c r="M407" t="str">
        <f>IF(OR((NHL2025_26Results[[#This Row],[Winning Team]]="")),"-",IF(Table4[[#This Row],[Predicted Winner]]=NHL2025_26Results[[#This Row],[Winning Team]],"YES","NO"))</f>
        <v>-</v>
      </c>
      <c r="N407" t="str">
        <f>IF(Table4[[#This Row],[Adjusted Correct]]="-", "",IF(Table4[[#This Row],[Adjusted Correct]]="YES",(Table4[[#This Row],[Strength of Win]]-1)^2,(Table4[[#This Row],[Strength of Win]]-0)^2))</f>
        <v/>
      </c>
      <c r="P407" s="11"/>
    </row>
    <row r="408" spans="4:16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0.27405230796993052</v>
      </c>
      <c r="H408" t="s">
        <v>28</v>
      </c>
      <c r="I408">
        <f>VLOOKUP(Table4[[#This Row],[Visitor]],'NHL Model'!$A$6:$B$38,2,FALSE)</f>
        <v>-0.58990467102727129</v>
      </c>
      <c r="J408">
        <f>($B$1+Table4[[#This Row],[Home Differential]])-Table4[[#This Row],[Away Differential]]</f>
        <v>1.0715171637892109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0.80290652479270208</v>
      </c>
      <c r="M408" t="str">
        <f>IF(OR((NHL2025_26Results[[#This Row],[Winning Team]]="")),"-",IF(Table4[[#This Row],[Predicted Winner]]=NHL2025_26Results[[#This Row],[Winning Team]],"YES","NO"))</f>
        <v>-</v>
      </c>
      <c r="N408" t="str">
        <f>IF(Table4[[#This Row],[Adjusted Correct]]="-", "",IF(Table4[[#This Row],[Adjusted Correct]]="YES",(Table4[[#This Row],[Strength of Win]]-1)^2,(Table4[[#This Row],[Strength of Win]]-0)^2))</f>
        <v/>
      </c>
      <c r="P408" s="11"/>
    </row>
    <row r="409" spans="4:16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-0.59983976271417982</v>
      </c>
      <c r="H409" t="s">
        <v>14</v>
      </c>
      <c r="I409">
        <f>VLOOKUP(Table4[[#This Row],[Visitor]],'NHL Model'!$A$6:$B$38,2,FALSE)</f>
        <v>0.19812979206825923</v>
      </c>
      <c r="J409">
        <f>($B$1+Table4[[#This Row],[Home Differential]])-Table4[[#This Row],[Away Differential]]</f>
        <v>-0.59040936999042992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0.53876416356407641</v>
      </c>
      <c r="M409" t="str">
        <f>IF(OR((NHL2025_26Results[[#This Row],[Winning Team]]="")),"-",IF(Table4[[#This Row],[Predicted Winner]]=NHL2025_26Results[[#This Row],[Winning Team]],"YES","NO"))</f>
        <v>-</v>
      </c>
      <c r="N409" t="str">
        <f>IF(Table4[[#This Row],[Adjusted Correct]]="-", "",IF(Table4[[#This Row],[Adjusted Correct]]="YES",(Table4[[#This Row],[Strength of Win]]-1)^2,(Table4[[#This Row],[Strength of Win]]-0)^2))</f>
        <v/>
      </c>
      <c r="P409" s="11"/>
    </row>
    <row r="410" spans="4:16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-0.41595305630289253</v>
      </c>
      <c r="H410" t="s">
        <v>55</v>
      </c>
      <c r="I410">
        <f>VLOOKUP(Table4[[#This Row],[Visitor]],'NHL Model'!$A$6:$B$38,2,FALSE)</f>
        <v>-0.24431182281386174</v>
      </c>
      <c r="J410">
        <f>($B$1+Table4[[#This Row],[Home Differential]])-Table4[[#This Row],[Away Differential]]</f>
        <v>3.5918951302978314E-2</v>
      </c>
      <c r="K410" t="str">
        <f>IF(Table4[[#This Row],[HomeIce Differential]]&gt;0,Table4[[#This Row],[Home]],Table4[[#This Row],[Visitor]])</f>
        <v>San Jose Sharks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0.54494362267919882</v>
      </c>
      <c r="M410" t="str">
        <f>IF(OR((NHL2025_26Results[[#This Row],[Winning Team]]="")),"-",IF(Table4[[#This Row],[Predicted Winner]]=NHL2025_26Results[[#This Row],[Winning Team]],"YES","NO"))</f>
        <v>-</v>
      </c>
      <c r="N410" t="str">
        <f>IF(Table4[[#This Row],[Adjusted Correct]]="-", "",IF(Table4[[#This Row],[Adjusted Correct]]="YES",(Table4[[#This Row],[Strength of Win]]-1)^2,(Table4[[#This Row],[Strength of Win]]-0)^2))</f>
        <v/>
      </c>
      <c r="P410" s="11"/>
    </row>
    <row r="411" spans="4:16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-1.7049475448313323</v>
      </c>
      <c r="H411" t="s">
        <v>31</v>
      </c>
      <c r="I411">
        <f>VLOOKUP(Table4[[#This Row],[Visitor]],'NHL Model'!$A$6:$B$38,2,FALSE)</f>
        <v>0.49887659623169195</v>
      </c>
      <c r="J411">
        <f>($B$1+Table4[[#This Row],[Home Differential]])-Table4[[#This Row],[Away Differential]]</f>
        <v>-1.9962639562710149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0.75552045289275083</v>
      </c>
      <c r="M411" t="str">
        <f>IF(OR((NHL2025_26Results[[#This Row],[Winning Team]]="")),"-",IF(Table4[[#This Row],[Predicted Winner]]=NHL2025_26Results[[#This Row],[Winning Team]],"YES","NO"))</f>
        <v>-</v>
      </c>
      <c r="N411" t="str">
        <f>IF(Table4[[#This Row],[Adjusted Correct]]="-", "",IF(Table4[[#This Row],[Adjusted Correct]]="YES",(Table4[[#This Row],[Strength of Win]]-1)^2,(Table4[[#This Row],[Strength of Win]]-0)^2))</f>
        <v/>
      </c>
      <c r="P411" s="11"/>
    </row>
    <row r="412" spans="4:16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1.4229473251234224</v>
      </c>
      <c r="H412" t="s">
        <v>38</v>
      </c>
      <c r="I412">
        <f>VLOOKUP(Table4[[#This Row],[Visitor]],'NHL Model'!$A$6:$B$38,2,FALSE)</f>
        <v>-0.87761566951859371</v>
      </c>
      <c r="J412">
        <f>($B$1+Table4[[#This Row],[Home Differential]])-Table4[[#This Row],[Away Differential]]</f>
        <v>2.5081231794340253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0.95389544733179998</v>
      </c>
      <c r="M412" t="str">
        <f>IF(OR((NHL2025_26Results[[#This Row],[Winning Team]]="")),"-",IF(Table4[[#This Row],[Predicted Winner]]=NHL2025_26Results[[#This Row],[Winning Team]],"YES","NO"))</f>
        <v>-</v>
      </c>
      <c r="N412" t="str">
        <f>IF(Table4[[#This Row],[Adjusted Correct]]="-", "",IF(Table4[[#This Row],[Adjusted Correct]]="YES",(Table4[[#This Row],[Strength of Win]]-1)^2,(Table4[[#This Row],[Strength of Win]]-0)^2))</f>
        <v/>
      </c>
      <c r="P412" s="11"/>
    </row>
    <row r="413" spans="4:16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-0.4992069962886943</v>
      </c>
      <c r="H413" t="s">
        <v>21</v>
      </c>
      <c r="I413">
        <f>VLOOKUP(Table4[[#This Row],[Visitor]],'NHL Model'!$A$6:$B$38,2,FALSE)</f>
        <v>-0.11354210657072454</v>
      </c>
      <c r="J413">
        <f>($B$1+Table4[[#This Row],[Home Differential]])-Table4[[#This Row],[Away Differential]]</f>
        <v>-0.17810470492596064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0.44408185610872092</v>
      </c>
      <c r="M413" t="str">
        <f>IF(OR((NHL2025_26Results[[#This Row],[Winning Team]]="")),"-",IF(Table4[[#This Row],[Predicted Winner]]=NHL2025_26Results[[#This Row],[Winning Team]],"YES","NO"))</f>
        <v>-</v>
      </c>
      <c r="N413" t="str">
        <f>IF(Table4[[#This Row],[Adjusted Correct]]="-", "",IF(Table4[[#This Row],[Adjusted Correct]]="YES",(Table4[[#This Row],[Strength of Win]]-1)^2,(Table4[[#This Row],[Strength of Win]]-0)^2))</f>
        <v/>
      </c>
      <c r="P413" s="11"/>
    </row>
    <row r="414" spans="4:16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-1.0049085234729234</v>
      </c>
      <c r="H414" t="s">
        <v>34</v>
      </c>
      <c r="I414">
        <f>VLOOKUP(Table4[[#This Row],[Visitor]],'NHL Model'!$A$6:$B$38,2,FALSE)</f>
        <v>-0.52340626120007572</v>
      </c>
      <c r="J414">
        <f>($B$1+Table4[[#This Row],[Home Differential]])-Table4[[#This Row],[Away Differential]]</f>
        <v>-0.27394207748083854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0.461666524688855</v>
      </c>
      <c r="M414" t="str">
        <f>IF(OR((NHL2025_26Results[[#This Row],[Winning Team]]="")),"-",IF(Table4[[#This Row],[Predicted Winner]]=NHL2025_26Results[[#This Row],[Winning Team]],"YES","NO"))</f>
        <v>-</v>
      </c>
      <c r="N414" t="str">
        <f>IF(Table4[[#This Row],[Adjusted Correct]]="-", "",IF(Table4[[#This Row],[Adjusted Correct]]="YES",(Table4[[#This Row],[Strength of Win]]-1)^2,(Table4[[#This Row],[Strength of Win]]-0)^2))</f>
        <v/>
      </c>
      <c r="P414" s="11"/>
    </row>
    <row r="415" spans="4:16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-0.2184338233275798</v>
      </c>
      <c r="H415" t="s">
        <v>19</v>
      </c>
      <c r="I415">
        <f>VLOOKUP(Table4[[#This Row],[Visitor]],'NHL Model'!$A$6:$B$38,2,FALSE)</f>
        <v>-0.76384910289376506</v>
      </c>
      <c r="J415">
        <f>($B$1+Table4[[#This Row],[Home Differential]])-Table4[[#This Row],[Away Differential]]</f>
        <v>0.7529754643581944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0.70708233107383001</v>
      </c>
      <c r="M415" t="str">
        <f>IF(OR((NHL2025_26Results[[#This Row],[Winning Team]]="")),"-",IF(Table4[[#This Row],[Predicted Winner]]=NHL2025_26Results[[#This Row],[Winning Team]],"YES","NO"))</f>
        <v>-</v>
      </c>
      <c r="N415" t="str">
        <f>IF(Table4[[#This Row],[Adjusted Correct]]="-", "",IF(Table4[[#This Row],[Adjusted Correct]]="YES",(Table4[[#This Row],[Strength of Win]]-1)^2,(Table4[[#This Row],[Strength of Win]]-0)^2))</f>
        <v/>
      </c>
      <c r="P415" s="11"/>
    </row>
    <row r="416" spans="4:16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-0.16069632687214722</v>
      </c>
      <c r="H416" t="s">
        <v>22</v>
      </c>
      <c r="I416">
        <f>VLOOKUP(Table4[[#This Row],[Visitor]],'NHL Model'!$A$6:$B$38,2,FALSE)</f>
        <v>-3.9931837337852071E-3</v>
      </c>
      <c r="J416">
        <f>($B$1+Table4[[#This Row],[Home Differential]])-Table4[[#This Row],[Away Differential]]</f>
        <v>5.08570416536471E-2</v>
      </c>
      <c r="K416" t="str">
        <f>IF(Table4[[#This Row],[HomeIce Differential]]&gt;0,Table4[[#This Row],[Home]],Table4[[#This Row],[Visitor]])</f>
        <v>Los Angeles Kings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0.5469995925659189</v>
      </c>
      <c r="M416" t="str">
        <f>IF(OR((NHL2025_26Results[[#This Row],[Winning Team]]="")),"-",IF(Table4[[#This Row],[Predicted Winner]]=NHL2025_26Results[[#This Row],[Winning Team]],"YES","NO"))</f>
        <v>-</v>
      </c>
      <c r="N416" t="str">
        <f>IF(Table4[[#This Row],[Adjusted Correct]]="-", "",IF(Table4[[#This Row],[Adjusted Correct]]="YES",(Table4[[#This Row],[Strength of Win]]-1)^2,(Table4[[#This Row],[Strength of Win]]-0)^2))</f>
        <v/>
      </c>
      <c r="P416" s="11"/>
    </row>
    <row r="417" spans="4:16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-0.69497686531268954</v>
      </c>
      <c r="H417" t="s">
        <v>36</v>
      </c>
      <c r="I417">
        <f>VLOOKUP(Table4[[#This Row],[Visitor]],'NHL Model'!$A$6:$B$38,2,FALSE)</f>
        <v>-0.49956508239762204</v>
      </c>
      <c r="J417">
        <f>($B$1+Table4[[#This Row],[Home Differential]])-Table4[[#This Row],[Away Differential]]</f>
        <v>1.2148401876941606E-2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0.54167201749651006</v>
      </c>
      <c r="M417" t="str">
        <f>IF(OR((NHL2025_26Results[[#This Row],[Winning Team]]="")),"-",IF(Table4[[#This Row],[Predicted Winner]]=NHL2025_26Results[[#This Row],[Winning Team]],"YES","NO"))</f>
        <v>-</v>
      </c>
      <c r="N417" t="str">
        <f>IF(Table4[[#This Row],[Adjusted Correct]]="-", "",IF(Table4[[#This Row],[Adjusted Correct]]="YES",(Table4[[#This Row],[Strength of Win]]-1)^2,(Table4[[#This Row],[Strength of Win]]-0)^2))</f>
        <v/>
      </c>
      <c r="P417" s="11"/>
    </row>
    <row r="418" spans="4:16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-1.4393526815815083</v>
      </c>
      <c r="H418" t="s">
        <v>16</v>
      </c>
      <c r="I418">
        <f>VLOOKUP(Table4[[#This Row],[Visitor]],'NHL Model'!$A$6:$B$38,2,FALSE)</f>
        <v>-1.2993694664931768</v>
      </c>
      <c r="J418">
        <f>($B$1+Table4[[#This Row],[Home Differential]])-Table4[[#This Row],[Away Differential]]</f>
        <v>6.7576969703677436E-2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0.54930080160750494</v>
      </c>
      <c r="M418" t="str">
        <f>IF(OR((NHL2025_26Results[[#This Row],[Winning Team]]="")),"-",IF(Table4[[#This Row],[Predicted Winner]]=NHL2025_26Results[[#This Row],[Winning Team]],"YES","NO"))</f>
        <v>-</v>
      </c>
      <c r="N418" t="str">
        <f>IF(Table4[[#This Row],[Adjusted Correct]]="-", "",IF(Table4[[#This Row],[Adjusted Correct]]="YES",(Table4[[#This Row],[Strength of Win]]-1)^2,(Table4[[#This Row],[Strength of Win]]-0)^2))</f>
        <v/>
      </c>
      <c r="P418" s="11"/>
    </row>
    <row r="419" spans="4:16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-7.6737500378247253E-2</v>
      </c>
      <c r="H419" t="s">
        <v>37</v>
      </c>
      <c r="I419">
        <f>VLOOKUP(Table4[[#This Row],[Visitor]],'NHL Model'!$A$6:$B$38,2,FALSE)</f>
        <v>3.7016822058700272E-2</v>
      </c>
      <c r="J419">
        <f>($B$1+Table4[[#This Row],[Home Differential]])-Table4[[#This Row],[Away Differential]]</f>
        <v>9.3805862355061581E-2</v>
      </c>
      <c r="K419" t="str">
        <f>IF(Table4[[#This Row],[HomeIce Differential]]&gt;0,Table4[[#This Row],[Home]],Table4[[#This Row],[Visitor]])</f>
        <v>New York Islanders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0.50581136375453828</v>
      </c>
      <c r="M419" t="str">
        <f>IF(OR((NHL2025_26Results[[#This Row],[Winning Team]]="")),"-",IF(Table4[[#This Row],[Predicted Winner]]=NHL2025_26Results[[#This Row],[Winning Team]],"YES","NO"))</f>
        <v>-</v>
      </c>
      <c r="N419" t="str">
        <f>IF(Table4[[#This Row],[Adjusted Correct]]="-", "",IF(Table4[[#This Row],[Adjusted Correct]]="YES",(Table4[[#This Row],[Strength of Win]]-1)^2,(Table4[[#This Row],[Strength of Win]]-0)^2))</f>
        <v/>
      </c>
      <c r="P419" s="11"/>
    </row>
    <row r="420" spans="4:16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-0.41117752232850285</v>
      </c>
      <c r="H420" t="s">
        <v>39</v>
      </c>
      <c r="I420">
        <f>VLOOKUP(Table4[[#This Row],[Visitor]],'NHL Model'!$A$6:$B$38,2,FALSE)</f>
        <v>4.3588947679693783E-2</v>
      </c>
      <c r="J420">
        <f>($B$1+Table4[[#This Row],[Home Differential]])-Table4[[#This Row],[Away Differential]]</f>
        <v>-0.24720628521618754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0.58650985929736821</v>
      </c>
      <c r="M420" t="str">
        <f>IF(OR((NHL2025_26Results[[#This Row],[Winning Team]]="")),"-",IF(Table4[[#This Row],[Predicted Winner]]=NHL2025_26Results[[#This Row],[Winning Team]],"YES","NO"))</f>
        <v>-</v>
      </c>
      <c r="N420" t="str">
        <f>IF(Table4[[#This Row],[Adjusted Correct]]="-", "",IF(Table4[[#This Row],[Adjusted Correct]]="YES",(Table4[[#This Row],[Strength of Win]]-1)^2,(Table4[[#This Row],[Strength of Win]]-0)^2))</f>
        <v/>
      </c>
      <c r="P420" s="11"/>
    </row>
    <row r="421" spans="4:16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-5.3996763649808116E-4</v>
      </c>
      <c r="H421" t="s">
        <v>10</v>
      </c>
      <c r="I421">
        <f>VLOOKUP(Table4[[#This Row],[Visitor]],'NHL Model'!$A$6:$B$38,2,FALSE)</f>
        <v>0.28318004708662448</v>
      </c>
      <c r="J421">
        <f>($B$1+Table4[[#This Row],[Home Differential]])-Table4[[#This Row],[Away Differential]]</f>
        <v>-7.6159829931113449E-2</v>
      </c>
      <c r="K421" t="str">
        <f>IF(Table4[[#This Row],[HomeIce Differential]]&gt;0,Table4[[#This Row],[Home]],Table4[[#This Row],[Visitor]])</f>
        <v>Chicago Blackhawks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0.49125131470635713</v>
      </c>
      <c r="M421" t="str">
        <f>IF(OR((NHL2025_26Results[[#This Row],[Winning Team]]="")),"-",IF(Table4[[#This Row],[Predicted Winner]]=NHL2025_26Results[[#This Row],[Winning Team]],"YES","NO"))</f>
        <v>-</v>
      </c>
      <c r="N421" t="str">
        <f>IF(Table4[[#This Row],[Adjusted Correct]]="-", "",IF(Table4[[#This Row],[Adjusted Correct]]="YES",(Table4[[#This Row],[Strength of Win]]-1)^2,(Table4[[#This Row],[Strength of Win]]-0)^2))</f>
        <v/>
      </c>
      <c r="P421" s="11"/>
    </row>
    <row r="422" spans="4:16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0.49887659623169195</v>
      </c>
      <c r="H422" t="s">
        <v>55</v>
      </c>
      <c r="I422">
        <f>VLOOKUP(Table4[[#This Row],[Visitor]],'NHL Model'!$A$6:$B$38,2,FALSE)</f>
        <v>-0.24431182281386174</v>
      </c>
      <c r="J422">
        <f>($B$1+Table4[[#This Row],[Home Differential]])-Table4[[#This Row],[Away Differential]]</f>
        <v>0.95074860383756288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0.78628482036499947</v>
      </c>
      <c r="M422" t="str">
        <f>IF(OR((NHL2025_26Results[[#This Row],[Winning Team]]="")),"-",IF(Table4[[#This Row],[Predicted Winner]]=NHL2025_26Results[[#This Row],[Winning Team]],"YES","NO"))</f>
        <v>-</v>
      </c>
      <c r="N422" t="str">
        <f>IF(Table4[[#This Row],[Adjusted Correct]]="-", "",IF(Table4[[#This Row],[Adjusted Correct]]="YES",(Table4[[#This Row],[Strength of Win]]-1)^2,(Table4[[#This Row],[Strength of Win]]-0)^2))</f>
        <v/>
      </c>
      <c r="P422" s="11"/>
    </row>
    <row r="423" spans="4:16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-0.69497686531268954</v>
      </c>
      <c r="H423" t="s">
        <v>40</v>
      </c>
      <c r="I423">
        <f>VLOOKUP(Table4[[#This Row],[Visitor]],'NHL Model'!$A$6:$B$38,2,FALSE)</f>
        <v>0.16605329280468042</v>
      </c>
      <c r="J423">
        <f>($B$1+Table4[[#This Row],[Home Differential]])-Table4[[#This Row],[Away Differential]]</f>
        <v>-0.65346997332536083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0.61625463409799308</v>
      </c>
      <c r="M423" t="str">
        <f>IF(OR((NHL2025_26Results[[#This Row],[Winning Team]]="")),"-",IF(Table4[[#This Row],[Predicted Winner]]=NHL2025_26Results[[#This Row],[Winning Team]],"YES","NO"))</f>
        <v>-</v>
      </c>
      <c r="N423" t="str">
        <f>IF(Table4[[#This Row],[Adjusted Correct]]="-", "",IF(Table4[[#This Row],[Adjusted Correct]]="YES",(Table4[[#This Row],[Strength of Win]]-1)^2,(Table4[[#This Row],[Strength of Win]]-0)^2))</f>
        <v/>
      </c>
      <c r="P423" s="11"/>
    </row>
    <row r="424" spans="4:16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0.27405230796993052</v>
      </c>
      <c r="H424" t="s">
        <v>39</v>
      </c>
      <c r="I424">
        <f>VLOOKUP(Table4[[#This Row],[Visitor]],'NHL Model'!$A$6:$B$38,2,FALSE)</f>
        <v>4.3588947679693783E-2</v>
      </c>
      <c r="J424">
        <f>($B$1+Table4[[#This Row],[Home Differential]])-Table4[[#This Row],[Away Differential]]</f>
        <v>0.43802354508224584</v>
      </c>
      <c r="K424" t="str">
        <f>IF(Table4[[#This Row],[HomeIce Differential]]&gt;0,Table4[[#This Row],[Home]],Table4[[#This Row],[Visitor]])</f>
        <v>New Jersey Devils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0.627853935987018</v>
      </c>
      <c r="M424" t="str">
        <f>IF(OR((NHL2025_26Results[[#This Row],[Winning Team]]="")),"-",IF(Table4[[#This Row],[Predicted Winner]]=NHL2025_26Results[[#This Row],[Winning Team]],"YES","NO"))</f>
        <v>-</v>
      </c>
      <c r="N424" t="str">
        <f>IF(Table4[[#This Row],[Adjusted Correct]]="-", "",IF(Table4[[#This Row],[Adjusted Correct]]="YES",(Table4[[#This Row],[Strength of Win]]-1)^2,(Table4[[#This Row],[Strength of Win]]-0)^2))</f>
        <v/>
      </c>
      <c r="P424" s="11"/>
    </row>
    <row r="425" spans="4:16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-0.59983976271417982</v>
      </c>
      <c r="H425" t="s">
        <v>23</v>
      </c>
      <c r="I425">
        <f>VLOOKUP(Table4[[#This Row],[Visitor]],'NHL Model'!$A$6:$B$38,2,FALSE)</f>
        <v>-1.005023581214965</v>
      </c>
      <c r="J425">
        <f>($B$1+Table4[[#This Row],[Home Differential]])-Table4[[#This Row],[Away Differential]]</f>
        <v>0.61274400329279433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0.62682909812517251</v>
      </c>
      <c r="M425" t="str">
        <f>IF(OR((NHL2025_26Results[[#This Row],[Winning Team]]="")),"-",IF(Table4[[#This Row],[Predicted Winner]]=NHL2025_26Results[[#This Row],[Winning Team]],"YES","NO"))</f>
        <v>-</v>
      </c>
      <c r="N425" t="str">
        <f>IF(Table4[[#This Row],[Adjusted Correct]]="-", "",IF(Table4[[#This Row],[Adjusted Correct]]="YES",(Table4[[#This Row],[Strength of Win]]-1)^2,(Table4[[#This Row],[Strength of Win]]-0)^2))</f>
        <v/>
      </c>
      <c r="P425" s="11"/>
    </row>
    <row r="426" spans="4:16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-0.41595305630289253</v>
      </c>
      <c r="H426" t="s">
        <v>22</v>
      </c>
      <c r="I426">
        <f>VLOOKUP(Table4[[#This Row],[Visitor]],'NHL Model'!$A$6:$B$38,2,FALSE)</f>
        <v>-3.9931837337852071E-3</v>
      </c>
      <c r="J426">
        <f>($B$1+Table4[[#This Row],[Home Differential]])-Table4[[#This Row],[Away Differential]]</f>
        <v>-0.20439968777709822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0.4881320833560146</v>
      </c>
      <c r="M426" t="str">
        <f>IF(OR((NHL2025_26Results[[#This Row],[Winning Team]]="")),"-",IF(Table4[[#This Row],[Predicted Winner]]=NHL2025_26Results[[#This Row],[Winning Team]],"YES","NO"))</f>
        <v>-</v>
      </c>
      <c r="N426" t="str">
        <f>IF(Table4[[#This Row],[Adjusted Correct]]="-", "",IF(Table4[[#This Row],[Adjusted Correct]]="YES",(Table4[[#This Row],[Strength of Win]]-1)^2,(Table4[[#This Row],[Strength of Win]]-0)^2))</f>
        <v/>
      </c>
      <c r="P426" s="11"/>
    </row>
    <row r="427" spans="4:16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-0.11354210657072454</v>
      </c>
      <c r="H427" t="s">
        <v>35</v>
      </c>
      <c r="I427">
        <f>VLOOKUP(Table4[[#This Row],[Visitor]],'NHL Model'!$A$6:$B$38,2,FALSE)</f>
        <v>-1.7049475448313323</v>
      </c>
      <c r="J427">
        <f>($B$1+Table4[[#This Row],[Home Differential]])-Table4[[#This Row],[Away Differential]]</f>
        <v>1.7989656230526168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0.83931249378549055</v>
      </c>
      <c r="M427" t="str">
        <f>IF(OR((NHL2025_26Results[[#This Row],[Winning Team]]="")),"-",IF(Table4[[#This Row],[Predicted Winner]]=NHL2025_26Results[[#This Row],[Winning Team]],"YES","NO"))</f>
        <v>-</v>
      </c>
      <c r="N427" t="str">
        <f>IF(Table4[[#This Row],[Adjusted Correct]]="-", "",IF(Table4[[#This Row],[Adjusted Correct]]="YES",(Table4[[#This Row],[Strength of Win]]-1)^2,(Table4[[#This Row],[Strength of Win]]-0)^2))</f>
        <v/>
      </c>
      <c r="P427" s="11"/>
    </row>
    <row r="428" spans="4:16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0.55298967972810642</v>
      </c>
      <c r="H428" t="s">
        <v>19</v>
      </c>
      <c r="I428">
        <f>VLOOKUP(Table4[[#This Row],[Visitor]],'NHL Model'!$A$6:$B$38,2,FALSE)</f>
        <v>-0.76384910289376506</v>
      </c>
      <c r="J428">
        <f>($B$1+Table4[[#This Row],[Home Differential]])-Table4[[#This Row],[Away Differential]]</f>
        <v>1.5243989674138807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0.80152314035147554</v>
      </c>
      <c r="M428" t="str">
        <f>IF(OR((NHL2025_26Results[[#This Row],[Winning Team]]="")),"-",IF(Table4[[#This Row],[Predicted Winner]]=NHL2025_26Results[[#This Row],[Winning Team]],"YES","NO"))</f>
        <v>-</v>
      </c>
      <c r="N428" t="str">
        <f>IF(Table4[[#This Row],[Adjusted Correct]]="-", "",IF(Table4[[#This Row],[Adjusted Correct]]="YES",(Table4[[#This Row],[Strength of Win]]-1)^2,(Table4[[#This Row],[Strength of Win]]-0)^2))</f>
        <v/>
      </c>
      <c r="P428" s="11"/>
    </row>
    <row r="429" spans="4:16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-0.58990467102727129</v>
      </c>
      <c r="H429" t="s">
        <v>26</v>
      </c>
      <c r="I429">
        <f>VLOOKUP(Table4[[#This Row],[Visitor]],'NHL Model'!$A$6:$B$38,2,FALSE)</f>
        <v>-0.4992069962886943</v>
      </c>
      <c r="J429">
        <f>($B$1+Table4[[#This Row],[Home Differential]])-Table4[[#This Row],[Away Differential]]</f>
        <v>0.11686251005343212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0.51608410418709361</v>
      </c>
      <c r="M429" t="str">
        <f>IF(OR((NHL2025_26Results[[#This Row],[Winning Team]]="")),"-",IF(Table4[[#This Row],[Predicted Winner]]=NHL2025_26Results[[#This Row],[Winning Team]],"YES","NO"))</f>
        <v>-</v>
      </c>
      <c r="N429" t="str">
        <f>IF(Table4[[#This Row],[Adjusted Correct]]="-", "",IF(Table4[[#This Row],[Adjusted Correct]]="YES",(Table4[[#This Row],[Strength of Win]]-1)^2,(Table4[[#This Row],[Strength of Win]]-0)^2))</f>
        <v/>
      </c>
      <c r="P429" s="11"/>
    </row>
    <row r="430" spans="4:16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-1.2993694664931768</v>
      </c>
      <c r="H430" t="s">
        <v>34</v>
      </c>
      <c r="I430">
        <f>VLOOKUP(Table4[[#This Row],[Visitor]],'NHL Model'!$A$6:$B$38,2,FALSE)</f>
        <v>-0.52340626120007572</v>
      </c>
      <c r="J430">
        <f>($B$1+Table4[[#This Row],[Home Differential]])-Table4[[#This Row],[Away Differential]]</f>
        <v>-0.56840302050109204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0.5382308492074851</v>
      </c>
      <c r="M430" t="str">
        <f>IF(OR((NHL2025_26Results[[#This Row],[Winning Team]]="")),"-",IF(Table4[[#This Row],[Predicted Winner]]=NHL2025_26Results[[#This Row],[Winning Team]],"YES","NO"))</f>
        <v>-</v>
      </c>
      <c r="N430" t="str">
        <f>IF(Table4[[#This Row],[Adjusted Correct]]="-", "",IF(Table4[[#This Row],[Adjusted Correct]]="YES",(Table4[[#This Row],[Strength of Win]]-1)^2,(Table4[[#This Row],[Strength of Win]]-0)^2))</f>
        <v/>
      </c>
      <c r="P430" s="11"/>
    </row>
    <row r="431" spans="4:16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-1.0049085234729234</v>
      </c>
      <c r="H431" t="s">
        <v>32</v>
      </c>
      <c r="I431">
        <f>VLOOKUP(Table4[[#This Row],[Visitor]],'NHL Model'!$A$6:$B$38,2,FALSE)</f>
        <v>-0.54471700440519322</v>
      </c>
      <c r="J431">
        <f>($B$1+Table4[[#This Row],[Home Differential]])-Table4[[#This Row],[Away Differential]]</f>
        <v>-0.25263133427572104</v>
      </c>
      <c r="K431" t="str">
        <f>IF(Table4[[#This Row],[HomeIce Differential]]&gt;0,Table4[[#This Row],[Home]],Table4[[#This Row],[Visitor]])</f>
        <v>Seattle Kraken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0.4587334693072892</v>
      </c>
      <c r="M431" t="str">
        <f>IF(OR((NHL2025_26Results[[#This Row],[Winning Team]]="")),"-",IF(Table4[[#This Row],[Predicted Winner]]=NHL2025_26Results[[#This Row],[Winning Team]],"YES","NO"))</f>
        <v>-</v>
      </c>
      <c r="N431" t="str">
        <f>IF(Table4[[#This Row],[Adjusted Correct]]="-", "",IF(Table4[[#This Row],[Adjusted Correct]]="YES",(Table4[[#This Row],[Strength of Win]]-1)^2,(Table4[[#This Row],[Strength of Win]]-0)^2))</f>
        <v/>
      </c>
      <c r="P431" s="11"/>
    </row>
    <row r="432" spans="4:16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-0.2184338233275798</v>
      </c>
      <c r="H432" t="s">
        <v>29</v>
      </c>
      <c r="I432">
        <f>VLOOKUP(Table4[[#This Row],[Visitor]],'NHL Model'!$A$6:$B$38,2,FALSE)</f>
        <v>-1.4393526815815083</v>
      </c>
      <c r="J432">
        <f>($B$1+Table4[[#This Row],[Home Differential]])-Table4[[#This Row],[Away Differential]]</f>
        <v>1.4284790430459375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0.80005372055879465</v>
      </c>
      <c r="M432" t="str">
        <f>IF(OR((NHL2025_26Results[[#This Row],[Winning Team]]="")),"-",IF(Table4[[#This Row],[Predicted Winner]]=NHL2025_26Results[[#This Row],[Winning Team]],"YES","NO"))</f>
        <v>-</v>
      </c>
      <c r="N432" t="str">
        <f>IF(Table4[[#This Row],[Adjusted Correct]]="-", "",IF(Table4[[#This Row],[Adjusted Correct]]="YES",(Table4[[#This Row],[Strength of Win]]-1)^2,(Table4[[#This Row],[Strength of Win]]-0)^2))</f>
        <v/>
      </c>
      <c r="P432" s="11"/>
    </row>
    <row r="433" spans="4:16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-0.16069632687214722</v>
      </c>
      <c r="H433" t="s">
        <v>10</v>
      </c>
      <c r="I433">
        <f>VLOOKUP(Table4[[#This Row],[Visitor]],'NHL Model'!$A$6:$B$38,2,FALSE)</f>
        <v>0.28318004708662448</v>
      </c>
      <c r="J433">
        <f>($B$1+Table4[[#This Row],[Home Differential]])-Table4[[#This Row],[Away Differential]]</f>
        <v>-0.23631618916676259</v>
      </c>
      <c r="K433" t="str">
        <f>IF(Table4[[#This Row],[HomeIce Differential]]&gt;0,Table4[[#This Row],[Home]],Table4[[#This Row],[Visitor]])</f>
        <v>Chicago Blackhawks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0.51329406876832262</v>
      </c>
      <c r="M433" t="str">
        <f>IF(OR((NHL2025_26Results[[#This Row],[Winning Team]]="")),"-",IF(Table4[[#This Row],[Predicted Winner]]=NHL2025_26Results[[#This Row],[Winning Team]],"YES","NO"))</f>
        <v>-</v>
      </c>
      <c r="N433" t="str">
        <f>IF(Table4[[#This Row],[Adjusted Correct]]="-", "",IF(Table4[[#This Row],[Adjusted Correct]]="YES",(Table4[[#This Row],[Strength of Win]]-1)^2,(Table4[[#This Row],[Strength of Win]]-0)^2))</f>
        <v/>
      </c>
      <c r="P433" s="11"/>
    </row>
    <row r="434" spans="4:16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-7.6737500378247253E-2</v>
      </c>
      <c r="H434" t="s">
        <v>12</v>
      </c>
      <c r="I434">
        <f>VLOOKUP(Table4[[#This Row],[Visitor]],'NHL Model'!$A$6:$B$38,2,FALSE)</f>
        <v>1.4229473251234224</v>
      </c>
      <c r="J434">
        <f>($B$1+Table4[[#This Row],[Home Differential]])-Table4[[#This Row],[Away Differential]]</f>
        <v>-1.2921246407096605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0.70415440798686468</v>
      </c>
      <c r="M434" t="str">
        <f>IF(OR((NHL2025_26Results[[#This Row],[Winning Team]]="")),"-",IF(Table4[[#This Row],[Predicted Winner]]=NHL2025_26Results[[#This Row],[Winning Team]],"YES","NO"))</f>
        <v>-</v>
      </c>
      <c r="N434" t="str">
        <f>IF(Table4[[#This Row],[Adjusted Correct]]="-", "",IF(Table4[[#This Row],[Adjusted Correct]]="YES",(Table4[[#This Row],[Strength of Win]]-1)^2,(Table4[[#This Row],[Strength of Win]]-0)^2))</f>
        <v/>
      </c>
      <c r="P434" s="11"/>
    </row>
    <row r="435" spans="4:16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-0.49956508239762204</v>
      </c>
      <c r="H435" t="s">
        <v>15</v>
      </c>
      <c r="I435">
        <f>VLOOKUP(Table4[[#This Row],[Visitor]],'NHL Model'!$A$6:$B$38,2,FALSE)</f>
        <v>-0.41117752232850285</v>
      </c>
      <c r="J435">
        <f>($B$1+Table4[[#This Row],[Home Differential]])-Table4[[#This Row],[Away Differential]]</f>
        <v>0.11917262472288992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0.43745468311297625</v>
      </c>
      <c r="M435" t="str">
        <f>IF(OR((NHL2025_26Results[[#This Row],[Winning Team]]="")),"-",IF(Table4[[#This Row],[Predicted Winner]]=NHL2025_26Results[[#This Row],[Winning Team]],"YES","NO"))</f>
        <v>-</v>
      </c>
      <c r="N435" t="str">
        <f>IF(Table4[[#This Row],[Adjusted Correct]]="-", "",IF(Table4[[#This Row],[Adjusted Correct]]="YES",(Table4[[#This Row],[Strength of Win]]-1)^2,(Table4[[#This Row],[Strength of Win]]-0)^2))</f>
        <v/>
      </c>
      <c r="P435" s="11"/>
    </row>
    <row r="436" spans="4:16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3.7016822058700272E-2</v>
      </c>
      <c r="H436" t="s">
        <v>14</v>
      </c>
      <c r="I436">
        <f>VLOOKUP(Table4[[#This Row],[Visitor]],'NHL Model'!$A$6:$B$38,2,FALSE)</f>
        <v>0.19812979206825923</v>
      </c>
      <c r="J436">
        <f>($B$1+Table4[[#This Row],[Home Differential]])-Table4[[#This Row],[Away Differential]]</f>
        <v>4.6447214782450147E-2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0.546392656134287</v>
      </c>
      <c r="M436" t="str">
        <f>IF(OR((NHL2025_26Results[[#This Row],[Winning Team]]="")),"-",IF(Table4[[#This Row],[Predicted Winner]]=NHL2025_26Results[[#This Row],[Winning Team]],"YES","NO"))</f>
        <v>-</v>
      </c>
      <c r="N436" t="str">
        <f>IF(Table4[[#This Row],[Adjusted Correct]]="-", "",IF(Table4[[#This Row],[Adjusted Correct]]="YES",(Table4[[#This Row],[Strength of Win]]-1)^2,(Table4[[#This Row],[Strength of Win]]-0)^2))</f>
        <v/>
      </c>
      <c r="P436" s="11"/>
    </row>
    <row r="437" spans="4:16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0.49887659623169195</v>
      </c>
      <c r="H437" t="s">
        <v>22</v>
      </c>
      <c r="I437">
        <f>VLOOKUP(Table4[[#This Row],[Visitor]],'NHL Model'!$A$6:$B$38,2,FALSE)</f>
        <v>-3.9931837337852071E-3</v>
      </c>
      <c r="J437">
        <f>($B$1+Table4[[#This Row],[Home Differential]])-Table4[[#This Row],[Away Differential]]</f>
        <v>0.71042996475748632</v>
      </c>
      <c r="K437" t="str">
        <f>IF(Table4[[#This Row],[HomeIce Differential]]&gt;0,Table4[[#This Row],[Home]],Table4[[#This Row],[Visitor]])</f>
        <v>Anaheim Ducks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0.7532091143297861</v>
      </c>
      <c r="M437" t="str">
        <f>IF(OR((NHL2025_26Results[[#This Row],[Winning Team]]="")),"-",IF(Table4[[#This Row],[Predicted Winner]]=NHL2025_26Results[[#This Row],[Winning Team]],"YES","NO"))</f>
        <v>-</v>
      </c>
      <c r="N437" t="str">
        <f>IF(Table4[[#This Row],[Adjusted Correct]]="-", "",IF(Table4[[#This Row],[Adjusted Correct]]="YES",(Table4[[#This Row],[Strength of Win]]-1)^2,(Table4[[#This Row],[Strength of Win]]-0)^2))</f>
        <v/>
      </c>
      <c r="P437" s="11"/>
    </row>
    <row r="438" spans="4:16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4.3588947679693783E-2</v>
      </c>
      <c r="H438" t="s">
        <v>33</v>
      </c>
      <c r="I438">
        <f>VLOOKUP(Table4[[#This Row],[Visitor]],'NHL Model'!$A$6:$B$38,2,FALSE)</f>
        <v>-0.41595305630289253</v>
      </c>
      <c r="J438">
        <f>($B$1+Table4[[#This Row],[Home Differential]])-Table4[[#This Row],[Away Differential]]</f>
        <v>0.66710218877459537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0.63431056261118179</v>
      </c>
      <c r="M438" t="str">
        <f>IF(OR((NHL2025_26Results[[#This Row],[Winning Team]]="")),"-",IF(Table4[[#This Row],[Predicted Winner]]=NHL2025_26Results[[#This Row],[Winning Team]],"YES","NO"))</f>
        <v>-</v>
      </c>
      <c r="N438" t="str">
        <f>IF(Table4[[#This Row],[Adjusted Correct]]="-", "",IF(Table4[[#This Row],[Adjusted Correct]]="YES",(Table4[[#This Row],[Strength of Win]]-1)^2,(Table4[[#This Row],[Strength of Win]]-0)^2))</f>
        <v/>
      </c>
      <c r="P438" s="11"/>
    </row>
    <row r="439" spans="4:16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0.27405230796993052</v>
      </c>
      <c r="H439" t="s">
        <v>20</v>
      </c>
      <c r="I439">
        <f>VLOOKUP(Table4[[#This Row],[Visitor]],'NHL Model'!$A$6:$B$38,2,FALSE)</f>
        <v>-5.3996763649808116E-4</v>
      </c>
      <c r="J439">
        <f>($B$1+Table4[[#This Row],[Home Differential]])-Table4[[#This Row],[Away Differential]]</f>
        <v>0.48215246039843773</v>
      </c>
      <c r="K439" t="str">
        <f>IF(Table4[[#This Row],[HomeIce Differential]]&gt;0,Table4[[#This Row],[Home]],Table4[[#This Row],[Visitor]])</f>
        <v>New Jersey Devils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0.70272358707465765</v>
      </c>
      <c r="M439" t="str">
        <f>IF(OR((NHL2025_26Results[[#This Row],[Winning Team]]="")),"-",IF(Table4[[#This Row],[Predicted Winner]]=NHL2025_26Results[[#This Row],[Winning Team]],"YES","NO"))</f>
        <v>-</v>
      </c>
      <c r="N439" t="str">
        <f>IF(Table4[[#This Row],[Adjusted Correct]]="-", "",IF(Table4[[#This Row],[Adjusted Correct]]="YES",(Table4[[#This Row],[Strength of Win]]-1)^2,(Table4[[#This Row],[Strength of Win]]-0)^2))</f>
        <v/>
      </c>
      <c r="P439" s="11"/>
    </row>
    <row r="440" spans="4:16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-0.87761566951859371</v>
      </c>
      <c r="H440" t="s">
        <v>55</v>
      </c>
      <c r="I440">
        <f>VLOOKUP(Table4[[#This Row],[Visitor]],'NHL Model'!$A$6:$B$38,2,FALSE)</f>
        <v>-0.24431182281386174</v>
      </c>
      <c r="J440">
        <f>($B$1+Table4[[#This Row],[Home Differential]])-Table4[[#This Row],[Away Differential]]</f>
        <v>-0.42574366191272284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0.51859625479606808</v>
      </c>
      <c r="M440" t="str">
        <f>IF(OR((NHL2025_26Results[[#This Row],[Winning Team]]="")),"-",IF(Table4[[#This Row],[Predicted Winner]]=NHL2025_26Results[[#This Row],[Winning Team]],"YES","NO"))</f>
        <v>-</v>
      </c>
      <c r="N440" t="str">
        <f>IF(Table4[[#This Row],[Adjusted Correct]]="-", "",IF(Table4[[#This Row],[Adjusted Correct]]="YES",(Table4[[#This Row],[Strength of Win]]-1)^2,(Table4[[#This Row],[Strength of Win]]-0)^2))</f>
        <v/>
      </c>
      <c r="P440" s="11"/>
    </row>
    <row r="441" spans="4:16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0.16605329280468042</v>
      </c>
      <c r="H441" t="s">
        <v>23</v>
      </c>
      <c r="I441">
        <f>VLOOKUP(Table4[[#This Row],[Visitor]],'NHL Model'!$A$6:$B$38,2,FALSE)</f>
        <v>-1.005023581214965</v>
      </c>
      <c r="J441">
        <f>($B$1+Table4[[#This Row],[Home Differential]])-Table4[[#This Row],[Away Differential]]</f>
        <v>1.3786370588116545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0.78146153356760717</v>
      </c>
      <c r="M441" t="str">
        <f>IF(OR((NHL2025_26Results[[#This Row],[Winning Team]]="")),"-",IF(Table4[[#This Row],[Predicted Winner]]=NHL2025_26Results[[#This Row],[Winning Team]],"YES","NO"))</f>
        <v>-</v>
      </c>
      <c r="N441" t="str">
        <f>IF(Table4[[#This Row],[Adjusted Correct]]="-", "",IF(Table4[[#This Row],[Adjusted Correct]]="YES",(Table4[[#This Row],[Strength of Win]]-1)^2,(Table4[[#This Row],[Strength of Win]]-0)^2))</f>
        <v/>
      </c>
      <c r="P441" s="11"/>
    </row>
    <row r="442" spans="4:16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-0.11354210657072454</v>
      </c>
      <c r="H442" t="s">
        <v>24</v>
      </c>
      <c r="I442">
        <f>VLOOKUP(Table4[[#This Row],[Visitor]],'NHL Model'!$A$6:$B$38,2,FALSE)</f>
        <v>0.27405230796993052</v>
      </c>
      <c r="J442">
        <f>($B$1+Table4[[#This Row],[Home Differential]])-Table4[[#This Row],[Away Differential]]</f>
        <v>-0.18003422974864597</v>
      </c>
      <c r="K442" t="str">
        <f>IF(Table4[[#This Row],[HomeIce Differential]]&gt;0,Table4[[#This Row],[Home]],Table4[[#This Row],[Visitor]])</f>
        <v>New Jersey Devils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0.47477859928899691</v>
      </c>
      <c r="M442" t="str">
        <f>IF(OR((NHL2025_26Results[[#This Row],[Winning Team]]="")),"-",IF(Table4[[#This Row],[Predicted Winner]]=NHL2025_26Results[[#This Row],[Winning Team]],"YES","NO"))</f>
        <v>-</v>
      </c>
      <c r="N442" t="str">
        <f>IF(Table4[[#This Row],[Adjusted Correct]]="-", "",IF(Table4[[#This Row],[Adjusted Correct]]="YES",(Table4[[#This Row],[Strength of Win]]-1)^2,(Table4[[#This Row],[Strength of Win]]-0)^2))</f>
        <v/>
      </c>
      <c r="P442" s="11"/>
    </row>
    <row r="443" spans="4:16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0.55298967972810642</v>
      </c>
      <c r="H443" t="s">
        <v>29</v>
      </c>
      <c r="I443">
        <f>VLOOKUP(Table4[[#This Row],[Visitor]],'NHL Model'!$A$6:$B$38,2,FALSE)</f>
        <v>-1.4393526815815083</v>
      </c>
      <c r="J443">
        <f>($B$1+Table4[[#This Row],[Home Differential]])-Table4[[#This Row],[Away Differential]]</f>
        <v>2.1999025461016237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0.89449452983644018</v>
      </c>
      <c r="M443" t="str">
        <f>IF(OR((NHL2025_26Results[[#This Row],[Winning Team]]="")),"-",IF(Table4[[#This Row],[Predicted Winner]]=NHL2025_26Results[[#This Row],[Winning Team]],"YES","NO"))</f>
        <v>-</v>
      </c>
      <c r="N443" t="str">
        <f>IF(Table4[[#This Row],[Adjusted Correct]]="-", "",IF(Table4[[#This Row],[Adjusted Correct]]="YES",(Table4[[#This Row],[Strength of Win]]-1)^2,(Table4[[#This Row],[Strength of Win]]-0)^2))</f>
        <v/>
      </c>
      <c r="P443" s="11"/>
    </row>
    <row r="444" spans="4:16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-1.2993694664931768</v>
      </c>
      <c r="H444" t="s">
        <v>55</v>
      </c>
      <c r="I444">
        <f>VLOOKUP(Table4[[#This Row],[Visitor]],'NHL Model'!$A$6:$B$38,2,FALSE)</f>
        <v>-0.24431182281386174</v>
      </c>
      <c r="J444">
        <f>($B$1+Table4[[#This Row],[Home Differential]])-Table4[[#This Row],[Away Differential]]</f>
        <v>-0.84749745888730599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0.57664337366027807</v>
      </c>
      <c r="M444" t="str">
        <f>IF(OR((NHL2025_26Results[[#This Row],[Winning Team]]="")),"-",IF(Table4[[#This Row],[Predicted Winner]]=NHL2025_26Results[[#This Row],[Winning Team]],"YES","NO"))</f>
        <v>-</v>
      </c>
      <c r="N444" t="str">
        <f>IF(Table4[[#This Row],[Adjusted Correct]]="-", "",IF(Table4[[#This Row],[Adjusted Correct]]="YES",(Table4[[#This Row],[Strength of Win]]-1)^2,(Table4[[#This Row],[Strength of Win]]-0)^2))</f>
        <v/>
      </c>
      <c r="P444" s="11"/>
    </row>
    <row r="445" spans="4:16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-1.0049085234729234</v>
      </c>
      <c r="H445" t="s">
        <v>40</v>
      </c>
      <c r="I445">
        <f>VLOOKUP(Table4[[#This Row],[Visitor]],'NHL Model'!$A$6:$B$38,2,FALSE)</f>
        <v>0.16605329280468042</v>
      </c>
      <c r="J445">
        <f>($B$1+Table4[[#This Row],[Home Differential]])-Table4[[#This Row],[Away Differential]]</f>
        <v>-0.96340163148559466</v>
      </c>
      <c r="K445" t="str">
        <f>IF(Table4[[#This Row],[HomeIce Differential]]&gt;0,Table4[[#This Row],[Home]],Table4[[#This Row],[Visitor]])</f>
        <v>Winnipeg Jets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0.62239149763177803</v>
      </c>
      <c r="M445" t="str">
        <f>IF(OR((NHL2025_26Results[[#This Row],[Winning Team]]="")),"-",IF(Table4[[#This Row],[Predicted Winner]]=NHL2025_26Results[[#This Row],[Winning Team]],"YES","NO"))</f>
        <v>-</v>
      </c>
      <c r="N445" t="str">
        <f>IF(Table4[[#This Row],[Adjusted Correct]]="-", "",IF(Table4[[#This Row],[Adjusted Correct]]="YES",(Table4[[#This Row],[Strength of Win]]-1)^2,(Table4[[#This Row],[Strength of Win]]-0)^2))</f>
        <v/>
      </c>
      <c r="P445" s="11"/>
    </row>
    <row r="446" spans="4:16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-0.2184338233275798</v>
      </c>
      <c r="H446" t="s">
        <v>28</v>
      </c>
      <c r="I446">
        <f>VLOOKUP(Table4[[#This Row],[Visitor]],'NHL Model'!$A$6:$B$38,2,FALSE)</f>
        <v>-0.58990467102727129</v>
      </c>
      <c r="J446">
        <f>($B$1+Table4[[#This Row],[Home Differential]])-Table4[[#This Row],[Away Differential]]</f>
        <v>0.57903103249170063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0.6831418871827456</v>
      </c>
      <c r="M446" t="str">
        <f>IF(OR((NHL2025_26Results[[#This Row],[Winning Team]]="")),"-",IF(Table4[[#This Row],[Predicted Winner]]=NHL2025_26Results[[#This Row],[Winning Team]],"YES","NO"))</f>
        <v>-</v>
      </c>
      <c r="N446" t="str">
        <f>IF(Table4[[#This Row],[Adjusted Correct]]="-", "",IF(Table4[[#This Row],[Adjusted Correct]]="YES",(Table4[[#This Row],[Strength of Win]]-1)^2,(Table4[[#This Row],[Strength of Win]]-0)^2))</f>
        <v/>
      </c>
      <c r="P446" s="11"/>
    </row>
    <row r="447" spans="4:16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-0.16069632687214722</v>
      </c>
      <c r="H447" t="s">
        <v>10</v>
      </c>
      <c r="I447">
        <f>VLOOKUP(Table4[[#This Row],[Visitor]],'NHL Model'!$A$6:$B$38,2,FALSE)</f>
        <v>0.28318004708662448</v>
      </c>
      <c r="J447">
        <f>($B$1+Table4[[#This Row],[Home Differential]])-Table4[[#This Row],[Away Differential]]</f>
        <v>-0.23631618916676259</v>
      </c>
      <c r="K447" t="str">
        <f>IF(Table4[[#This Row],[HomeIce Differential]]&gt;0,Table4[[#This Row],[Home]],Table4[[#This Row],[Visitor]])</f>
        <v>Chicago Blackhawks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0.51329406876832262</v>
      </c>
      <c r="M447" t="str">
        <f>IF(OR((NHL2025_26Results[[#This Row],[Winning Team]]="")),"-",IF(Table4[[#This Row],[Predicted Winner]]=NHL2025_26Results[[#This Row],[Winning Team]],"YES","NO"))</f>
        <v>-</v>
      </c>
      <c r="N447" t="str">
        <f>IF(Table4[[#This Row],[Adjusted Correct]]="-", "",IF(Table4[[#This Row],[Adjusted Correct]]="YES",(Table4[[#This Row],[Strength of Win]]-1)^2,(Table4[[#This Row],[Strength of Win]]-0)^2))</f>
        <v/>
      </c>
      <c r="P447" s="11"/>
    </row>
    <row r="448" spans="4:16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-0.41117752232850285</v>
      </c>
      <c r="H448" t="s">
        <v>12</v>
      </c>
      <c r="I448">
        <f>VLOOKUP(Table4[[#This Row],[Visitor]],'NHL Model'!$A$6:$B$38,2,FALSE)</f>
        <v>1.4229473251234224</v>
      </c>
      <c r="J448">
        <f>($B$1+Table4[[#This Row],[Home Differential]])-Table4[[#This Row],[Away Differential]]</f>
        <v>-1.6265646626599162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0.75018429520152663</v>
      </c>
      <c r="M448" t="str">
        <f>IF(OR((NHL2025_26Results[[#This Row],[Winning Team]]="")),"-",IF(Table4[[#This Row],[Predicted Winner]]=NHL2025_26Results[[#This Row],[Winning Team]],"YES","NO"))</f>
        <v>-</v>
      </c>
      <c r="N448" t="str">
        <f>IF(Table4[[#This Row],[Adjusted Correct]]="-", "",IF(Table4[[#This Row],[Adjusted Correct]]="YES",(Table4[[#This Row],[Strength of Win]]-1)^2,(Table4[[#This Row],[Strength of Win]]-0)^2))</f>
        <v/>
      </c>
      <c r="P448" s="11"/>
    </row>
    <row r="449" spans="4:16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-0.49956508239762204</v>
      </c>
      <c r="H449" t="s">
        <v>35</v>
      </c>
      <c r="I449">
        <f>VLOOKUP(Table4[[#This Row],[Visitor]],'NHL Model'!$A$6:$B$38,2,FALSE)</f>
        <v>-1.7049475448313323</v>
      </c>
      <c r="J449">
        <f>($B$1+Table4[[#This Row],[Home Differential]])-Table4[[#This Row],[Away Differential]]</f>
        <v>1.4129426472257194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0.73696260760998078</v>
      </c>
      <c r="M449" t="str">
        <f>IF(OR((NHL2025_26Results[[#This Row],[Winning Team]]="")),"-",IF(Table4[[#This Row],[Predicted Winner]]=NHL2025_26Results[[#This Row],[Winning Team]],"YES","NO"))</f>
        <v>-</v>
      </c>
      <c r="N449" t="str">
        <f>IF(Table4[[#This Row],[Adjusted Correct]]="-", "",IF(Table4[[#This Row],[Adjusted Correct]]="YES",(Table4[[#This Row],[Strength of Win]]-1)^2,(Table4[[#This Row],[Strength of Win]]-0)^2))</f>
        <v/>
      </c>
      <c r="P449" s="11"/>
    </row>
    <row r="450" spans="4:16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-0.54471700440519322</v>
      </c>
      <c r="H450" t="s">
        <v>26</v>
      </c>
      <c r="I450">
        <f>VLOOKUP(Table4[[#This Row],[Visitor]],'NHL Model'!$A$6:$B$38,2,FALSE)</f>
        <v>-0.4992069962886943</v>
      </c>
      <c r="J450">
        <f>($B$1+Table4[[#This Row],[Home Differential]])-Table4[[#This Row],[Away Differential]]</f>
        <v>0.16205017667551019</v>
      </c>
      <c r="K450" t="str">
        <f>IF(Table4[[#This Row],[HomeIce Differential]]&gt;0,Table4[[#This Row],[Home]],Table4[[#This Row],[Visitor]])</f>
        <v>Seattle Kraken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0.54153417452297214</v>
      </c>
      <c r="M450" t="str">
        <f>IF(OR((NHL2025_26Results[[#This Row],[Winning Team]]="")),"-",IF(Table4[[#This Row],[Predicted Winner]]=NHL2025_26Results[[#This Row],[Winning Team]],"YES","NO"))</f>
        <v>-</v>
      </c>
      <c r="N450" t="str">
        <f>IF(Table4[[#This Row],[Adjusted Correct]]="-", "",IF(Table4[[#This Row],[Adjusted Correct]]="YES",(Table4[[#This Row],[Strength of Win]]-1)^2,(Table4[[#This Row],[Strength of Win]]-0)^2))</f>
        <v/>
      </c>
      <c r="P450" s="11"/>
    </row>
    <row r="451" spans="4:16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3.7016822058700272E-2</v>
      </c>
      <c r="H451" t="s">
        <v>30</v>
      </c>
      <c r="I451">
        <f>VLOOKUP(Table4[[#This Row],[Visitor]],'NHL Model'!$A$6:$B$38,2,FALSE)</f>
        <v>-7.6737500378247253E-2</v>
      </c>
      <c r="J451">
        <f>($B$1+Table4[[#This Row],[Home Differential]])-Table4[[#This Row],[Away Differential]]</f>
        <v>0.3213145072289566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0.52493555319958229</v>
      </c>
      <c r="M451" t="str">
        <f>IF(OR((NHL2025_26Results[[#This Row],[Winning Team]]="")),"-",IF(Table4[[#This Row],[Predicted Winner]]=NHL2025_26Results[[#This Row],[Winning Team]],"YES","NO"))</f>
        <v>-</v>
      </c>
      <c r="N451" t="str">
        <f>IF(Table4[[#This Row],[Adjusted Correct]]="-", "",IF(Table4[[#This Row],[Adjusted Correct]]="YES",(Table4[[#This Row],[Strength of Win]]-1)^2,(Table4[[#This Row],[Strength of Win]]-0)^2))</f>
        <v/>
      </c>
      <c r="P451" s="11"/>
    </row>
    <row r="452" spans="4:16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-0.76384910289376506</v>
      </c>
      <c r="H452" t="s">
        <v>18</v>
      </c>
      <c r="I452">
        <f>VLOOKUP(Table4[[#This Row],[Visitor]],'NHL Model'!$A$6:$B$38,2,FALSE)</f>
        <v>-0.69497686531268954</v>
      </c>
      <c r="J452">
        <f>($B$1+Table4[[#This Row],[Home Differential]])-Table4[[#This Row],[Away Differential]]</f>
        <v>0.13868794721093358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0.52613025181429085</v>
      </c>
      <c r="M452" t="str">
        <f>IF(OR((NHL2025_26Results[[#This Row],[Winning Team]]="")),"-",IF(Table4[[#This Row],[Predicted Winner]]=NHL2025_26Results[[#This Row],[Winning Team]],"YES","NO"))</f>
        <v>-</v>
      </c>
      <c r="N452" t="str">
        <f>IF(Table4[[#This Row],[Adjusted Correct]]="-", "",IF(Table4[[#This Row],[Adjusted Correct]]="YES",(Table4[[#This Row],[Strength of Win]]-1)^2,(Table4[[#This Row],[Strength of Win]]-0)^2))</f>
        <v/>
      </c>
      <c r="P452" s="11"/>
    </row>
    <row r="453" spans="4:16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-0.87761566951859371</v>
      </c>
      <c r="H453" t="s">
        <v>34</v>
      </c>
      <c r="I453">
        <f>VLOOKUP(Table4[[#This Row],[Visitor]],'NHL Model'!$A$6:$B$38,2,FALSE)</f>
        <v>-0.52340626120007572</v>
      </c>
      <c r="J453">
        <f>($B$1+Table4[[#This Row],[Home Differential]])-Table4[[#This Row],[Away Differential]]</f>
        <v>-0.14664922352650889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0.48018373034327505</v>
      </c>
      <c r="M453" t="str">
        <f>IF(OR((NHL2025_26Results[[#This Row],[Winning Team]]="")),"-",IF(Table4[[#This Row],[Predicted Winner]]=NHL2025_26Results[[#This Row],[Winning Team]],"YES","NO"))</f>
        <v>-</v>
      </c>
      <c r="N453" t="str">
        <f>IF(Table4[[#This Row],[Adjusted Correct]]="-", "",IF(Table4[[#This Row],[Adjusted Correct]]="YES",(Table4[[#This Row],[Strength of Win]]-1)^2,(Table4[[#This Row],[Strength of Win]]-0)^2))</f>
        <v/>
      </c>
      <c r="P453" s="11"/>
    </row>
    <row r="454" spans="4:16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0.49887659623169195</v>
      </c>
      <c r="H454" t="s">
        <v>10</v>
      </c>
      <c r="I454">
        <f>VLOOKUP(Table4[[#This Row],[Visitor]],'NHL Model'!$A$6:$B$38,2,FALSE)</f>
        <v>0.28318004708662448</v>
      </c>
      <c r="J454">
        <f>($B$1+Table4[[#This Row],[Home Differential]])-Table4[[#This Row],[Away Differential]]</f>
        <v>0.42325673393707663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0.69461760851792476</v>
      </c>
      <c r="M454" t="str">
        <f>IF(OR((NHL2025_26Results[[#This Row],[Winning Team]]="")),"-",IF(Table4[[#This Row],[Predicted Winner]]=NHL2025_26Results[[#This Row],[Winning Team]],"YES","NO"))</f>
        <v>-</v>
      </c>
      <c r="N454" t="str">
        <f>IF(Table4[[#This Row],[Adjusted Correct]]="-", "",IF(Table4[[#This Row],[Adjusted Correct]]="YES",(Table4[[#This Row],[Strength of Win]]-1)^2,(Table4[[#This Row],[Strength of Win]]-0)^2))</f>
        <v/>
      </c>
      <c r="P454" s="11"/>
    </row>
    <row r="455" spans="4:16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0.55298967972810642</v>
      </c>
      <c r="H455" t="s">
        <v>33</v>
      </c>
      <c r="I455">
        <f>VLOOKUP(Table4[[#This Row],[Visitor]],'NHL Model'!$A$6:$B$38,2,FALSE)</f>
        <v>-0.41595305630289253</v>
      </c>
      <c r="J455">
        <f>($B$1+Table4[[#This Row],[Home Differential]])-Table4[[#This Row],[Away Differential]]</f>
        <v>1.176502920823008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0.75364126397309605</v>
      </c>
      <c r="M455" t="str">
        <f>IF(OR((NHL2025_26Results[[#This Row],[Winning Team]]="")),"-",IF(Table4[[#This Row],[Predicted Winner]]=NHL2025_26Results[[#This Row],[Winning Team]],"YES","NO"))</f>
        <v>-</v>
      </c>
      <c r="N455" t="str">
        <f>IF(Table4[[#This Row],[Adjusted Correct]]="-", "",IF(Table4[[#This Row],[Adjusted Correct]]="YES",(Table4[[#This Row],[Strength of Win]]-1)^2,(Table4[[#This Row],[Strength of Win]]-0)^2))</f>
        <v/>
      </c>
      <c r="P455" s="11"/>
    </row>
    <row r="456" spans="4:16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4.3588947679693783E-2</v>
      </c>
      <c r="H456" t="s">
        <v>14</v>
      </c>
      <c r="I456">
        <f>VLOOKUP(Table4[[#This Row],[Visitor]],'NHL Model'!$A$6:$B$38,2,FALSE)</f>
        <v>0.19812979206825923</v>
      </c>
      <c r="J456">
        <f>($B$1+Table4[[#This Row],[Home Differential]])-Table4[[#This Row],[Away Differential]]</f>
        <v>5.3019340403443665E-2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0.54979267481129779</v>
      </c>
      <c r="M456" t="str">
        <f>IF(OR((NHL2025_26Results[[#This Row],[Winning Team]]="")),"-",IF(Table4[[#This Row],[Predicted Winner]]=NHL2025_26Results[[#This Row],[Winning Team]],"YES","NO"))</f>
        <v>-</v>
      </c>
      <c r="N456" t="str">
        <f>IF(Table4[[#This Row],[Adjusted Correct]]="-", "",IF(Table4[[#This Row],[Adjusted Correct]]="YES",(Table4[[#This Row],[Strength of Win]]-1)^2,(Table4[[#This Row],[Strength of Win]]-0)^2))</f>
        <v/>
      </c>
      <c r="P456" s="11"/>
    </row>
    <row r="457" spans="4:16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-0.2184338233275798</v>
      </c>
      <c r="H457" t="s">
        <v>30</v>
      </c>
      <c r="I457">
        <f>VLOOKUP(Table4[[#This Row],[Visitor]],'NHL Model'!$A$6:$B$38,2,FALSE)</f>
        <v>-7.6737500378247253E-2</v>
      </c>
      <c r="J457">
        <f>($B$1+Table4[[#This Row],[Home Differential]])-Table4[[#This Row],[Away Differential]]</f>
        <v>6.5863861842676563E-2</v>
      </c>
      <c r="K457" t="str">
        <f>IF(Table4[[#This Row],[HomeIce Differential]]&gt;0,Table4[[#This Row],[Home]],Table4[[#This Row],[Visitor]])</f>
        <v>Florida Panthers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0.55451956738123176</v>
      </c>
      <c r="M457" t="str">
        <f>IF(OR((NHL2025_26Results[[#This Row],[Winning Team]]="")),"-",IF(Table4[[#This Row],[Predicted Winner]]=NHL2025_26Results[[#This Row],[Winning Team]],"YES","NO"))</f>
        <v>-</v>
      </c>
      <c r="N457" t="str">
        <f>IF(Table4[[#This Row],[Adjusted Correct]]="-", "",IF(Table4[[#This Row],[Adjusted Correct]]="YES",(Table4[[#This Row],[Strength of Win]]-1)^2,(Table4[[#This Row],[Strength of Win]]-0)^2))</f>
        <v/>
      </c>
      <c r="P457" s="11"/>
    </row>
    <row r="458" spans="4:16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-0.69497686531268954</v>
      </c>
      <c r="H458" t="s">
        <v>35</v>
      </c>
      <c r="I458">
        <f>VLOOKUP(Table4[[#This Row],[Visitor]],'NHL Model'!$A$6:$B$38,2,FALSE)</f>
        <v>-1.7049475448313323</v>
      </c>
      <c r="J458">
        <f>($B$1+Table4[[#This Row],[Home Differential]])-Table4[[#This Row],[Away Differential]]</f>
        <v>1.2175308643106519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0.70757207477077888</v>
      </c>
      <c r="M458" t="str">
        <f>IF(OR((NHL2025_26Results[[#This Row],[Winning Team]]="")),"-",IF(Table4[[#This Row],[Predicted Winner]]=NHL2025_26Results[[#This Row],[Winning Team]],"YES","NO"))</f>
        <v>-</v>
      </c>
      <c r="N458" t="str">
        <f>IF(Table4[[#This Row],[Adjusted Correct]]="-", "",IF(Table4[[#This Row],[Adjusted Correct]]="YES",(Table4[[#This Row],[Strength of Win]]-1)^2,(Table4[[#This Row],[Strength of Win]]-0)^2))</f>
        <v/>
      </c>
      <c r="P458" s="11"/>
    </row>
    <row r="459" spans="4:16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-0.41117752232850285</v>
      </c>
      <c r="H459" t="s">
        <v>20</v>
      </c>
      <c r="I459">
        <f>VLOOKUP(Table4[[#This Row],[Visitor]],'NHL Model'!$A$6:$B$38,2,FALSE)</f>
        <v>-5.3996763649808116E-4</v>
      </c>
      <c r="J459">
        <f>($B$1+Table4[[#This Row],[Home Differential]])-Table4[[#This Row],[Away Differential]]</f>
        <v>-0.20307736989999567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0.50871931992972408</v>
      </c>
      <c r="M459" t="str">
        <f>IF(OR((NHL2025_26Results[[#This Row],[Winning Team]]="")),"-",IF(Table4[[#This Row],[Predicted Winner]]=NHL2025_26Results[[#This Row],[Winning Team]],"YES","NO"))</f>
        <v>-</v>
      </c>
      <c r="N459" t="str">
        <f>IF(Table4[[#This Row],[Adjusted Correct]]="-", "",IF(Table4[[#This Row],[Adjusted Correct]]="YES",(Table4[[#This Row],[Strength of Win]]-1)^2,(Table4[[#This Row],[Strength of Win]]-0)^2))</f>
        <v/>
      </c>
      <c r="P459" s="11"/>
    </row>
    <row r="460" spans="4:16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-0.59983976271417982</v>
      </c>
      <c r="H460" t="s">
        <v>12</v>
      </c>
      <c r="I460">
        <f>VLOOKUP(Table4[[#This Row],[Visitor]],'NHL Model'!$A$6:$B$38,2,FALSE)</f>
        <v>1.4229473251234224</v>
      </c>
      <c r="J460">
        <f>($B$1+Table4[[#This Row],[Home Differential]])-Table4[[#This Row],[Away Differential]]</f>
        <v>-1.815226903045593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0.77364412532930404</v>
      </c>
      <c r="M460" t="str">
        <f>IF(OR((NHL2025_26Results[[#This Row],[Winning Team]]="")),"-",IF(Table4[[#This Row],[Predicted Winner]]=NHL2025_26Results[[#This Row],[Winning Team]],"YES","NO"))</f>
        <v>-</v>
      </c>
      <c r="N460" t="str">
        <f>IF(Table4[[#This Row],[Adjusted Correct]]="-", "",IF(Table4[[#This Row],[Adjusted Correct]]="YES",(Table4[[#This Row],[Strength of Win]]-1)^2,(Table4[[#This Row],[Strength of Win]]-0)^2))</f>
        <v/>
      </c>
      <c r="P460" s="11"/>
    </row>
    <row r="461" spans="4:16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-3.9931837337852071E-3</v>
      </c>
      <c r="H461" t="s">
        <v>28</v>
      </c>
      <c r="I461">
        <f>VLOOKUP(Table4[[#This Row],[Visitor]],'NHL Model'!$A$6:$B$38,2,FALSE)</f>
        <v>-0.58990467102727129</v>
      </c>
      <c r="J461">
        <f>($B$1+Table4[[#This Row],[Home Differential]])-Table4[[#This Row],[Away Differential]]</f>
        <v>0.79347167208549518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0.65170313731039342</v>
      </c>
      <c r="M461" t="str">
        <f>IF(OR((NHL2025_26Results[[#This Row],[Winning Team]]="")),"-",IF(Table4[[#This Row],[Predicted Winner]]=NHL2025_26Results[[#This Row],[Winning Team]],"YES","NO"))</f>
        <v>-</v>
      </c>
      <c r="N461" t="str">
        <f>IF(Table4[[#This Row],[Adjusted Correct]]="-", "",IF(Table4[[#This Row],[Adjusted Correct]]="YES",(Table4[[#This Row],[Strength of Win]]-1)^2,(Table4[[#This Row],[Strength of Win]]-0)^2))</f>
        <v/>
      </c>
      <c r="P461" s="11"/>
    </row>
    <row r="462" spans="4:16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-1.2993694664931768</v>
      </c>
      <c r="H462" t="s">
        <v>23</v>
      </c>
      <c r="I462">
        <f>VLOOKUP(Table4[[#This Row],[Visitor]],'NHL Model'!$A$6:$B$38,2,FALSE)</f>
        <v>-1.005023581214965</v>
      </c>
      <c r="J462">
        <f>($B$1+Table4[[#This Row],[Home Differential]])-Table4[[#This Row],[Away Differential]]</f>
        <v>-8.678570048620271E-2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0.47194455131873997</v>
      </c>
      <c r="M462" t="str">
        <f>IF(OR((NHL2025_26Results[[#This Row],[Winning Team]]="")),"-",IF(Table4[[#This Row],[Predicted Winner]]=NHL2025_26Results[[#This Row],[Winning Team]],"YES","NO"))</f>
        <v>-</v>
      </c>
      <c r="N462" t="str">
        <f>IF(Table4[[#This Row],[Adjusted Correct]]="-", "",IF(Table4[[#This Row],[Adjusted Correct]]="YES",(Table4[[#This Row],[Strength of Win]]-1)^2,(Table4[[#This Row],[Strength of Win]]-0)^2))</f>
        <v/>
      </c>
      <c r="P462" s="11"/>
    </row>
    <row r="463" spans="4:16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-0.54471700440519322</v>
      </c>
      <c r="H463" t="s">
        <v>34</v>
      </c>
      <c r="I463">
        <f>VLOOKUP(Table4[[#This Row],[Visitor]],'NHL Model'!$A$6:$B$38,2,FALSE)</f>
        <v>-0.52340626120007572</v>
      </c>
      <c r="J463">
        <f>($B$1+Table4[[#This Row],[Home Differential]])-Table4[[#This Row],[Away Differential]]</f>
        <v>0.18624944158689161</v>
      </c>
      <c r="K463" t="str">
        <f>IF(Table4[[#This Row],[HomeIce Differential]]&gt;0,Table4[[#This Row],[Home]],Table4[[#This Row],[Visitor]])</f>
        <v>Seattle Kraken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0.59167175159886276</v>
      </c>
      <c r="M463" t="str">
        <f>IF(OR((NHL2025_26Results[[#This Row],[Winning Team]]="")),"-",IF(Table4[[#This Row],[Predicted Winner]]=NHL2025_26Results[[#This Row],[Winning Team]],"YES","NO"))</f>
        <v>-</v>
      </c>
      <c r="N463" t="str">
        <f>IF(Table4[[#This Row],[Adjusted Correct]]="-", "",IF(Table4[[#This Row],[Adjusted Correct]]="YES",(Table4[[#This Row],[Strength of Win]]-1)^2,(Table4[[#This Row],[Strength of Win]]-0)^2))</f>
        <v/>
      </c>
      <c r="P463" s="11"/>
    </row>
    <row r="464" spans="4:16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-0.76384910289376506</v>
      </c>
      <c r="H464" t="s">
        <v>37</v>
      </c>
      <c r="I464">
        <f>VLOOKUP(Table4[[#This Row],[Visitor]],'NHL Model'!$A$6:$B$38,2,FALSE)</f>
        <v>3.7016822058700272E-2</v>
      </c>
      <c r="J464">
        <f>($B$1+Table4[[#This Row],[Home Differential]])-Table4[[#This Row],[Away Differential]]</f>
        <v>-0.59330574016045623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0.57461602452867955</v>
      </c>
      <c r="M464" t="str">
        <f>IF(OR((NHL2025_26Results[[#This Row],[Winning Team]]="")),"-",IF(Table4[[#This Row],[Predicted Winner]]=NHL2025_26Results[[#This Row],[Winning Team]],"YES","NO"))</f>
        <v>-</v>
      </c>
      <c r="N464" t="str">
        <f>IF(Table4[[#This Row],[Adjusted Correct]]="-", "",IF(Table4[[#This Row],[Adjusted Correct]]="YES",(Table4[[#This Row],[Strength of Win]]-1)^2,(Table4[[#This Row],[Strength of Win]]-0)^2))</f>
        <v/>
      </c>
      <c r="P464" s="11"/>
    </row>
    <row r="465" spans="4:16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-0.24431182281386174</v>
      </c>
      <c r="H465" t="s">
        <v>13</v>
      </c>
      <c r="I465">
        <f>VLOOKUP(Table4[[#This Row],[Visitor]],'NHL Model'!$A$6:$B$38,2,FALSE)</f>
        <v>-0.16069632687214722</v>
      </c>
      <c r="J465">
        <f>($B$1+Table4[[#This Row],[Home Differential]])-Table4[[#This Row],[Away Differential]]</f>
        <v>0.12394468885029458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0.52487134366161181</v>
      </c>
      <c r="M465" t="str">
        <f>IF(OR((NHL2025_26Results[[#This Row],[Winning Team]]="")),"-",IF(Table4[[#This Row],[Predicted Winner]]=NHL2025_26Results[[#This Row],[Winning Team]],"YES","NO"))</f>
        <v>-</v>
      </c>
      <c r="N465" t="str">
        <f>IF(Table4[[#This Row],[Adjusted Correct]]="-", "",IF(Table4[[#This Row],[Adjusted Correct]]="YES",(Table4[[#This Row],[Strength of Win]]-1)^2,(Table4[[#This Row],[Strength of Win]]-0)^2))</f>
        <v/>
      </c>
      <c r="P465" s="11"/>
    </row>
    <row r="466" spans="4:16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-0.87761566951859371</v>
      </c>
      <c r="H466" t="s">
        <v>26</v>
      </c>
      <c r="I466">
        <f>VLOOKUP(Table4[[#This Row],[Visitor]],'NHL Model'!$A$6:$B$38,2,FALSE)</f>
        <v>-0.4992069962886943</v>
      </c>
      <c r="J466">
        <f>($B$1+Table4[[#This Row],[Home Differential]])-Table4[[#This Row],[Away Differential]]</f>
        <v>-0.1708484884378903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0.53061373228160869</v>
      </c>
      <c r="M466" t="str">
        <f>IF(OR((NHL2025_26Results[[#This Row],[Winning Team]]="")),"-",IF(Table4[[#This Row],[Predicted Winner]]=NHL2025_26Results[[#This Row],[Winning Team]],"YES","NO"))</f>
        <v>-</v>
      </c>
      <c r="N466" t="str">
        <f>IF(Table4[[#This Row],[Adjusted Correct]]="-", "",IF(Table4[[#This Row],[Adjusted Correct]]="YES",(Table4[[#This Row],[Strength of Win]]-1)^2,(Table4[[#This Row],[Strength of Win]]-0)^2))</f>
        <v/>
      </c>
      <c r="P466" s="11"/>
    </row>
    <row r="467" spans="4:16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0.55298967972810642</v>
      </c>
      <c r="H467" t="s">
        <v>28</v>
      </c>
      <c r="I467">
        <f>VLOOKUP(Table4[[#This Row],[Visitor]],'NHL Model'!$A$6:$B$38,2,FALSE)</f>
        <v>-0.58990467102727129</v>
      </c>
      <c r="J467">
        <f>($B$1+Table4[[#This Row],[Home Differential]])-Table4[[#This Row],[Away Differential]]</f>
        <v>1.3504545355473869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0.77758269646039102</v>
      </c>
      <c r="M467" t="str">
        <f>IF(OR((NHL2025_26Results[[#This Row],[Winning Team]]="")),"-",IF(Table4[[#This Row],[Predicted Winner]]=NHL2025_26Results[[#This Row],[Winning Team]],"YES","NO"))</f>
        <v>-</v>
      </c>
      <c r="N467" t="str">
        <f>IF(Table4[[#This Row],[Adjusted Correct]]="-", "",IF(Table4[[#This Row],[Adjusted Correct]]="YES",(Table4[[#This Row],[Strength of Win]]-1)^2,(Table4[[#This Row],[Strength of Win]]-0)^2))</f>
        <v/>
      </c>
      <c r="P467" s="11"/>
    </row>
    <row r="468" spans="4:16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-1.0049085234729234</v>
      </c>
      <c r="H468" t="s">
        <v>23</v>
      </c>
      <c r="I468">
        <f>VLOOKUP(Table4[[#This Row],[Visitor]],'NHL Model'!$A$6:$B$38,2,FALSE)</f>
        <v>-1.005023581214965</v>
      </c>
      <c r="J468">
        <f>($B$1+Table4[[#This Row],[Home Differential]])-Table4[[#This Row],[Away Differential]]</f>
        <v>0.20767524253405079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0.60461977319989024</v>
      </c>
      <c r="M468" t="str">
        <f>IF(OR((NHL2025_26Results[[#This Row],[Winning Team]]="")),"-",IF(Table4[[#This Row],[Predicted Winner]]=NHL2025_26Results[[#This Row],[Winning Team]],"YES","NO"))</f>
        <v>-</v>
      </c>
      <c r="N468" t="str">
        <f>IF(Table4[[#This Row],[Adjusted Correct]]="-", "",IF(Table4[[#This Row],[Adjusted Correct]]="YES",(Table4[[#This Row],[Strength of Win]]-1)^2,(Table4[[#This Row],[Strength of Win]]-0)^2))</f>
        <v/>
      </c>
      <c r="P468" s="11"/>
    </row>
    <row r="469" spans="4:16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-0.69497686531268954</v>
      </c>
      <c r="H469" t="s">
        <v>37</v>
      </c>
      <c r="I469">
        <f>VLOOKUP(Table4[[#This Row],[Visitor]],'NHL Model'!$A$6:$B$38,2,FALSE)</f>
        <v>3.7016822058700272E-2</v>
      </c>
      <c r="J469">
        <f>($B$1+Table4[[#This Row],[Home Differential]])-Table4[[#This Row],[Away Differential]]</f>
        <v>-0.52443350257938071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0.57927859669232873</v>
      </c>
      <c r="M469" t="str">
        <f>IF(OR((NHL2025_26Results[[#This Row],[Winning Team]]="")),"-",IF(Table4[[#This Row],[Predicted Winner]]=NHL2025_26Results[[#This Row],[Winning Team]],"YES","NO"))</f>
        <v>-</v>
      </c>
      <c r="N469" t="str">
        <f>IF(Table4[[#This Row],[Adjusted Correct]]="-", "",IF(Table4[[#This Row],[Adjusted Correct]]="YES",(Table4[[#This Row],[Strength of Win]]-1)^2,(Table4[[#This Row],[Strength of Win]]-0)^2))</f>
        <v/>
      </c>
      <c r="P469" s="11"/>
    </row>
    <row r="470" spans="4:16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-1.4393526815815083</v>
      </c>
      <c r="H470" t="s">
        <v>12</v>
      </c>
      <c r="I470">
        <f>VLOOKUP(Table4[[#This Row],[Visitor]],'NHL Model'!$A$6:$B$38,2,FALSE)</f>
        <v>1.4229473251234224</v>
      </c>
      <c r="J470">
        <f>($B$1+Table4[[#This Row],[Home Differential]])-Table4[[#This Row],[Away Differential]]</f>
        <v>-2.6547398219129219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0.89169483075690426</v>
      </c>
      <c r="M470" t="str">
        <f>IF(OR((NHL2025_26Results[[#This Row],[Winning Team]]="")),"-",IF(Table4[[#This Row],[Predicted Winner]]=NHL2025_26Results[[#This Row],[Winning Team]],"YES","NO"))</f>
        <v>-</v>
      </c>
      <c r="N470" t="str">
        <f>IF(Table4[[#This Row],[Adjusted Correct]]="-", "",IF(Table4[[#This Row],[Adjusted Correct]]="YES",(Table4[[#This Row],[Strength of Win]]-1)^2,(Table4[[#This Row],[Strength of Win]]-0)^2))</f>
        <v/>
      </c>
      <c r="P470" s="11"/>
    </row>
    <row r="471" spans="4:16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-7.6737500378247253E-2</v>
      </c>
      <c r="H471" t="s">
        <v>20</v>
      </c>
      <c r="I471">
        <f>VLOOKUP(Table4[[#This Row],[Visitor]],'NHL Model'!$A$6:$B$38,2,FALSE)</f>
        <v>-5.3996763649808116E-4</v>
      </c>
      <c r="J471">
        <f>($B$1+Table4[[#This Row],[Home Differential]])-Table4[[#This Row],[Away Differential]]</f>
        <v>0.13136265205025993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0.53731056728493787</v>
      </c>
      <c r="M471" t="str">
        <f>IF(OR((NHL2025_26Results[[#This Row],[Winning Team]]="")),"-",IF(Table4[[#This Row],[Predicted Winner]]=NHL2025_26Results[[#This Row],[Winning Team]],"YES","NO"))</f>
        <v>-</v>
      </c>
      <c r="N471" t="str">
        <f>IF(Table4[[#This Row],[Adjusted Correct]]="-", "",IF(Table4[[#This Row],[Adjusted Correct]]="YES",(Table4[[#This Row],[Strength of Win]]-1)^2,(Table4[[#This Row],[Strength of Win]]-0)^2))</f>
        <v/>
      </c>
      <c r="P471" s="11"/>
    </row>
    <row r="472" spans="4:16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-0.49956508239762204</v>
      </c>
      <c r="H472" t="s">
        <v>24</v>
      </c>
      <c r="I472">
        <f>VLOOKUP(Table4[[#This Row],[Visitor]],'NHL Model'!$A$6:$B$38,2,FALSE)</f>
        <v>0.27405230796993052</v>
      </c>
      <c r="J472">
        <f>($B$1+Table4[[#This Row],[Home Differential]])-Table4[[#This Row],[Away Differential]]</f>
        <v>-0.56605720557554351</v>
      </c>
      <c r="K472" t="str">
        <f>IF(Table4[[#This Row],[HomeIce Differential]]&gt;0,Table4[[#This Row],[Home]],Table4[[#This Row],[Visitor]])</f>
        <v>New Jersey Devils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0.57790798833748569</v>
      </c>
      <c r="M472" t="str">
        <f>IF(OR((NHL2025_26Results[[#This Row],[Winning Team]]="")),"-",IF(Table4[[#This Row],[Predicted Winner]]=NHL2025_26Results[[#This Row],[Winning Team]],"YES","NO"))</f>
        <v>-</v>
      </c>
      <c r="N472" t="str">
        <f>IF(Table4[[#This Row],[Adjusted Correct]]="-", "",IF(Table4[[#This Row],[Adjusted Correct]]="YES",(Table4[[#This Row],[Strength of Win]]-1)^2,(Table4[[#This Row],[Strength of Win]]-0)^2))</f>
        <v/>
      </c>
      <c r="P472" s="11"/>
    </row>
    <row r="473" spans="4:16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-0.59983976271417982</v>
      </c>
      <c r="H473" t="s">
        <v>33</v>
      </c>
      <c r="I473">
        <f>VLOOKUP(Table4[[#This Row],[Visitor]],'NHL Model'!$A$6:$B$38,2,FALSE)</f>
        <v>-0.41595305630289253</v>
      </c>
      <c r="J473">
        <f>($B$1+Table4[[#This Row],[Home Differential]])-Table4[[#This Row],[Away Differential]]</f>
        <v>2.3673478380721813E-2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0.54575372423580759</v>
      </c>
      <c r="M473" t="str">
        <f>IF(OR((NHL2025_26Results[[#This Row],[Winning Team]]="")),"-",IF(Table4[[#This Row],[Predicted Winner]]=NHL2025_26Results[[#This Row],[Winning Team]],"YES","NO"))</f>
        <v>-</v>
      </c>
      <c r="N473" t="str">
        <f>IF(Table4[[#This Row],[Adjusted Correct]]="-", "",IF(Table4[[#This Row],[Adjusted Correct]]="YES",(Table4[[#This Row],[Strength of Win]]-1)^2,(Table4[[#This Row],[Strength of Win]]-0)^2))</f>
        <v/>
      </c>
      <c r="P473" s="11"/>
    </row>
    <row r="474" spans="4:16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0.19812979206825923</v>
      </c>
      <c r="H474" t="s">
        <v>31</v>
      </c>
      <c r="I474">
        <f>VLOOKUP(Table4[[#This Row],[Visitor]],'NHL Model'!$A$6:$B$38,2,FALSE)</f>
        <v>0.49887659623169195</v>
      </c>
      <c r="J474">
        <f>($B$1+Table4[[#This Row],[Home Differential]])-Table4[[#This Row],[Away Differential]]</f>
        <v>-9.318661937142364E-2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0.45726997158850213</v>
      </c>
      <c r="M474" t="str">
        <f>IF(OR((NHL2025_26Results[[#This Row],[Winning Team]]="")),"-",IF(Table4[[#This Row],[Predicted Winner]]=NHL2025_26Results[[#This Row],[Winning Team]],"YES","NO"))</f>
        <v>-</v>
      </c>
      <c r="N474" t="str">
        <f>IF(Table4[[#This Row],[Adjusted Correct]]="-", "",IF(Table4[[#This Row],[Adjusted Correct]]="YES",(Table4[[#This Row],[Strength of Win]]-1)^2,(Table4[[#This Row],[Strength of Win]]-0)^2))</f>
        <v/>
      </c>
      <c r="P474" s="11"/>
    </row>
    <row r="475" spans="4:16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-1.7049475448313323</v>
      </c>
      <c r="H475" t="s">
        <v>21</v>
      </c>
      <c r="I475">
        <f>VLOOKUP(Table4[[#This Row],[Visitor]],'NHL Model'!$A$6:$B$38,2,FALSE)</f>
        <v>-0.11354210657072454</v>
      </c>
      <c r="J475">
        <f>($B$1+Table4[[#This Row],[Home Differential]])-Table4[[#This Row],[Away Differential]]</f>
        <v>-1.3838452534685985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0.65046237519138561</v>
      </c>
      <c r="M475" t="str">
        <f>IF(OR((NHL2025_26Results[[#This Row],[Winning Team]]="")),"-",IF(Table4[[#This Row],[Predicted Winner]]=NHL2025_26Results[[#This Row],[Winning Team]],"YES","NO"))</f>
        <v>-</v>
      </c>
      <c r="N475" t="str">
        <f>IF(Table4[[#This Row],[Adjusted Correct]]="-", "",IF(Table4[[#This Row],[Adjusted Correct]]="YES",(Table4[[#This Row],[Strength of Win]]-1)^2,(Table4[[#This Row],[Strength of Win]]-0)^2))</f>
        <v/>
      </c>
      <c r="P475" s="11"/>
    </row>
    <row r="476" spans="4:16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0.16605329280468042</v>
      </c>
      <c r="H476" t="s">
        <v>39</v>
      </c>
      <c r="I476">
        <f>VLOOKUP(Table4[[#This Row],[Visitor]],'NHL Model'!$A$6:$B$38,2,FALSE)</f>
        <v>4.3588947679693783E-2</v>
      </c>
      <c r="J476">
        <f>($B$1+Table4[[#This Row],[Home Differential]])-Table4[[#This Row],[Away Differential]]</f>
        <v>0.33002452991699571</v>
      </c>
      <c r="K476" t="str">
        <f>IF(Table4[[#This Row],[HomeIce Differential]]&gt;0,Table4[[#This Row],[Home]],Table4[[#This Row],[Visitor]])</f>
        <v>Winnipeg Jets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0.54542217107141155</v>
      </c>
      <c r="M476" t="str">
        <f>IF(OR((NHL2025_26Results[[#This Row],[Winning Team]]="")),"-",IF(Table4[[#This Row],[Predicted Winner]]=NHL2025_26Results[[#This Row],[Winning Team]],"YES","NO"))</f>
        <v>-</v>
      </c>
      <c r="N476" t="str">
        <f>IF(Table4[[#This Row],[Adjusted Correct]]="-", "",IF(Table4[[#This Row],[Adjusted Correct]]="YES",(Table4[[#This Row],[Strength of Win]]-1)^2,(Table4[[#This Row],[Strength of Win]]-0)^2))</f>
        <v/>
      </c>
      <c r="P476" s="11"/>
    </row>
    <row r="477" spans="4:16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-1.2993694664931768</v>
      </c>
      <c r="H477" t="s">
        <v>26</v>
      </c>
      <c r="I477">
        <f>VLOOKUP(Table4[[#This Row],[Visitor]],'NHL Model'!$A$6:$B$38,2,FALSE)</f>
        <v>-0.4992069962886943</v>
      </c>
      <c r="J477">
        <f>($B$1+Table4[[#This Row],[Home Differential]])-Table4[[#This Row],[Away Differential]]</f>
        <v>-0.59260228541247351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0.58866085114581868</v>
      </c>
      <c r="M477" t="str">
        <f>IF(OR((NHL2025_26Results[[#This Row],[Winning Team]]="")),"-",IF(Table4[[#This Row],[Predicted Winner]]=NHL2025_26Results[[#This Row],[Winning Team]],"YES","NO"))</f>
        <v>-</v>
      </c>
      <c r="N477" t="str">
        <f>IF(Table4[[#This Row],[Adjusted Correct]]="-", "",IF(Table4[[#This Row],[Adjusted Correct]]="YES",(Table4[[#This Row],[Strength of Win]]-1)^2,(Table4[[#This Row],[Strength of Win]]-0)^2))</f>
        <v/>
      </c>
      <c r="P477" s="11"/>
    </row>
    <row r="478" spans="4:16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0.28318004708662448</v>
      </c>
      <c r="H478" t="s">
        <v>15</v>
      </c>
      <c r="I478">
        <f>VLOOKUP(Table4[[#This Row],[Visitor]],'NHL Model'!$A$6:$B$38,2,FALSE)</f>
        <v>-0.41117752232850285</v>
      </c>
      <c r="J478">
        <f>($B$1+Table4[[#This Row],[Home Differential]])-Table4[[#This Row],[Away Differential]]</f>
        <v>0.90191775420713638</v>
      </c>
      <c r="K478" t="str">
        <f>IF(Table4[[#This Row],[HomeIce Differential]]&gt;0,Table4[[#This Row],[Home]],Table4[[#This Row],[Visitor]])</f>
        <v>Chicago Blackhawks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0.54966530138535274</v>
      </c>
      <c r="M478" t="str">
        <f>IF(OR((NHL2025_26Results[[#This Row],[Winning Team]]="")),"-",IF(Table4[[#This Row],[Predicted Winner]]=NHL2025_26Results[[#This Row],[Winning Team]],"YES","NO"))</f>
        <v>-</v>
      </c>
      <c r="N478" t="str">
        <f>IF(Table4[[#This Row],[Adjusted Correct]]="-", "",IF(Table4[[#This Row],[Adjusted Correct]]="YES",(Table4[[#This Row],[Strength of Win]]-1)^2,(Table4[[#This Row],[Strength of Win]]-0)^2))</f>
        <v/>
      </c>
      <c r="P478" s="11"/>
    </row>
    <row r="479" spans="4:16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-0.54471700440519322</v>
      </c>
      <c r="H479" t="s">
        <v>13</v>
      </c>
      <c r="I479">
        <f>VLOOKUP(Table4[[#This Row],[Visitor]],'NHL Model'!$A$6:$B$38,2,FALSE)</f>
        <v>-0.16069632687214722</v>
      </c>
      <c r="J479">
        <f>($B$1+Table4[[#This Row],[Home Differential]])-Table4[[#This Row],[Away Differential]]</f>
        <v>-0.1764604927410369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0.56000102188703282</v>
      </c>
      <c r="M479" t="str">
        <f>IF(OR((NHL2025_26Results[[#This Row],[Winning Team]]="")),"-",IF(Table4[[#This Row],[Predicted Winner]]=NHL2025_26Results[[#This Row],[Winning Team]],"YES","NO"))</f>
        <v>-</v>
      </c>
      <c r="N479" t="str">
        <f>IF(Table4[[#This Row],[Adjusted Correct]]="-", "",IF(Table4[[#This Row],[Adjusted Correct]]="YES",(Table4[[#This Row],[Strength of Win]]-1)^2,(Table4[[#This Row],[Strength of Win]]-0)^2))</f>
        <v/>
      </c>
      <c r="P479" s="11"/>
    </row>
    <row r="480" spans="4:16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-0.24431182281386174</v>
      </c>
      <c r="H480" t="s">
        <v>11</v>
      </c>
      <c r="I480">
        <f>VLOOKUP(Table4[[#This Row],[Visitor]],'NHL Model'!$A$6:$B$38,2,FALSE)</f>
        <v>-0.2184338233275798</v>
      </c>
      <c r="J480">
        <f>($B$1+Table4[[#This Row],[Home Differential]])-Table4[[#This Row],[Away Differential]]</f>
        <v>0.18168218530572716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0.63327791796426047</v>
      </c>
      <c r="M480" t="str">
        <f>IF(OR((NHL2025_26Results[[#This Row],[Winning Team]]="")),"-",IF(Table4[[#This Row],[Predicted Winner]]=NHL2025_26Results[[#This Row],[Winning Team]],"YES","NO"))</f>
        <v>-</v>
      </c>
      <c r="N480" t="str">
        <f>IF(Table4[[#This Row],[Adjusted Correct]]="-", "",IF(Table4[[#This Row],[Adjusted Correct]]="YES",(Table4[[#This Row],[Strength of Win]]-1)^2,(Table4[[#This Row],[Strength of Win]]-0)^2))</f>
        <v/>
      </c>
      <c r="P480" s="11"/>
    </row>
    <row r="481" spans="4:16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-0.58990467102727129</v>
      </c>
      <c r="H481" t="s">
        <v>36</v>
      </c>
      <c r="I481">
        <f>VLOOKUP(Table4[[#This Row],[Visitor]],'NHL Model'!$A$6:$B$38,2,FALSE)</f>
        <v>-0.49956508239762204</v>
      </c>
      <c r="J481">
        <f>($B$1+Table4[[#This Row],[Home Differential]])-Table4[[#This Row],[Away Differential]]</f>
        <v>0.11722059616235986</v>
      </c>
      <c r="K481" t="str">
        <f>IF(Table4[[#This Row],[HomeIce Differential]]&gt;0,Table4[[#This Row],[Home]],Table4[[#This Row],[Visitor]])</f>
        <v>Columbus Blue Jackets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0.56317934040934292</v>
      </c>
      <c r="M481" t="str">
        <f>IF(OR((NHL2025_26Results[[#This Row],[Winning Team]]="")),"-",IF(Table4[[#This Row],[Predicted Winner]]=NHL2025_26Results[[#This Row],[Winning Team]],"YES","NO"))</f>
        <v>-</v>
      </c>
      <c r="N481" t="str">
        <f>IF(Table4[[#This Row],[Adjusted Correct]]="-", "",IF(Table4[[#This Row],[Adjusted Correct]]="YES",(Table4[[#This Row],[Strength of Win]]-1)^2,(Table4[[#This Row],[Strength of Win]]-0)^2))</f>
        <v/>
      </c>
      <c r="P481" s="11"/>
    </row>
    <row r="482" spans="4:16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1.4229473251234224</v>
      </c>
      <c r="H482" t="s">
        <v>11</v>
      </c>
      <c r="I482">
        <f>VLOOKUP(Table4[[#This Row],[Visitor]],'NHL Model'!$A$6:$B$38,2,FALSE)</f>
        <v>-0.2184338233275798</v>
      </c>
      <c r="J482">
        <f>($B$1+Table4[[#This Row],[Home Differential]])-Table4[[#This Row],[Away Differential]]</f>
        <v>1.8489413332430111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0.88284105773644517</v>
      </c>
      <c r="M482" t="str">
        <f>IF(OR((NHL2025_26Results[[#This Row],[Winning Team]]="")),"-",IF(Table4[[#This Row],[Predicted Winner]]=NHL2025_26Results[[#This Row],[Winning Team]],"YES","NO"))</f>
        <v>-</v>
      </c>
      <c r="N482" t="str">
        <f>IF(Table4[[#This Row],[Adjusted Correct]]="-", "",IF(Table4[[#This Row],[Adjusted Correct]]="YES",(Table4[[#This Row],[Strength of Win]]-1)^2,(Table4[[#This Row],[Strength of Win]]-0)^2))</f>
        <v/>
      </c>
      <c r="P482" s="11"/>
    </row>
    <row r="483" spans="4:16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-1.0049085234729234</v>
      </c>
      <c r="H483" t="s">
        <v>26</v>
      </c>
      <c r="I483">
        <f>VLOOKUP(Table4[[#This Row],[Visitor]],'NHL Model'!$A$6:$B$38,2,FALSE)</f>
        <v>-0.4992069962886943</v>
      </c>
      <c r="J483">
        <f>($B$1+Table4[[#This Row],[Home Differential]])-Table4[[#This Row],[Away Differential]]</f>
        <v>-0.29814134239221995</v>
      </c>
      <c r="K483" t="str">
        <f>IF(Table4[[#This Row],[HomeIce Differential]]&gt;0,Table4[[#This Row],[Home]],Table4[[#This Row],[Visitor]])</f>
        <v>Detroit Red Wings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0.51162223680002294</v>
      </c>
      <c r="M483" t="str">
        <f>IF(OR((NHL2025_26Results[[#This Row],[Winning Team]]="")),"-",IF(Table4[[#This Row],[Predicted Winner]]=NHL2025_26Results[[#This Row],[Winning Team]],"YES","NO"))</f>
        <v>-</v>
      </c>
      <c r="N483" t="str">
        <f>IF(Table4[[#This Row],[Adjusted Correct]]="-", "",IF(Table4[[#This Row],[Adjusted Correct]]="YES",(Table4[[#This Row],[Strength of Win]]-1)^2,(Table4[[#This Row],[Strength of Win]]-0)^2))</f>
        <v/>
      </c>
      <c r="P483" s="11"/>
    </row>
    <row r="484" spans="4:16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-0.52340626120007572</v>
      </c>
      <c r="H484" t="s">
        <v>39</v>
      </c>
      <c r="I484">
        <f>VLOOKUP(Table4[[#This Row],[Visitor]],'NHL Model'!$A$6:$B$38,2,FALSE)</f>
        <v>4.3588947679693783E-2</v>
      </c>
      <c r="J484">
        <f>($B$1+Table4[[#This Row],[Home Differential]])-Table4[[#This Row],[Away Differential]]</f>
        <v>-0.3594350240877604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0.60195620499002156</v>
      </c>
      <c r="M484" t="str">
        <f>IF(OR((NHL2025_26Results[[#This Row],[Winning Team]]="")),"-",IF(Table4[[#This Row],[Predicted Winner]]=NHL2025_26Results[[#This Row],[Winning Team]],"YES","NO"))</f>
        <v>-</v>
      </c>
      <c r="N484" t="str">
        <f>IF(Table4[[#This Row],[Adjusted Correct]]="-", "",IF(Table4[[#This Row],[Adjusted Correct]]="YES",(Table4[[#This Row],[Strength of Win]]-1)^2,(Table4[[#This Row],[Strength of Win]]-0)^2))</f>
        <v/>
      </c>
      <c r="P484" s="11"/>
    </row>
    <row r="485" spans="4:16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0.27405230796993052</v>
      </c>
      <c r="H485" t="s">
        <v>37</v>
      </c>
      <c r="I485">
        <f>VLOOKUP(Table4[[#This Row],[Visitor]],'NHL Model'!$A$6:$B$38,2,FALSE)</f>
        <v>3.7016822058700272E-2</v>
      </c>
      <c r="J485">
        <f>($B$1+Table4[[#This Row],[Home Differential]])-Table4[[#This Row],[Away Differential]]</f>
        <v>0.44459567070323935</v>
      </c>
      <c r="K485" t="str">
        <f>IF(Table4[[#This Row],[HomeIce Differential]]&gt;0,Table4[[#This Row],[Home]],Table4[[#This Row],[Visitor]])</f>
        <v>New Jersey Devils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0.67284139332901438</v>
      </c>
      <c r="M485" t="str">
        <f>IF(OR((NHL2025_26Results[[#This Row],[Winning Team]]="")),"-",IF(Table4[[#This Row],[Predicted Winner]]=NHL2025_26Results[[#This Row],[Winning Team]],"YES","NO"))</f>
        <v>-</v>
      </c>
      <c r="N485" t="str">
        <f>IF(Table4[[#This Row],[Adjusted Correct]]="-", "",IF(Table4[[#This Row],[Adjusted Correct]]="YES",(Table4[[#This Row],[Strength of Win]]-1)^2,(Table4[[#This Row],[Strength of Win]]-0)^2))</f>
        <v/>
      </c>
      <c r="P485" s="11"/>
    </row>
    <row r="486" spans="4:16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-1.4393526815815083</v>
      </c>
      <c r="H486" t="s">
        <v>35</v>
      </c>
      <c r="I486">
        <f>VLOOKUP(Table4[[#This Row],[Visitor]],'NHL Model'!$A$6:$B$38,2,FALSE)</f>
        <v>-1.7049475448313323</v>
      </c>
      <c r="J486">
        <f>($B$1+Table4[[#This Row],[Home Differential]])-Table4[[#This Row],[Away Differential]]</f>
        <v>0.47315504804183295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0.60512161244760643</v>
      </c>
      <c r="M486" t="str">
        <f>IF(OR((NHL2025_26Results[[#This Row],[Winning Team]]="")),"-",IF(Table4[[#This Row],[Predicted Winner]]=NHL2025_26Results[[#This Row],[Winning Team]],"YES","NO"))</f>
        <v>-</v>
      </c>
      <c r="N486" t="str">
        <f>IF(Table4[[#This Row],[Adjusted Correct]]="-", "",IF(Table4[[#This Row],[Adjusted Correct]]="YES",(Table4[[#This Row],[Strength of Win]]-1)^2,(Table4[[#This Row],[Strength of Win]]-0)^2))</f>
        <v/>
      </c>
      <c r="P486" s="11"/>
    </row>
    <row r="487" spans="4:16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-7.6737500378247253E-2</v>
      </c>
      <c r="H487" t="s">
        <v>31</v>
      </c>
      <c r="I487">
        <f>VLOOKUP(Table4[[#This Row],[Visitor]],'NHL Model'!$A$6:$B$38,2,FALSE)</f>
        <v>0.49887659623169195</v>
      </c>
      <c r="J487">
        <f>($B$1+Table4[[#This Row],[Home Differential]])-Table4[[#This Row],[Away Differential]]</f>
        <v>-0.36805391181793012</v>
      </c>
      <c r="K487" t="str">
        <f>IF(Table4[[#This Row],[HomeIce Differential]]&gt;0,Table4[[#This Row],[Home]],Table4[[#This Row],[Visitor]])</f>
        <v>Anaheim Ducks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0.531425488806477</v>
      </c>
      <c r="M487" t="str">
        <f>IF(OR((NHL2025_26Results[[#This Row],[Winning Team]]="")),"-",IF(Table4[[#This Row],[Predicted Winner]]=NHL2025_26Results[[#This Row],[Winning Team]],"YES","NO"))</f>
        <v>-</v>
      </c>
      <c r="N487" t="str">
        <f>IF(Table4[[#This Row],[Adjusted Correct]]="-", "",IF(Table4[[#This Row],[Adjusted Correct]]="YES",(Table4[[#This Row],[Strength of Win]]-1)^2,(Table4[[#This Row],[Strength of Win]]-0)^2))</f>
        <v/>
      </c>
      <c r="P487" s="11"/>
    </row>
    <row r="488" spans="4:16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-0.59983976271417982</v>
      </c>
      <c r="H488" t="s">
        <v>20</v>
      </c>
      <c r="I488">
        <f>VLOOKUP(Table4[[#This Row],[Visitor]],'NHL Model'!$A$6:$B$38,2,FALSE)</f>
        <v>-5.3996763649808116E-4</v>
      </c>
      <c r="J488">
        <f>($B$1+Table4[[#This Row],[Home Differential]])-Table4[[#This Row],[Away Differential]]</f>
        <v>-0.39173961028567261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0.53217705451764863</v>
      </c>
      <c r="M488" t="str">
        <f>IF(OR((NHL2025_26Results[[#This Row],[Winning Team]]="")),"-",IF(Table4[[#This Row],[Predicted Winner]]=NHL2025_26Results[[#This Row],[Winning Team]],"YES","NO"))</f>
        <v>-</v>
      </c>
      <c r="N488" t="str">
        <f>IF(Table4[[#This Row],[Adjusted Correct]]="-", "",IF(Table4[[#This Row],[Adjusted Correct]]="YES",(Table4[[#This Row],[Strength of Win]]-1)^2,(Table4[[#This Row],[Strength of Win]]-0)^2))</f>
        <v/>
      </c>
      <c r="P488" s="11"/>
    </row>
    <row r="489" spans="4:16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0.19812979206825923</v>
      </c>
      <c r="H489" t="s">
        <v>18</v>
      </c>
      <c r="I489">
        <f>VLOOKUP(Table4[[#This Row],[Visitor]],'NHL Model'!$A$6:$B$38,2,FALSE)</f>
        <v>-0.69497686531268954</v>
      </c>
      <c r="J489">
        <f>($B$1+Table4[[#This Row],[Home Differential]])-Table4[[#This Row],[Away Differential]]</f>
        <v>1.100666842172958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0.68089952717730995</v>
      </c>
      <c r="M489" t="str">
        <f>IF(OR((NHL2025_26Results[[#This Row],[Winning Team]]="")),"-",IF(Table4[[#This Row],[Predicted Winner]]=NHL2025_26Results[[#This Row],[Winning Team]],"YES","NO"))</f>
        <v>-</v>
      </c>
      <c r="N489" t="str">
        <f>IF(Table4[[#This Row],[Adjusted Correct]]="-", "",IF(Table4[[#This Row],[Adjusted Correct]]="YES",(Table4[[#This Row],[Strength of Win]]-1)^2,(Table4[[#This Row],[Strength of Win]]-0)^2))</f>
        <v/>
      </c>
      <c r="P489" s="11"/>
    </row>
    <row r="490" spans="4:16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-0.76384910289376506</v>
      </c>
      <c r="H490" t="s">
        <v>33</v>
      </c>
      <c r="I490">
        <f>VLOOKUP(Table4[[#This Row],[Visitor]],'NHL Model'!$A$6:$B$38,2,FALSE)</f>
        <v>-0.41595305630289253</v>
      </c>
      <c r="J490">
        <f>($B$1+Table4[[#This Row],[Home Differential]])-Table4[[#This Row],[Away Differential]]</f>
        <v>-0.14033586179886343</v>
      </c>
      <c r="K490" t="str">
        <f>IF(Table4[[#This Row],[HomeIce Differential]]&gt;0,Table4[[#This Row],[Home]],Table4[[#This Row],[Visitor]])</f>
        <v>San Jose Sharks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0.46529818474839252</v>
      </c>
      <c r="M490" t="str">
        <f>IF(OR((NHL2025_26Results[[#This Row],[Winning Team]]="")),"-",IF(Table4[[#This Row],[Predicted Winner]]=NHL2025_26Results[[#This Row],[Winning Team]],"YES","NO"))</f>
        <v>-</v>
      </c>
      <c r="N490" t="str">
        <f>IF(Table4[[#This Row],[Adjusted Correct]]="-", "",IF(Table4[[#This Row],[Adjusted Correct]]="YES",(Table4[[#This Row],[Strength of Win]]-1)^2,(Table4[[#This Row],[Strength of Win]]-0)^2))</f>
        <v/>
      </c>
      <c r="P490" s="11"/>
    </row>
    <row r="491" spans="4:16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-0.87761566951859371</v>
      </c>
      <c r="H491" t="s">
        <v>23</v>
      </c>
      <c r="I491">
        <f>VLOOKUP(Table4[[#This Row],[Visitor]],'NHL Model'!$A$6:$B$38,2,FALSE)</f>
        <v>-1.005023581214965</v>
      </c>
      <c r="J491">
        <f>($B$1+Table4[[#This Row],[Home Differential]])-Table4[[#This Row],[Away Differential]]</f>
        <v>0.33496809648838044</v>
      </c>
      <c r="K491" t="str">
        <f>IF(Table4[[#This Row],[HomeIce Differential]]&gt;0,Table4[[#This Row],[Home]],Table4[[#This Row],[Visitor]])</f>
        <v>Vancouver Canucks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0.58610256754547008</v>
      </c>
      <c r="M491" t="str">
        <f>IF(OR((NHL2025_26Results[[#This Row],[Winning Team]]="")),"-",IF(Table4[[#This Row],[Predicted Winner]]=NHL2025_26Results[[#This Row],[Winning Team]],"YES","NO"))</f>
        <v>-</v>
      </c>
      <c r="N491" t="str">
        <f>IF(Table4[[#This Row],[Adjusted Correct]]="-", "",IF(Table4[[#This Row],[Adjusted Correct]]="YES",(Table4[[#This Row],[Strength of Win]]-1)^2,(Table4[[#This Row],[Strength of Win]]-0)^2))</f>
        <v/>
      </c>
      <c r="P491" s="11"/>
    </row>
    <row r="492" spans="4:16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0.16605329280468042</v>
      </c>
      <c r="H492" t="s">
        <v>21</v>
      </c>
      <c r="I492">
        <f>VLOOKUP(Table4[[#This Row],[Visitor]],'NHL Model'!$A$6:$B$38,2,FALSE)</f>
        <v>-0.11354210657072454</v>
      </c>
      <c r="J492">
        <f>($B$1+Table4[[#This Row],[Home Differential]])-Table4[[#This Row],[Away Differential]]</f>
        <v>0.48715558416741406</v>
      </c>
      <c r="K492" t="str">
        <f>IF(Table4[[#This Row],[HomeIce Differential]]&gt;0,Table4[[#This Row],[Home]],Table4[[#This Row],[Visitor]])</f>
        <v>Winnipeg Jets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0.65876452053506296</v>
      </c>
      <c r="M492" t="str">
        <f>IF(OR((NHL2025_26Results[[#This Row],[Winning Team]]="")),"-",IF(Table4[[#This Row],[Predicted Winner]]=NHL2025_26Results[[#This Row],[Winning Team]],"YES","NO"))</f>
        <v>-</v>
      </c>
      <c r="N492" t="str">
        <f>IF(Table4[[#This Row],[Adjusted Correct]]="-", "",IF(Table4[[#This Row],[Adjusted Correct]]="YES",(Table4[[#This Row],[Strength of Win]]-1)^2,(Table4[[#This Row],[Strength of Win]]-0)^2))</f>
        <v/>
      </c>
      <c r="P492" s="11"/>
    </row>
    <row r="493" spans="4:16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-3.9931837337852071E-3</v>
      </c>
      <c r="H493" t="s">
        <v>25</v>
      </c>
      <c r="I493">
        <f>VLOOKUP(Table4[[#This Row],[Visitor]],'NHL Model'!$A$6:$B$38,2,FALSE)</f>
        <v>0.55298967972810642</v>
      </c>
      <c r="J493">
        <f>($B$1+Table4[[#This Row],[Home Differential]])-Table4[[#This Row],[Away Differential]]</f>
        <v>-0.34942267866988252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0.5865535293531432</v>
      </c>
      <c r="M493" t="str">
        <f>IF(OR((NHL2025_26Results[[#This Row],[Winning Team]]="")),"-",IF(Table4[[#This Row],[Predicted Winner]]=NHL2025_26Results[[#This Row],[Winning Team]],"YES","NO"))</f>
        <v>-</v>
      </c>
      <c r="N493" t="str">
        <f>IF(Table4[[#This Row],[Adjusted Correct]]="-", "",IF(Table4[[#This Row],[Adjusted Correct]]="YES",(Table4[[#This Row],[Strength of Win]]-1)^2,(Table4[[#This Row],[Strength of Win]]-0)^2))</f>
        <v/>
      </c>
      <c r="P493" s="11"/>
    </row>
    <row r="494" spans="4:16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-1.7049475448313323</v>
      </c>
      <c r="H494" t="s">
        <v>10</v>
      </c>
      <c r="I494">
        <f>VLOOKUP(Table4[[#This Row],[Visitor]],'NHL Model'!$A$6:$B$38,2,FALSE)</f>
        <v>0.28318004708662448</v>
      </c>
      <c r="J494">
        <f>($B$1+Table4[[#This Row],[Home Differential]])-Table4[[#This Row],[Away Differential]]</f>
        <v>-1.7805674071259476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0.72583355186983445</v>
      </c>
      <c r="M494" t="str">
        <f>IF(OR((NHL2025_26Results[[#This Row],[Winning Team]]="")),"-",IF(Table4[[#This Row],[Predicted Winner]]=NHL2025_26Results[[#This Row],[Winning Team]],"YES","NO"))</f>
        <v>-</v>
      </c>
      <c r="N494" t="str">
        <f>IF(Table4[[#This Row],[Adjusted Correct]]="-", "",IF(Table4[[#This Row],[Adjusted Correct]]="YES",(Table4[[#This Row],[Strength of Win]]-1)^2,(Table4[[#This Row],[Strength of Win]]-0)^2))</f>
        <v/>
      </c>
      <c r="P494" s="11"/>
    </row>
    <row r="495" spans="4:16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-0.24431182281386174</v>
      </c>
      <c r="H495" t="s">
        <v>32</v>
      </c>
      <c r="I495">
        <f>VLOOKUP(Table4[[#This Row],[Visitor]],'NHL Model'!$A$6:$B$38,2,FALSE)</f>
        <v>-0.54471700440519322</v>
      </c>
      <c r="J495">
        <f>($B$1+Table4[[#This Row],[Home Differential]])-Table4[[#This Row],[Away Differential]]</f>
        <v>0.50796536638334056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0.67818515704845583</v>
      </c>
      <c r="M495" t="str">
        <f>IF(OR((NHL2025_26Results[[#This Row],[Winning Team]]="")),"-",IF(Table4[[#This Row],[Predicted Winner]]=NHL2025_26Results[[#This Row],[Winning Team]],"YES","NO"))</f>
        <v>-</v>
      </c>
      <c r="N495" t="str">
        <f>IF(Table4[[#This Row],[Adjusted Correct]]="-", "",IF(Table4[[#This Row],[Adjusted Correct]]="YES",(Table4[[#This Row],[Strength of Win]]-1)^2,(Table4[[#This Row],[Strength of Win]]-0)^2))</f>
        <v/>
      </c>
      <c r="P495" s="11"/>
    </row>
    <row r="496" spans="4:16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-0.58990467102727129</v>
      </c>
      <c r="H496" t="s">
        <v>20</v>
      </c>
      <c r="I496">
        <f>VLOOKUP(Table4[[#This Row],[Visitor]],'NHL Model'!$A$6:$B$38,2,FALSE)</f>
        <v>-5.3996763649808116E-4</v>
      </c>
      <c r="J496">
        <f>($B$1+Table4[[#This Row],[Home Differential]])-Table4[[#This Row],[Away Differential]]</f>
        <v>-0.38180451859876408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0.52623300186613753</v>
      </c>
      <c r="M496" t="str">
        <f>IF(OR((NHL2025_26Results[[#This Row],[Winning Team]]="")),"-",IF(Table4[[#This Row],[Predicted Winner]]=NHL2025_26Results[[#This Row],[Winning Team]],"YES","NO"))</f>
        <v>-</v>
      </c>
      <c r="N496" t="str">
        <f>IF(Table4[[#This Row],[Adjusted Correct]]="-", "",IF(Table4[[#This Row],[Adjusted Correct]]="YES",(Table4[[#This Row],[Strength of Win]]-1)^2,(Table4[[#This Row],[Strength of Win]]-0)^2))</f>
        <v/>
      </c>
      <c r="P496" s="11"/>
    </row>
    <row r="497" spans="4:16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0.28318004708662448</v>
      </c>
      <c r="H497" t="s">
        <v>26</v>
      </c>
      <c r="I497">
        <f>VLOOKUP(Table4[[#This Row],[Visitor]],'NHL Model'!$A$6:$B$38,2,FALSE)</f>
        <v>-0.4992069962886943</v>
      </c>
      <c r="J497">
        <f>($B$1+Table4[[#This Row],[Home Differential]])-Table4[[#This Row],[Away Differential]]</f>
        <v>0.98994722816732783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0.63624912172678583</v>
      </c>
      <c r="M497" t="str">
        <f>IF(OR((NHL2025_26Results[[#This Row],[Winning Team]]="")),"-",IF(Table4[[#This Row],[Predicted Winner]]=NHL2025_26Results[[#This Row],[Winning Team]],"YES","NO"))</f>
        <v>-</v>
      </c>
      <c r="N497" t="str">
        <f>IF(Table4[[#This Row],[Adjusted Correct]]="-", "",IF(Table4[[#This Row],[Adjusted Correct]]="YES",(Table4[[#This Row],[Strength of Win]]-1)^2,(Table4[[#This Row],[Strength of Win]]-0)^2))</f>
        <v/>
      </c>
      <c r="P497" s="11"/>
    </row>
    <row r="498" spans="4:16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1.4229473251234224</v>
      </c>
      <c r="H498" t="s">
        <v>29</v>
      </c>
      <c r="I498">
        <f>VLOOKUP(Table4[[#This Row],[Visitor]],'NHL Model'!$A$6:$B$38,2,FALSE)</f>
        <v>-1.4393526815815083</v>
      </c>
      <c r="J498">
        <f>($B$1+Table4[[#This Row],[Home Differential]])-Table4[[#This Row],[Away Differential]]</f>
        <v>3.0698601914969394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498" t="str">
        <f>IF(OR((NHL2025_26Results[[#This Row],[Winning Team]]="")),"-",IF(Table4[[#This Row],[Predicted Winner]]=NHL2025_26Results[[#This Row],[Winning Team]],"YES","NO"))</f>
        <v>-</v>
      </c>
      <c r="N498" t="str">
        <f>IF(Table4[[#This Row],[Adjusted Correct]]="-", "",IF(Table4[[#This Row],[Adjusted Correct]]="YES",(Table4[[#This Row],[Strength of Win]]-1)^2,(Table4[[#This Row],[Strength of Win]]-0)^2))</f>
        <v/>
      </c>
      <c r="P498" s="11"/>
    </row>
    <row r="499" spans="4:16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4.3588947679693783E-2</v>
      </c>
      <c r="H499" t="s">
        <v>11</v>
      </c>
      <c r="I499">
        <f>VLOOKUP(Table4[[#This Row],[Visitor]],'NHL Model'!$A$6:$B$38,2,FALSE)</f>
        <v>-0.2184338233275798</v>
      </c>
      <c r="J499">
        <f>($B$1+Table4[[#This Row],[Home Differential]])-Table4[[#This Row],[Away Differential]]</f>
        <v>0.46958295579928266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0.60712545490917214</v>
      </c>
      <c r="M499" t="str">
        <f>IF(OR((NHL2025_26Results[[#This Row],[Winning Team]]="")),"-",IF(Table4[[#This Row],[Predicted Winner]]=NHL2025_26Results[[#This Row],[Winning Team]],"YES","NO"))</f>
        <v>-</v>
      </c>
      <c r="N499" t="str">
        <f>IF(Table4[[#This Row],[Adjusted Correct]]="-", "",IF(Table4[[#This Row],[Adjusted Correct]]="YES",(Table4[[#This Row],[Strength of Win]]-1)^2,(Table4[[#This Row],[Strength of Win]]-0)^2))</f>
        <v/>
      </c>
      <c r="P499" s="11"/>
    </row>
    <row r="500" spans="4:16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-0.16069632687214722</v>
      </c>
      <c r="H500" t="s">
        <v>16</v>
      </c>
      <c r="I500">
        <f>VLOOKUP(Table4[[#This Row],[Visitor]],'NHL Model'!$A$6:$B$38,2,FALSE)</f>
        <v>-1.2993694664931768</v>
      </c>
      <c r="J500">
        <f>($B$1+Table4[[#This Row],[Home Differential]])-Table4[[#This Row],[Away Differential]]</f>
        <v>1.3462333244130387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0.7252857433927824</v>
      </c>
      <c r="M500" t="str">
        <f>IF(OR((NHL2025_26Results[[#This Row],[Winning Team]]="")),"-",IF(Table4[[#This Row],[Predicted Winner]]=NHL2025_26Results[[#This Row],[Winning Team]],"YES","NO"))</f>
        <v>-</v>
      </c>
      <c r="N500" t="str">
        <f>IF(Table4[[#This Row],[Adjusted Correct]]="-", "",IF(Table4[[#This Row],[Adjusted Correct]]="YES",(Table4[[#This Row],[Strength of Win]]-1)^2,(Table4[[#This Row],[Strength of Win]]-0)^2))</f>
        <v/>
      </c>
      <c r="P500" s="11"/>
    </row>
    <row r="501" spans="4:16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-0.52340626120007572</v>
      </c>
      <c r="H501" t="s">
        <v>36</v>
      </c>
      <c r="I501">
        <f>VLOOKUP(Table4[[#This Row],[Visitor]],'NHL Model'!$A$6:$B$38,2,FALSE)</f>
        <v>-0.49956508239762204</v>
      </c>
      <c r="J501">
        <f>($B$1+Table4[[#This Row],[Home Differential]])-Table4[[#This Row],[Away Differential]]</f>
        <v>0.18371900598955543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0.56528574503606177</v>
      </c>
      <c r="M501" t="str">
        <f>IF(OR((NHL2025_26Results[[#This Row],[Winning Team]]="")),"-",IF(Table4[[#This Row],[Predicted Winner]]=NHL2025_26Results[[#This Row],[Winning Team]],"YES","NO"))</f>
        <v>-</v>
      </c>
      <c r="N501" t="str">
        <f>IF(Table4[[#This Row],[Adjusted Correct]]="-", "",IF(Table4[[#This Row],[Adjusted Correct]]="YES",(Table4[[#This Row],[Strength of Win]]-1)^2,(Table4[[#This Row],[Strength of Win]]-0)^2))</f>
        <v/>
      </c>
      <c r="P501" s="11"/>
    </row>
    <row r="502" spans="4:16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0.27405230796993052</v>
      </c>
      <c r="H502" t="s">
        <v>31</v>
      </c>
      <c r="I502">
        <f>VLOOKUP(Table4[[#This Row],[Visitor]],'NHL Model'!$A$6:$B$38,2,FALSE)</f>
        <v>0.49887659623169195</v>
      </c>
      <c r="J502">
        <f>($B$1+Table4[[#This Row],[Home Differential]])-Table4[[#This Row],[Away Differential]]</f>
        <v>-1.7264103469752323E-2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0.36601246901675721</v>
      </c>
      <c r="M502" t="str">
        <f>IF(OR((NHL2025_26Results[[#This Row],[Winning Team]]="")),"-",IF(Table4[[#This Row],[Predicted Winner]]=NHL2025_26Results[[#This Row],[Winning Team]],"YES","NO"))</f>
        <v>-</v>
      </c>
      <c r="N502" t="str">
        <f>IF(Table4[[#This Row],[Adjusted Correct]]="-", "",IF(Table4[[#This Row],[Adjusted Correct]]="YES",(Table4[[#This Row],[Strength of Win]]-1)^2,(Table4[[#This Row],[Strength of Win]]-0)^2))</f>
        <v/>
      </c>
      <c r="P502" s="11"/>
    </row>
    <row r="503" spans="4:16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-7.6737500378247253E-2</v>
      </c>
      <c r="H503" t="s">
        <v>37</v>
      </c>
      <c r="I503">
        <f>VLOOKUP(Table4[[#This Row],[Visitor]],'NHL Model'!$A$6:$B$38,2,FALSE)</f>
        <v>3.7016822058700272E-2</v>
      </c>
      <c r="J503">
        <f>($B$1+Table4[[#This Row],[Home Differential]])-Table4[[#This Row],[Away Differential]]</f>
        <v>9.3805862355061581E-2</v>
      </c>
      <c r="K503" t="str">
        <f>IF(Table4[[#This Row],[HomeIce Differential]]&gt;0,Table4[[#This Row],[Home]],Table4[[#This Row],[Visitor]])</f>
        <v>New York Islanders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0.50581136375453828</v>
      </c>
      <c r="M503" t="str">
        <f>IF(OR((NHL2025_26Results[[#This Row],[Winning Team]]="")),"-",IF(Table4[[#This Row],[Predicted Winner]]=NHL2025_26Results[[#This Row],[Winning Team]],"YES","NO"))</f>
        <v>-</v>
      </c>
      <c r="N503" t="str">
        <f>IF(Table4[[#This Row],[Adjusted Correct]]="-", "",IF(Table4[[#This Row],[Adjusted Correct]]="YES",(Table4[[#This Row],[Strength of Win]]-1)^2,(Table4[[#This Row],[Strength of Win]]-0)^2))</f>
        <v/>
      </c>
      <c r="P503" s="11"/>
    </row>
    <row r="504" spans="4:16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-0.41117752232850285</v>
      </c>
      <c r="H504" t="s">
        <v>18</v>
      </c>
      <c r="I504">
        <f>VLOOKUP(Table4[[#This Row],[Visitor]],'NHL Model'!$A$6:$B$38,2,FALSE)</f>
        <v>-0.69497686531268954</v>
      </c>
      <c r="J504">
        <f>($B$1+Table4[[#This Row],[Home Differential]])-Table4[[#This Row],[Away Differential]]</f>
        <v>0.49135952777619579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0.56052775288284684</v>
      </c>
      <c r="M504" t="str">
        <f>IF(OR((NHL2025_26Results[[#This Row],[Winning Team]]="")),"-",IF(Table4[[#This Row],[Predicted Winner]]=NHL2025_26Results[[#This Row],[Winning Team]],"YES","NO"))</f>
        <v>-</v>
      </c>
      <c r="N504" t="str">
        <f>IF(Table4[[#This Row],[Adjusted Correct]]="-", "",IF(Table4[[#This Row],[Adjusted Correct]]="YES",(Table4[[#This Row],[Strength of Win]]-1)^2,(Table4[[#This Row],[Strength of Win]]-0)^2))</f>
        <v/>
      </c>
      <c r="P504" s="11"/>
    </row>
    <row r="505" spans="4:16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-0.59983976271417982</v>
      </c>
      <c r="H505" t="s">
        <v>25</v>
      </c>
      <c r="I505">
        <f>VLOOKUP(Table4[[#This Row],[Visitor]],'NHL Model'!$A$6:$B$38,2,FALSE)</f>
        <v>0.55298967972810642</v>
      </c>
      <c r="J505">
        <f>($B$1+Table4[[#This Row],[Home Differential]])-Table4[[#This Row],[Away Differential]]</f>
        <v>-0.94526925765027714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0.66856150994043406</v>
      </c>
      <c r="M505" t="str">
        <f>IF(OR((NHL2025_26Results[[#This Row],[Winning Team]]="")),"-",IF(Table4[[#This Row],[Predicted Winner]]=NHL2025_26Results[[#This Row],[Winning Team]],"YES","NO"))</f>
        <v>-</v>
      </c>
      <c r="N505" t="str">
        <f>IF(Table4[[#This Row],[Adjusted Correct]]="-", "",IF(Table4[[#This Row],[Adjusted Correct]]="YES",(Table4[[#This Row],[Strength of Win]]-1)^2,(Table4[[#This Row],[Strength of Win]]-0)^2))</f>
        <v/>
      </c>
      <c r="P505" s="11"/>
    </row>
    <row r="506" spans="4:16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0.19812979206825923</v>
      </c>
      <c r="H506" t="s">
        <v>33</v>
      </c>
      <c r="I506">
        <f>VLOOKUP(Table4[[#This Row],[Visitor]],'NHL Model'!$A$6:$B$38,2,FALSE)</f>
        <v>-0.41595305630289253</v>
      </c>
      <c r="J506">
        <f>($B$1+Table4[[#This Row],[Home Differential]])-Table4[[#This Row],[Away Differential]]</f>
        <v>0.82164303316316079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0.68912182529070309</v>
      </c>
      <c r="M506" t="str">
        <f>IF(OR((NHL2025_26Results[[#This Row],[Winning Team]]="")),"-",IF(Table4[[#This Row],[Predicted Winner]]=NHL2025_26Results[[#This Row],[Winning Team]],"YES","NO"))</f>
        <v>-</v>
      </c>
      <c r="N506" t="str">
        <f>IF(Table4[[#This Row],[Adjusted Correct]]="-", "",IF(Table4[[#This Row],[Adjusted Correct]]="YES",(Table4[[#This Row],[Strength of Win]]-1)^2,(Table4[[#This Row],[Strength of Win]]-0)^2))</f>
        <v/>
      </c>
      <c r="P506" s="11"/>
    </row>
    <row r="507" spans="4:16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-0.76384910289376506</v>
      </c>
      <c r="H507" t="s">
        <v>17</v>
      </c>
      <c r="I507">
        <f>VLOOKUP(Table4[[#This Row],[Visitor]],'NHL Model'!$A$6:$B$38,2,FALSE)</f>
        <v>-1.0049085234729234</v>
      </c>
      <c r="J507">
        <f>($B$1+Table4[[#This Row],[Home Differential]])-Table4[[#This Row],[Away Differential]]</f>
        <v>0.44861960537116741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0.61576135343190141</v>
      </c>
      <c r="M507" t="str">
        <f>IF(OR((NHL2025_26Results[[#This Row],[Winning Team]]="")),"-",IF(Table4[[#This Row],[Predicted Winner]]=NHL2025_26Results[[#This Row],[Winning Team]],"YES","NO"))</f>
        <v>-</v>
      </c>
      <c r="N507" t="str">
        <f>IF(Table4[[#This Row],[Adjusted Correct]]="-", "",IF(Table4[[#This Row],[Adjusted Correct]]="YES",(Table4[[#This Row],[Strength of Win]]-1)^2,(Table4[[#This Row],[Strength of Win]]-0)^2))</f>
        <v/>
      </c>
      <c r="P507" s="11"/>
    </row>
    <row r="508" spans="4:16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0.16605329280468042</v>
      </c>
      <c r="H508" t="s">
        <v>22</v>
      </c>
      <c r="I508">
        <f>VLOOKUP(Table4[[#This Row],[Visitor]],'NHL Model'!$A$6:$B$38,2,FALSE)</f>
        <v>-3.9931837337852071E-3</v>
      </c>
      <c r="J508">
        <f>($B$1+Table4[[#This Row],[Home Differential]])-Table4[[#This Row],[Away Differential]]</f>
        <v>0.37760666133047471</v>
      </c>
      <c r="K508" t="str">
        <f>IF(Table4[[#This Row],[HomeIce Differential]]&gt;0,Table4[[#This Row],[Home]],Table4[[#This Row],[Visitor]])</f>
        <v>Winnipeg Jets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0.64368700519085564</v>
      </c>
      <c r="M508" t="str">
        <f>IF(OR((NHL2025_26Results[[#This Row],[Winning Team]]="")),"-",IF(Table4[[#This Row],[Predicted Winner]]=NHL2025_26Results[[#This Row],[Winning Team]],"YES","NO"))</f>
        <v>-</v>
      </c>
      <c r="N508" t="str">
        <f>IF(Table4[[#This Row],[Adjusted Correct]]="-", "",IF(Table4[[#This Row],[Adjusted Correct]]="YES",(Table4[[#This Row],[Strength of Win]]-1)^2,(Table4[[#This Row],[Strength of Win]]-0)^2))</f>
        <v/>
      </c>
      <c r="P508" s="11"/>
    </row>
    <row r="509" spans="4:16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0.55298967972810642</v>
      </c>
      <c r="H509" t="s">
        <v>27</v>
      </c>
      <c r="I509">
        <f>VLOOKUP(Table4[[#This Row],[Visitor]],'NHL Model'!$A$6:$B$38,2,FALSE)</f>
        <v>-0.59983976271417982</v>
      </c>
      <c r="J509">
        <f>($B$1+Table4[[#This Row],[Home Differential]])-Table4[[#This Row],[Away Differential]]</f>
        <v>1.3603896272342952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0.77895009007300042</v>
      </c>
      <c r="M509" t="str">
        <f>IF(OR((NHL2025_26Results[[#This Row],[Winning Team]]="")),"-",IF(Table4[[#This Row],[Predicted Winner]]=NHL2025_26Results[[#This Row],[Winning Team]],"YES","NO"))</f>
        <v>-</v>
      </c>
      <c r="N509" t="str">
        <f>IF(Table4[[#This Row],[Adjusted Correct]]="-", "",IF(Table4[[#This Row],[Adjusted Correct]]="YES",(Table4[[#This Row],[Strength of Win]]-1)^2,(Table4[[#This Row],[Strength of Win]]-0)^2))</f>
        <v/>
      </c>
      <c r="P509" s="11"/>
    </row>
    <row r="510" spans="4:16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-0.52340626120007572</v>
      </c>
      <c r="H510" t="s">
        <v>21</v>
      </c>
      <c r="I510">
        <f>VLOOKUP(Table4[[#This Row],[Visitor]],'NHL Model'!$A$6:$B$38,2,FALSE)</f>
        <v>-0.11354210657072454</v>
      </c>
      <c r="J510">
        <f>($B$1+Table4[[#This Row],[Home Differential]])-Table4[[#This Row],[Away Differential]]</f>
        <v>-0.20230396983734206</v>
      </c>
      <c r="K510" t="str">
        <f>IF(Table4[[#This Row],[HomeIce Differential]]&gt;0,Table4[[#This Row],[Home]],Table4[[#This Row],[Visitor]])</f>
        <v>Boston Bruins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0.48784364401242714</v>
      </c>
      <c r="M510" t="str">
        <f>IF(OR((NHL2025_26Results[[#This Row],[Winning Team]]="")),"-",IF(Table4[[#This Row],[Predicted Winner]]=NHL2025_26Results[[#This Row],[Winning Team]],"YES","NO"))</f>
        <v>-</v>
      </c>
      <c r="N510" t="str">
        <f>IF(Table4[[#This Row],[Adjusted Correct]]="-", "",IF(Table4[[#This Row],[Adjusted Correct]]="YES",(Table4[[#This Row],[Strength of Win]]-1)^2,(Table4[[#This Row],[Strength of Win]]-0)^2))</f>
        <v/>
      </c>
      <c r="P510" s="11"/>
    </row>
    <row r="511" spans="4:16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-0.69497686531268954</v>
      </c>
      <c r="H511" t="s">
        <v>17</v>
      </c>
      <c r="I511">
        <f>VLOOKUP(Table4[[#This Row],[Visitor]],'NHL Model'!$A$6:$B$38,2,FALSE)</f>
        <v>-1.0049085234729234</v>
      </c>
      <c r="J511">
        <f>($B$1+Table4[[#This Row],[Home Differential]])-Table4[[#This Row],[Away Differential]]</f>
        <v>0.51749184295224293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0.61122380577149427</v>
      </c>
      <c r="M511" t="str">
        <f>IF(OR((NHL2025_26Results[[#This Row],[Winning Team]]="")),"-",IF(Table4[[#This Row],[Predicted Winner]]=NHL2025_26Results[[#This Row],[Winning Team]],"YES","NO"))</f>
        <v>-</v>
      </c>
      <c r="N511" t="str">
        <f>IF(Table4[[#This Row],[Adjusted Correct]]="-", "",IF(Table4[[#This Row],[Adjusted Correct]]="YES",(Table4[[#This Row],[Strength of Win]]-1)^2,(Table4[[#This Row],[Strength of Win]]-0)^2))</f>
        <v/>
      </c>
      <c r="P511" s="11"/>
    </row>
    <row r="512" spans="4:16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0.27405230796993052</v>
      </c>
      <c r="H512" t="s">
        <v>38</v>
      </c>
      <c r="I512">
        <f>VLOOKUP(Table4[[#This Row],[Visitor]],'NHL Model'!$A$6:$B$38,2,FALSE)</f>
        <v>-0.87761566951859371</v>
      </c>
      <c r="J512">
        <f>($B$1+Table4[[#This Row],[Home Differential]])-Table4[[#This Row],[Away Differential]]</f>
        <v>1.3592281622805333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0.82343789453382343</v>
      </c>
      <c r="M512" t="str">
        <f>IF(OR((NHL2025_26Results[[#This Row],[Winning Team]]="")),"-",IF(Table4[[#This Row],[Predicted Winner]]=NHL2025_26Results[[#This Row],[Winning Team]],"YES","NO"))</f>
        <v>-</v>
      </c>
      <c r="N512" t="str">
        <f>IF(Table4[[#This Row],[Adjusted Correct]]="-", "",IF(Table4[[#This Row],[Adjusted Correct]]="YES",(Table4[[#This Row],[Strength of Win]]-1)^2,(Table4[[#This Row],[Strength of Win]]-0)^2))</f>
        <v/>
      </c>
      <c r="P512" s="11"/>
    </row>
    <row r="513" spans="4:16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0.19812979206825923</v>
      </c>
      <c r="H513" t="s">
        <v>55</v>
      </c>
      <c r="I513">
        <f>VLOOKUP(Table4[[#This Row],[Visitor]],'NHL Model'!$A$6:$B$38,2,FALSE)</f>
        <v>-0.24431182281386174</v>
      </c>
      <c r="J513">
        <f>($B$1+Table4[[#This Row],[Home Differential]])-Table4[[#This Row],[Away Differential]]</f>
        <v>0.65000179967413008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0.66549837683852986</v>
      </c>
      <c r="M513" t="str">
        <f>IF(OR((NHL2025_26Results[[#This Row],[Winning Team]]="")),"-",IF(Table4[[#This Row],[Predicted Winner]]=NHL2025_26Results[[#This Row],[Winning Team]],"YES","NO"))</f>
        <v>-</v>
      </c>
      <c r="N513" t="str">
        <f>IF(Table4[[#This Row],[Adjusted Correct]]="-", "",IF(Table4[[#This Row],[Adjusted Correct]]="YES",(Table4[[#This Row],[Strength of Win]]-1)^2,(Table4[[#This Row],[Strength of Win]]-0)^2))</f>
        <v/>
      </c>
      <c r="P513" s="11"/>
    </row>
    <row r="514" spans="4:16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-0.54471700440519322</v>
      </c>
      <c r="H514" t="s">
        <v>23</v>
      </c>
      <c r="I514">
        <f>VLOOKUP(Table4[[#This Row],[Visitor]],'NHL Model'!$A$6:$B$38,2,FALSE)</f>
        <v>-1.005023581214965</v>
      </c>
      <c r="J514">
        <f>($B$1+Table4[[#This Row],[Home Differential]])-Table4[[#This Row],[Away Differential]]</f>
        <v>0.66786676160178093</v>
      </c>
      <c r="K514" t="str">
        <f>IF(Table4[[#This Row],[HomeIce Differential]]&gt;0,Table4[[#This Row],[Home]],Table4[[#This Row],[Visitor]])</f>
        <v>Seattle Kraken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0.65795804948760794</v>
      </c>
      <c r="M514" t="str">
        <f>IF(OR((NHL2025_26Results[[#This Row],[Winning Team]]="")),"-",IF(Table4[[#This Row],[Predicted Winner]]=NHL2025_26Results[[#This Row],[Winning Team]],"YES","NO"))</f>
        <v>-</v>
      </c>
      <c r="N514" t="str">
        <f>IF(Table4[[#This Row],[Adjusted Correct]]="-", "",IF(Table4[[#This Row],[Adjusted Correct]]="YES",(Table4[[#This Row],[Strength of Win]]-1)^2,(Table4[[#This Row],[Strength of Win]]-0)^2))</f>
        <v/>
      </c>
      <c r="P514" s="11"/>
    </row>
    <row r="515" spans="4:16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4.3588947679693783E-2</v>
      </c>
      <c r="H515" t="s">
        <v>13</v>
      </c>
      <c r="I515">
        <f>VLOOKUP(Table4[[#This Row],[Visitor]],'NHL Model'!$A$6:$B$38,2,FALSE)</f>
        <v>-0.16069632687214722</v>
      </c>
      <c r="J515">
        <f>($B$1+Table4[[#This Row],[Home Differential]])-Table4[[#This Row],[Away Differential]]</f>
        <v>0.41184545934385008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0.49736137358660332</v>
      </c>
      <c r="M515" t="str">
        <f>IF(OR((NHL2025_26Results[[#This Row],[Winning Team]]="")),"-",IF(Table4[[#This Row],[Predicted Winner]]=NHL2025_26Results[[#This Row],[Winning Team]],"YES","NO"))</f>
        <v>-</v>
      </c>
      <c r="N515" t="str">
        <f>IF(Table4[[#This Row],[Adjusted Correct]]="-", "",IF(Table4[[#This Row],[Adjusted Correct]]="YES",(Table4[[#This Row],[Strength of Win]]-1)^2,(Table4[[#This Row],[Strength of Win]]-0)^2))</f>
        <v/>
      </c>
      <c r="P515" s="11"/>
    </row>
    <row r="516" spans="4:16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-0.41117752232850285</v>
      </c>
      <c r="H516" t="s">
        <v>31</v>
      </c>
      <c r="I516">
        <f>VLOOKUP(Table4[[#This Row],[Visitor]],'NHL Model'!$A$6:$B$38,2,FALSE)</f>
        <v>0.49887659623169195</v>
      </c>
      <c r="J516">
        <f>($B$1+Table4[[#This Row],[Home Differential]])-Table4[[#This Row],[Away Differential]]</f>
        <v>-0.7024939337681857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0.57745537602113894</v>
      </c>
      <c r="M516" t="str">
        <f>IF(OR((NHL2025_26Results[[#This Row],[Winning Team]]="")),"-",IF(Table4[[#This Row],[Predicted Winner]]=NHL2025_26Results[[#This Row],[Winning Team]],"YES","NO"))</f>
        <v>-</v>
      </c>
      <c r="N516" t="str">
        <f>IF(Table4[[#This Row],[Adjusted Correct]]="-", "",IF(Table4[[#This Row],[Adjusted Correct]]="YES",(Table4[[#This Row],[Strength of Win]]-1)^2,(Table4[[#This Row],[Strength of Win]]-0)^2))</f>
        <v/>
      </c>
      <c r="P516" s="11"/>
    </row>
    <row r="517" spans="4:16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-1.7049475448313323</v>
      </c>
      <c r="H517" t="s">
        <v>29</v>
      </c>
      <c r="I517">
        <f>VLOOKUP(Table4[[#This Row],[Visitor]],'NHL Model'!$A$6:$B$38,2,FALSE)</f>
        <v>-1.4393526815815083</v>
      </c>
      <c r="J517">
        <f>($B$1+Table4[[#This Row],[Home Differential]])-Table4[[#This Row],[Away Differential]]</f>
        <v>-5.8034678457814737E-2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0.46798747018486236</v>
      </c>
      <c r="M517" t="str">
        <f>IF(OR((NHL2025_26Results[[#This Row],[Winning Team]]="")),"-",IF(Table4[[#This Row],[Predicted Winner]]=NHL2025_26Results[[#This Row],[Winning Team]],"YES","NO"))</f>
        <v>-</v>
      </c>
      <c r="N517" t="str">
        <f>IF(Table4[[#This Row],[Adjusted Correct]]="-", "",IF(Table4[[#This Row],[Adjusted Correct]]="YES",(Table4[[#This Row],[Strength of Win]]-1)^2,(Table4[[#This Row],[Strength of Win]]-0)^2))</f>
        <v/>
      </c>
      <c r="P517" s="11"/>
    </row>
    <row r="518" spans="4:16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3.7016822058700272E-2</v>
      </c>
      <c r="H518" t="s">
        <v>11</v>
      </c>
      <c r="I518">
        <f>VLOOKUP(Table4[[#This Row],[Visitor]],'NHL Model'!$A$6:$B$38,2,FALSE)</f>
        <v>-0.2184338233275798</v>
      </c>
      <c r="J518">
        <f>($B$1+Table4[[#This Row],[Home Differential]])-Table4[[#This Row],[Away Differential]]</f>
        <v>0.46301083017828915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0.60372543623216135</v>
      </c>
      <c r="M518" t="str">
        <f>IF(OR((NHL2025_26Results[[#This Row],[Winning Team]]="")),"-",IF(Table4[[#This Row],[Predicted Winner]]=NHL2025_26Results[[#This Row],[Winning Team]],"YES","NO"))</f>
        <v>-</v>
      </c>
      <c r="N518" t="str">
        <f>IF(Table4[[#This Row],[Adjusted Correct]]="-", "",IF(Table4[[#This Row],[Adjusted Correct]]="YES",(Table4[[#This Row],[Strength of Win]]-1)^2,(Table4[[#This Row],[Strength of Win]]-0)^2))</f>
        <v/>
      </c>
      <c r="P518" s="11"/>
    </row>
    <row r="519" spans="4:16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0.16605329280468042</v>
      </c>
      <c r="H519" t="s">
        <v>36</v>
      </c>
      <c r="I519">
        <f>VLOOKUP(Table4[[#This Row],[Visitor]],'NHL Model'!$A$6:$B$38,2,FALSE)</f>
        <v>-0.49956508239762204</v>
      </c>
      <c r="J519">
        <f>($B$1+Table4[[#This Row],[Home Differential]])-Table4[[#This Row],[Away Differential]]</f>
        <v>0.8731785599943116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0.7118939095835517</v>
      </c>
      <c r="M519" t="str">
        <f>IF(OR((NHL2025_26Results[[#This Row],[Winning Team]]="")),"-",IF(Table4[[#This Row],[Predicted Winner]]=NHL2025_26Results[[#This Row],[Winning Team]],"YES","NO"))</f>
        <v>-</v>
      </c>
      <c r="N519" t="str">
        <f>IF(Table4[[#This Row],[Adjusted Correct]]="-", "",IF(Table4[[#This Row],[Adjusted Correct]]="YES",(Table4[[#This Row],[Strength of Win]]-1)^2,(Table4[[#This Row],[Strength of Win]]-0)^2))</f>
        <v/>
      </c>
      <c r="P519" s="11"/>
    </row>
    <row r="520" spans="4:16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-0.11354210657072454</v>
      </c>
      <c r="H520" t="s">
        <v>55</v>
      </c>
      <c r="I520">
        <f>VLOOKUP(Table4[[#This Row],[Visitor]],'NHL Model'!$A$6:$B$38,2,FALSE)</f>
        <v>-0.24431182281386174</v>
      </c>
      <c r="J520">
        <f>($B$1+Table4[[#This Row],[Home Differential]])-Table4[[#This Row],[Away Differential]]</f>
        <v>0.33832990103514632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0.63828123815373894</v>
      </c>
      <c r="M520" t="str">
        <f>IF(OR((NHL2025_26Results[[#This Row],[Winning Team]]="")),"-",IF(Table4[[#This Row],[Predicted Winner]]=NHL2025_26Results[[#This Row],[Winning Team]],"YES","NO"))</f>
        <v>-</v>
      </c>
      <c r="N520" t="str">
        <f>IF(Table4[[#This Row],[Adjusted Correct]]="-", "",IF(Table4[[#This Row],[Adjusted Correct]]="YES",(Table4[[#This Row],[Strength of Win]]-1)^2,(Table4[[#This Row],[Strength of Win]]-0)^2))</f>
        <v/>
      </c>
      <c r="P520" s="11"/>
    </row>
    <row r="521" spans="4:16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-0.58990467102727129</v>
      </c>
      <c r="H521" t="s">
        <v>31</v>
      </c>
      <c r="I521">
        <f>VLOOKUP(Table4[[#This Row],[Visitor]],'NHL Model'!$A$6:$B$38,2,FALSE)</f>
        <v>0.49887659623169195</v>
      </c>
      <c r="J521">
        <f>($B$1+Table4[[#This Row],[Home Differential]])-Table4[[#This Row],[Away Differential]]</f>
        <v>-0.88122108246695419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0.59496905795755239</v>
      </c>
      <c r="M521" t="str">
        <f>IF(OR((NHL2025_26Results[[#This Row],[Winning Team]]="")),"-",IF(Table4[[#This Row],[Predicted Winner]]=NHL2025_26Results[[#This Row],[Winning Team]],"YES","NO"))</f>
        <v>-</v>
      </c>
      <c r="N521" t="str">
        <f>IF(Table4[[#This Row],[Adjusted Correct]]="-", "",IF(Table4[[#This Row],[Adjusted Correct]]="YES",(Table4[[#This Row],[Strength of Win]]-1)^2,(Table4[[#This Row],[Strength of Win]]-0)^2))</f>
        <v/>
      </c>
      <c r="P521" s="11"/>
    </row>
    <row r="522" spans="4:16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-0.4992069962886943</v>
      </c>
      <c r="H522" t="s">
        <v>30</v>
      </c>
      <c r="I522">
        <f>VLOOKUP(Table4[[#This Row],[Visitor]],'NHL Model'!$A$6:$B$38,2,FALSE)</f>
        <v>-7.6737500378247253E-2</v>
      </c>
      <c r="J522">
        <f>($B$1+Table4[[#This Row],[Home Differential]])-Table4[[#This Row],[Away Differential]]</f>
        <v>-0.21490931111843795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0.50783942088355738</v>
      </c>
      <c r="M522" t="str">
        <f>IF(OR((NHL2025_26Results[[#This Row],[Winning Team]]="")),"-",IF(Table4[[#This Row],[Predicted Winner]]=NHL2025_26Results[[#This Row],[Winning Team]],"YES","NO"))</f>
        <v>-</v>
      </c>
      <c r="N522" t="str">
        <f>IF(Table4[[#This Row],[Adjusted Correct]]="-", "",IF(Table4[[#This Row],[Adjusted Correct]]="YES",(Table4[[#This Row],[Strength of Win]]-1)^2,(Table4[[#This Row],[Strength of Win]]-0)^2))</f>
        <v/>
      </c>
      <c r="P522" s="11"/>
    </row>
    <row r="523" spans="4:16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-0.52340626120007572</v>
      </c>
      <c r="H523" t="s">
        <v>22</v>
      </c>
      <c r="I523">
        <f>VLOOKUP(Table4[[#This Row],[Visitor]],'NHL Model'!$A$6:$B$38,2,FALSE)</f>
        <v>-3.9931837337852071E-3</v>
      </c>
      <c r="J523">
        <f>($B$1+Table4[[#This Row],[Home Differential]])-Table4[[#This Row],[Away Differential]]</f>
        <v>-0.3118528926742814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0.50292115935663451</v>
      </c>
      <c r="M523" t="str">
        <f>IF(OR((NHL2025_26Results[[#This Row],[Winning Team]]="")),"-",IF(Table4[[#This Row],[Predicted Winner]]=NHL2025_26Results[[#This Row],[Winning Team]],"YES","NO"))</f>
        <v>-</v>
      </c>
      <c r="N523" t="str">
        <f>IF(Table4[[#This Row],[Adjusted Correct]]="-", "",IF(Table4[[#This Row],[Adjusted Correct]]="YES",(Table4[[#This Row],[Strength of Win]]-1)^2,(Table4[[#This Row],[Strength of Win]]-0)^2))</f>
        <v/>
      </c>
      <c r="P523" s="11"/>
    </row>
    <row r="524" spans="4:16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-0.69497686531268954</v>
      </c>
      <c r="H524" t="s">
        <v>27</v>
      </c>
      <c r="I524">
        <f>VLOOKUP(Table4[[#This Row],[Visitor]],'NHL Model'!$A$6:$B$38,2,FALSE)</f>
        <v>-0.59983976271417982</v>
      </c>
      <c r="J524">
        <f>($B$1+Table4[[#This Row],[Home Differential]])-Table4[[#This Row],[Away Differential]]</f>
        <v>0.11242308219349939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0.55547309369110487</v>
      </c>
      <c r="M524" t="str">
        <f>IF(OR((NHL2025_26Results[[#This Row],[Winning Team]]="")),"-",IF(Table4[[#This Row],[Predicted Winner]]=NHL2025_26Results[[#This Row],[Winning Team]],"YES","NO"))</f>
        <v>-</v>
      </c>
      <c r="N524" t="str">
        <f>IF(Table4[[#This Row],[Adjusted Correct]]="-", "",IF(Table4[[#This Row],[Adjusted Correct]]="YES",(Table4[[#This Row],[Strength of Win]]-1)^2,(Table4[[#This Row],[Strength of Win]]-0)^2))</f>
        <v/>
      </c>
      <c r="P524" s="11"/>
    </row>
    <row r="525" spans="4:16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-0.41117752232850285</v>
      </c>
      <c r="H525" t="s">
        <v>38</v>
      </c>
      <c r="I525">
        <f>VLOOKUP(Table4[[#This Row],[Visitor]],'NHL Model'!$A$6:$B$38,2,FALSE)</f>
        <v>-0.87761566951859371</v>
      </c>
      <c r="J525">
        <f>($B$1+Table4[[#This Row],[Home Differential]])-Table4[[#This Row],[Away Differential]]</f>
        <v>0.67399833198209991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0.6119949875294417</v>
      </c>
      <c r="M525" t="str">
        <f>IF(OR((NHL2025_26Results[[#This Row],[Winning Team]]="")),"-",IF(Table4[[#This Row],[Predicted Winner]]=NHL2025_26Results[[#This Row],[Winning Team]],"YES","NO"))</f>
        <v>-</v>
      </c>
      <c r="N525" t="str">
        <f>IF(Table4[[#This Row],[Adjusted Correct]]="-", "",IF(Table4[[#This Row],[Adjusted Correct]]="YES",(Table4[[#This Row],[Strength of Win]]-1)^2,(Table4[[#This Row],[Strength of Win]]-0)^2))</f>
        <v/>
      </c>
      <c r="P525" s="11"/>
    </row>
    <row r="526" spans="4:16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0.19812979206825923</v>
      </c>
      <c r="H526" t="s">
        <v>17</v>
      </c>
      <c r="I526">
        <f>VLOOKUP(Table4[[#This Row],[Visitor]],'NHL Model'!$A$6:$B$38,2,FALSE)</f>
        <v>-1.0049085234729234</v>
      </c>
      <c r="J526">
        <f>($B$1+Table4[[#This Row],[Home Differential]])-Table4[[#This Row],[Away Differential]]</f>
        <v>1.4105985003331916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0.77018136347099686</v>
      </c>
      <c r="M526" t="str">
        <f>IF(OR((NHL2025_26Results[[#This Row],[Winning Team]]="")),"-",IF(Table4[[#This Row],[Predicted Winner]]=NHL2025_26Results[[#This Row],[Winning Team]],"YES","NO"))</f>
        <v>-</v>
      </c>
      <c r="N526" t="str">
        <f>IF(Table4[[#This Row],[Adjusted Correct]]="-", "",IF(Table4[[#This Row],[Adjusted Correct]]="YES",(Table4[[#This Row],[Strength of Win]]-1)^2,(Table4[[#This Row],[Strength of Win]]-0)^2))</f>
        <v/>
      </c>
      <c r="P526" s="11"/>
    </row>
    <row r="527" spans="4:16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-0.54471700440519322</v>
      </c>
      <c r="H527" t="s">
        <v>12</v>
      </c>
      <c r="I527">
        <f>VLOOKUP(Table4[[#This Row],[Visitor]],'NHL Model'!$A$6:$B$38,2,FALSE)</f>
        <v>1.4229473251234224</v>
      </c>
      <c r="J527">
        <f>($B$1+Table4[[#This Row],[Home Differential]])-Table4[[#This Row],[Away Differential]]</f>
        <v>-1.7601041447366064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0.74224790680206165</v>
      </c>
      <c r="M527" t="str">
        <f>IF(OR((NHL2025_26Results[[#This Row],[Winning Team]]="")),"-",IF(Table4[[#This Row],[Predicted Winner]]=NHL2025_26Results[[#This Row],[Winning Team]],"YES","NO"))</f>
        <v>-</v>
      </c>
      <c r="N527" t="str">
        <f>IF(Table4[[#This Row],[Adjusted Correct]]="-", "",IF(Table4[[#This Row],[Adjusted Correct]]="YES",(Table4[[#This Row],[Strength of Win]]-1)^2,(Table4[[#This Row],[Strength of Win]]-0)^2))</f>
        <v/>
      </c>
      <c r="P527" s="11"/>
    </row>
    <row r="528" spans="4:16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-0.41595305630289253</v>
      </c>
      <c r="H528" t="s">
        <v>16</v>
      </c>
      <c r="I528">
        <f>VLOOKUP(Table4[[#This Row],[Visitor]],'NHL Model'!$A$6:$B$38,2,FALSE)</f>
        <v>-1.2993694664931768</v>
      </c>
      <c r="J528">
        <f>($B$1+Table4[[#This Row],[Home Differential]])-Table4[[#This Row],[Away Differential]]</f>
        <v>1.0909765949822934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0.69015406747084895</v>
      </c>
      <c r="M528" t="str">
        <f>IF(OR((NHL2025_26Results[[#This Row],[Winning Team]]="")),"-",IF(Table4[[#This Row],[Predicted Winner]]=NHL2025_26Results[[#This Row],[Winning Team]],"YES","NO"))</f>
        <v>-</v>
      </c>
      <c r="N528" t="str">
        <f>IF(Table4[[#This Row],[Adjusted Correct]]="-", "",IF(Table4[[#This Row],[Adjusted Correct]]="YES",(Table4[[#This Row],[Strength of Win]]-1)^2,(Table4[[#This Row],[Strength of Win]]-0)^2))</f>
        <v/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-0.76384910289376506</v>
      </c>
      <c r="H529" t="s">
        <v>10</v>
      </c>
      <c r="I529">
        <f>VLOOKUP(Table4[[#This Row],[Visitor]],'NHL Model'!$A$6:$B$38,2,FALSE)</f>
        <v>0.28318004708662448</v>
      </c>
      <c r="J529">
        <f>($B$1+Table4[[#This Row],[Home Differential]])-Table4[[#This Row],[Away Differential]]</f>
        <v>-0.83946896518838043</v>
      </c>
      <c r="K529" t="str">
        <f>IF(Table4[[#This Row],[HomeIce Differential]]&gt;0,Table4[[#This Row],[Home]],Table4[[#This Row],[Visitor]])</f>
        <v>Chicago Blackhawks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0.58220505696607139</v>
      </c>
      <c r="M529" t="str">
        <f>IF(OR((NHL2025_26Results[[#This Row],[Winning Team]]="")),"-",IF(Table4[[#This Row],[Predicted Winner]]=NHL2025_26Results[[#This Row],[Winning Team]],"YES","NO"))</f>
        <v>-</v>
      </c>
      <c r="N529" t="str">
        <f>IF(Table4[[#This Row],[Adjusted Correct]]="-", "",IF(Table4[[#This Row],[Adjusted Correct]]="YES",(Table4[[#This Row],[Strength of Win]]-1)^2,(Table4[[#This Row],[Strength of Win]]-0)^2))</f>
        <v/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-0.4992069962886943</v>
      </c>
      <c r="H530" t="s">
        <v>55</v>
      </c>
      <c r="I530">
        <f>VLOOKUP(Table4[[#This Row],[Visitor]],'NHL Model'!$A$6:$B$38,2,FALSE)</f>
        <v>-0.24431182281386174</v>
      </c>
      <c r="J530">
        <f>($B$1+Table4[[#This Row],[Home Differential]])-Table4[[#This Row],[Away Differential]]</f>
        <v>-4.7334988682823459E-2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0.42608366541771486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-0.2184338233275798</v>
      </c>
      <c r="H531" t="s">
        <v>13</v>
      </c>
      <c r="I531">
        <f>VLOOKUP(Table4[[#This Row],[Visitor]],'NHL Model'!$A$6:$B$38,2,FALSE)</f>
        <v>-0.16069632687214722</v>
      </c>
      <c r="J531">
        <f>($B$1+Table4[[#This Row],[Home Differential]])-Table4[[#This Row],[Away Differential]]</f>
        <v>0.14982268833657653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0.52338293385067469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-1.4393526815815083</v>
      </c>
      <c r="H532" t="s">
        <v>25</v>
      </c>
      <c r="I532">
        <f>VLOOKUP(Table4[[#This Row],[Visitor]],'NHL Model'!$A$6:$B$38,2,FALSE)</f>
        <v>0.55298967972810642</v>
      </c>
      <c r="J532">
        <f>($B$1+Table4[[#This Row],[Home Differential]])-Table4[[#This Row],[Away Differential]]</f>
        <v>-1.7847821765176057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0.78660268017587476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-1.7049475448313323</v>
      </c>
      <c r="H533" t="s">
        <v>40</v>
      </c>
      <c r="I533">
        <f>VLOOKUP(Table4[[#This Row],[Visitor]],'NHL Model'!$A$6:$B$38,2,FALSE)</f>
        <v>0.16605329280468042</v>
      </c>
      <c r="J533">
        <f>($B$1+Table4[[#This Row],[Home Differential]])-Table4[[#This Row],[Away Differential]]</f>
        <v>-1.6634406528440036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0.7552596377373999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-5.3996763649808116E-4</v>
      </c>
      <c r="H534" t="s">
        <v>24</v>
      </c>
      <c r="I534">
        <f>VLOOKUP(Table4[[#This Row],[Visitor]],'NHL Model'!$A$6:$B$38,2,FALSE)</f>
        <v>0.27405230796993052</v>
      </c>
      <c r="J534">
        <f>($B$1+Table4[[#This Row],[Home Differential]])-Table4[[#This Row],[Away Differential]]</f>
        <v>-6.7032090814419493E-2</v>
      </c>
      <c r="K534" t="str">
        <f>IF(Table4[[#This Row],[HomeIce Differential]]&gt;0,Table4[[#This Row],[Home]],Table4[[#This Row],[Visitor]])</f>
        <v>New Jersey Devils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0.51173837126234756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-0.11354210657072454</v>
      </c>
      <c r="H535" t="s">
        <v>17</v>
      </c>
      <c r="I535">
        <f>VLOOKUP(Table4[[#This Row],[Visitor]],'NHL Model'!$A$6:$B$38,2,FALSE)</f>
        <v>-1.0049085234729234</v>
      </c>
      <c r="J535">
        <f>($B$1+Table4[[#This Row],[Home Differential]])-Table4[[#This Row],[Away Differential]]</f>
        <v>1.0989266016942079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0.74296422478620594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-1.005023581214965</v>
      </c>
      <c r="H536" t="s">
        <v>27</v>
      </c>
      <c r="I536">
        <f>VLOOKUP(Table4[[#This Row],[Visitor]],'NHL Model'!$A$6:$B$38,2,FALSE)</f>
        <v>-0.59983976271417982</v>
      </c>
      <c r="J536">
        <f>($B$1+Table4[[#This Row],[Home Differential]])-Table4[[#This Row],[Away Differential]]</f>
        <v>-0.19762363370877611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0.48719947665808866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-0.58990467102727129</v>
      </c>
      <c r="H537" t="s">
        <v>34</v>
      </c>
      <c r="I537">
        <f>VLOOKUP(Table4[[#This Row],[Visitor]],'NHL Model'!$A$6:$B$38,2,FALSE)</f>
        <v>-0.52340626120007572</v>
      </c>
      <c r="J537">
        <f>($B$1+Table4[[#This Row],[Home Differential]])-Table4[[#This Row],[Away Differential]]</f>
        <v>0.14106177496481354</v>
      </c>
      <c r="K537" t="str">
        <f>IF(Table4[[#This Row],[HomeIce Differential]]&gt;0,Table4[[#This Row],[Home]],Table4[[#This Row],[Visitor]])</f>
        <v>Columbus Blue Jackets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0.56646066650465321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-1.2993694664931768</v>
      </c>
      <c r="H538" t="s">
        <v>32</v>
      </c>
      <c r="I538">
        <f>VLOOKUP(Table4[[#This Row],[Visitor]],'NHL Model'!$A$6:$B$38,2,FALSE)</f>
        <v>-0.54471700440519322</v>
      </c>
      <c r="J538">
        <f>($B$1+Table4[[#This Row],[Home Differential]])-Table4[[#This Row],[Away Differential]]</f>
        <v>-0.54709227729597454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0.53529779382591924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-0.69497686531268954</v>
      </c>
      <c r="H539" t="s">
        <v>10</v>
      </c>
      <c r="I539">
        <f>VLOOKUP(Table4[[#This Row],[Visitor]],'NHL Model'!$A$6:$B$38,2,FALSE)</f>
        <v>0.28318004708662448</v>
      </c>
      <c r="J539">
        <f>($B$1+Table4[[#This Row],[Home Differential]])-Table4[[#This Row],[Away Differential]]</f>
        <v>-0.77059672760730491</v>
      </c>
      <c r="K539" t="str">
        <f>IF(Table4[[#This Row],[HomeIce Differential]]&gt;0,Table4[[#This Row],[Home]],Table4[[#This Row],[Visitor]])</f>
        <v>Chicago Blackhawks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0.58682854823042763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-0.49956508239762204</v>
      </c>
      <c r="H540" t="s">
        <v>14</v>
      </c>
      <c r="I540">
        <f>VLOOKUP(Table4[[#This Row],[Visitor]],'NHL Model'!$A$6:$B$38,2,FALSE)</f>
        <v>0.19812979206825923</v>
      </c>
      <c r="J540">
        <f>($B$1+Table4[[#This Row],[Home Differential]])-Table4[[#This Row],[Away Differential]]</f>
        <v>-0.49013468967387219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0.52496308736948161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-0.41595305630289253</v>
      </c>
      <c r="H541" t="s">
        <v>39</v>
      </c>
      <c r="I541">
        <f>VLOOKUP(Table4[[#This Row],[Visitor]],'NHL Model'!$A$6:$B$38,2,FALSE)</f>
        <v>4.3588947679693783E-2</v>
      </c>
      <c r="J541">
        <f>($B$1+Table4[[#This Row],[Home Differential]])-Table4[[#This Row],[Away Differential]]</f>
        <v>-0.25198181919057722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0.58716712898940171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-1.7049475448313323</v>
      </c>
      <c r="H542" t="s">
        <v>15</v>
      </c>
      <c r="I542">
        <f>VLOOKUP(Table4[[#This Row],[Visitor]],'NHL Model'!$A$6:$B$38,2,FALSE)</f>
        <v>-0.41117752232850285</v>
      </c>
      <c r="J542">
        <f>($B$1+Table4[[#This Row],[Home Differential]])-Table4[[#This Row],[Away Differential]]</f>
        <v>-1.0862098377108202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0.73089335457744931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3.7016822058700272E-2</v>
      </c>
      <c r="H543" t="s">
        <v>13</v>
      </c>
      <c r="I543">
        <f>VLOOKUP(Table4[[#This Row],[Visitor]],'NHL Model'!$A$6:$B$38,2,FALSE)</f>
        <v>-0.16069632687214722</v>
      </c>
      <c r="J543">
        <f>($B$1+Table4[[#This Row],[Home Differential]])-Table4[[#This Row],[Away Differential]]</f>
        <v>0.40527333372285657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0.49398111520324878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-3.9931837337852071E-3</v>
      </c>
      <c r="H544" t="s">
        <v>19</v>
      </c>
      <c r="I544">
        <f>VLOOKUP(Table4[[#This Row],[Visitor]],'NHL Model'!$A$6:$B$38,2,FALSE)</f>
        <v>-0.76384910289376506</v>
      </c>
      <c r="J544">
        <f>($B$1+Table4[[#This Row],[Home Differential]])-Table4[[#This Row],[Away Differential]]</f>
        <v>0.96741610395198896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0.67564358120147794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0.49887659623169195</v>
      </c>
      <c r="H545" t="s">
        <v>39</v>
      </c>
      <c r="I545">
        <f>VLOOKUP(Table4[[#This Row],[Visitor]],'NHL Model'!$A$6:$B$38,2,FALSE)</f>
        <v>4.3588947679693783E-2</v>
      </c>
      <c r="J545">
        <f>($B$1+Table4[[#This Row],[Home Differential]])-Table4[[#This Row],[Away Differential]]</f>
        <v>0.66284783334400732</v>
      </c>
      <c r="K545" t="str">
        <f>IF(Table4[[#This Row],[HomeIce Differential]]&gt;0,Table4[[#This Row],[Home]],Table4[[#This Row],[Visitor]])</f>
        <v>Anaheim Ducks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0.65879711249878359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1.4229473251234224</v>
      </c>
      <c r="H546" t="s">
        <v>40</v>
      </c>
      <c r="I546">
        <f>VLOOKUP(Table4[[#This Row],[Visitor]],'NHL Model'!$A$6:$B$38,2,FALSE)</f>
        <v>0.16605329280468042</v>
      </c>
      <c r="J546">
        <f>($B$1+Table4[[#This Row],[Home Differential]])-Table4[[#This Row],[Away Differential]]</f>
        <v>1.4644542171107509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0.76607293449936875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-0.2184338233275798</v>
      </c>
      <c r="H547" t="s">
        <v>25</v>
      </c>
      <c r="I547">
        <f>VLOOKUP(Table4[[#This Row],[Visitor]],'NHL Model'!$A$6:$B$38,2,FALSE)</f>
        <v>0.55298967972810642</v>
      </c>
      <c r="J547">
        <f>($B$1+Table4[[#This Row],[Home Differential]])-Table4[[#This Row],[Away Differential]]</f>
        <v>-0.56386331826367708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0.55379651386745776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-7.6737500378247253E-2</v>
      </c>
      <c r="H548" t="s">
        <v>38</v>
      </c>
      <c r="I548">
        <f>VLOOKUP(Table4[[#This Row],[Visitor]],'NHL Model'!$A$6:$B$38,2,FALSE)</f>
        <v>-0.87761566951859371</v>
      </c>
      <c r="J548">
        <f>($B$1+Table4[[#This Row],[Home Differential]])-Table4[[#This Row],[Away Differential]]</f>
        <v>1.0084383539323556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0.65802487474410365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-0.24431182281386174</v>
      </c>
      <c r="H549" t="s">
        <v>24</v>
      </c>
      <c r="I549">
        <f>VLOOKUP(Table4[[#This Row],[Visitor]],'NHL Model'!$A$6:$B$38,2,FALSE)</f>
        <v>0.27405230796993052</v>
      </c>
      <c r="J549">
        <f>($B$1+Table4[[#This Row],[Home Differential]])-Table4[[#This Row],[Away Differential]]</f>
        <v>-0.31080394599178318</v>
      </c>
      <c r="K549" t="str">
        <f>IF(Table4[[#This Row],[HomeIce Differential]]&gt;0,Table4[[#This Row],[Home]],Table4[[#This Row],[Visitor]])</f>
        <v>New Jersey Devils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0.47576648070165239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0.49887659623169195</v>
      </c>
      <c r="H550" t="s">
        <v>28</v>
      </c>
      <c r="I550">
        <f>VLOOKUP(Table4[[#This Row],[Visitor]],'NHL Model'!$A$6:$B$38,2,FALSE)</f>
        <v>-0.58990467102727129</v>
      </c>
      <c r="J550">
        <f>($B$1+Table4[[#This Row],[Home Differential]])-Table4[[#This Row],[Away Differential]]</f>
        <v>1.2963414520509724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0.83384970130446767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-0.11354210657072454</v>
      </c>
      <c r="H551" t="s">
        <v>38</v>
      </c>
      <c r="I551">
        <f>VLOOKUP(Table4[[#This Row],[Visitor]],'NHL Model'!$A$6:$B$38,2,FALSE)</f>
        <v>-0.87761566951859371</v>
      </c>
      <c r="J551">
        <f>($B$1+Table4[[#This Row],[Home Differential]])-Table4[[#This Row],[Away Differential]]</f>
        <v>0.97163374773987832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0.70515715917838961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-1.005023581214965</v>
      </c>
      <c r="H552" t="s">
        <v>30</v>
      </c>
      <c r="I552">
        <f>VLOOKUP(Table4[[#This Row],[Visitor]],'NHL Model'!$A$6:$B$38,2,FALSE)</f>
        <v>-7.6737500378247253E-2</v>
      </c>
      <c r="J552">
        <f>($B$1+Table4[[#This Row],[Home Differential]])-Table4[[#This Row],[Away Differential]]</f>
        <v>-0.72072589604470871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0.61848329349258158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-1.2993694664931768</v>
      </c>
      <c r="H553" t="s">
        <v>20</v>
      </c>
      <c r="I553">
        <f>VLOOKUP(Table4[[#This Row],[Visitor]],'NHL Model'!$A$6:$B$38,2,FALSE)</f>
        <v>-5.3996763649808116E-4</v>
      </c>
      <c r="J553">
        <f>($B$1+Table4[[#This Row],[Home Differential]])-Table4[[#This Row],[Away Differential]]</f>
        <v>-1.0912693140646696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0.63096358596123447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-0.2184338233275798</v>
      </c>
      <c r="H554" t="s">
        <v>35</v>
      </c>
      <c r="I554">
        <f>VLOOKUP(Table4[[#This Row],[Visitor]],'NHL Model'!$A$6:$B$38,2,FALSE)</f>
        <v>-1.7049475448313323</v>
      </c>
      <c r="J554">
        <f>($B$1+Table4[[#This Row],[Home Differential]])-Table4[[#This Row],[Away Differential]]</f>
        <v>1.6940739062957615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0.83660826187502901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-0.52340626120007572</v>
      </c>
      <c r="H555" t="s">
        <v>17</v>
      </c>
      <c r="I555">
        <f>VLOOKUP(Table4[[#This Row],[Visitor]],'NHL Model'!$A$6:$B$38,2,FALSE)</f>
        <v>-1.0049085234729234</v>
      </c>
      <c r="J555">
        <f>($B$1+Table4[[#This Row],[Home Differential]])-Table4[[#This Row],[Away Differential]]</f>
        <v>0.68906244706485675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0.63483753331104598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-0.69497686531268954</v>
      </c>
      <c r="H556" t="s">
        <v>14</v>
      </c>
      <c r="I556">
        <f>VLOOKUP(Table4[[#This Row],[Visitor]],'NHL Model'!$A$6:$B$38,2,FALSE)</f>
        <v>0.19812979206825923</v>
      </c>
      <c r="J556">
        <f>($B$1+Table4[[#This Row],[Home Differential]])-Table4[[#This Row],[Away Differential]]</f>
        <v>-0.68554647258893964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0.55435362020868362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-1.4393526815815083</v>
      </c>
      <c r="H557" t="s">
        <v>19</v>
      </c>
      <c r="I557">
        <f>VLOOKUP(Table4[[#This Row],[Visitor]],'NHL Model'!$A$6:$B$38,2,FALSE)</f>
        <v>-0.76384910289376506</v>
      </c>
      <c r="J557">
        <f>($B$1+Table4[[#This Row],[Home Differential]])-Table4[[#This Row],[Away Differential]]</f>
        <v>-0.46794339389573425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0.52440431835359269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-0.41117752232850285</v>
      </c>
      <c r="H558" t="s">
        <v>27</v>
      </c>
      <c r="I558">
        <f>VLOOKUP(Table4[[#This Row],[Visitor]],'NHL Model'!$A$6:$B$38,2,FALSE)</f>
        <v>-0.59983976271417982</v>
      </c>
      <c r="J558">
        <f>($B$1+Table4[[#This Row],[Home Differential]])-Table4[[#This Row],[Away Differential]]</f>
        <v>0.39622242517768608</v>
      </c>
      <c r="K558" t="str">
        <f>IF(Table4[[#This Row],[HomeIce Differential]]&gt;0,Table4[[#This Row],[Home]],Table4[[#This Row],[Visitor]])</f>
        <v>New York Rangers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0.59453316692330993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-0.49956508239762204</v>
      </c>
      <c r="H559" t="s">
        <v>10</v>
      </c>
      <c r="I559">
        <f>VLOOKUP(Table4[[#This Row],[Visitor]],'NHL Model'!$A$6:$B$38,2,FALSE)</f>
        <v>0.28318004708662448</v>
      </c>
      <c r="J559">
        <f>($B$1+Table4[[#This Row],[Home Differential]])-Table4[[#This Row],[Away Differential]]</f>
        <v>-0.57518494469223747</v>
      </c>
      <c r="K559" t="str">
        <f>IF(Table4[[#This Row],[HomeIce Differential]]&gt;0,Table4[[#This Row],[Home]],Table4[[#This Row],[Visitor]])</f>
        <v>Chicago Blackhawks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0.5574251333915522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-0.41595305630289253</v>
      </c>
      <c r="H560" t="s">
        <v>32</v>
      </c>
      <c r="I560">
        <f>VLOOKUP(Table4[[#This Row],[Visitor]],'NHL Model'!$A$6:$B$38,2,FALSE)</f>
        <v>-0.54471700440519322</v>
      </c>
      <c r="J560">
        <f>($B$1+Table4[[#This Row],[Home Differential]])-Table4[[#This Row],[Away Differential]]</f>
        <v>0.33632413289430979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0.58628920251355765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3.7016822058700272E-2</v>
      </c>
      <c r="H561" t="s">
        <v>25</v>
      </c>
      <c r="I561">
        <f>VLOOKUP(Table4[[#This Row],[Visitor]],'NHL Model'!$A$6:$B$38,2,FALSE)</f>
        <v>0.55298967972810642</v>
      </c>
      <c r="J561">
        <f>($B$1+Table4[[#This Row],[Home Differential]])-Table4[[#This Row],[Away Differential]]</f>
        <v>-0.30841267287739704</v>
      </c>
      <c r="K561" t="str">
        <f>IF(Table4[[#This Row],[HomeIce Differential]]&gt;0,Table4[[#This Row],[Home]],Table4[[#This Row],[Visitor]])</f>
        <v>Carolina Hurricanes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0.5834059415097318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-3.9931837337852071E-3</v>
      </c>
      <c r="H562" t="s">
        <v>26</v>
      </c>
      <c r="I562">
        <f>VLOOKUP(Table4[[#This Row],[Visitor]],'NHL Model'!$A$6:$B$38,2,FALSE)</f>
        <v>-0.4992069962886943</v>
      </c>
      <c r="J562">
        <f>($B$1+Table4[[#This Row],[Home Differential]])-Table4[[#This Row],[Away Differential]]</f>
        <v>0.70277399734691826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0.59213753519847234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-0.11354210657072454</v>
      </c>
      <c r="H563" t="s">
        <v>36</v>
      </c>
      <c r="I563">
        <f>VLOOKUP(Table4[[#This Row],[Visitor]],'NHL Model'!$A$6:$B$38,2,FALSE)</f>
        <v>-0.49956508239762204</v>
      </c>
      <c r="J563">
        <f>($B$1+Table4[[#This Row],[Home Differential]])-Table4[[#This Row],[Away Differential]]</f>
        <v>0.59358316061890659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0.67341243651122162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4.3588947679693783E-2</v>
      </c>
      <c r="H564" t="s">
        <v>19</v>
      </c>
      <c r="I564">
        <f>VLOOKUP(Table4[[#This Row],[Visitor]],'NHL Model'!$A$6:$B$38,2,FALSE)</f>
        <v>-0.76384910289376506</v>
      </c>
      <c r="J564">
        <f>($B$1+Table4[[#This Row],[Home Differential]])-Table4[[#This Row],[Away Differential]]</f>
        <v>1.0149982353654678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0.68219243898956117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-0.4992069962886943</v>
      </c>
      <c r="H565" t="s">
        <v>22</v>
      </c>
      <c r="I565">
        <f>VLOOKUP(Table4[[#This Row],[Visitor]],'NHL Model'!$A$6:$B$38,2,FALSE)</f>
        <v>-3.9931837337852071E-3</v>
      </c>
      <c r="J565">
        <f>($B$1+Table4[[#This Row],[Home Differential]])-Table4[[#This Row],[Away Differential]]</f>
        <v>-0.28765362776289999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0.45915937145292829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-1.0049085234729234</v>
      </c>
      <c r="H566" t="s">
        <v>20</v>
      </c>
      <c r="I566">
        <f>VLOOKUP(Table4[[#This Row],[Visitor]],'NHL Model'!$A$6:$B$38,2,FALSE)</f>
        <v>-5.3996763649808116E-4</v>
      </c>
      <c r="J566">
        <f>($B$1+Table4[[#This Row],[Home Differential]])-Table4[[#This Row],[Away Differential]]</f>
        <v>-0.79680837104441615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0.55411134147726504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-0.52340626120007572</v>
      </c>
      <c r="H567" t="s">
        <v>12</v>
      </c>
      <c r="I567">
        <f>VLOOKUP(Table4[[#This Row],[Visitor]],'NHL Model'!$A$6:$B$38,2,FALSE)</f>
        <v>1.4229473251234224</v>
      </c>
      <c r="J567">
        <f>($B$1+Table4[[#This Row],[Home Differential]])-Table4[[#This Row],[Away Differential]]</f>
        <v>-1.738793401531489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0.76563064089418009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0.27405230796993052</v>
      </c>
      <c r="H568" t="s">
        <v>23</v>
      </c>
      <c r="I568">
        <f>VLOOKUP(Table4[[#This Row],[Visitor]],'NHL Model'!$A$6:$B$38,2,FALSE)</f>
        <v>-1.005023581214965</v>
      </c>
      <c r="J568">
        <f>($B$1+Table4[[#This Row],[Home Differential]])-Table4[[#This Row],[Away Differential]]</f>
        <v>1.4866360739769047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0.86004046619477204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-1.4393526815815083</v>
      </c>
      <c r="H569" t="s">
        <v>15</v>
      </c>
      <c r="I569">
        <f>VLOOKUP(Table4[[#This Row],[Visitor]],'NHL Model'!$A$6:$B$38,2,FALSE)</f>
        <v>-0.41117752232850285</v>
      </c>
      <c r="J569">
        <f>($B$1+Table4[[#This Row],[Home Differential]])-Table4[[#This Row],[Away Differential]]</f>
        <v>-0.82061497446099652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0.69433881326121494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0.19812979206825923</v>
      </c>
      <c r="H570" t="s">
        <v>18</v>
      </c>
      <c r="I570">
        <f>VLOOKUP(Table4[[#This Row],[Visitor]],'NHL Model'!$A$6:$B$38,2,FALSE)</f>
        <v>-0.69497686531268954</v>
      </c>
      <c r="J570">
        <f>($B$1+Table4[[#This Row],[Home Differential]])-Table4[[#This Row],[Away Differential]]</f>
        <v>1.100666842172958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0.68089952717730995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-0.24431182281386174</v>
      </c>
      <c r="H571" t="s">
        <v>40</v>
      </c>
      <c r="I571">
        <f>VLOOKUP(Table4[[#This Row],[Visitor]],'NHL Model'!$A$6:$B$38,2,FALSE)</f>
        <v>0.16605329280468042</v>
      </c>
      <c r="J571">
        <f>($B$1+Table4[[#This Row],[Home Differential]])-Table4[[#This Row],[Away Differential]]</f>
        <v>-0.20280493082653306</v>
      </c>
      <c r="K571" t="str">
        <f>IF(Table4[[#This Row],[HomeIce Differential]]&gt;0,Table4[[#This Row],[Home]],Table4[[#This Row],[Visitor]])</f>
        <v>Winnipeg Jets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0.48443433176239892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0.49887659623169195</v>
      </c>
      <c r="H572" t="s">
        <v>32</v>
      </c>
      <c r="I572">
        <f>VLOOKUP(Table4[[#This Row],[Visitor]],'NHL Model'!$A$6:$B$38,2,FALSE)</f>
        <v>-0.54471700440519322</v>
      </c>
      <c r="J572">
        <f>($B$1+Table4[[#This Row],[Home Differential]])-Table4[[#This Row],[Away Differential]]</f>
        <v>1.2511537854288943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0.8276304001993583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-0.16069632687214722</v>
      </c>
      <c r="H573" t="s">
        <v>28</v>
      </c>
      <c r="I573">
        <f>VLOOKUP(Table4[[#This Row],[Visitor]],'NHL Model'!$A$6:$B$38,2,FALSE)</f>
        <v>-0.58990467102727129</v>
      </c>
      <c r="J573">
        <f>($B$1+Table4[[#This Row],[Home Differential]])-Table4[[#This Row],[Away Differential]]</f>
        <v>0.63676852894713321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0.62764017954060036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-0.59983976271417982</v>
      </c>
      <c r="H574" t="s">
        <v>38</v>
      </c>
      <c r="I574">
        <f>VLOOKUP(Table4[[#This Row],[Visitor]],'NHL Model'!$A$6:$B$38,2,FALSE)</f>
        <v>-0.87761566951859371</v>
      </c>
      <c r="J574">
        <f>($B$1+Table4[[#This Row],[Home Differential]])-Table4[[#This Row],[Away Differential]]</f>
        <v>0.48533609159642299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0.58853725294151715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3.7016822058700272E-2</v>
      </c>
      <c r="H575" t="s">
        <v>35</v>
      </c>
      <c r="I575">
        <f>VLOOKUP(Table4[[#This Row],[Visitor]],'NHL Model'!$A$6:$B$38,2,FALSE)</f>
        <v>-1.7049475448313323</v>
      </c>
      <c r="J575">
        <f>($B$1+Table4[[#This Row],[Home Differential]])-Table4[[#This Row],[Away Differential]]</f>
        <v>1.9495245516820416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0.80831835111374939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-0.11354210657072454</v>
      </c>
      <c r="H576" t="s">
        <v>18</v>
      </c>
      <c r="I576">
        <f>VLOOKUP(Table4[[#This Row],[Visitor]],'NHL Model'!$A$6:$B$38,2,FALSE)</f>
        <v>-0.69497686531268954</v>
      </c>
      <c r="J576">
        <f>($B$1+Table4[[#This Row],[Home Differential]])-Table4[[#This Row],[Away Differential]]</f>
        <v>0.78899494353397415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0.65404605926926829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0.55298967972810642</v>
      </c>
      <c r="H577" t="s">
        <v>11</v>
      </c>
      <c r="I577">
        <f>VLOOKUP(Table4[[#This Row],[Visitor]],'NHL Model'!$A$6:$B$38,2,FALSE)</f>
        <v>-0.2184338233275798</v>
      </c>
      <c r="J577">
        <f>($B$1+Table4[[#This Row],[Home Differential]])-Table4[[#This Row],[Away Differential]]</f>
        <v>0.97898368784769529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0.7264561562710864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0.28318004708662448</v>
      </c>
      <c r="H578" t="s">
        <v>27</v>
      </c>
      <c r="I578">
        <f>VLOOKUP(Table4[[#This Row],[Visitor]],'NHL Model'!$A$6:$B$38,2,FALSE)</f>
        <v>-0.59983976271417982</v>
      </c>
      <c r="J578">
        <f>($B$1+Table4[[#This Row],[Home Differential]])-Table4[[#This Row],[Away Differential]]</f>
        <v>1.0905799945928134</v>
      </c>
      <c r="K578" t="str">
        <f>IF(Table4[[#This Row],[HomeIce Differential]]&gt;0,Table4[[#This Row],[Home]],Table4[[#This Row],[Visitor]])</f>
        <v>Chicago Blackhawks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0.69714543414362995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1.4229473251234224</v>
      </c>
      <c r="H579" t="s">
        <v>55</v>
      </c>
      <c r="I579">
        <f>VLOOKUP(Table4[[#This Row],[Visitor]],'NHL Model'!$A$6:$B$38,2,FALSE)</f>
        <v>-0.24431182281386174</v>
      </c>
      <c r="J579">
        <f>($B$1+Table4[[#This Row],[Home Differential]])-Table4[[#This Row],[Away Differential]]</f>
        <v>1.874819332729293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0.88640271698628159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-0.4992069962886943</v>
      </c>
      <c r="H580" t="s">
        <v>39</v>
      </c>
      <c r="I580">
        <f>VLOOKUP(Table4[[#This Row],[Visitor]],'NHL Model'!$A$6:$B$38,2,FALSE)</f>
        <v>4.3588947679693783E-2</v>
      </c>
      <c r="J580">
        <f>($B$1+Table4[[#This Row],[Home Differential]])-Table4[[#This Row],[Away Differential]]</f>
        <v>-0.33523575917637899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0.55776731366385857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-1.0049085234729234</v>
      </c>
      <c r="H581" t="s">
        <v>16</v>
      </c>
      <c r="I581">
        <f>VLOOKUP(Table4[[#This Row],[Visitor]],'NHL Model'!$A$6:$B$38,2,FALSE)</f>
        <v>-1.2993694664931768</v>
      </c>
      <c r="J581">
        <f>($B$1+Table4[[#This Row],[Home Differential]])-Table4[[#This Row],[Away Differential]]</f>
        <v>0.50202112781226249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0.6451313956500021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-0.16069632687214722</v>
      </c>
      <c r="H582" t="s">
        <v>32</v>
      </c>
      <c r="I582">
        <f>VLOOKUP(Table4[[#This Row],[Visitor]],'NHL Model'!$A$6:$B$38,2,FALSE)</f>
        <v>-0.54471700440519322</v>
      </c>
      <c r="J582">
        <f>($B$1+Table4[[#This Row],[Home Differential]])-Table4[[#This Row],[Away Differential]]</f>
        <v>0.59158086232505513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0.6214208784354911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-0.52340626120007572</v>
      </c>
      <c r="H583" t="s">
        <v>29</v>
      </c>
      <c r="I583">
        <f>VLOOKUP(Table4[[#This Row],[Visitor]],'NHL Model'!$A$6:$B$38,2,FALSE)</f>
        <v>-1.4393526815815083</v>
      </c>
      <c r="J583">
        <f>($B$1+Table4[[#This Row],[Home Differential]])-Table4[[#This Row],[Away Differential]]</f>
        <v>1.1235066051734417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0.69463126099409622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-7.6737500378247253E-2</v>
      </c>
      <c r="H584" t="s">
        <v>24</v>
      </c>
      <c r="I584">
        <f>VLOOKUP(Table4[[#This Row],[Visitor]],'NHL Model'!$A$6:$B$38,2,FALSE)</f>
        <v>0.27405230796993052</v>
      </c>
      <c r="J584">
        <f>($B$1+Table4[[#This Row],[Home Differential]])-Table4[[#This Row],[Away Differential]]</f>
        <v>-0.14322962355616867</v>
      </c>
      <c r="K584" t="str">
        <f>IF(Table4[[#This Row],[HomeIce Differential]]&gt;0,Table4[[#This Row],[Home]],Table4[[#This Row],[Visitor]])</f>
        <v>New Jersey Devils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0.52222564433955099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-0.49956508239762204</v>
      </c>
      <c r="H585" t="s">
        <v>23</v>
      </c>
      <c r="I585">
        <f>VLOOKUP(Table4[[#This Row],[Visitor]],'NHL Model'!$A$6:$B$38,2,FALSE)</f>
        <v>-1.005023581214965</v>
      </c>
      <c r="J585">
        <f>($B$1+Table4[[#This Row],[Home Differential]])-Table4[[#This Row],[Away Differential]]</f>
        <v>0.71301868360935217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0.64063017431976732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-0.76384910289376506</v>
      </c>
      <c r="H586" t="s">
        <v>14</v>
      </c>
      <c r="I586">
        <f>VLOOKUP(Table4[[#This Row],[Visitor]],'NHL Model'!$A$6:$B$38,2,FALSE)</f>
        <v>0.19812979206825923</v>
      </c>
      <c r="J586">
        <f>($B$1+Table4[[#This Row],[Home Differential]])-Table4[[#This Row],[Away Differential]]</f>
        <v>-0.75441871017001516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0.54981607254827658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-5.3996763649808116E-4</v>
      </c>
      <c r="H587" t="s">
        <v>33</v>
      </c>
      <c r="I587">
        <f>VLOOKUP(Table4[[#This Row],[Visitor]],'NHL Model'!$A$6:$B$38,2,FALSE)</f>
        <v>-0.41595305630289253</v>
      </c>
      <c r="J587">
        <f>($B$1+Table4[[#This Row],[Home Differential]])-Table4[[#This Row],[Away Differential]]</f>
        <v>0.62297327345840359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0.62574150111527094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-3.9931837337852071E-3</v>
      </c>
      <c r="H588" t="s">
        <v>15</v>
      </c>
      <c r="I588">
        <f>VLOOKUP(Table4[[#This Row],[Visitor]],'NHL Model'!$A$6:$B$38,2,FALSE)</f>
        <v>-0.41117752232850285</v>
      </c>
      <c r="J588">
        <f>($B$1+Table4[[#This Row],[Home Differential]])-Table4[[#This Row],[Away Differential]]</f>
        <v>0.6147445233867268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0.50566158750567236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-1.005023581214965</v>
      </c>
      <c r="H589" t="s">
        <v>21</v>
      </c>
      <c r="I589">
        <f>VLOOKUP(Table4[[#This Row],[Visitor]],'NHL Model'!$A$6:$B$38,2,FALSE)</f>
        <v>-0.11354210657072454</v>
      </c>
      <c r="J589">
        <f>($B$1+Table4[[#This Row],[Home Differential]])-Table4[[#This Row],[Away Differential]]</f>
        <v>-0.68392128985223144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0.55412994190117226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0.55298967972810642</v>
      </c>
      <c r="H590" t="s">
        <v>26</v>
      </c>
      <c r="I590">
        <f>VLOOKUP(Table4[[#This Row],[Visitor]],'NHL Model'!$A$6:$B$38,2,FALSE)</f>
        <v>-0.4992069962886943</v>
      </c>
      <c r="J590">
        <f>($B$1+Table4[[#This Row],[Home Differential]])-Table4[[#This Row],[Away Differential]]</f>
        <v>1.2597568608088099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0.71883829863929716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-1.2993694664931768</v>
      </c>
      <c r="H591" t="s">
        <v>17</v>
      </c>
      <c r="I591">
        <f>VLOOKUP(Table4[[#This Row],[Visitor]],'NHL Model'!$A$6:$B$38,2,FALSE)</f>
        <v>-1.0049085234729234</v>
      </c>
      <c r="J591">
        <f>($B$1+Table4[[#This Row],[Home Differential]])-Table4[[#This Row],[Away Differential]]</f>
        <v>-8.690075822824439E-2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0.47196038702781112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4.3588947679693783E-2</v>
      </c>
      <c r="H592" t="s">
        <v>10</v>
      </c>
      <c r="I592">
        <f>VLOOKUP(Table4[[#This Row],[Visitor]],'NHL Model'!$A$6:$B$38,2,FALSE)</f>
        <v>0.28318004708662448</v>
      </c>
      <c r="J592">
        <f>($B$1+Table4[[#This Row],[Home Differential]])-Table4[[#This Row],[Away Differential]]</f>
        <v>-3.203091461492158E-2</v>
      </c>
      <c r="K592" t="str">
        <f>IF(Table4[[#This Row],[HomeIce Differential]]&gt;0,Table4[[#This Row],[Home]],Table4[[#This Row],[Visitor]])</f>
        <v>Chicago Blackhawks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0.48266937121077286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-0.2184338233275798</v>
      </c>
      <c r="H593" t="s">
        <v>37</v>
      </c>
      <c r="I593">
        <f>VLOOKUP(Table4[[#This Row],[Visitor]],'NHL Model'!$A$6:$B$38,2,FALSE)</f>
        <v>3.7016822058700272E-2</v>
      </c>
      <c r="J593">
        <f>($B$1+Table4[[#This Row],[Home Differential]])-Table4[[#This Row],[Away Differential]]</f>
        <v>-4.7890460594270962E-2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0.44906917007561198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-0.16069632687214722</v>
      </c>
      <c r="H594" t="s">
        <v>31</v>
      </c>
      <c r="I594">
        <f>VLOOKUP(Table4[[#This Row],[Visitor]],'NHL Model'!$A$6:$B$38,2,FALSE)</f>
        <v>0.49887659623169195</v>
      </c>
      <c r="J594">
        <f>($B$1+Table4[[#This Row],[Home Differential]])-Table4[[#This Row],[Away Differential]]</f>
        <v>-0.45201273831183009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0.542980969791239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0.27405230796993052</v>
      </c>
      <c r="H595" t="s">
        <v>22</v>
      </c>
      <c r="I595">
        <f>VLOOKUP(Table4[[#This Row],[Visitor]],'NHL Model'!$A$6:$B$38,2,FALSE)</f>
        <v>-3.9931837337852071E-3</v>
      </c>
      <c r="J595">
        <f>($B$1+Table4[[#This Row],[Home Differential]])-Table4[[#This Row],[Away Differential]]</f>
        <v>0.48560567649572484</v>
      </c>
      <c r="K595" t="str">
        <f>IF(Table4[[#This Row],[HomeIce Differential]]&gt;0,Table4[[#This Row],[Home]],Table4[[#This Row],[Visitor]])</f>
        <v>New Jersey Devils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0.72226593781802051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-7.6737500378247253E-2</v>
      </c>
      <c r="H596" t="s">
        <v>15</v>
      </c>
      <c r="I596">
        <f>VLOOKUP(Table4[[#This Row],[Visitor]],'NHL Model'!$A$6:$B$38,2,FALSE)</f>
        <v>-0.41117752232850285</v>
      </c>
      <c r="J596">
        <f>($B$1+Table4[[#This Row],[Home Differential]])-Table4[[#This Row],[Away Differential]]</f>
        <v>0.54200020674226468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0.49320160950882463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-1.7049475448313323</v>
      </c>
      <c r="H597" t="s">
        <v>29</v>
      </c>
      <c r="I597">
        <f>VLOOKUP(Table4[[#This Row],[Visitor]],'NHL Model'!$A$6:$B$38,2,FALSE)</f>
        <v>-1.4393526815815083</v>
      </c>
      <c r="J597">
        <f>($B$1+Table4[[#This Row],[Home Differential]])-Table4[[#This Row],[Away Differential]]</f>
        <v>-5.8034678457814737E-2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0.46798747018486236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-0.76384910289376506</v>
      </c>
      <c r="H598" t="s">
        <v>36</v>
      </c>
      <c r="I598">
        <f>VLOOKUP(Table4[[#This Row],[Visitor]],'NHL Model'!$A$6:$B$38,2,FALSE)</f>
        <v>-0.49956508239762204</v>
      </c>
      <c r="J598">
        <f>($B$1+Table4[[#This Row],[Home Differential]])-Table4[[#This Row],[Away Differential]]</f>
        <v>-5.6723835704133918E-2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0.45379043484308301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-0.87761566951859371</v>
      </c>
      <c r="H599" t="s">
        <v>33</v>
      </c>
      <c r="I599">
        <f>VLOOKUP(Table4[[#This Row],[Visitor]],'NHL Model'!$A$6:$B$38,2,FALSE)</f>
        <v>-0.41595305630289253</v>
      </c>
      <c r="J599">
        <f>($B$1+Table4[[#This Row],[Home Differential]])-Table4[[#This Row],[Away Differential]]</f>
        <v>-0.25410242842369207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0.4949728063438949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-5.3996763649808116E-4</v>
      </c>
      <c r="H600" t="s">
        <v>12</v>
      </c>
      <c r="I600">
        <f>VLOOKUP(Table4[[#This Row],[Visitor]],'NHL Model'!$A$6:$B$38,2,FALSE)</f>
        <v>1.4229473251234224</v>
      </c>
      <c r="J600">
        <f>($B$1+Table4[[#This Row],[Home Differential]])-Table4[[#This Row],[Away Differential]]</f>
        <v>-1.2159271079679113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0.69366713490966136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0.16605329280468042</v>
      </c>
      <c r="H601" t="s">
        <v>34</v>
      </c>
      <c r="I601">
        <f>VLOOKUP(Table4[[#This Row],[Visitor]],'NHL Model'!$A$6:$B$38,2,FALSE)</f>
        <v>-0.52340626120007572</v>
      </c>
      <c r="J601">
        <f>($B$1+Table4[[#This Row],[Home Differential]])-Table4[[#This Row],[Away Differential]]</f>
        <v>0.89701973879676522</v>
      </c>
      <c r="K601" t="str">
        <f>IF(Table4[[#This Row],[HomeIce Differential]]&gt;0,Table4[[#This Row],[Home]],Table4[[#This Row],[Visitor]])</f>
        <v>Winnipeg Jets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0.7151752356788621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-0.58990467102727129</v>
      </c>
      <c r="H602" t="s">
        <v>30</v>
      </c>
      <c r="I602">
        <f>VLOOKUP(Table4[[#This Row],[Visitor]],'NHL Model'!$A$6:$B$38,2,FALSE)</f>
        <v>-7.6737500378247253E-2</v>
      </c>
      <c r="J602">
        <f>($B$1+Table4[[#This Row],[Home Differential]])-Table4[[#This Row],[Away Differential]]</f>
        <v>-0.30560698585701496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0.55425664021383791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0.28318004708662448</v>
      </c>
      <c r="H603" t="s">
        <v>14</v>
      </c>
      <c r="I603">
        <f>VLOOKUP(Table4[[#This Row],[Visitor]],'NHL Model'!$A$6:$B$38,2,FALSE)</f>
        <v>0.19812979206825923</v>
      </c>
      <c r="J603">
        <f>($B$1+Table4[[#This Row],[Home Differential]])-Table4[[#This Row],[Away Differential]]</f>
        <v>0.29261043981037438</v>
      </c>
      <c r="K603" t="str">
        <f>IF(Table4[[#This Row],[HomeIce Differential]]&gt;0,Table4[[#This Row],[Home]],Table4[[#This Row],[Visitor]])</f>
        <v>Chicago Blackhawks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0.58731872024384157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-0.4992069962886943</v>
      </c>
      <c r="H604" t="s">
        <v>19</v>
      </c>
      <c r="I604">
        <f>VLOOKUP(Table4[[#This Row],[Visitor]],'NHL Model'!$A$6:$B$38,2,FALSE)</f>
        <v>-0.76384910289376506</v>
      </c>
      <c r="J604">
        <f>($B$1+Table4[[#This Row],[Home Differential]])-Table4[[#This Row],[Away Differential]]</f>
        <v>0.47220229139707987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0.64542165941283769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-0.54471700440519322</v>
      </c>
      <c r="H605" t="s">
        <v>27</v>
      </c>
      <c r="I605">
        <f>VLOOKUP(Table4[[#This Row],[Visitor]],'NHL Model'!$A$6:$B$38,2,FALSE)</f>
        <v>-0.59983976271417982</v>
      </c>
      <c r="J605">
        <f>($B$1+Table4[[#This Row],[Home Differential]])-Table4[[#This Row],[Away Differential]]</f>
        <v>0.26268294310099571</v>
      </c>
      <c r="K605" t="str">
        <f>IF(Table4[[#This Row],[HomeIce Differential]]&gt;0,Table4[[#This Row],[Home]],Table4[[#This Row],[Visitor]])</f>
        <v>Seattle Kraken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0.60219150169814728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3.7016822058700272E-2</v>
      </c>
      <c r="H606" t="s">
        <v>18</v>
      </c>
      <c r="I606">
        <f>VLOOKUP(Table4[[#This Row],[Visitor]],'NHL Model'!$A$6:$B$38,2,FALSE)</f>
        <v>-0.69497686531268954</v>
      </c>
      <c r="J606">
        <f>($B$1+Table4[[#This Row],[Home Differential]])-Table4[[#This Row],[Away Differential]]</f>
        <v>0.93955387216339892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0.62221395599361229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0.49887659623169195</v>
      </c>
      <c r="H607" t="s">
        <v>33</v>
      </c>
      <c r="I607">
        <f>VLOOKUP(Table4[[#This Row],[Visitor]],'NHL Model'!$A$6:$B$38,2,FALSE)</f>
        <v>-0.41595305630289253</v>
      </c>
      <c r="J607">
        <f>($B$1+Table4[[#This Row],[Home Differential]])-Table4[[#This Row],[Away Differential]]</f>
        <v>1.1223898373265937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0.80990826881717271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0.55298967972810642</v>
      </c>
      <c r="H608" t="s">
        <v>15</v>
      </c>
      <c r="I608">
        <f>VLOOKUP(Table4[[#This Row],[Visitor]],'NHL Model'!$A$6:$B$38,2,FALSE)</f>
        <v>-0.41117752232850285</v>
      </c>
      <c r="J608">
        <f>($B$1+Table4[[#This Row],[Home Differential]])-Table4[[#This Row],[Away Differential]]</f>
        <v>1.1717273868486184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0.63185625324381944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-1.2993694664931768</v>
      </c>
      <c r="H609" t="s">
        <v>21</v>
      </c>
      <c r="I609">
        <f>VLOOKUP(Table4[[#This Row],[Visitor]],'NHL Model'!$A$6:$B$38,2,FALSE)</f>
        <v>-0.11354210657072454</v>
      </c>
      <c r="J609">
        <f>($B$1+Table4[[#This Row],[Home Differential]])-Table4[[#This Row],[Away Differential]]</f>
        <v>-0.97826717513044326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0.59464156435128412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1.4229473251234224</v>
      </c>
      <c r="H610" t="s">
        <v>13</v>
      </c>
      <c r="I610">
        <f>VLOOKUP(Table4[[#This Row],[Visitor]],'NHL Model'!$A$6:$B$38,2,FALSE)</f>
        <v>-0.16069632687214722</v>
      </c>
      <c r="J610">
        <f>($B$1+Table4[[#This Row],[Home Differential]])-Table4[[#This Row],[Away Differential]]</f>
        <v>1.7912038367875787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0.77559800920254696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-0.2184338233275798</v>
      </c>
      <c r="H611" t="s">
        <v>22</v>
      </c>
      <c r="I611">
        <f>VLOOKUP(Table4[[#This Row],[Visitor]],'NHL Model'!$A$6:$B$38,2,FALSE)</f>
        <v>-3.9931837337852071E-3</v>
      </c>
      <c r="J611">
        <f>($B$1+Table4[[#This Row],[Home Differential]])-Table4[[#This Row],[Away Differential]]</f>
        <v>-6.8804548017854829E-3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0.39749869979193603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-0.49956508239762204</v>
      </c>
      <c r="H612" t="s">
        <v>28</v>
      </c>
      <c r="I612">
        <f>VLOOKUP(Table4[[#This Row],[Visitor]],'NHL Model'!$A$6:$B$38,2,FALSE)</f>
        <v>-0.58990467102727129</v>
      </c>
      <c r="J612">
        <f>($B$1+Table4[[#This Row],[Home Differential]])-Table4[[#This Row],[Away Differential]]</f>
        <v>0.29789977342165835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0.58349623291769737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-0.54471700440519322</v>
      </c>
      <c r="H613" t="s">
        <v>38</v>
      </c>
      <c r="I613">
        <f>VLOOKUP(Table4[[#This Row],[Visitor]],'NHL Model'!$A$6:$B$38,2,FALSE)</f>
        <v>-0.87761566951859371</v>
      </c>
      <c r="J613">
        <f>($B$1+Table4[[#This Row],[Home Differential]])-Table4[[#This Row],[Away Differential]]</f>
        <v>0.5404588499054096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0.61983936267899864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-1.7049475448313323</v>
      </c>
      <c r="H614" t="s">
        <v>23</v>
      </c>
      <c r="I614">
        <f>VLOOKUP(Table4[[#This Row],[Visitor]],'NHL Model'!$A$6:$B$38,2,FALSE)</f>
        <v>-1.005023581214965</v>
      </c>
      <c r="J614">
        <f>($B$1+Table4[[#This Row],[Home Differential]])-Table4[[#This Row],[Away Differential]]</f>
        <v>-0.492363778824358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0.5277653621588414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-0.24431182281386174</v>
      </c>
      <c r="H615" t="s">
        <v>29</v>
      </c>
      <c r="I615">
        <f>VLOOKUP(Table4[[#This Row],[Visitor]],'NHL Model'!$A$6:$B$38,2,FALSE)</f>
        <v>-1.4393526815815083</v>
      </c>
      <c r="J615">
        <f>($B$1+Table4[[#This Row],[Home Differential]])-Table4[[#This Row],[Away Differential]]</f>
        <v>1.4026010435596556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0.80131629152961414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-5.3996763649808116E-4</v>
      </c>
      <c r="H616" t="s">
        <v>34</v>
      </c>
      <c r="I616">
        <f>VLOOKUP(Table4[[#This Row],[Visitor]],'NHL Model'!$A$6:$B$38,2,FALSE)</f>
        <v>-0.52340626120007572</v>
      </c>
      <c r="J616">
        <f>($B$1+Table4[[#This Row],[Home Differential]])-Table4[[#This Row],[Away Differential]]</f>
        <v>0.73042647835558672</v>
      </c>
      <c r="K616" t="str">
        <f>IF(Table4[[#This Row],[HomeIce Differential]]&gt;0,Table4[[#This Row],[Home]],Table4[[#This Row],[Visitor]])</f>
        <v>Vegas Golden Knights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0.64053057711589079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0.16605329280468042</v>
      </c>
      <c r="H617" t="s">
        <v>17</v>
      </c>
      <c r="I617">
        <f>VLOOKUP(Table4[[#This Row],[Visitor]],'NHL Model'!$A$6:$B$38,2,FALSE)</f>
        <v>-1.0049085234729234</v>
      </c>
      <c r="J617">
        <f>($B$1+Table4[[#This Row],[Home Differential]])-Table4[[#This Row],[Away Differential]]</f>
        <v>1.3785220010696129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0.78144569785853601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0.28318004708662448</v>
      </c>
      <c r="H618" t="s">
        <v>30</v>
      </c>
      <c r="I618">
        <f>VLOOKUP(Table4[[#This Row],[Visitor]],'NHL Model'!$A$6:$B$38,2,FALSE)</f>
        <v>-7.6737500378247253E-2</v>
      </c>
      <c r="J618">
        <f>($B$1+Table4[[#This Row],[Home Differential]])-Table4[[#This Row],[Away Differential]]</f>
        <v>0.56747773225688081</v>
      </c>
      <c r="K618" t="str">
        <f>IF(Table4[[#This Row],[HomeIce Differential]]&gt;0,Table4[[#This Row],[Home]],Table4[[#This Row],[Visitor]])</f>
        <v>Chicago Blackhawks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0.56590837732585431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-0.2184338233275798</v>
      </c>
      <c r="H619" t="s">
        <v>18</v>
      </c>
      <c r="I619">
        <f>VLOOKUP(Table4[[#This Row],[Visitor]],'NHL Model'!$A$6:$B$38,2,FALSE)</f>
        <v>-0.69497686531268954</v>
      </c>
      <c r="J619">
        <f>($B$1+Table4[[#This Row],[Home Differential]])-Table4[[#This Row],[Away Differential]]</f>
        <v>0.68410322677711888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0.65167710626735853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0.19812979206825923</v>
      </c>
      <c r="H620" t="s">
        <v>25</v>
      </c>
      <c r="I620">
        <f>VLOOKUP(Table4[[#This Row],[Visitor]],'NHL Model'!$A$6:$B$38,2,FALSE)</f>
        <v>0.55298967972810642</v>
      </c>
      <c r="J620">
        <f>($B$1+Table4[[#This Row],[Home Differential]])-Table4[[#This Row],[Away Differential]]</f>
        <v>-0.14729970286783811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0.52477776208361182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-0.76384910289376506</v>
      </c>
      <c r="H621" t="s">
        <v>24</v>
      </c>
      <c r="I621">
        <f>VLOOKUP(Table4[[#This Row],[Visitor]],'NHL Model'!$A$6:$B$38,2,FALSE)</f>
        <v>0.27405230796993052</v>
      </c>
      <c r="J621">
        <f>($B$1+Table4[[#This Row],[Home Differential]])-Table4[[#This Row],[Away Differential]]</f>
        <v>-0.83034122607168648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0.6026542078338113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-0.87761566951859371</v>
      </c>
      <c r="H622" t="s">
        <v>27</v>
      </c>
      <c r="I622">
        <f>VLOOKUP(Table4[[#This Row],[Visitor]],'NHL Model'!$A$6:$B$38,2,FALSE)</f>
        <v>-0.59983976271417982</v>
      </c>
      <c r="J622">
        <f>($B$1+Table4[[#This Row],[Home Differential]])-Table4[[#This Row],[Away Differential]]</f>
        <v>-7.021572201240478E-2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0.46966398024399059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0.49887659623169195</v>
      </c>
      <c r="H623" t="s">
        <v>37</v>
      </c>
      <c r="I623">
        <f>VLOOKUP(Table4[[#This Row],[Visitor]],'NHL Model'!$A$6:$B$38,2,FALSE)</f>
        <v>3.7016822058700272E-2</v>
      </c>
      <c r="J623">
        <f>($B$1+Table4[[#This Row],[Home Differential]])-Table4[[#This Row],[Away Differential]]</f>
        <v>0.66941995896500084</v>
      </c>
      <c r="K623" t="str">
        <f>IF(Table4[[#This Row],[HomeIce Differential]]&gt;0,Table4[[#This Row],[Home]],Table4[[#This Row],[Visitor]])</f>
        <v>Anaheim Ducks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0.70378456984077997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-0.58990467102727129</v>
      </c>
      <c r="H624" t="s">
        <v>24</v>
      </c>
      <c r="I624">
        <f>VLOOKUP(Table4[[#This Row],[Visitor]],'NHL Model'!$A$6:$B$38,2,FALSE)</f>
        <v>0.27405230796993052</v>
      </c>
      <c r="J624">
        <f>($B$1+Table4[[#This Row],[Home Differential]])-Table4[[#This Row],[Away Differential]]</f>
        <v>-0.6563967942051927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0.58575451495616826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-1.2993694664931768</v>
      </c>
      <c r="H625" t="s">
        <v>27</v>
      </c>
      <c r="I625">
        <f>VLOOKUP(Table4[[#This Row],[Visitor]],'NHL Model'!$A$6:$B$38,2,FALSE)</f>
        <v>-0.59983976271417982</v>
      </c>
      <c r="J625">
        <f>($B$1+Table4[[#This Row],[Home Differential]])-Table4[[#This Row],[Away Differential]]</f>
        <v>-0.49196951898698793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0.52771109910820058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1.4229473251234224</v>
      </c>
      <c r="H626" t="s">
        <v>35</v>
      </c>
      <c r="I626">
        <f>VLOOKUP(Table4[[#This Row],[Visitor]],'NHL Model'!$A$6:$B$38,2,FALSE)</f>
        <v>-1.7049475448313323</v>
      </c>
      <c r="J626">
        <f>($B$1+Table4[[#This Row],[Home Differential]])-Table4[[#This Row],[Away Differential]]</f>
        <v>3.3354550547467636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4.3588947679693783E-2</v>
      </c>
      <c r="H627" t="s">
        <v>23</v>
      </c>
      <c r="I627">
        <f>VLOOKUP(Table4[[#This Row],[Visitor]],'NHL Model'!$A$6:$B$38,2,FALSE)</f>
        <v>-1.005023581214965</v>
      </c>
      <c r="J627">
        <f>($B$1+Table4[[#This Row],[Home Differential]])-Table4[[#This Row],[Away Differential]]</f>
        <v>1.2561727136866678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0.71538593650054672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-0.4992069962886943</v>
      </c>
      <c r="H628" t="s">
        <v>40</v>
      </c>
      <c r="I628">
        <f>VLOOKUP(Table4[[#This Row],[Visitor]],'NHL Model'!$A$6:$B$38,2,FALSE)</f>
        <v>0.16605329280468042</v>
      </c>
      <c r="J628">
        <f>($B$1+Table4[[#This Row],[Home Differential]])-Table4[[#This Row],[Away Differential]]</f>
        <v>-0.45770010430136565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0.54828862427421265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-1.0049085234729234</v>
      </c>
      <c r="H629" t="s">
        <v>21</v>
      </c>
      <c r="I629">
        <f>VLOOKUP(Table4[[#This Row],[Visitor]],'NHL Model'!$A$6:$B$38,2,FALSE)</f>
        <v>-0.11354210657072454</v>
      </c>
      <c r="J629">
        <f>($B$1+Table4[[#This Row],[Home Differential]])-Table4[[#This Row],[Away Differential]]</f>
        <v>-0.68380623211018976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0.51807723983265408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-0.41595305630289253</v>
      </c>
      <c r="H630" t="s">
        <v>34</v>
      </c>
      <c r="I630">
        <f>VLOOKUP(Table4[[#This Row],[Visitor]],'NHL Model'!$A$6:$B$38,2,FALSE)</f>
        <v>-0.52340626120007572</v>
      </c>
      <c r="J630">
        <f>($B$1+Table4[[#This Row],[Home Differential]])-Table4[[#This Row],[Away Differential]]</f>
        <v>0.31501338968919229</v>
      </c>
      <c r="K630" t="str">
        <f>IF(Table4[[#This Row],[HomeIce Differential]]&gt;0,Table4[[#This Row],[Home]],Table4[[#This Row],[Visitor]])</f>
        <v>San Jose Sharks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0.58335614713199191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-5.3996763649808116E-4</v>
      </c>
      <c r="H631" t="s">
        <v>29</v>
      </c>
      <c r="I631">
        <f>VLOOKUP(Table4[[#This Row],[Visitor]],'NHL Model'!$A$6:$B$38,2,FALSE)</f>
        <v>-1.4393526815815083</v>
      </c>
      <c r="J631">
        <f>($B$1+Table4[[#This Row],[Home Differential]])-Table4[[#This Row],[Away Differential]]</f>
        <v>1.6463728987370194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0.76659476697861495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-3.9931837337852071E-3</v>
      </c>
      <c r="H632" t="s">
        <v>15</v>
      </c>
      <c r="I632">
        <f>VLOOKUP(Table4[[#This Row],[Visitor]],'NHL Model'!$A$6:$B$38,2,FALSE)</f>
        <v>-0.41117752232850285</v>
      </c>
      <c r="J632">
        <f>($B$1+Table4[[#This Row],[Home Differential]])-Table4[[#This Row],[Away Differential]]</f>
        <v>0.6147445233867268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0.50566158750567236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0.55298967972810642</v>
      </c>
      <c r="H633" t="s">
        <v>18</v>
      </c>
      <c r="I633">
        <f>VLOOKUP(Table4[[#This Row],[Visitor]],'NHL Model'!$A$6:$B$38,2,FALSE)</f>
        <v>-0.69497686531268954</v>
      </c>
      <c r="J633">
        <f>($B$1+Table4[[#This Row],[Home Differential]])-Table4[[#This Row],[Away Differential]]</f>
        <v>1.4555267298328052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0.74578263663645217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0.28318004708662448</v>
      </c>
      <c r="H634" t="s">
        <v>39</v>
      </c>
      <c r="I634">
        <f>VLOOKUP(Table4[[#This Row],[Visitor]],'NHL Model'!$A$6:$B$38,2,FALSE)</f>
        <v>4.3588947679693783E-2</v>
      </c>
      <c r="J634">
        <f>($B$1+Table4[[#This Row],[Home Differential]])-Table4[[#This Row],[Away Differential]]</f>
        <v>0.44715128419893979</v>
      </c>
      <c r="K634" t="str">
        <f>IF(Table4[[#This Row],[HomeIce Differential]]&gt;0,Table4[[#This Row],[Home]],Table4[[#This Row],[Visitor]])</f>
        <v>Chicago Blackhawks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0.51608809845375403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-0.16069632687214722</v>
      </c>
      <c r="H635" t="s">
        <v>37</v>
      </c>
      <c r="I635">
        <f>VLOOKUP(Table4[[#This Row],[Visitor]],'NHL Model'!$A$6:$B$38,2,FALSE)</f>
        <v>3.7016822058700272E-2</v>
      </c>
      <c r="J635">
        <f>($B$1+Table4[[#This Row],[Home Differential]])-Table4[[#This Row],[Away Differential]]</f>
        <v>9.8470358611616182E-3</v>
      </c>
      <c r="K635" t="str">
        <f>IF(Table4[[#This Row],[HomeIce Differential]]&gt;0,Table4[[#This Row],[Home]],Table4[[#This Row],[Visitor]])</f>
        <v>Los Angeles Kings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0.49425588276977622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-7.6737500378247253E-2</v>
      </c>
      <c r="H636" t="s">
        <v>55</v>
      </c>
      <c r="I636">
        <f>VLOOKUP(Table4[[#This Row],[Visitor]],'NHL Model'!$A$6:$B$38,2,FALSE)</f>
        <v>-0.24431182281386174</v>
      </c>
      <c r="J636">
        <f>($B$1+Table4[[#This Row],[Home Differential]])-Table4[[#This Row],[Away Differential]]</f>
        <v>0.37513450722762359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0.59163077958589427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-0.49956508239762204</v>
      </c>
      <c r="H637" t="s">
        <v>22</v>
      </c>
      <c r="I637">
        <f>VLOOKUP(Table4[[#This Row],[Visitor]],'NHL Model'!$A$6:$B$38,2,FALSE)</f>
        <v>-3.9931837337852071E-3</v>
      </c>
      <c r="J637">
        <f>($B$1+Table4[[#This Row],[Home Differential]])-Table4[[#This Row],[Away Differential]]</f>
        <v>-0.28801171387182772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0.49714435405698421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0.19812979206825923</v>
      </c>
      <c r="H638" t="s">
        <v>26</v>
      </c>
      <c r="I638">
        <f>VLOOKUP(Table4[[#This Row],[Visitor]],'NHL Model'!$A$6:$B$38,2,FALSE)</f>
        <v>-0.4992069962886943</v>
      </c>
      <c r="J638">
        <f>($B$1+Table4[[#This Row],[Home Differential]])-Table4[[#This Row],[Away Differential]]</f>
        <v>0.90489697314896267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0.65395518918015494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-0.54471700440519322</v>
      </c>
      <c r="H639" t="s">
        <v>29</v>
      </c>
      <c r="I639">
        <f>VLOOKUP(Table4[[#This Row],[Visitor]],'NHL Model'!$A$6:$B$38,2,FALSE)</f>
        <v>-1.4393526815815083</v>
      </c>
      <c r="J639">
        <f>($B$1+Table4[[#This Row],[Home Differential]])-Table4[[#This Row],[Away Differential]]</f>
        <v>1.1021958619683243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0.71773594146158692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-0.76384910289376506</v>
      </c>
      <c r="H640" t="s">
        <v>40</v>
      </c>
      <c r="I640">
        <f>VLOOKUP(Table4[[#This Row],[Visitor]],'NHL Model'!$A$6:$B$38,2,FALSE)</f>
        <v>0.16605329280468042</v>
      </c>
      <c r="J640">
        <f>($B$1+Table4[[#This Row],[Home Differential]])-Table4[[#This Row],[Away Differential]]</f>
        <v>-0.72234221090643635</v>
      </c>
      <c r="K640" t="str">
        <f>IF(Table4[[#This Row],[HomeIce Differential]]&gt;0,Table4[[#This Row],[Home]],Table4[[#This Row],[Visitor]])</f>
        <v>Winnipeg Jets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0.61161303941373624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0.49887659623169195</v>
      </c>
      <c r="H641" t="s">
        <v>34</v>
      </c>
      <c r="I641">
        <f>VLOOKUP(Table4[[#This Row],[Visitor]],'NHL Model'!$A$6:$B$38,2,FALSE)</f>
        <v>-0.52340626120007572</v>
      </c>
      <c r="J641">
        <f>($B$1+Table4[[#This Row],[Home Differential]])-Table4[[#This Row],[Away Differential]]</f>
        <v>1.2298430422237767</v>
      </c>
      <c r="K641" t="str">
        <f>IF(Table4[[#This Row],[HomeIce Differential]]&gt;0,Table4[[#This Row],[Home]],Table4[[#This Row],[Visitor]])</f>
        <v>Anaheim Ducks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0.82469734481779255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-0.2184338233275798</v>
      </c>
      <c r="H642" t="s">
        <v>15</v>
      </c>
      <c r="I642">
        <f>VLOOKUP(Table4[[#This Row],[Visitor]],'NHL Model'!$A$6:$B$38,2,FALSE)</f>
        <v>-0.41117752232850285</v>
      </c>
      <c r="J642">
        <f>($B$1+Table4[[#This Row],[Home Differential]])-Table4[[#This Row],[Away Differential]]</f>
        <v>0.40030388379293214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0.53785352983100321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-1.7049475448313323</v>
      </c>
      <c r="H643" t="s">
        <v>20</v>
      </c>
      <c r="I643">
        <f>VLOOKUP(Table4[[#This Row],[Visitor]],'NHL Model'!$A$6:$B$38,2,FALSE)</f>
        <v>-5.3996763649808116E-4</v>
      </c>
      <c r="J643">
        <f>($B$1+Table4[[#This Row],[Home Differential]])-Table4[[#This Row],[Away Differential]]</f>
        <v>-1.4968473924028249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0.68678439680133596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-0.87761566951859371</v>
      </c>
      <c r="H644" t="s">
        <v>32</v>
      </c>
      <c r="I644">
        <f>VLOOKUP(Table4[[#This Row],[Visitor]],'NHL Model'!$A$6:$B$38,2,FALSE)</f>
        <v>-0.54471700440519322</v>
      </c>
      <c r="J644">
        <f>($B$1+Table4[[#This Row],[Home Differential]])-Table4[[#This Row],[Away Differential]]</f>
        <v>-0.12533848032139139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0.47725067496170925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0.55298967972810642</v>
      </c>
      <c r="H645" t="s">
        <v>12</v>
      </c>
      <c r="I645">
        <f>VLOOKUP(Table4[[#This Row],[Visitor]],'NHL Model'!$A$6:$B$38,2,FALSE)</f>
        <v>1.4229473251234224</v>
      </c>
      <c r="J645">
        <f>($B$1+Table4[[#This Row],[Home Differential]])-Table4[[#This Row],[Away Differential]]</f>
        <v>-0.66239746060330684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0.5648517694358286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-0.58990467102727129</v>
      </c>
      <c r="H646" t="s">
        <v>23</v>
      </c>
      <c r="I646">
        <f>VLOOKUP(Table4[[#This Row],[Visitor]],'NHL Model'!$A$6:$B$38,2,FALSE)</f>
        <v>-1.005023581214965</v>
      </c>
      <c r="J646">
        <f>($B$1+Table4[[#This Row],[Home Differential]])-Table4[[#This Row],[Away Differential]]</f>
        <v>0.62267909497970286</v>
      </c>
      <c r="K646" t="str">
        <f>IF(Table4[[#This Row],[HomeIce Differential]]&gt;0,Table4[[#This Row],[Home]],Table4[[#This Row],[Visitor]])</f>
        <v>Columbus Blue Jackets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0.63274696439339828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-1.2993694664931768</v>
      </c>
      <c r="H647" t="s">
        <v>29</v>
      </c>
      <c r="I647">
        <f>VLOOKUP(Table4[[#This Row],[Visitor]],'NHL Model'!$A$6:$B$38,2,FALSE)</f>
        <v>-1.4393526815815083</v>
      </c>
      <c r="J647">
        <f>($B$1+Table4[[#This Row],[Home Differential]])-Table4[[#This Row],[Away Differential]]</f>
        <v>0.34754339988034055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0.58783334065523918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-0.4992069962886943</v>
      </c>
      <c r="H648" t="s">
        <v>14</v>
      </c>
      <c r="I648">
        <f>VLOOKUP(Table4[[#This Row],[Visitor]],'NHL Model'!$A$6:$B$38,2,FALSE)</f>
        <v>0.19812979206825923</v>
      </c>
      <c r="J648">
        <f>($B$1+Table4[[#This Row],[Home Differential]])-Table4[[#This Row],[Away Differential]]</f>
        <v>-0.48977660356494446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0.48697810476542569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-1.0049085234729234</v>
      </c>
      <c r="H649" t="s">
        <v>27</v>
      </c>
      <c r="I649">
        <f>VLOOKUP(Table4[[#This Row],[Visitor]],'NHL Model'!$A$6:$B$38,2,FALSE)</f>
        <v>-0.59983976271417982</v>
      </c>
      <c r="J649">
        <f>($B$1+Table4[[#This Row],[Home Differential]])-Table4[[#This Row],[Away Differential]]</f>
        <v>-0.19750857596673443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0.45114677458957053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-0.16069632687214722</v>
      </c>
      <c r="H650" t="s">
        <v>34</v>
      </c>
      <c r="I650">
        <f>VLOOKUP(Table4[[#This Row],[Visitor]],'NHL Model'!$A$6:$B$38,2,FALSE)</f>
        <v>-0.52340626120007572</v>
      </c>
      <c r="J650">
        <f>($B$1+Table4[[#This Row],[Home Differential]])-Table4[[#This Row],[Away Differential]]</f>
        <v>0.57027011911993764</v>
      </c>
      <c r="K650" t="str">
        <f>IF(Table4[[#This Row],[HomeIce Differential]]&gt;0,Table4[[#This Row],[Home]],Table4[[#This Row],[Visitor]])</f>
        <v>Los Angeles Kings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0.61848782305392536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0.27405230796993052</v>
      </c>
      <c r="H651" t="s">
        <v>55</v>
      </c>
      <c r="I651">
        <f>VLOOKUP(Table4[[#This Row],[Visitor]],'NHL Model'!$A$6:$B$38,2,FALSE)</f>
        <v>-0.24431182281386174</v>
      </c>
      <c r="J651">
        <f>($B$1+Table4[[#This Row],[Home Differential]])-Table4[[#This Row],[Away Differential]]</f>
        <v>0.72592431557580139</v>
      </c>
      <c r="K651" t="str">
        <f>IF(Table4[[#This Row],[HomeIce Differential]]&gt;0,Table4[[#This Row],[Home]],Table4[[#This Row],[Visitor]])</f>
        <v>New Jersey Devils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0.75534164385323388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-7.6737500378247253E-2</v>
      </c>
      <c r="H652" t="s">
        <v>19</v>
      </c>
      <c r="I652">
        <f>VLOOKUP(Table4[[#This Row],[Visitor]],'NHL Model'!$A$6:$B$38,2,FALSE)</f>
        <v>-0.76384910289376506</v>
      </c>
      <c r="J652">
        <f>($B$1+Table4[[#This Row],[Home Differential]])-Table4[[#This Row],[Away Differential]]</f>
        <v>0.89467178730752694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0.66313610441644699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-0.49956508239762204</v>
      </c>
      <c r="H653" t="s">
        <v>40</v>
      </c>
      <c r="I653">
        <f>VLOOKUP(Table4[[#This Row],[Visitor]],'NHL Model'!$A$6:$B$38,2,FALSE)</f>
        <v>0.16605329280468042</v>
      </c>
      <c r="J653">
        <f>($B$1+Table4[[#This Row],[Home Differential]])-Table4[[#This Row],[Away Differential]]</f>
        <v>-0.45805819041029339</v>
      </c>
      <c r="K653" t="str">
        <f>IF(Table4[[#This Row],[HomeIce Differential]]&gt;0,Table4[[#This Row],[Home]],Table4[[#This Row],[Visitor]])</f>
        <v>Winnipeg Jets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0.58685331479897063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-0.41595305630289253</v>
      </c>
      <c r="H654" t="s">
        <v>37</v>
      </c>
      <c r="I654">
        <f>VLOOKUP(Table4[[#This Row],[Visitor]],'NHL Model'!$A$6:$B$38,2,FALSE)</f>
        <v>3.7016822058700272E-2</v>
      </c>
      <c r="J654">
        <f>($B$1+Table4[[#This Row],[Home Differential]])-Table4[[#This Row],[Away Differential]]</f>
        <v>-0.2454096935695837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0.54087579315215717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-1.7049475448313323</v>
      </c>
      <c r="H655" t="s">
        <v>18</v>
      </c>
      <c r="I655">
        <f>VLOOKUP(Table4[[#This Row],[Visitor]],'NHL Model'!$A$6:$B$38,2,FALSE)</f>
        <v>-0.69497686531268954</v>
      </c>
      <c r="J655">
        <f>($B$1+Table4[[#This Row],[Home Differential]])-Table4[[#This Row],[Away Differential]]</f>
        <v>-0.80241049472663351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0.61753732398876504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-0.87761566951859371</v>
      </c>
      <c r="H656" t="s">
        <v>21</v>
      </c>
      <c r="I656">
        <f>VLOOKUP(Table4[[#This Row],[Visitor]],'NHL Model'!$A$6:$B$38,2,FALSE)</f>
        <v>-0.11354210657072454</v>
      </c>
      <c r="J656">
        <f>($B$1+Table4[[#This Row],[Home Differential]])-Table4[[#This Row],[Away Differential]]</f>
        <v>-0.55651337815586011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0.53659444548707413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-3.9931837337852071E-3</v>
      </c>
      <c r="H657" t="s">
        <v>10</v>
      </c>
      <c r="I657">
        <f>VLOOKUP(Table4[[#This Row],[Visitor]],'NHL Model'!$A$6:$B$38,2,FALSE)</f>
        <v>0.28318004708662448</v>
      </c>
      <c r="J657">
        <f>($B$1+Table4[[#This Row],[Home Differential]])-Table4[[#This Row],[Away Differential]]</f>
        <v>-7.961304602840058E-2</v>
      </c>
      <c r="K657" t="str">
        <f>IF(Table4[[#This Row],[HomeIce Differential]]&gt;0,Table4[[#This Row],[Home]],Table4[[#This Row],[Visitor]])</f>
        <v>Chicago Blackhawks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0.48921822899885609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-0.58990467102727129</v>
      </c>
      <c r="H658" t="s">
        <v>14</v>
      </c>
      <c r="I658">
        <f>VLOOKUP(Table4[[#This Row],[Visitor]],'NHL Model'!$A$6:$B$38,2,FALSE)</f>
        <v>0.19812979206825923</v>
      </c>
      <c r="J658">
        <f>($B$1+Table4[[#This Row],[Home Differential]])-Table4[[#This Row],[Away Differential]]</f>
        <v>-0.58047427830352138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0.53284629729585076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0.28318004708662448</v>
      </c>
      <c r="H659" t="s">
        <v>20</v>
      </c>
      <c r="I659">
        <f>VLOOKUP(Table4[[#This Row],[Visitor]],'NHL Model'!$A$6:$B$38,2,FALSE)</f>
        <v>-5.3996763649808116E-4</v>
      </c>
      <c r="J659">
        <f>($B$1+Table4[[#This Row],[Home Differential]])-Table4[[#This Row],[Away Differential]]</f>
        <v>0.49128019951513169</v>
      </c>
      <c r="K659" t="str">
        <f>IF(Table4[[#This Row],[HomeIce Differential]]&gt;0,Table4[[#This Row],[Home]],Table4[[#This Row],[Visitor]])</f>
        <v>Chicago Blackhawks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0.59393201567355458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4.3588947679693783E-2</v>
      </c>
      <c r="H660" t="s">
        <v>18</v>
      </c>
      <c r="I660">
        <f>VLOOKUP(Table4[[#This Row],[Visitor]],'NHL Model'!$A$6:$B$38,2,FALSE)</f>
        <v>-0.69497686531268954</v>
      </c>
      <c r="J660">
        <f>($B$1+Table4[[#This Row],[Home Differential]])-Table4[[#This Row],[Away Differential]]</f>
        <v>0.94612599778439244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0.62563073098371058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-0.2184338233275798</v>
      </c>
      <c r="H661" t="s">
        <v>12</v>
      </c>
      <c r="I661">
        <f>VLOOKUP(Table4[[#This Row],[Visitor]],'NHL Model'!$A$6:$B$38,2,FALSE)</f>
        <v>1.4229473251234224</v>
      </c>
      <c r="J661">
        <f>($B$1+Table4[[#This Row],[Home Differential]])-Table4[[#This Row],[Away Differential]]</f>
        <v>-1.4338209636589931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0.65887912925632797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0.27405230796993052</v>
      </c>
      <c r="H662" t="s">
        <v>25</v>
      </c>
      <c r="I662">
        <f>VLOOKUP(Table4[[#This Row],[Visitor]],'NHL Model'!$A$6:$B$38,2,FALSE)</f>
        <v>0.55298967972810642</v>
      </c>
      <c r="J662">
        <f>($B$1+Table4[[#This Row],[Home Differential]])-Table4[[#This Row],[Away Differential]]</f>
        <v>-7.1377186966166795E-2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0.43087646739439051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-1.2993694664931768</v>
      </c>
      <c r="H663" t="s">
        <v>32</v>
      </c>
      <c r="I663">
        <f>VLOOKUP(Table4[[#This Row],[Visitor]],'NHL Model'!$A$6:$B$38,2,FALSE)</f>
        <v>-0.54471700440519322</v>
      </c>
      <c r="J663">
        <f>($B$1+Table4[[#This Row],[Home Differential]])-Table4[[#This Row],[Away Differential]]</f>
        <v>-0.54709227729597454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0.53529779382591924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-0.16069632687214722</v>
      </c>
      <c r="H664" t="s">
        <v>34</v>
      </c>
      <c r="I664">
        <f>VLOOKUP(Table4[[#This Row],[Visitor]],'NHL Model'!$A$6:$B$38,2,FALSE)</f>
        <v>-0.52340626120007572</v>
      </c>
      <c r="J664">
        <f>($B$1+Table4[[#This Row],[Home Differential]])-Table4[[#This Row],[Away Differential]]</f>
        <v>0.57027011911993764</v>
      </c>
      <c r="K664" t="str">
        <f>IF(Table4[[#This Row],[HomeIce Differential]]&gt;0,Table4[[#This Row],[Home]],Table4[[#This Row],[Visitor]])</f>
        <v>Los Angeles Kings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0.61848782305392536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-0.41117752232850285</v>
      </c>
      <c r="H665" t="s">
        <v>55</v>
      </c>
      <c r="I665">
        <f>VLOOKUP(Table4[[#This Row],[Visitor]],'NHL Model'!$A$6:$B$38,2,FALSE)</f>
        <v>-0.24431182281386174</v>
      </c>
      <c r="J665">
        <f>($B$1+Table4[[#This Row],[Home Differential]])-Table4[[#This Row],[Away Differential]]</f>
        <v>4.0694485277367992E-2</v>
      </c>
      <c r="K665" t="str">
        <f>IF(Table4[[#This Row],[HomeIce Differential]]&gt;0,Table4[[#This Row],[Home]],Table4[[#This Row],[Visitor]])</f>
        <v>New York Rangers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0.54560089237123244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-0.49956508239762204</v>
      </c>
      <c r="H666" t="s">
        <v>26</v>
      </c>
      <c r="I666">
        <f>VLOOKUP(Table4[[#This Row],[Visitor]],'NHL Model'!$A$6:$B$38,2,FALSE)</f>
        <v>-0.4992069962886943</v>
      </c>
      <c r="J666">
        <f>($B$1+Table4[[#This Row],[Home Differential]])-Table4[[#This Row],[Away Differential]]</f>
        <v>0.20720209868308137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0.52393063080577618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-3.9931837337852071E-3</v>
      </c>
      <c r="H667" t="s">
        <v>31</v>
      </c>
      <c r="I667">
        <f>VLOOKUP(Table4[[#This Row],[Visitor]],'NHL Model'!$A$6:$B$38,2,FALSE)</f>
        <v>0.49887659623169195</v>
      </c>
      <c r="J667">
        <f>($B$1+Table4[[#This Row],[Home Differential]])-Table4[[#This Row],[Away Differential]]</f>
        <v>-0.29530959517346805</v>
      </c>
      <c r="K667" t="str">
        <f>IF(Table4[[#This Row],[HomeIce Differential]]&gt;0,Table4[[#This Row],[Home]],Table4[[#This Row],[Visitor]])</f>
        <v>Anaheim Ducks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0.51890513002177252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-1.005023581214965</v>
      </c>
      <c r="H668" t="s">
        <v>38</v>
      </c>
      <c r="I668">
        <f>VLOOKUP(Table4[[#This Row],[Visitor]],'NHL Model'!$A$6:$B$38,2,FALSE)</f>
        <v>-0.87761566951859371</v>
      </c>
      <c r="J668">
        <f>($B$1+Table4[[#This Row],[Home Differential]])-Table4[[#This Row],[Away Differential]]</f>
        <v>8.0152273095637772E-2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0.53026234394804328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0.55298967972810642</v>
      </c>
      <c r="H669" t="s">
        <v>39</v>
      </c>
      <c r="I669">
        <f>VLOOKUP(Table4[[#This Row],[Visitor]],'NHL Model'!$A$6:$B$38,2,FALSE)</f>
        <v>4.3588947679693783E-2</v>
      </c>
      <c r="J669">
        <f>($B$1+Table4[[#This Row],[Home Differential]])-Table4[[#This Row],[Away Differential]]</f>
        <v>0.71696091684042174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0.59867727536626536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-1.0049085234729234</v>
      </c>
      <c r="H670" t="s">
        <v>29</v>
      </c>
      <c r="I670">
        <f>VLOOKUP(Table4[[#This Row],[Visitor]],'NHL Model'!$A$6:$B$38,2,FALSE)</f>
        <v>-1.4393526815815083</v>
      </c>
      <c r="J670">
        <f>($B$1+Table4[[#This Row],[Home Differential]])-Table4[[#This Row],[Away Differential]]</f>
        <v>0.64200434290059405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0.66439766517386922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-7.6737500378247253E-2</v>
      </c>
      <c r="H671" t="s">
        <v>24</v>
      </c>
      <c r="I671">
        <f>VLOOKUP(Table4[[#This Row],[Visitor]],'NHL Model'!$A$6:$B$38,2,FALSE)</f>
        <v>0.27405230796993052</v>
      </c>
      <c r="J671">
        <f>($B$1+Table4[[#This Row],[Home Differential]])-Table4[[#This Row],[Away Differential]]</f>
        <v>-0.14322962355616867</v>
      </c>
      <c r="K671" t="str">
        <f>IF(Table4[[#This Row],[HomeIce Differential]]&gt;0,Table4[[#This Row],[Home]],Table4[[#This Row],[Visitor]])</f>
        <v>New Jersey Devils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0.52222564433955099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-0.59983976271417982</v>
      </c>
      <c r="H672" t="s">
        <v>31</v>
      </c>
      <c r="I672">
        <f>VLOOKUP(Table4[[#This Row],[Visitor]],'NHL Model'!$A$6:$B$38,2,FALSE)</f>
        <v>0.49887659623169195</v>
      </c>
      <c r="J672">
        <f>($B$1+Table4[[#This Row],[Home Differential]])-Table4[[#This Row],[Away Differential]]</f>
        <v>-0.89115617415386272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0.60091311060906349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-0.54471700440519322</v>
      </c>
      <c r="H673" t="s">
        <v>21</v>
      </c>
      <c r="I673">
        <f>VLOOKUP(Table4[[#This Row],[Visitor]],'NHL Model'!$A$6:$B$38,2,FALSE)</f>
        <v>-0.11354210657072454</v>
      </c>
      <c r="J673">
        <f>($B$1+Table4[[#This Row],[Home Differential]])-Table4[[#This Row],[Away Differential]]</f>
        <v>-0.22361471304245956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0.46473896354493632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-0.41595305630289253</v>
      </c>
      <c r="H674" t="s">
        <v>28</v>
      </c>
      <c r="I674">
        <f>VLOOKUP(Table4[[#This Row],[Visitor]],'NHL Model'!$A$6:$B$38,2,FALSE)</f>
        <v>-0.58990467102727129</v>
      </c>
      <c r="J674">
        <f>($B$1+Table4[[#This Row],[Home Differential]])-Table4[[#This Row],[Away Differential]]</f>
        <v>0.38151179951638786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0.59250850361866692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3.7016822058700272E-2</v>
      </c>
      <c r="H675" t="s">
        <v>12</v>
      </c>
      <c r="I675">
        <f>VLOOKUP(Table4[[#This Row],[Visitor]],'NHL Model'!$A$6:$B$38,2,FALSE)</f>
        <v>1.4229473251234224</v>
      </c>
      <c r="J675">
        <f>($B$1+Table4[[#This Row],[Home Differential]])-Table4[[#This Row],[Away Differential]]</f>
        <v>-1.178370318272713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0.68849809209076129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-0.76384910289376506</v>
      </c>
      <c r="H676" t="s">
        <v>11</v>
      </c>
      <c r="I676">
        <f>VLOOKUP(Table4[[#This Row],[Visitor]],'NHL Model'!$A$6:$B$38,2,FALSE)</f>
        <v>-0.2184338233275798</v>
      </c>
      <c r="J676">
        <f>($B$1+Table4[[#This Row],[Home Differential]])-Table4[[#This Row],[Away Differential]]</f>
        <v>-0.33785509477417619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0.49248329245040218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0.16605329280468042</v>
      </c>
      <c r="H677" t="s">
        <v>20</v>
      </c>
      <c r="I677">
        <f>VLOOKUP(Table4[[#This Row],[Visitor]],'NHL Model'!$A$6:$B$38,2,FALSE)</f>
        <v>-5.3996763649808116E-4</v>
      </c>
      <c r="J677">
        <f>($B$1+Table4[[#This Row],[Home Differential]])-Table4[[#This Row],[Away Differential]]</f>
        <v>0.37415344523318761</v>
      </c>
      <c r="K677" t="str">
        <f>IF(Table4[[#This Row],[HomeIce Differential]]&gt;0,Table4[[#This Row],[Home]],Table4[[#This Row],[Visitor]])</f>
        <v>Winnipeg Jets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0.62292432479155402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0.28318004708662448</v>
      </c>
      <c r="H678" t="s">
        <v>35</v>
      </c>
      <c r="I678">
        <f>VLOOKUP(Table4[[#This Row],[Visitor]],'NHL Model'!$A$6:$B$38,2,FALSE)</f>
        <v>-1.7049475448313323</v>
      </c>
      <c r="J678">
        <f>($B$1+Table4[[#This Row],[Home Differential]])-Table4[[#This Row],[Away Differential]]</f>
        <v>2.1956877767099661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0.84924441522330407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-0.16069632687214722</v>
      </c>
      <c r="H679" t="s">
        <v>33</v>
      </c>
      <c r="I679">
        <f>VLOOKUP(Table4[[#This Row],[Visitor]],'NHL Model'!$A$6:$B$38,2,FALSE)</f>
        <v>-0.41595305630289253</v>
      </c>
      <c r="J679">
        <f>($B$1+Table4[[#This Row],[Home Differential]])-Table4[[#This Row],[Away Differential]]</f>
        <v>0.46281691422275439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0.60369874705330551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-0.69497686531268954</v>
      </c>
      <c r="H680" t="s">
        <v>16</v>
      </c>
      <c r="I680">
        <f>VLOOKUP(Table4[[#This Row],[Visitor]],'NHL Model'!$A$6:$B$38,2,FALSE)</f>
        <v>-1.2993694664931768</v>
      </c>
      <c r="J680">
        <f>($B$1+Table4[[#This Row],[Home Differential]])-Table4[[#This Row],[Away Differential]]</f>
        <v>0.81195278597249632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0.65175126393067739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-0.24431182281386174</v>
      </c>
      <c r="H681" t="s">
        <v>36</v>
      </c>
      <c r="I681">
        <f>VLOOKUP(Table4[[#This Row],[Visitor]],'NHL Model'!$A$6:$B$38,2,FALSE)</f>
        <v>-0.49956508239762204</v>
      </c>
      <c r="J681">
        <f>($B$1+Table4[[#This Row],[Home Differential]])-Table4[[#This Row],[Away Differential]]</f>
        <v>0.46281344437576943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0.67197077557157969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-3.9931837337852071E-3</v>
      </c>
      <c r="H682" t="s">
        <v>39</v>
      </c>
      <c r="I682">
        <f>VLOOKUP(Table4[[#This Row],[Visitor]],'NHL Model'!$A$6:$B$38,2,FALSE)</f>
        <v>4.3588947679693783E-2</v>
      </c>
      <c r="J682">
        <f>($B$1+Table4[[#This Row],[Home Differential]])-Table4[[#This Row],[Away Differential]]</f>
        <v>0.15997805337853011</v>
      </c>
      <c r="K682" t="str">
        <f>IF(Table4[[#This Row],[HomeIce Differential]]&gt;0,Table4[[#This Row],[Home]],Table4[[#This Row],[Visitor]])</f>
        <v>Washington Capitals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0.47201821334328875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-0.11354210657072454</v>
      </c>
      <c r="H683" t="s">
        <v>16</v>
      </c>
      <c r="I683">
        <f>VLOOKUP(Table4[[#This Row],[Visitor]],'NHL Model'!$A$6:$B$38,2,FALSE)</f>
        <v>-1.2993694664931768</v>
      </c>
      <c r="J683">
        <f>($B$1+Table4[[#This Row],[Home Differential]])-Table4[[#This Row],[Away Differential]]</f>
        <v>1.3933875447144612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0.78349168294538896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0.55298967972810642</v>
      </c>
      <c r="H684" t="s">
        <v>31</v>
      </c>
      <c r="I684">
        <f>VLOOKUP(Table4[[#This Row],[Visitor]],'NHL Model'!$A$6:$B$38,2,FALSE)</f>
        <v>0.49887659623169195</v>
      </c>
      <c r="J684">
        <f>($B$1+Table4[[#This Row],[Home Differential]])-Table4[[#This Row],[Away Differential]]</f>
        <v>0.26167326828842358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0.60744337299499307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1.4229473251234224</v>
      </c>
      <c r="H685" t="s">
        <v>36</v>
      </c>
      <c r="I685">
        <f>VLOOKUP(Table4[[#This Row],[Visitor]],'NHL Model'!$A$6:$B$38,2,FALSE)</f>
        <v>-0.49956508239762204</v>
      </c>
      <c r="J685">
        <f>($B$1+Table4[[#This Row],[Home Differential]])-Table4[[#This Row],[Away Differential]]</f>
        <v>2.1300725923130535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0.92153391534376439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-0.4992069962886943</v>
      </c>
      <c r="H686" t="s">
        <v>38</v>
      </c>
      <c r="I686">
        <f>VLOOKUP(Table4[[#This Row],[Visitor]],'NHL Model'!$A$6:$B$38,2,FALSE)</f>
        <v>-0.87761566951859371</v>
      </c>
      <c r="J686">
        <f>($B$1+Table4[[#This Row],[Home Differential]])-Table4[[#This Row],[Away Differential]]</f>
        <v>0.58596885802190846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0.64064848306362243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-0.69497686531268954</v>
      </c>
      <c r="H687" t="s">
        <v>11</v>
      </c>
      <c r="I687">
        <f>VLOOKUP(Table4[[#This Row],[Visitor]],'NHL Model'!$A$6:$B$38,2,FALSE)</f>
        <v>-0.2184338233275798</v>
      </c>
      <c r="J687">
        <f>($B$1+Table4[[#This Row],[Home Differential]])-Table4[[#This Row],[Away Differential]]</f>
        <v>-0.26898285719310067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0.49702084011080921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-1.4393526815815083</v>
      </c>
      <c r="H688" t="s">
        <v>30</v>
      </c>
      <c r="I688">
        <f>VLOOKUP(Table4[[#This Row],[Visitor]],'NHL Model'!$A$6:$B$38,2,FALSE)</f>
        <v>-7.6737500378247253E-2</v>
      </c>
      <c r="J688">
        <f>($B$1+Table4[[#This Row],[Home Differential]])-Table4[[#This Row],[Away Differential]]</f>
        <v>-1.155054996411252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0.67826118546656056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-0.41117752232850285</v>
      </c>
      <c r="H689" t="s">
        <v>23</v>
      </c>
      <c r="I689">
        <f>VLOOKUP(Table4[[#This Row],[Visitor]],'NHL Model'!$A$6:$B$38,2,FALSE)</f>
        <v>-1.005023581214965</v>
      </c>
      <c r="J689">
        <f>($B$1+Table4[[#This Row],[Home Differential]])-Table4[[#This Row],[Away Differential]]</f>
        <v>0.80140624367847124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0.65029971471277059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-0.59983976271417982</v>
      </c>
      <c r="H690" t="s">
        <v>19</v>
      </c>
      <c r="I690">
        <f>VLOOKUP(Table4[[#This Row],[Visitor]],'NHL Model'!$A$6:$B$38,2,FALSE)</f>
        <v>-0.76384910289376506</v>
      </c>
      <c r="J690">
        <f>($B$1+Table4[[#This Row],[Home Differential]])-Table4[[#This Row],[Away Differential]]</f>
        <v>0.37156952497159434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0.59363560061418696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0.19812979206825923</v>
      </c>
      <c r="H691" t="s">
        <v>24</v>
      </c>
      <c r="I691">
        <f>VLOOKUP(Table4[[#This Row],[Visitor]],'NHL Model'!$A$6:$B$38,2,FALSE)</f>
        <v>0.27405230796993052</v>
      </c>
      <c r="J691">
        <f>($B$1+Table4[[#This Row],[Home Differential]])-Table4[[#This Row],[Away Differential]]</f>
        <v>0.13163766889033779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0.55209823189197971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-0.54471700440519322</v>
      </c>
      <c r="H692" t="s">
        <v>34</v>
      </c>
      <c r="I692">
        <f>VLOOKUP(Table4[[#This Row],[Visitor]],'NHL Model'!$A$6:$B$38,2,FALSE)</f>
        <v>-0.52340626120007572</v>
      </c>
      <c r="J692">
        <f>($B$1+Table4[[#This Row],[Home Differential]])-Table4[[#This Row],[Away Differential]]</f>
        <v>0.18624944158689161</v>
      </c>
      <c r="K692" t="str">
        <f>IF(Table4[[#This Row],[HomeIce Differential]]&gt;0,Table4[[#This Row],[Home]],Table4[[#This Row],[Visitor]])</f>
        <v>Seattle Kraken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0.59167175159886276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-5.3996763649808116E-4</v>
      </c>
      <c r="H693" t="s">
        <v>28</v>
      </c>
      <c r="I693">
        <f>VLOOKUP(Table4[[#This Row],[Visitor]],'NHL Model'!$A$6:$B$38,2,FALSE)</f>
        <v>-0.58990467102727129</v>
      </c>
      <c r="J693">
        <f>($B$1+Table4[[#This Row],[Home Differential]])-Table4[[#This Row],[Away Differential]]</f>
        <v>0.79692488818278229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0.64968293360256579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0.16605329280468042</v>
      </c>
      <c r="H694" t="s">
        <v>17</v>
      </c>
      <c r="I694">
        <f>VLOOKUP(Table4[[#This Row],[Visitor]],'NHL Model'!$A$6:$B$38,2,FALSE)</f>
        <v>-1.0049085234729234</v>
      </c>
      <c r="J694">
        <f>($B$1+Table4[[#This Row],[Home Differential]])-Table4[[#This Row],[Away Differential]]</f>
        <v>1.3785220010696129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0.78144569785853601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0.28318004708662448</v>
      </c>
      <c r="H695" t="s">
        <v>22</v>
      </c>
      <c r="I695">
        <f>VLOOKUP(Table4[[#This Row],[Visitor]],'NHL Model'!$A$6:$B$38,2,FALSE)</f>
        <v>-3.9931837337852071E-3</v>
      </c>
      <c r="J695">
        <f>($B$1+Table4[[#This Row],[Home Differential]])-Table4[[#This Row],[Away Differential]]</f>
        <v>0.49473341561241879</v>
      </c>
      <c r="K695" t="str">
        <f>IF(Table4[[#This Row],[HomeIce Differential]]&gt;0,Table4[[#This Row],[Home]],Table4[[#This Row],[Visitor]])</f>
        <v>Chicago Blackhawks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0.61513745355633898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-0.24431182281386174</v>
      </c>
      <c r="H696" t="s">
        <v>35</v>
      </c>
      <c r="I696">
        <f>VLOOKUP(Table4[[#This Row],[Visitor]],'NHL Model'!$A$6:$B$38,2,FALSE)</f>
        <v>-1.7049475448313323</v>
      </c>
      <c r="J696">
        <f>($B$1+Table4[[#This Row],[Home Differential]])-Table4[[#This Row],[Away Differential]]</f>
        <v>1.6681959068094796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0.83787083284584862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0.16605329280468042</v>
      </c>
      <c r="H697" t="s">
        <v>13</v>
      </c>
      <c r="I697">
        <f>VLOOKUP(Table4[[#This Row],[Visitor]],'NHL Model'!$A$6:$B$38,2,FALSE)</f>
        <v>-0.16069632687214722</v>
      </c>
      <c r="J697">
        <f>($B$1+Table4[[#This Row],[Home Differential]])-Table4[[#This Row],[Away Differential]]</f>
        <v>0.53430980446883669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0.56410454516079689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-0.11354210657072454</v>
      </c>
      <c r="H698" t="s">
        <v>15</v>
      </c>
      <c r="I698">
        <f>VLOOKUP(Table4[[#This Row],[Visitor]],'NHL Model'!$A$6:$B$38,2,FALSE)</f>
        <v>-0.41117752232850285</v>
      </c>
      <c r="J698">
        <f>($B$1+Table4[[#This Row],[Home Differential]])-Table4[[#This Row],[Away Differential]]</f>
        <v>0.5051956005497874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0.54011967587663534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-1.005023581214965</v>
      </c>
      <c r="H699" t="s">
        <v>31</v>
      </c>
      <c r="I699">
        <f>VLOOKUP(Table4[[#This Row],[Visitor]],'NHL Model'!$A$6:$B$38,2,FALSE)</f>
        <v>0.49887659623169195</v>
      </c>
      <c r="J699">
        <f>($B$1+Table4[[#This Row],[Home Differential]])-Table4[[#This Row],[Away Differential]]</f>
        <v>-1.2963399926546479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0.65918801960253748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0.55298967972810642</v>
      </c>
      <c r="H700" t="s">
        <v>32</v>
      </c>
      <c r="I700">
        <f>VLOOKUP(Table4[[#This Row],[Visitor]],'NHL Model'!$A$6:$B$38,2,FALSE)</f>
        <v>-0.54471700440519322</v>
      </c>
      <c r="J700">
        <f>($B$1+Table4[[#This Row],[Home Differential]])-Table4[[#This Row],[Away Differential]]</f>
        <v>1.3052668689253086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0.77136339535528176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1.4229473251234224</v>
      </c>
      <c r="H701" t="s">
        <v>28</v>
      </c>
      <c r="I701">
        <f>VLOOKUP(Table4[[#This Row],[Visitor]],'NHL Model'!$A$6:$B$38,2,FALSE)</f>
        <v>-0.58990467102727129</v>
      </c>
      <c r="J701">
        <f>($B$1+Table4[[#This Row],[Home Differential]])-Table4[[#This Row],[Away Differential]]</f>
        <v>2.2204121809427027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0.93396759792574979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-1.0049085234729234</v>
      </c>
      <c r="H702" t="s">
        <v>13</v>
      </c>
      <c r="I702">
        <f>VLOOKUP(Table4[[#This Row],[Visitor]],'NHL Model'!$A$6:$B$38,2,FALSE)</f>
        <v>-0.16069632687214722</v>
      </c>
      <c r="J702">
        <f>($B$1+Table4[[#This Row],[Home Differential]])-Table4[[#This Row],[Away Differential]]</f>
        <v>-0.63665201180876707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0.61317158822632967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-0.52340626120007572</v>
      </c>
      <c r="H703" t="s">
        <v>30</v>
      </c>
      <c r="I703">
        <f>VLOOKUP(Table4[[#This Row],[Visitor]],'NHL Model'!$A$6:$B$38,2,FALSE)</f>
        <v>-7.6737500378247253E-2</v>
      </c>
      <c r="J703">
        <f>($B$1+Table4[[#This Row],[Home Differential]])-Table4[[#This Row],[Away Differential]]</f>
        <v>-0.23910857602981936</v>
      </c>
      <c r="K703" t="str">
        <f>IF(Table4[[#This Row],[HomeIce Differential]]&gt;0,Table4[[#This Row],[Home]],Table4[[#This Row],[Visitor]])</f>
        <v>New York Islanders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0.55219699560383639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-0.69497686531268954</v>
      </c>
      <c r="H704" t="s">
        <v>26</v>
      </c>
      <c r="I704">
        <f>VLOOKUP(Table4[[#This Row],[Visitor]],'NHL Model'!$A$6:$B$38,2,FALSE)</f>
        <v>-0.4992069962886943</v>
      </c>
      <c r="J704">
        <f>($B$1+Table4[[#This Row],[Home Differential]])-Table4[[#This Row],[Away Differential]]</f>
        <v>1.179031576801387E-2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0.49452334165348671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-1.4393526815815083</v>
      </c>
      <c r="H705" t="s">
        <v>10</v>
      </c>
      <c r="I705">
        <f>VLOOKUP(Table4[[#This Row],[Visitor]],'NHL Model'!$A$6:$B$38,2,FALSE)</f>
        <v>0.28318004708662448</v>
      </c>
      <c r="J705">
        <f>($B$1+Table4[[#This Row],[Home Differential]])-Table4[[#This Row],[Away Differential]]</f>
        <v>-1.5149725438761239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0.68927901055360008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-0.49956508239762204</v>
      </c>
      <c r="H706" t="s">
        <v>11</v>
      </c>
      <c r="I706">
        <f>VLOOKUP(Table4[[#This Row],[Visitor]],'NHL Model'!$A$6:$B$38,2,FALSE)</f>
        <v>-0.2184338233275798</v>
      </c>
      <c r="J706">
        <f>($B$1+Table4[[#This Row],[Home Differential]])-Table4[[#This Row],[Away Differential]]</f>
        <v>-7.3571074278033138E-2</v>
      </c>
      <c r="K706" t="str">
        <f>IF(Table4[[#This Row],[HomeIce Differential]]&gt;0,Table4[[#This Row],[Home]],Table4[[#This Row],[Visitor]])</f>
        <v>Florida Panthers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0.46763030727160726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-0.59983976271417982</v>
      </c>
      <c r="H707" t="s">
        <v>37</v>
      </c>
      <c r="I707">
        <f>VLOOKUP(Table4[[#This Row],[Visitor]],'NHL Model'!$A$6:$B$38,2,FALSE)</f>
        <v>3.7016822058700272E-2</v>
      </c>
      <c r="J707">
        <f>($B$1+Table4[[#This Row],[Home Differential]])-Table4[[#This Row],[Away Differential]]</f>
        <v>-0.42929639998087099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0.56367238373463413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0.19812979206825923</v>
      </c>
      <c r="H708" t="s">
        <v>16</v>
      </c>
      <c r="I708">
        <f>VLOOKUP(Table4[[#This Row],[Visitor]],'NHL Model'!$A$6:$B$38,2,FALSE)</f>
        <v>-1.2993694664931768</v>
      </c>
      <c r="J708">
        <f>($B$1+Table4[[#This Row],[Home Differential]])-Table4[[#This Row],[Away Differential]]</f>
        <v>1.7050594433534449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0.81070882163017999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-0.41595305630289253</v>
      </c>
      <c r="H709" t="s">
        <v>39</v>
      </c>
      <c r="I709">
        <f>VLOOKUP(Table4[[#This Row],[Visitor]],'NHL Model'!$A$6:$B$38,2,FALSE)</f>
        <v>4.3588947679693783E-2</v>
      </c>
      <c r="J709">
        <f>($B$1+Table4[[#This Row],[Home Differential]])-Table4[[#This Row],[Away Differential]]</f>
        <v>-0.25198181919057722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0.58716712898940171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-0.76384910289376506</v>
      </c>
      <c r="H710" t="s">
        <v>38</v>
      </c>
      <c r="I710">
        <f>VLOOKUP(Table4[[#This Row],[Visitor]],'NHL Model'!$A$6:$B$38,2,FALSE)</f>
        <v>-0.87761566951859371</v>
      </c>
      <c r="J710">
        <f>($B$1+Table4[[#This Row],[Home Differential]])-Table4[[#This Row],[Away Differential]]</f>
        <v>0.32132675141683775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0.57755840556159288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-5.3996763649808116E-4</v>
      </c>
      <c r="H711" t="s">
        <v>35</v>
      </c>
      <c r="I711">
        <f>VLOOKUP(Table4[[#This Row],[Visitor]],'NHL Model'!$A$6:$B$38,2,FALSE)</f>
        <v>-1.7049475448313323</v>
      </c>
      <c r="J711">
        <f>($B$1+Table4[[#This Row],[Home Differential]])-Table4[[#This Row],[Away Differential]]</f>
        <v>1.9119677619868434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0.80314930829484932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-0.11354210657072454</v>
      </c>
      <c r="H712" t="s">
        <v>14</v>
      </c>
      <c r="I712">
        <f>VLOOKUP(Table4[[#This Row],[Visitor]],'NHL Model'!$A$6:$B$38,2,FALSE)</f>
        <v>0.19812979206825923</v>
      </c>
      <c r="J712">
        <f>($B$1+Table4[[#This Row],[Home Differential]])-Table4[[#This Row],[Away Differential]]</f>
        <v>-0.10411171384697467</v>
      </c>
      <c r="K712" t="str">
        <f>IF(Table4[[#This Row],[HomeIce Differential]]&gt;0,Table4[[#This Row],[Home]],Table4[[#This Row],[Visitor]])</f>
        <v>Pittsburgh Penguins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0.42261320119397183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-1.4393526815815083</v>
      </c>
      <c r="H713" t="s">
        <v>22</v>
      </c>
      <c r="I713">
        <f>VLOOKUP(Table4[[#This Row],[Visitor]],'NHL Model'!$A$6:$B$38,2,FALSE)</f>
        <v>-3.9931837337852071E-3</v>
      </c>
      <c r="J713">
        <f>($B$1+Table4[[#This Row],[Home Differential]])-Table4[[#This Row],[Away Differential]]</f>
        <v>-1.2277993130557141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0.62898534921935867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-0.41595305630289253</v>
      </c>
      <c r="H714" t="s">
        <v>20</v>
      </c>
      <c r="I714">
        <f>VLOOKUP(Table4[[#This Row],[Visitor]],'NHL Model'!$A$6:$B$38,2,FALSE)</f>
        <v>-5.3996763649808116E-4</v>
      </c>
      <c r="J714">
        <f>($B$1+Table4[[#This Row],[Home Differential]])-Table4[[#This Row],[Away Differential]]</f>
        <v>-0.20785290387438535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0.50937658962175758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-0.24431182281386174</v>
      </c>
      <c r="H715" t="s">
        <v>28</v>
      </c>
      <c r="I715">
        <f>VLOOKUP(Table4[[#This Row],[Visitor]],'NHL Model'!$A$6:$B$38,2,FALSE)</f>
        <v>-0.58990467102727129</v>
      </c>
      <c r="J715">
        <f>($B$1+Table4[[#This Row],[Home Differential]])-Table4[[#This Row],[Away Differential]]</f>
        <v>0.55315303300541863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0.6844044581535651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0.16605329280468042</v>
      </c>
      <c r="H716" t="s">
        <v>24</v>
      </c>
      <c r="I716">
        <f>VLOOKUP(Table4[[#This Row],[Visitor]],'NHL Model'!$A$6:$B$38,2,FALSE)</f>
        <v>0.27405230796993052</v>
      </c>
      <c r="J716">
        <f>($B$1+Table4[[#This Row],[Home Differential]])-Table4[[#This Row],[Away Differential]]</f>
        <v>9.9561169626758983E-2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0.56370287378333328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-1.005023581214965</v>
      </c>
      <c r="H717" t="s">
        <v>11</v>
      </c>
      <c r="I717">
        <f>VLOOKUP(Table4[[#This Row],[Visitor]],'NHL Model'!$A$6:$B$38,2,FALSE)</f>
        <v>-0.2184338233275798</v>
      </c>
      <c r="J717">
        <f>($B$1+Table4[[#This Row],[Home Differential]])-Table4[[#This Row],[Away Differential]]</f>
        <v>-0.57902957309537617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0.53969341046000263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0.28318004708662448</v>
      </c>
      <c r="H718" t="s">
        <v>17</v>
      </c>
      <c r="I718">
        <f>VLOOKUP(Table4[[#This Row],[Visitor]],'NHL Model'!$A$6:$B$38,2,FALSE)</f>
        <v>-1.0049085234729234</v>
      </c>
      <c r="J718">
        <f>($B$1+Table4[[#This Row],[Home Differential]])-Table4[[#This Row],[Away Differential]]</f>
        <v>1.4956487553515569</v>
      </c>
      <c r="K718" t="str">
        <f>IF(Table4[[#This Row],[HomeIce Differential]]&gt;0,Table4[[#This Row],[Home]],Table4[[#This Row],[Visitor]])</f>
        <v>Chicago Blackhawks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0.75289614622401935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1.4229473251234224</v>
      </c>
      <c r="H719" t="s">
        <v>19</v>
      </c>
      <c r="I719">
        <f>VLOOKUP(Table4[[#This Row],[Visitor]],'NHL Model'!$A$6:$B$38,2,FALSE)</f>
        <v>-0.76384910289376506</v>
      </c>
      <c r="J719">
        <f>($B$1+Table4[[#This Row],[Home Differential]])-Table4[[#This Row],[Away Differential]]</f>
        <v>2.3943566128091964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0.9579080418168342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-0.4992069962886943</v>
      </c>
      <c r="H720" t="s">
        <v>25</v>
      </c>
      <c r="I720">
        <f>VLOOKUP(Table4[[#This Row],[Visitor]],'NHL Model'!$A$6:$B$38,2,FALSE)</f>
        <v>0.55298967972810642</v>
      </c>
      <c r="J720">
        <f>($B$1+Table4[[#This Row],[Home Differential]])-Table4[[#This Row],[Away Differential]]</f>
        <v>-0.84463649122479167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0.6162496109220077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-0.16069632687214722</v>
      </c>
      <c r="H721" t="s">
        <v>39</v>
      </c>
      <c r="I721">
        <f>VLOOKUP(Table4[[#This Row],[Visitor]],'NHL Model'!$A$6:$B$38,2,FALSE)</f>
        <v>4.3588947679693783E-2</v>
      </c>
      <c r="J721">
        <f>($B$1+Table4[[#This Row],[Home Differential]])-Table4[[#This Row],[Away Differential]]</f>
        <v>3.2749102401681066E-3</v>
      </c>
      <c r="K721" t="str">
        <f>IF(Table4[[#This Row],[HomeIce Differential]]&gt;0,Table4[[#This Row],[Home]],Table4[[#This Row],[Visitor]])</f>
        <v>Los Angeles Kings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0.44796454693253179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-0.52340626120007572</v>
      </c>
      <c r="H722" t="s">
        <v>24</v>
      </c>
      <c r="I722">
        <f>VLOOKUP(Table4[[#This Row],[Visitor]],'NHL Model'!$A$6:$B$38,2,FALSE)</f>
        <v>0.27405230796993052</v>
      </c>
      <c r="J722">
        <f>($B$1+Table4[[#This Row],[Home Differential]])-Table4[[#This Row],[Away Differential]]</f>
        <v>-0.58989838437799713</v>
      </c>
      <c r="K722" t="str">
        <f>IF(Table4[[#This Row],[HomeIce Differential]]&gt;0,Table4[[#This Row],[Home]],Table4[[#This Row],[Visitor]])</f>
        <v>New Jersey Devils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0.58370187724686629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-0.69497686531268954</v>
      </c>
      <c r="H723" t="s">
        <v>38</v>
      </c>
      <c r="I723">
        <f>VLOOKUP(Table4[[#This Row],[Visitor]],'NHL Model'!$A$6:$B$38,2,FALSE)</f>
        <v>-0.87761566951859371</v>
      </c>
      <c r="J723">
        <f>($B$1+Table4[[#This Row],[Home Differential]])-Table4[[#This Row],[Away Differential]]</f>
        <v>0.39019898899791328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0.57293491429723664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-0.41117752232850285</v>
      </c>
      <c r="H724" t="s">
        <v>32</v>
      </c>
      <c r="I724">
        <f>VLOOKUP(Table4[[#This Row],[Visitor]],'NHL Model'!$A$6:$B$38,2,FALSE)</f>
        <v>-0.54471700440519322</v>
      </c>
      <c r="J724">
        <f>($B$1+Table4[[#This Row],[Home Differential]])-Table4[[#This Row],[Away Differential]]</f>
        <v>0.34109966686869947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0.58694647220559126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-0.59983976271417982</v>
      </c>
      <c r="H725" t="s">
        <v>37</v>
      </c>
      <c r="I725">
        <f>VLOOKUP(Table4[[#This Row],[Visitor]],'NHL Model'!$A$6:$B$38,2,FALSE)</f>
        <v>3.7016822058700272E-2</v>
      </c>
      <c r="J725">
        <f>($B$1+Table4[[#This Row],[Home Differential]])-Table4[[#This Row],[Away Differential]]</f>
        <v>-0.42929639998087099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0.56367238373463413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0.49887659623169195</v>
      </c>
      <c r="H726" t="s">
        <v>39</v>
      </c>
      <c r="I726">
        <f>VLOOKUP(Table4[[#This Row],[Visitor]],'NHL Model'!$A$6:$B$38,2,FALSE)</f>
        <v>4.3588947679693783E-2</v>
      </c>
      <c r="J726">
        <f>($B$1+Table4[[#This Row],[Home Differential]])-Table4[[#This Row],[Away Differential]]</f>
        <v>0.66284783334400732</v>
      </c>
      <c r="K726" t="str">
        <f>IF(Table4[[#This Row],[HomeIce Differential]]&gt;0,Table4[[#This Row],[Home]],Table4[[#This Row],[Visitor]])</f>
        <v>Anaheim Ducks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0.65879711249878359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-0.11354210657072454</v>
      </c>
      <c r="H727" t="s">
        <v>26</v>
      </c>
      <c r="I727">
        <f>VLOOKUP(Table4[[#This Row],[Visitor]],'NHL Model'!$A$6:$B$38,2,FALSE)</f>
        <v>-0.4992069962886943</v>
      </c>
      <c r="J727">
        <f>($B$1+Table4[[#This Row],[Home Differential]])-Table4[[#This Row],[Away Differential]]</f>
        <v>0.59322507450997886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0.62710172127211317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-0.58990467102727129</v>
      </c>
      <c r="H728" t="s">
        <v>16</v>
      </c>
      <c r="I728">
        <f>VLOOKUP(Table4[[#This Row],[Visitor]],'NHL Model'!$A$6:$B$38,2,FALSE)</f>
        <v>-1.2993694664931768</v>
      </c>
      <c r="J728">
        <f>($B$1+Table4[[#This Row],[Home Differential]])-Table4[[#This Row],[Away Differential]]</f>
        <v>0.91702498025791457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0.67325858684351025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-1.4393526815815083</v>
      </c>
      <c r="H729" t="s">
        <v>17</v>
      </c>
      <c r="I729">
        <f>VLOOKUP(Table4[[#This Row],[Visitor]],'NHL Model'!$A$6:$B$38,2,FALSE)</f>
        <v>-1.0049085234729234</v>
      </c>
      <c r="J729">
        <f>($B$1+Table4[[#This Row],[Home Differential]])-Table4[[#This Row],[Away Differential]]</f>
        <v>-0.22688397331657595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0.49122665655167824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-0.49956508239762204</v>
      </c>
      <c r="H730" t="s">
        <v>38</v>
      </c>
      <c r="I730">
        <f>VLOOKUP(Table4[[#This Row],[Visitor]],'NHL Model'!$A$6:$B$38,2,FALSE)</f>
        <v>-0.87761566951859371</v>
      </c>
      <c r="J730">
        <f>($B$1+Table4[[#This Row],[Home Differential]])-Table4[[#This Row],[Away Differential]]</f>
        <v>0.58561077191298083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0.60233832913611196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0.19812979206825923</v>
      </c>
      <c r="H731" t="s">
        <v>37</v>
      </c>
      <c r="I731">
        <f>VLOOKUP(Table4[[#This Row],[Visitor]],'NHL Model'!$A$6:$B$38,2,FALSE)</f>
        <v>3.7016822058700272E-2</v>
      </c>
      <c r="J731">
        <f>($B$1+Table4[[#This Row],[Home Differential]])-Table4[[#This Row],[Away Differential]]</f>
        <v>0.36867315480156804</v>
      </c>
      <c r="K731" t="str">
        <f>IF(Table4[[#This Row],[HomeIce Differential]]&gt;0,Table4[[#This Row],[Home]],Table4[[#This Row],[Visitor]])</f>
        <v>Pittsburgh Penguins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0.58015325083433944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-1.7049475448313323</v>
      </c>
      <c r="H732" t="s">
        <v>25</v>
      </c>
      <c r="I732">
        <f>VLOOKUP(Table4[[#This Row],[Visitor]],'NHL Model'!$A$6:$B$38,2,FALSE)</f>
        <v>0.55298967972810642</v>
      </c>
      <c r="J732">
        <f>($B$1+Table4[[#This Row],[Home Differential]])-Table4[[#This Row],[Away Differential]]</f>
        <v>-2.0503770397674295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0.82315722149210913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-0.24431182281386174</v>
      </c>
      <c r="H733" t="s">
        <v>19</v>
      </c>
      <c r="I733">
        <f>VLOOKUP(Table4[[#This Row],[Visitor]],'NHL Model'!$A$6:$B$38,2,FALSE)</f>
        <v>-0.76384910289376506</v>
      </c>
      <c r="J733">
        <f>($B$1+Table4[[#This Row],[Home Differential]])-Table4[[#This Row],[Away Differential]]</f>
        <v>0.7270974648719124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0.70834490204464962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0.16605329280468042</v>
      </c>
      <c r="H734" t="s">
        <v>30</v>
      </c>
      <c r="I734">
        <f>VLOOKUP(Table4[[#This Row],[Visitor]],'NHL Model'!$A$6:$B$38,2,FALSE)</f>
        <v>-7.6737500378247253E-2</v>
      </c>
      <c r="J734">
        <f>($B$1+Table4[[#This Row],[Home Differential]])-Table4[[#This Row],[Away Differential]]</f>
        <v>0.45035097797493673</v>
      </c>
      <c r="K734" t="str">
        <f>IF(Table4[[#This Row],[HomeIce Differential]]&gt;0,Table4[[#This Row],[Home]],Table4[[#This Row],[Visitor]])</f>
        <v>Winnipeg Jets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0.59531635977351915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-3.9931837337852071E-3</v>
      </c>
      <c r="H735" t="s">
        <v>18</v>
      </c>
      <c r="I735">
        <f>VLOOKUP(Table4[[#This Row],[Visitor]],'NHL Model'!$A$6:$B$38,2,FALSE)</f>
        <v>-0.69497686531268954</v>
      </c>
      <c r="J735">
        <f>($B$1+Table4[[#This Row],[Home Differential]])-Table4[[#This Row],[Away Differential]]</f>
        <v>0.89854386637091344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0.61908187319562735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-1.005023581214965</v>
      </c>
      <c r="H736" t="s">
        <v>27</v>
      </c>
      <c r="I736">
        <f>VLOOKUP(Table4[[#This Row],[Visitor]],'NHL Model'!$A$6:$B$38,2,FALSE)</f>
        <v>-0.59983976271417982</v>
      </c>
      <c r="J736">
        <f>($B$1+Table4[[#This Row],[Home Differential]])-Table4[[#This Row],[Away Differential]]</f>
        <v>-0.19762363370877611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0.48719947665808866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-0.16069632687214722</v>
      </c>
      <c r="H737" t="s">
        <v>20</v>
      </c>
      <c r="I737">
        <f>VLOOKUP(Table4[[#This Row],[Visitor]],'NHL Model'!$A$6:$B$38,2,FALSE)</f>
        <v>-5.3996763649808116E-4</v>
      </c>
      <c r="J737">
        <f>($B$1+Table4[[#This Row],[Home Differential]])-Table4[[#This Row],[Away Differential]]</f>
        <v>4.7403825556359969E-2</v>
      </c>
      <c r="K737" t="str">
        <f>IF(Table4[[#This Row],[HomeIce Differential]]&gt;0,Table4[[#This Row],[Home]],Table4[[#This Row],[Visitor]])</f>
        <v>Los Angeles Kings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0.52575508630017587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0.27405230796993052</v>
      </c>
      <c r="H738" t="s">
        <v>32</v>
      </c>
      <c r="I738">
        <f>VLOOKUP(Table4[[#This Row],[Visitor]],'NHL Model'!$A$6:$B$38,2,FALSE)</f>
        <v>-0.54471700440519322</v>
      </c>
      <c r="J738">
        <f>($B$1+Table4[[#This Row],[Home Differential]])-Table4[[#This Row],[Away Differential]]</f>
        <v>1.0263294971671328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0.7966872236875927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-0.41117752232850285</v>
      </c>
      <c r="H739" t="s">
        <v>36</v>
      </c>
      <c r="I739">
        <f>VLOOKUP(Table4[[#This Row],[Visitor]],'NHL Model'!$A$6:$B$38,2,FALSE)</f>
        <v>-0.49956508239762204</v>
      </c>
      <c r="J739">
        <f>($B$1+Table4[[#This Row],[Home Differential]])-Table4[[#This Row],[Away Differential]]</f>
        <v>0.29594774486112829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0.58073209072871512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-0.11354210657072454</v>
      </c>
      <c r="H740" t="s">
        <v>32</v>
      </c>
      <c r="I740">
        <f>VLOOKUP(Table4[[#This Row],[Visitor]],'NHL Model'!$A$6:$B$38,2,FALSE)</f>
        <v>-0.54471700440519322</v>
      </c>
      <c r="J740">
        <f>($B$1+Table4[[#This Row],[Home Differential]])-Table4[[#This Row],[Away Differential]]</f>
        <v>0.63873508262647782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0.67962681798809776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-1.005023581214965</v>
      </c>
      <c r="H741" t="s">
        <v>18</v>
      </c>
      <c r="I741">
        <f>VLOOKUP(Table4[[#This Row],[Visitor]],'NHL Model'!$A$6:$B$38,2,FALSE)</f>
        <v>-0.69497686531268954</v>
      </c>
      <c r="J741">
        <f>($B$1+Table4[[#This Row],[Home Differential]])-Table4[[#This Row],[Away Differential]]</f>
        <v>-0.1024865311102664</v>
      </c>
      <c r="K741" t="str">
        <f>IF(Table4[[#This Row],[HomeIce Differential]]&gt;0,Table4[[#This Row],[Home]],Table4[[#This Row],[Visitor]])</f>
        <v>Montreal Canadiens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0.52120489069855169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-0.58990467102727129</v>
      </c>
      <c r="H742" t="s">
        <v>38</v>
      </c>
      <c r="I742">
        <f>VLOOKUP(Table4[[#This Row],[Visitor]],'NHL Model'!$A$6:$B$38,2,FALSE)</f>
        <v>-0.87761566951859371</v>
      </c>
      <c r="J742">
        <f>($B$1+Table4[[#This Row],[Home Differential]])-Table4[[#This Row],[Away Differential]]</f>
        <v>0.49527118328333153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0.59448130559302814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0.28318004708662448</v>
      </c>
      <c r="H743" t="s">
        <v>16</v>
      </c>
      <c r="I743">
        <f>VLOOKUP(Table4[[#This Row],[Visitor]],'NHL Model'!$A$6:$B$38,2,FALSE)</f>
        <v>-1.2993694664931768</v>
      </c>
      <c r="J743">
        <f>($B$1+Table4[[#This Row],[Home Differential]])-Table4[[#This Row],[Away Differential]]</f>
        <v>1.7901096983718103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0.79342360438320247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-1.0049085234729234</v>
      </c>
      <c r="H744" t="s">
        <v>30</v>
      </c>
      <c r="I744">
        <f>VLOOKUP(Table4[[#This Row],[Visitor]],'NHL Model'!$A$6:$B$38,2,FALSE)</f>
        <v>-7.6737500378247253E-2</v>
      </c>
      <c r="J744">
        <f>($B$1+Table4[[#This Row],[Home Differential]])-Table4[[#This Row],[Away Differential]]</f>
        <v>-0.72061083830266703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0.58193824464527244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-0.52340626120007572</v>
      </c>
      <c r="H745" t="s">
        <v>40</v>
      </c>
      <c r="I745">
        <f>VLOOKUP(Table4[[#This Row],[Visitor]],'NHL Model'!$A$6:$B$38,2,FALSE)</f>
        <v>0.16605329280468042</v>
      </c>
      <c r="J745">
        <f>($B$1+Table4[[#This Row],[Home Differential]])-Table4[[#This Row],[Away Differential]]</f>
        <v>-0.48189936921274701</v>
      </c>
      <c r="K745" t="str">
        <f>IF(Table4[[#This Row],[HomeIce Differential]]&gt;0,Table4[[#This Row],[Home]],Table4[[#This Row],[Visitor]])</f>
        <v>Winnipeg Jets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0.59264090655844137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0.19812979206825923</v>
      </c>
      <c r="H746" t="s">
        <v>27</v>
      </c>
      <c r="I746">
        <f>VLOOKUP(Table4[[#This Row],[Visitor]],'NHL Model'!$A$6:$B$38,2,FALSE)</f>
        <v>-0.59983976271417982</v>
      </c>
      <c r="J746">
        <f>($B$1+Table4[[#This Row],[Home Differential]])-Table4[[#This Row],[Away Differential]]</f>
        <v>1.005529739574448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0.71443065139060735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-0.24431182281386174</v>
      </c>
      <c r="H747" t="s">
        <v>39</v>
      </c>
      <c r="I747">
        <f>VLOOKUP(Table4[[#This Row],[Visitor]],'NHL Model'!$A$6:$B$38,2,FALSE)</f>
        <v>4.3588947679693783E-2</v>
      </c>
      <c r="J747">
        <f>($B$1+Table4[[#This Row],[Home Differential]])-Table4[[#This Row],[Away Differential]]</f>
        <v>-8.0340585701546424E-2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0.49381611338157977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-5.3996763649808116E-4</v>
      </c>
      <c r="H748" t="s">
        <v>19</v>
      </c>
      <c r="I748">
        <f>VLOOKUP(Table4[[#This Row],[Visitor]],'NHL Model'!$A$6:$B$38,2,FALSE)</f>
        <v>-0.76384910289376506</v>
      </c>
      <c r="J748">
        <f>($B$1+Table4[[#This Row],[Home Differential]])-Table4[[#This Row],[Away Differential]]</f>
        <v>0.97086932004927606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0.67362337749365031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-3.9931837337852071E-3</v>
      </c>
      <c r="H749" t="s">
        <v>33</v>
      </c>
      <c r="I749">
        <f>VLOOKUP(Table4[[#This Row],[Visitor]],'NHL Model'!$A$6:$B$38,2,FALSE)</f>
        <v>-0.41595305630289253</v>
      </c>
      <c r="J749">
        <f>($B$1+Table4[[#This Row],[Home Differential]])-Table4[[#This Row],[Away Differential]]</f>
        <v>0.61952005736111637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0.62776170482309857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0.55298967972810642</v>
      </c>
      <c r="H750" t="s">
        <v>11</v>
      </c>
      <c r="I750">
        <f>VLOOKUP(Table4[[#This Row],[Visitor]],'NHL Model'!$A$6:$B$38,2,FALSE)</f>
        <v>-0.2184338233275798</v>
      </c>
      <c r="J750">
        <f>($B$1+Table4[[#This Row],[Home Differential]])-Table4[[#This Row],[Away Differential]]</f>
        <v>0.97898368784769529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0.7264561562710864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1.4229473251234224</v>
      </c>
      <c r="H751" t="s">
        <v>29</v>
      </c>
      <c r="I751">
        <f>VLOOKUP(Table4[[#This Row],[Visitor]],'NHL Model'!$A$6:$B$38,2,FALSE)</f>
        <v>-1.4393526815815083</v>
      </c>
      <c r="J751">
        <f>($B$1+Table4[[#This Row],[Home Differential]])-Table4[[#This Row],[Away Differential]]</f>
        <v>3.0698601914969394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-0.4992069962886943</v>
      </c>
      <c r="H752" t="s">
        <v>33</v>
      </c>
      <c r="I752">
        <f>VLOOKUP(Table4[[#This Row],[Visitor]],'NHL Model'!$A$6:$B$38,2,FALSE)</f>
        <v>-0.41595305630289253</v>
      </c>
      <c r="J752">
        <f>($B$1+Table4[[#This Row],[Home Differential]])-Table4[[#This Row],[Away Differential]]</f>
        <v>0.12430624480620733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0.59753978303445821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-0.16069632687214722</v>
      </c>
      <c r="H753" t="s">
        <v>31</v>
      </c>
      <c r="I753">
        <f>VLOOKUP(Table4[[#This Row],[Visitor]],'NHL Model'!$A$6:$B$38,2,FALSE)</f>
        <v>0.49887659623169195</v>
      </c>
      <c r="J753">
        <f>($B$1+Table4[[#This Row],[Home Differential]])-Table4[[#This Row],[Away Differential]]</f>
        <v>-0.45201273831183009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0.542980969791239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-1.7049475448313323</v>
      </c>
      <c r="H754" t="s">
        <v>37</v>
      </c>
      <c r="I754">
        <f>VLOOKUP(Table4[[#This Row],[Visitor]],'NHL Model'!$A$6:$B$38,2,FALSE)</f>
        <v>3.7016822058700272E-2</v>
      </c>
      <c r="J754">
        <f>($B$1+Table4[[#This Row],[Home Differential]])-Table4[[#This Row],[Away Differential]]</f>
        <v>-1.5344041820980232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0.71828360033173555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0.49887659623169195</v>
      </c>
      <c r="H755" t="s">
        <v>13</v>
      </c>
      <c r="I755">
        <f>VLOOKUP(Table4[[#This Row],[Visitor]],'NHL Model'!$A$6:$B$38,2,FALSE)</f>
        <v>-0.16069632687214722</v>
      </c>
      <c r="J755">
        <f>($B$1+Table4[[#This Row],[Home Differential]])-Table4[[#This Row],[Away Differential]]</f>
        <v>0.8671331078958483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0.67762808987370937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-1.005023581214965</v>
      </c>
      <c r="H756" t="s">
        <v>34</v>
      </c>
      <c r="I756">
        <f>VLOOKUP(Table4[[#This Row],[Visitor]],'NHL Model'!$A$6:$B$38,2,FALSE)</f>
        <v>-0.52340626120007572</v>
      </c>
      <c r="J756">
        <f>($B$1+Table4[[#This Row],[Home Differential]])-Table4[[#This Row],[Away Differential]]</f>
        <v>-0.27405713522288022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0.49771922675737312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-1.2993694664931768</v>
      </c>
      <c r="H757" t="s">
        <v>30</v>
      </c>
      <c r="I757">
        <f>VLOOKUP(Table4[[#This Row],[Visitor]],'NHL Model'!$A$6:$B$38,2,FALSE)</f>
        <v>-7.6737500378247253E-2</v>
      </c>
      <c r="J757">
        <f>($B$1+Table4[[#This Row],[Home Differential]])-Table4[[#This Row],[Away Differential]]</f>
        <v>-1.0150717813229204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0.65899491594269355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0.28318004708662448</v>
      </c>
      <c r="H758" t="s">
        <v>21</v>
      </c>
      <c r="I758">
        <f>VLOOKUP(Table4[[#This Row],[Visitor]],'NHL Model'!$A$6:$B$38,2,FALSE)</f>
        <v>-0.11354210657072454</v>
      </c>
      <c r="J758">
        <f>($B$1+Table4[[#This Row],[Home Differential]])-Table4[[#This Row],[Away Differential]]</f>
        <v>0.60428233844935808</v>
      </c>
      <c r="K758" t="str">
        <f>IF(Table4[[#This Row],[HomeIce Differential]]&gt;0,Table4[[#This Row],[Home]],Table4[[#This Row],[Visitor]])</f>
        <v>Chicago Blackhawks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0.63021496890054629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0.27405230796993052</v>
      </c>
      <c r="H759" t="s">
        <v>25</v>
      </c>
      <c r="I759">
        <f>VLOOKUP(Table4[[#This Row],[Visitor]],'NHL Model'!$A$6:$B$38,2,FALSE)</f>
        <v>0.55298967972810642</v>
      </c>
      <c r="J759">
        <f>($B$1+Table4[[#This Row],[Home Differential]])-Table4[[#This Row],[Away Differential]]</f>
        <v>-7.1377186966166795E-2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0.43087646739439051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-0.49956508239762204</v>
      </c>
      <c r="H760" t="s">
        <v>18</v>
      </c>
      <c r="I760">
        <f>VLOOKUP(Table4[[#This Row],[Visitor]],'NHL Model'!$A$6:$B$38,2,FALSE)</f>
        <v>-0.69497686531268954</v>
      </c>
      <c r="J760">
        <f>($B$1+Table4[[#This Row],[Home Differential]])-Table4[[#This Row],[Away Differential]]</f>
        <v>0.40297196770707661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0.5508749688029313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-0.59983976271417982</v>
      </c>
      <c r="H761" t="s">
        <v>15</v>
      </c>
      <c r="I761">
        <f>VLOOKUP(Table4[[#This Row],[Visitor]],'NHL Model'!$A$6:$B$38,2,FALSE)</f>
        <v>-0.41117752232850285</v>
      </c>
      <c r="J761">
        <f>($B$1+Table4[[#This Row],[Home Differential]])-Table4[[#This Row],[Away Differential]]</f>
        <v>1.8897944406332134E-2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0.42365360691838144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0.19812979206825923</v>
      </c>
      <c r="H762" t="s">
        <v>28</v>
      </c>
      <c r="I762">
        <f>VLOOKUP(Table4[[#This Row],[Visitor]],'NHL Model'!$A$6:$B$38,2,FALSE)</f>
        <v>-0.58990467102727129</v>
      </c>
      <c r="J762">
        <f>($B$1+Table4[[#This Row],[Home Differential]])-Table4[[#This Row],[Away Differential]]</f>
        <v>0.9955946478875396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0.71306325777799806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-0.24431182281386174</v>
      </c>
      <c r="H763" t="s">
        <v>32</v>
      </c>
      <c r="I763">
        <f>VLOOKUP(Table4[[#This Row],[Visitor]],'NHL Model'!$A$6:$B$38,2,FALSE)</f>
        <v>-0.54471700440519322</v>
      </c>
      <c r="J763">
        <f>($B$1+Table4[[#This Row],[Home Differential]])-Table4[[#This Row],[Away Differential]]</f>
        <v>0.50796536638334056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0.67818515704845583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-0.87761566951859371</v>
      </c>
      <c r="H764" t="s">
        <v>17</v>
      </c>
      <c r="I764">
        <f>VLOOKUP(Table4[[#This Row],[Visitor]],'NHL Model'!$A$6:$B$38,2,FALSE)</f>
        <v>-1.0049085234729234</v>
      </c>
      <c r="J764">
        <f>($B$1+Table4[[#This Row],[Home Differential]])-Table4[[#This Row],[Away Differential]]</f>
        <v>0.33485303874633876</v>
      </c>
      <c r="K764" t="str">
        <f>IF(Table4[[#This Row],[HomeIce Differential]]&gt;0,Table4[[#This Row],[Home]],Table4[[#This Row],[Visitor]])</f>
        <v>Vancouver Canucks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0.58608673183639892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-5.3996763649808116E-4</v>
      </c>
      <c r="H765" t="s">
        <v>29</v>
      </c>
      <c r="I765">
        <f>VLOOKUP(Table4[[#This Row],[Visitor]],'NHL Model'!$A$6:$B$38,2,FALSE)</f>
        <v>-1.4393526815815083</v>
      </c>
      <c r="J765">
        <f>($B$1+Table4[[#This Row],[Home Differential]])-Table4[[#This Row],[Away Differential]]</f>
        <v>1.6463728987370194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0.76659476697861495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0.16605329280468042</v>
      </c>
      <c r="H766" t="s">
        <v>19</v>
      </c>
      <c r="I766">
        <f>VLOOKUP(Table4[[#This Row],[Visitor]],'NHL Model'!$A$6:$B$38,2,FALSE)</f>
        <v>-0.76384910289376506</v>
      </c>
      <c r="J766">
        <f>($B$1+Table4[[#This Row],[Home Differential]])-Table4[[#This Row],[Away Differential]]</f>
        <v>1.1374625804904546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0.74826803605662162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-3.9931837337852071E-3</v>
      </c>
      <c r="H767" t="s">
        <v>11</v>
      </c>
      <c r="I767">
        <f>VLOOKUP(Table4[[#This Row],[Visitor]],'NHL Model'!$A$6:$B$38,2,FALSE)</f>
        <v>-0.2184338233275798</v>
      </c>
      <c r="J767">
        <f>($B$1+Table4[[#This Row],[Home Differential]])-Table4[[#This Row],[Away Differential]]</f>
        <v>0.42200082438580366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0.60057659712108891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4.3588947679693783E-2</v>
      </c>
      <c r="H768" t="s">
        <v>37</v>
      </c>
      <c r="I768">
        <f>VLOOKUP(Table4[[#This Row],[Visitor]],'NHL Model'!$A$6:$B$38,2,FALSE)</f>
        <v>3.7016822058700272E-2</v>
      </c>
      <c r="J768">
        <f>($B$1+Table4[[#This Row],[Home Differential]])-Table4[[#This Row],[Away Differential]]</f>
        <v>0.21413231041300262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0.52488445464074007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-0.4992069962886943</v>
      </c>
      <c r="H769" t="s">
        <v>36</v>
      </c>
      <c r="I769">
        <f>VLOOKUP(Table4[[#This Row],[Visitor]],'NHL Model'!$A$6:$B$38,2,FALSE)</f>
        <v>-0.49956508239762204</v>
      </c>
      <c r="J769">
        <f>($B$1+Table4[[#This Row],[Home Differential]])-Table4[[#This Row],[Away Differential]]</f>
        <v>0.20791827090093684</v>
      </c>
      <c r="K769" t="str">
        <f>IF(Table4[[#This Row],[HomeIce Differential]]&gt;0,Table4[[#This Row],[Home]],Table4[[#This Row],[Visitor]])</f>
        <v>Detroit Red Wings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0.60904753293976777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-1.0049085234729234</v>
      </c>
      <c r="H770" t="s">
        <v>35</v>
      </c>
      <c r="I770">
        <f>VLOOKUP(Table4[[#This Row],[Visitor]],'NHL Model'!$A$6:$B$38,2,FALSE)</f>
        <v>-1.7049475448313323</v>
      </c>
      <c r="J770">
        <f>($B$1+Table4[[#This Row],[Home Differential]])-Table4[[#This Row],[Away Differential]]</f>
        <v>0.907599206150418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0.7009522064901037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0.49887659623169195</v>
      </c>
      <c r="H771" t="s">
        <v>15</v>
      </c>
      <c r="I771">
        <f>VLOOKUP(Table4[[#This Row],[Visitor]],'NHL Model'!$A$6:$B$38,2,FALSE)</f>
        <v>-0.41117752232850285</v>
      </c>
      <c r="J771">
        <f>($B$1+Table4[[#This Row],[Home Differential]])-Table4[[#This Row],[Away Differential]]</f>
        <v>1.1176143033522039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0.69228182597619059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0.55298967972810642</v>
      </c>
      <c r="H772" t="s">
        <v>23</v>
      </c>
      <c r="I772">
        <f>VLOOKUP(Table4[[#This Row],[Visitor]],'NHL Model'!$A$6:$B$38,2,FALSE)</f>
        <v>-1.005023581214965</v>
      </c>
      <c r="J772">
        <f>($B$1+Table4[[#This Row],[Home Differential]])-Table4[[#This Row],[Away Differential]]</f>
        <v>1.7655734457350807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0.83471663786246109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-1.2993694664931768</v>
      </c>
      <c r="H773" t="s">
        <v>24</v>
      </c>
      <c r="I773">
        <f>VLOOKUP(Table4[[#This Row],[Visitor]],'NHL Model'!$A$6:$B$38,2,FALSE)</f>
        <v>0.27405230796993052</v>
      </c>
      <c r="J773">
        <f>($B$1+Table4[[#This Row],[Home Differential]])-Table4[[#This Row],[Away Differential]]</f>
        <v>-1.3658615896710984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0.69049979758572333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0.28318004708662448</v>
      </c>
      <c r="H774" t="s">
        <v>40</v>
      </c>
      <c r="I774">
        <f>VLOOKUP(Table4[[#This Row],[Visitor]],'NHL Model'!$A$6:$B$38,2,FALSE)</f>
        <v>0.16605329280468042</v>
      </c>
      <c r="J774">
        <f>($B$1+Table4[[#This Row],[Home Differential]])-Table4[[#This Row],[Away Differential]]</f>
        <v>0.32468693907395318</v>
      </c>
      <c r="K774" t="str">
        <f>IF(Table4[[#This Row],[HomeIce Differential]]&gt;0,Table4[[#This Row],[Home]],Table4[[#This Row],[Visitor]])</f>
        <v>Chicago Blackhawks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0.52545677473749075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1.4229473251234224</v>
      </c>
      <c r="H775" t="s">
        <v>22</v>
      </c>
      <c r="I775">
        <f>VLOOKUP(Table4[[#This Row],[Visitor]],'NHL Model'!$A$6:$B$38,2,FALSE)</f>
        <v>-3.9931837337852071E-3</v>
      </c>
      <c r="J775">
        <f>($B$1+Table4[[#This Row],[Home Differential]])-Table4[[#This Row],[Away Differential]]</f>
        <v>1.6345006936492166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0.85332701095106822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-0.2184338233275798</v>
      </c>
      <c r="H776" t="s">
        <v>33</v>
      </c>
      <c r="I776">
        <f>VLOOKUP(Table4[[#This Row],[Visitor]],'NHL Model'!$A$6:$B$38,2,FALSE)</f>
        <v>-0.41595305630289253</v>
      </c>
      <c r="J776">
        <f>($B$1+Table4[[#This Row],[Home Differential]])-Table4[[#This Row],[Away Differential]]</f>
        <v>0.40507941776732181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0.65920045469545063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-0.54471700440519322</v>
      </c>
      <c r="H777" t="s">
        <v>14</v>
      </c>
      <c r="I777">
        <f>VLOOKUP(Table4[[#This Row],[Visitor]],'NHL Model'!$A$6:$B$38,2,FALSE)</f>
        <v>0.19812979206825923</v>
      </c>
      <c r="J777">
        <f>($B$1+Table4[[#This Row],[Home Differential]])-Table4[[#This Row],[Away Differential]]</f>
        <v>-0.53528661168144331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0.5076352122016411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-0.76384910289376506</v>
      </c>
      <c r="H778" t="s">
        <v>34</v>
      </c>
      <c r="I778">
        <f>VLOOKUP(Table4[[#This Row],[Visitor]],'NHL Model'!$A$6:$B$38,2,FALSE)</f>
        <v>-0.52340626120007572</v>
      </c>
      <c r="J778">
        <f>($B$1+Table4[[#This Row],[Home Differential]])-Table4[[#This Row],[Away Differential]]</f>
        <v>-3.2882656901680241E-2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0.45050910874777267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-0.87761566951859371</v>
      </c>
      <c r="H779" t="s">
        <v>30</v>
      </c>
      <c r="I779">
        <f>VLOOKUP(Table4[[#This Row],[Visitor]],'NHL Model'!$A$6:$B$38,2,FALSE)</f>
        <v>-7.6737500378247253E-2</v>
      </c>
      <c r="J779">
        <f>($B$1+Table4[[#This Row],[Home Differential]])-Table4[[#This Row],[Away Differential]]</f>
        <v>-0.59331798434833738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0.60094779707848356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-5.3996763649808116E-4</v>
      </c>
      <c r="H780" t="s">
        <v>27</v>
      </c>
      <c r="I780">
        <f>VLOOKUP(Table4[[#This Row],[Visitor]],'NHL Model'!$A$6:$B$38,2,FALSE)</f>
        <v>-0.59983976271417982</v>
      </c>
      <c r="J780">
        <f>($B$1+Table4[[#This Row],[Home Differential]])-Table4[[#This Row],[Away Differential]]</f>
        <v>0.80685997986969082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0.6510503272151752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-0.58990467102727129</v>
      </c>
      <c r="H781" t="s">
        <v>36</v>
      </c>
      <c r="I781">
        <f>VLOOKUP(Table4[[#This Row],[Visitor]],'NHL Model'!$A$6:$B$38,2,FALSE)</f>
        <v>-0.49956508239762204</v>
      </c>
      <c r="J781">
        <f>($B$1+Table4[[#This Row],[Home Differential]])-Table4[[#This Row],[Away Differential]]</f>
        <v>0.11722059616235986</v>
      </c>
      <c r="K781" t="str">
        <f>IF(Table4[[#This Row],[HomeIce Differential]]&gt;0,Table4[[#This Row],[Home]],Table4[[#This Row],[Visitor]])</f>
        <v>Columbus Blue Jackets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0.56317934040934292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4.3588947679693783E-2</v>
      </c>
      <c r="H782" t="s">
        <v>21</v>
      </c>
      <c r="I782">
        <f>VLOOKUP(Table4[[#This Row],[Visitor]],'NHL Model'!$A$6:$B$38,2,FALSE)</f>
        <v>-0.11354210657072454</v>
      </c>
      <c r="J782">
        <f>($B$1+Table4[[#This Row],[Home Differential]])-Table4[[#This Row],[Away Differential]]</f>
        <v>0.36469123904242745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0.5926889234680025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-1.0049085234729234</v>
      </c>
      <c r="H783" t="s">
        <v>24</v>
      </c>
      <c r="I783">
        <f>VLOOKUP(Table4[[#This Row],[Visitor]],'NHL Model'!$A$6:$B$38,2,FALSE)</f>
        <v>0.27405230796993052</v>
      </c>
      <c r="J783">
        <f>($B$1+Table4[[#This Row],[Home Differential]])-Table4[[#This Row],[Away Differential]]</f>
        <v>-1.0714006466508448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0.61347919408819807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-0.16069632687214722</v>
      </c>
      <c r="H784" t="s">
        <v>15</v>
      </c>
      <c r="I784">
        <f>VLOOKUP(Table4[[#This Row],[Visitor]],'NHL Model'!$A$6:$B$38,2,FALSE)</f>
        <v>-0.41117752232850285</v>
      </c>
      <c r="J784">
        <f>($B$1+Table4[[#This Row],[Home Differential]])-Table4[[#This Row],[Away Differential]]</f>
        <v>0.45804138024836472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0.48164612852406258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-0.69497686531268954</v>
      </c>
      <c r="H785" t="s">
        <v>34</v>
      </c>
      <c r="I785">
        <f>VLOOKUP(Table4[[#This Row],[Visitor]],'NHL Model'!$A$6:$B$38,2,FALSE)</f>
        <v>-0.52340626120007572</v>
      </c>
      <c r="J785">
        <f>($B$1+Table4[[#This Row],[Home Differential]])-Table4[[#This Row],[Away Differential]]</f>
        <v>3.5989580679395283E-2</v>
      </c>
      <c r="K785" t="str">
        <f>IF(Table4[[#This Row],[HomeIce Differential]]&gt;0,Table4[[#This Row],[Home]],Table4[[#This Row],[Visitor]])</f>
        <v>Montreal Canadiens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0.54495334359182035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-1.4393526815815083</v>
      </c>
      <c r="H786" t="s">
        <v>23</v>
      </c>
      <c r="I786">
        <f>VLOOKUP(Table4[[#This Row],[Visitor]],'NHL Model'!$A$6:$B$38,2,FALSE)</f>
        <v>-1.005023581214965</v>
      </c>
      <c r="J786">
        <f>($B$1+Table4[[#This Row],[Home Differential]])-Table4[[#This Row],[Away Differential]]</f>
        <v>-0.22676891557453427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0.49121082084260709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3.7016822058700272E-2</v>
      </c>
      <c r="H787" t="s">
        <v>33</v>
      </c>
      <c r="I787">
        <f>VLOOKUP(Table4[[#This Row],[Visitor]],'NHL Model'!$A$6:$B$38,2,FALSE)</f>
        <v>-0.41595305630289253</v>
      </c>
      <c r="J787">
        <f>($B$1+Table4[[#This Row],[Home Differential]])-Table4[[#This Row],[Away Differential]]</f>
        <v>0.66053006315360197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0.63091054393417101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0.16605329280468042</v>
      </c>
      <c r="H788" t="s">
        <v>35</v>
      </c>
      <c r="I788">
        <f>VLOOKUP(Table4[[#This Row],[Visitor]],'NHL Model'!$A$6:$B$38,2,FALSE)</f>
        <v>-1.7049475448313323</v>
      </c>
      <c r="J788">
        <f>($B$1+Table4[[#This Row],[Home Differential]])-Table4[[#This Row],[Away Differential]]</f>
        <v>2.0785610224280218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0.87779396685782063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-1.2993694664931768</v>
      </c>
      <c r="H789" t="s">
        <v>14</v>
      </c>
      <c r="I789">
        <f>VLOOKUP(Table4[[#This Row],[Visitor]],'NHL Model'!$A$6:$B$38,2,FALSE)</f>
        <v>0.19812979206825923</v>
      </c>
      <c r="J789">
        <f>($B$1+Table4[[#This Row],[Home Differential]])-Table4[[#This Row],[Away Differential]]</f>
        <v>-1.289939073769427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0.63753781300798895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1.4229473251234224</v>
      </c>
      <c r="H790" t="s">
        <v>31</v>
      </c>
      <c r="I790">
        <f>VLOOKUP(Table4[[#This Row],[Visitor]],'NHL Model'!$A$6:$B$38,2,FALSE)</f>
        <v>0.49887659623169195</v>
      </c>
      <c r="J790">
        <f>($B$1+Table4[[#This Row],[Home Differential]])-Table4[[#This Row],[Away Differential]]</f>
        <v>1.1316309136837395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0.76444508378121934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-0.54471700440519322</v>
      </c>
      <c r="H791" t="s">
        <v>30</v>
      </c>
      <c r="I791">
        <f>VLOOKUP(Table4[[#This Row],[Visitor]],'NHL Model'!$A$6:$B$38,2,FALSE)</f>
        <v>-7.6737500378247253E-2</v>
      </c>
      <c r="J791">
        <f>($B$1+Table4[[#This Row],[Home Differential]])-Table4[[#This Row],[Away Differential]]</f>
        <v>-0.26041931923493689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0.52879996363638238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-0.76384910289376506</v>
      </c>
      <c r="H792" t="s">
        <v>26</v>
      </c>
      <c r="I792">
        <f>VLOOKUP(Table4[[#This Row],[Visitor]],'NHL Model'!$A$6:$B$38,2,FALSE)</f>
        <v>-0.4992069962886943</v>
      </c>
      <c r="J792">
        <f>($B$1+Table4[[#This Row],[Home Differential]])-Table4[[#This Row],[Away Differential]]</f>
        <v>-5.7081921813061653E-2</v>
      </c>
      <c r="K792" t="str">
        <f>IF(Table4[[#This Row],[HomeIce Differential]]&gt;0,Table4[[#This Row],[Home]],Table4[[#This Row],[Visitor]])</f>
        <v>Detroit Red Wings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0.50081408618286416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-0.24431182281386174</v>
      </c>
      <c r="H793" t="s">
        <v>27</v>
      </c>
      <c r="I793">
        <f>VLOOKUP(Table4[[#This Row],[Visitor]],'NHL Model'!$A$6:$B$38,2,FALSE)</f>
        <v>-0.59983976271417982</v>
      </c>
      <c r="J793">
        <f>($B$1+Table4[[#This Row],[Home Differential]])-Table4[[#This Row],[Away Differential]]</f>
        <v>0.56308812469232716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0.6857718517661745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-0.87761566951859371</v>
      </c>
      <c r="H794" t="s">
        <v>22</v>
      </c>
      <c r="I794">
        <f>VLOOKUP(Table4[[#This Row],[Visitor]],'NHL Model'!$A$6:$B$38,2,FALSE)</f>
        <v>-3.9931837337852071E-3</v>
      </c>
      <c r="J794">
        <f>($B$1+Table4[[#This Row],[Home Differential]])-Table4[[#This Row],[Away Differential]]</f>
        <v>-0.66606230099279939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0.55167196083128156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-0.11354210657072454</v>
      </c>
      <c r="H795" t="s">
        <v>20</v>
      </c>
      <c r="I795">
        <f>VLOOKUP(Table4[[#This Row],[Visitor]],'NHL Model'!$A$6:$B$38,2,FALSE)</f>
        <v>-5.3996763649808116E-4</v>
      </c>
      <c r="J795">
        <f>($B$1+Table4[[#This Row],[Home Differential]])-Table4[[#This Row],[Away Differential]]</f>
        <v>9.4558045857782644E-2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0.58444285171922394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0.55298967972810642</v>
      </c>
      <c r="H796" t="s">
        <v>10</v>
      </c>
      <c r="I796">
        <f>VLOOKUP(Table4[[#This Row],[Visitor]],'NHL Model'!$A$6:$B$38,2,FALSE)</f>
        <v>0.28318004708662448</v>
      </c>
      <c r="J796">
        <f>($B$1+Table4[[#This Row],[Home Differential]])-Table4[[#This Row],[Away Differential]]</f>
        <v>0.47736981743349105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0.63713027401790945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-0.58990467102727129</v>
      </c>
      <c r="H797" t="s">
        <v>39</v>
      </c>
      <c r="I797">
        <f>VLOOKUP(Table4[[#This Row],[Visitor]],'NHL Model'!$A$6:$B$38,2,FALSE)</f>
        <v>4.3588947679693783E-2</v>
      </c>
      <c r="J797">
        <f>($B$1+Table4[[#This Row],[Home Differential]])-Table4[[#This Row],[Away Differential]]</f>
        <v>-0.42593343391495597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0.60407691908593819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-1.0049085234729234</v>
      </c>
      <c r="H798" t="s">
        <v>14</v>
      </c>
      <c r="I798">
        <f>VLOOKUP(Table4[[#This Row],[Visitor]],'NHL Model'!$A$6:$B$38,2,FALSE)</f>
        <v>0.19812979206825923</v>
      </c>
      <c r="J798">
        <f>($B$1+Table4[[#This Row],[Home Differential]])-Table4[[#This Row],[Away Differential]]</f>
        <v>-0.99547813074917346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0.56097348848935891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-0.52340626120007572</v>
      </c>
      <c r="H799" t="s">
        <v>26</v>
      </c>
      <c r="I799">
        <f>VLOOKUP(Table4[[#This Row],[Visitor]],'NHL Model'!$A$6:$B$38,2,FALSE)</f>
        <v>-0.4992069962886943</v>
      </c>
      <c r="J799">
        <f>($B$1+Table4[[#This Row],[Home Differential]])-Table4[[#This Row],[Away Differential]]</f>
        <v>0.18336091988062769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0.51813706919303837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-0.69497686531268954</v>
      </c>
      <c r="H800" t="s">
        <v>23</v>
      </c>
      <c r="I800">
        <f>VLOOKUP(Table4[[#This Row],[Visitor]],'NHL Model'!$A$6:$B$38,2,FALSE)</f>
        <v>-1.005023581214965</v>
      </c>
      <c r="J800">
        <f>($B$1+Table4[[#This Row],[Home Differential]])-Table4[[#This Row],[Away Differential]]</f>
        <v>0.51760690069428461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0.61123964148056542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-1.4393526815815083</v>
      </c>
      <c r="H801" t="s">
        <v>36</v>
      </c>
      <c r="I801">
        <f>VLOOKUP(Table4[[#This Row],[Visitor]],'NHL Model'!$A$6:$B$38,2,FALSE)</f>
        <v>-0.49956508239762204</v>
      </c>
      <c r="J801">
        <f>($B$1+Table4[[#This Row],[Home Differential]])-Table4[[#This Row],[Away Differential]]</f>
        <v>-0.73222741439187722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0.5607784448266625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0.16605329280468042</v>
      </c>
      <c r="H802" t="s">
        <v>11</v>
      </c>
      <c r="I802">
        <f>VLOOKUP(Table4[[#This Row],[Visitor]],'NHL Model'!$A$6:$B$38,2,FALSE)</f>
        <v>-0.2184338233275798</v>
      </c>
      <c r="J802">
        <f>($B$1+Table4[[#This Row],[Home Differential]])-Table4[[#This Row],[Away Differential]]</f>
        <v>0.59204730092426927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0.67320105197623259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-1.2993694664931768</v>
      </c>
      <c r="H803" t="s">
        <v>22</v>
      </c>
      <c r="I803">
        <f>VLOOKUP(Table4[[#This Row],[Visitor]],'NHL Model'!$A$6:$B$38,2,FALSE)</f>
        <v>-3.9931837337852071E-3</v>
      </c>
      <c r="J803">
        <f>($B$1+Table4[[#This Row],[Home Differential]])-Table4[[#This Row],[Away Differential]]</f>
        <v>-1.0878160979673825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0.60971907969549155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0.28318004708662448</v>
      </c>
      <c r="H804" t="s">
        <v>37</v>
      </c>
      <c r="I804">
        <f>VLOOKUP(Table4[[#This Row],[Visitor]],'NHL Model'!$A$6:$B$38,2,FALSE)</f>
        <v>3.7016822058700272E-2</v>
      </c>
      <c r="J804">
        <f>($B$1+Table4[[#This Row],[Home Differential]])-Table4[[#This Row],[Away Differential]]</f>
        <v>0.45372340981993331</v>
      </c>
      <c r="K804" t="str">
        <f>IF(Table4[[#This Row],[HomeIce Differential]]&gt;0,Table4[[#This Row],[Home]],Table4[[#This Row],[Visitor]])</f>
        <v>Chicago Blackhawks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0.56244718338097033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1.4229473251234224</v>
      </c>
      <c r="H805" t="s">
        <v>27</v>
      </c>
      <c r="I805">
        <f>VLOOKUP(Table4[[#This Row],[Visitor]],'NHL Model'!$A$6:$B$38,2,FALSE)</f>
        <v>-0.59983976271417982</v>
      </c>
      <c r="J805">
        <f>($B$1+Table4[[#This Row],[Home Differential]])-Table4[[#This Row],[Away Differential]]</f>
        <v>2.2303472726296114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0.9353349915383592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4.3588947679693783E-2</v>
      </c>
      <c r="H806" t="s">
        <v>35</v>
      </c>
      <c r="I806">
        <f>VLOOKUP(Table4[[#This Row],[Visitor]],'NHL Model'!$A$6:$B$38,2,FALSE)</f>
        <v>-1.7049475448313323</v>
      </c>
      <c r="J806">
        <f>($B$1+Table4[[#This Row],[Home Differential]])-Table4[[#This Row],[Away Differential]]</f>
        <v>1.956096677303035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0.81171836979076017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-0.54471700440519322</v>
      </c>
      <c r="H807" t="s">
        <v>31</v>
      </c>
      <c r="I807">
        <f>VLOOKUP(Table4[[#This Row],[Visitor]],'NHL Model'!$A$6:$B$38,2,FALSE)</f>
        <v>0.49887659623169195</v>
      </c>
      <c r="J807">
        <f>($B$1+Table4[[#This Row],[Home Differential]])-Table4[[#This Row],[Away Differential]]</f>
        <v>-0.83603341584487612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0.5696110008715819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-0.41595305630289253</v>
      </c>
      <c r="H808" t="s">
        <v>15</v>
      </c>
      <c r="I808">
        <f>VLOOKUP(Table4[[#This Row],[Visitor]],'NHL Model'!$A$6:$B$38,2,FALSE)</f>
        <v>-0.41117752232850285</v>
      </c>
      <c r="J808">
        <f>($B$1+Table4[[#This Row],[Home Differential]])-Table4[[#This Row],[Away Differential]]</f>
        <v>0.20278465081761943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0.44651445260212919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-0.76384910289376506</v>
      </c>
      <c r="H809" t="s">
        <v>20</v>
      </c>
      <c r="I809">
        <f>VLOOKUP(Table4[[#This Row],[Visitor]],'NHL Model'!$A$6:$B$38,2,FALSE)</f>
        <v>-5.3996763649808116E-4</v>
      </c>
      <c r="J809">
        <f>($B$1+Table4[[#This Row],[Home Differential]])-Table4[[#This Row],[Away Differential]]</f>
        <v>-0.55574895046525785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0.5431559018975729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-0.87761566951859371</v>
      </c>
      <c r="H810" t="s">
        <v>24</v>
      </c>
      <c r="I810">
        <f>VLOOKUP(Table4[[#This Row],[Visitor]],'NHL Model'!$A$6:$B$38,2,FALSE)</f>
        <v>0.27405230796993052</v>
      </c>
      <c r="J810">
        <f>($B$1+Table4[[#This Row],[Home Differential]])-Table4[[#This Row],[Away Differential]]</f>
        <v>-0.94410779269651512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0.63245267872151334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-0.11354210657072454</v>
      </c>
      <c r="H811" t="s">
        <v>18</v>
      </c>
      <c r="I811">
        <f>VLOOKUP(Table4[[#This Row],[Visitor]],'NHL Model'!$A$6:$B$38,2,FALSE)</f>
        <v>-0.69497686531268954</v>
      </c>
      <c r="J811">
        <f>($B$1+Table4[[#This Row],[Home Differential]])-Table4[[#This Row],[Away Differential]]</f>
        <v>0.78899494353397415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0.65404605926926829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-0.58990467102727129</v>
      </c>
      <c r="H812" t="s">
        <v>37</v>
      </c>
      <c r="I812">
        <f>VLOOKUP(Table4[[#This Row],[Visitor]],'NHL Model'!$A$6:$B$38,2,FALSE)</f>
        <v>3.7016822058700272E-2</v>
      </c>
      <c r="J812">
        <f>($B$1+Table4[[#This Row],[Home Differential]])-Table4[[#This Row],[Away Differential]]</f>
        <v>-0.41936130829396245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0.55771783415872189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-1.0049085234729234</v>
      </c>
      <c r="H813" t="s">
        <v>22</v>
      </c>
      <c r="I813">
        <f>VLOOKUP(Table4[[#This Row],[Visitor]],'NHL Model'!$A$6:$B$38,2,FALSE)</f>
        <v>-3.9931837337852071E-3</v>
      </c>
      <c r="J813">
        <f>($B$1+Table4[[#This Row],[Home Differential]])-Table4[[#This Row],[Away Differential]]</f>
        <v>-0.79335515494712905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0.53315475517686139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-0.52340626120007572</v>
      </c>
      <c r="H814" t="s">
        <v>11</v>
      </c>
      <c r="I814">
        <f>VLOOKUP(Table4[[#This Row],[Visitor]],'NHL Model'!$A$6:$B$38,2,FALSE)</f>
        <v>-0.2184338233275798</v>
      </c>
      <c r="J814">
        <f>($B$1+Table4[[#This Row],[Home Differential]])-Table4[[#This Row],[Away Differential]]</f>
        <v>-9.7412253080486816E-2</v>
      </c>
      <c r="K814" t="str">
        <f>IF(Table4[[#This Row],[HomeIce Differential]]&gt;0,Table4[[#This Row],[Home]],Table4[[#This Row],[Visitor]])</f>
        <v>Florida Panthers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0.47340711257125756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-1.4393526815815083</v>
      </c>
      <c r="H815" t="s">
        <v>55</v>
      </c>
      <c r="I815">
        <f>VLOOKUP(Table4[[#This Row],[Visitor]],'NHL Model'!$A$6:$B$38,2,FALSE)</f>
        <v>-0.24431182281386174</v>
      </c>
      <c r="J815">
        <f>($B$1+Table4[[#This Row],[Home Differential]])-Table4[[#This Row],[Away Differential]]</f>
        <v>-0.98748067397563755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0.5959096431841453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-7.6737500378247253E-2</v>
      </c>
      <c r="H816" t="s">
        <v>23</v>
      </c>
      <c r="I816">
        <f>VLOOKUP(Table4[[#This Row],[Visitor]],'NHL Model'!$A$6:$B$38,2,FALSE)</f>
        <v>-1.005023581214965</v>
      </c>
      <c r="J816">
        <f>($B$1+Table4[[#This Row],[Home Differential]])-Table4[[#This Row],[Away Differential]]</f>
        <v>1.1358462656287269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0.69632960192743254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-0.49956508239762204</v>
      </c>
      <c r="H817" t="s">
        <v>25</v>
      </c>
      <c r="I817">
        <f>VLOOKUP(Table4[[#This Row],[Visitor]],'NHL Model'!$A$6:$B$38,2,FALSE)</f>
        <v>0.55298967972810642</v>
      </c>
      <c r="J817">
        <f>($B$1+Table4[[#This Row],[Home Differential]])-Table4[[#This Row],[Away Differential]]</f>
        <v>-0.8449945773337193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0.65476043374583925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-1.7049475448313323</v>
      </c>
      <c r="H818" t="s">
        <v>13</v>
      </c>
      <c r="I818">
        <f>VLOOKUP(Table4[[#This Row],[Visitor]],'NHL Model'!$A$6:$B$38,2,FALSE)</f>
        <v>-0.16069632687214722</v>
      </c>
      <c r="J818">
        <f>($B$1+Table4[[#This Row],[Home Differential]])-Table4[[#This Row],[Away Differential]]</f>
        <v>-1.3366910331671757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0.7457701647791285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0.16605329280468042</v>
      </c>
      <c r="H819" t="s">
        <v>26</v>
      </c>
      <c r="I819">
        <f>VLOOKUP(Table4[[#This Row],[Visitor]],'NHL Model'!$A$6:$B$38,2,FALSE)</f>
        <v>-0.4992069962886943</v>
      </c>
      <c r="J819">
        <f>($B$1+Table4[[#This Row],[Home Differential]])-Table4[[#This Row],[Away Differential]]</f>
        <v>0.87282047388538375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0.66558319434444324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-1.2993694664931768</v>
      </c>
      <c r="H820" t="s">
        <v>31</v>
      </c>
      <c r="I820">
        <f>VLOOKUP(Table4[[#This Row],[Visitor]],'NHL Model'!$A$6:$B$38,2,FALSE)</f>
        <v>0.49887659623169195</v>
      </c>
      <c r="J820">
        <f>($B$1+Table4[[#This Row],[Home Differential]])-Table4[[#This Row],[Away Differential]]</f>
        <v>-1.5906858779328596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0.69969964205264934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0.28318004708662448</v>
      </c>
      <c r="H821" t="s">
        <v>11</v>
      </c>
      <c r="I821">
        <f>VLOOKUP(Table4[[#This Row],[Visitor]],'NHL Model'!$A$6:$B$38,2,FALSE)</f>
        <v>-0.2184338233275798</v>
      </c>
      <c r="J821">
        <f>($B$1+Table4[[#This Row],[Home Differential]])-Table4[[#This Row],[Away Differential]]</f>
        <v>0.70917405520621335</v>
      </c>
      <c r="K821" t="str">
        <f>IF(Table4[[#This Row],[HomeIce Differential]]&gt;0,Table4[[#This Row],[Home]],Table4[[#This Row],[Visitor]])</f>
        <v>Chicago Blackhawks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0.64465150034171592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-0.49956508239762204</v>
      </c>
      <c r="H822" t="s">
        <v>20</v>
      </c>
      <c r="I822">
        <f>VLOOKUP(Table4[[#This Row],[Visitor]],'NHL Model'!$A$6:$B$38,2,FALSE)</f>
        <v>-5.3996763649808116E-4</v>
      </c>
      <c r="J822">
        <f>($B$1+Table4[[#This Row],[Home Differential]])-Table4[[#This Row],[Away Differential]]</f>
        <v>-0.29146492996911483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0.51837597832305382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-0.54471700440519322</v>
      </c>
      <c r="H823" t="s">
        <v>24</v>
      </c>
      <c r="I823">
        <f>VLOOKUP(Table4[[#This Row],[Visitor]],'NHL Model'!$A$6:$B$38,2,FALSE)</f>
        <v>0.27405230796993052</v>
      </c>
      <c r="J823">
        <f>($B$1+Table4[[#This Row],[Home Differential]])-Table4[[#This Row],[Away Differential]]</f>
        <v>-0.61120912758311463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0.56031284600483788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-0.76384910289376506</v>
      </c>
      <c r="H824" t="s">
        <v>12</v>
      </c>
      <c r="I824">
        <f>VLOOKUP(Table4[[#This Row],[Visitor]],'NHL Model'!$A$6:$B$38,2,FALSE)</f>
        <v>1.4229473251234224</v>
      </c>
      <c r="J824">
        <f>($B$1+Table4[[#This Row],[Home Differential]])-Table4[[#This Row],[Away Differential]]</f>
        <v>-1.9792362432251784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0.78460277374947496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-0.87761566951859371</v>
      </c>
      <c r="H825" t="s">
        <v>14</v>
      </c>
      <c r="I825">
        <f>VLOOKUP(Table4[[#This Row],[Visitor]],'NHL Model'!$A$6:$B$38,2,FALSE)</f>
        <v>0.19812979206825923</v>
      </c>
      <c r="J825">
        <f>($B$1+Table4[[#This Row],[Home Differential]])-Table4[[#This Row],[Away Differential]]</f>
        <v>-0.86818527679484381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0.57949069414377896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-0.58990467102727129</v>
      </c>
      <c r="H826" t="s">
        <v>13</v>
      </c>
      <c r="I826">
        <f>VLOOKUP(Table4[[#This Row],[Visitor]],'NHL Model'!$A$6:$B$38,2,FALSE)</f>
        <v>-0.16069632687214722</v>
      </c>
      <c r="J826">
        <f>($B$1+Table4[[#This Row],[Home Differential]])-Table4[[#This Row],[Away Differential]]</f>
        <v>-0.22164815936311497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0.58530055782580159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-1.0049085234729234</v>
      </c>
      <c r="H827" t="s">
        <v>31</v>
      </c>
      <c r="I827">
        <f>VLOOKUP(Table4[[#This Row],[Visitor]],'NHL Model'!$A$6:$B$38,2,FALSE)</f>
        <v>0.49887659623169195</v>
      </c>
      <c r="J827">
        <f>($B$1+Table4[[#This Row],[Home Differential]])-Table4[[#This Row],[Away Differential]]</f>
        <v>-1.2962249349126063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0.62284739756867991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-0.41117752232850285</v>
      </c>
      <c r="H828" t="s">
        <v>21</v>
      </c>
      <c r="I828">
        <f>VLOOKUP(Table4[[#This Row],[Visitor]],'NHL Model'!$A$6:$B$38,2,FALSE)</f>
        <v>-0.11354210657072454</v>
      </c>
      <c r="J828">
        <f>($B$1+Table4[[#This Row],[Home Differential]])-Table4[[#This Row],[Away Differential]]</f>
        <v>-9.0075230965769207E-2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0.47239729831977373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-0.59983976271417982</v>
      </c>
      <c r="H829" t="s">
        <v>30</v>
      </c>
      <c r="I829">
        <f>VLOOKUP(Table4[[#This Row],[Visitor]],'NHL Model'!$A$6:$B$38,2,FALSE)</f>
        <v>-7.6737500378247253E-2</v>
      </c>
      <c r="J829">
        <f>($B$1+Table4[[#This Row],[Home Differential]])-Table4[[#This Row],[Away Differential]]</f>
        <v>-0.31554207754392349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0.56020743536516071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3.7016822058700272E-2</v>
      </c>
      <c r="H830" t="s">
        <v>55</v>
      </c>
      <c r="I830">
        <f>VLOOKUP(Table4[[#This Row],[Visitor]],'NHL Model'!$A$6:$B$38,2,FALSE)</f>
        <v>-0.24431182281386174</v>
      </c>
      <c r="J830">
        <f>($B$1+Table4[[#This Row],[Home Differential]])-Table4[[#This Row],[Away Differential]]</f>
        <v>0.48888882966457115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0.60728709548199777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-0.11354210657072454</v>
      </c>
      <c r="H831" t="s">
        <v>29</v>
      </c>
      <c r="I831">
        <f>VLOOKUP(Table4[[#This Row],[Visitor]],'NHL Model'!$A$6:$B$38,2,FALSE)</f>
        <v>-1.4393526815815083</v>
      </c>
      <c r="J831">
        <f>($B$1+Table4[[#This Row],[Home Differential]])-Table4[[#This Row],[Away Differential]]</f>
        <v>1.5333707598027928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0.80275795246925608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-0.4992069962886943</v>
      </c>
      <c r="H832" t="s">
        <v>13</v>
      </c>
      <c r="I832">
        <f>VLOOKUP(Table4[[#This Row],[Visitor]],'NHL Model'!$A$6:$B$38,2,FALSE)</f>
        <v>-0.16069632687214722</v>
      </c>
      <c r="J832">
        <f>($B$1+Table4[[#This Row],[Home Differential]])-Table4[[#This Row],[Away Differential]]</f>
        <v>-0.13095048462453798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0.5390757019125253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-0.2184338233275798</v>
      </c>
      <c r="H833" t="s">
        <v>55</v>
      </c>
      <c r="I833">
        <f>VLOOKUP(Table4[[#This Row],[Visitor]],'NHL Model'!$A$6:$B$38,2,FALSE)</f>
        <v>-0.24431182281386174</v>
      </c>
      <c r="J833">
        <f>($B$1+Table4[[#This Row],[Home Differential]])-Table4[[#This Row],[Away Differential]]</f>
        <v>0.23343818427829105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0.6355770062432774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-0.52340626120007572</v>
      </c>
      <c r="H834" t="s">
        <v>10</v>
      </c>
      <c r="I834">
        <f>VLOOKUP(Table4[[#This Row],[Visitor]],'NHL Model'!$A$6:$B$38,2,FALSE)</f>
        <v>0.28318004708662448</v>
      </c>
      <c r="J834">
        <f>($B$1+Table4[[#This Row],[Home Differential]])-Table4[[#This Row],[Away Differential]]</f>
        <v>-0.59902612349469109</v>
      </c>
      <c r="K834" t="str">
        <f>IF(Table4[[#This Row],[HomeIce Differential]]&gt;0,Table4[[#This Row],[Home]],Table4[[#This Row],[Visitor]])</f>
        <v>Chicago Blackhawks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0.56321482069087592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-0.69497686531268954</v>
      </c>
      <c r="H835" t="s">
        <v>20</v>
      </c>
      <c r="I835">
        <f>VLOOKUP(Table4[[#This Row],[Visitor]],'NHL Model'!$A$6:$B$38,2,FALSE)</f>
        <v>-5.3996763649808116E-4</v>
      </c>
      <c r="J835">
        <f>($B$1+Table4[[#This Row],[Home Differential]])-Table4[[#This Row],[Away Differential]]</f>
        <v>-0.48687671288418233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0.54777939316192914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0.27405230796993052</v>
      </c>
      <c r="H836" t="s">
        <v>40</v>
      </c>
      <c r="I836">
        <f>VLOOKUP(Table4[[#This Row],[Visitor]],'NHL Model'!$A$6:$B$38,2,FALSE)</f>
        <v>0.16605329280468042</v>
      </c>
      <c r="J836">
        <f>($B$1+Table4[[#This Row],[Home Differential]])-Table4[[#This Row],[Away Differential]]</f>
        <v>0.31555919995725923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0.63665160746246163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-0.54471700440519322</v>
      </c>
      <c r="H837" t="s">
        <v>22</v>
      </c>
      <c r="I837">
        <f>VLOOKUP(Table4[[#This Row],[Visitor]],'NHL Model'!$A$6:$B$38,2,FALSE)</f>
        <v>-3.9931837337852071E-3</v>
      </c>
      <c r="J837">
        <f>($B$1+Table4[[#This Row],[Home Differential]])-Table4[[#This Row],[Away Differential]]</f>
        <v>-0.3331636358793989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0.47981647888914364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-1.7049475448313323</v>
      </c>
      <c r="H838" t="s">
        <v>39</v>
      </c>
      <c r="I838">
        <f>VLOOKUP(Table4[[#This Row],[Visitor]],'NHL Model'!$A$6:$B$38,2,FALSE)</f>
        <v>4.3588947679693783E-2</v>
      </c>
      <c r="J838">
        <f>($B$1+Table4[[#This Row],[Home Differential]])-Table4[[#This Row],[Away Differential]]</f>
        <v>-1.5409763077190168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0.76457493616898009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-0.76384910289376506</v>
      </c>
      <c r="H839" t="s">
        <v>23</v>
      </c>
      <c r="I839">
        <f>VLOOKUP(Table4[[#This Row],[Visitor]],'NHL Model'!$A$6:$B$38,2,FALSE)</f>
        <v>-1.005023581214965</v>
      </c>
      <c r="J839">
        <f>($B$1+Table4[[#This Row],[Home Differential]])-Table4[[#This Row],[Away Differential]]</f>
        <v>0.44873466311320909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0.61577718914097257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-0.87761566951859371</v>
      </c>
      <c r="H840" t="s">
        <v>33</v>
      </c>
      <c r="I840">
        <f>VLOOKUP(Table4[[#This Row],[Visitor]],'NHL Model'!$A$6:$B$38,2,FALSE)</f>
        <v>-0.41595305630289253</v>
      </c>
      <c r="J840">
        <f>($B$1+Table4[[#This Row],[Home Differential]])-Table4[[#This Row],[Away Differential]]</f>
        <v>-0.25410242842369207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0.4949728063438949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-0.58990467102727129</v>
      </c>
      <c r="H841" t="s">
        <v>27</v>
      </c>
      <c r="I841">
        <f>VLOOKUP(Table4[[#This Row],[Visitor]],'NHL Model'!$A$6:$B$38,2,FALSE)</f>
        <v>-0.59983976271417982</v>
      </c>
      <c r="J841">
        <f>($B$1+Table4[[#This Row],[Home Differential]])-Table4[[#This Row],[Away Differential]]</f>
        <v>0.21749527647891764</v>
      </c>
      <c r="K841" t="str">
        <f>IF(Table4[[#This Row],[HomeIce Differential]]&gt;0,Table4[[#This Row],[Home]],Table4[[#This Row],[Visitor]])</f>
        <v>Columbus Blue Jackets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0.57698041660393773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-7.6737500378247253E-2</v>
      </c>
      <c r="H842" t="s">
        <v>15</v>
      </c>
      <c r="I842">
        <f>VLOOKUP(Table4[[#This Row],[Visitor]],'NHL Model'!$A$6:$B$38,2,FALSE)</f>
        <v>-0.41117752232850285</v>
      </c>
      <c r="J842">
        <f>($B$1+Table4[[#This Row],[Home Differential]])-Table4[[#This Row],[Away Differential]]</f>
        <v>0.54200020674226468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0.49320160950882463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-0.49956508239762204</v>
      </c>
      <c r="H843" t="s">
        <v>12</v>
      </c>
      <c r="I843">
        <f>VLOOKUP(Table4[[#This Row],[Visitor]],'NHL Model'!$A$6:$B$38,2,FALSE)</f>
        <v>1.4229473251234224</v>
      </c>
      <c r="J843">
        <f>($B$1+Table4[[#This Row],[Home Differential]])-Table4[[#This Row],[Away Differential]]</f>
        <v>-1.7149522227290352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0.75984304913470924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-0.11354210657072454</v>
      </c>
      <c r="H844" t="s">
        <v>27</v>
      </c>
      <c r="I844">
        <f>VLOOKUP(Table4[[#This Row],[Visitor]],'NHL Model'!$A$6:$B$38,2,FALSE)</f>
        <v>-0.59983976271417982</v>
      </c>
      <c r="J844">
        <f>($B$1+Table4[[#This Row],[Home Differential]])-Table4[[#This Row],[Away Differential]]</f>
        <v>0.69385784093546443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0.68721351270581643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-1.005023581214965</v>
      </c>
      <c r="H845" t="s">
        <v>13</v>
      </c>
      <c r="I845">
        <f>VLOOKUP(Table4[[#This Row],[Visitor]],'NHL Model'!$A$6:$B$38,2,FALSE)</f>
        <v>-0.16069632687214722</v>
      </c>
      <c r="J845">
        <f>($B$1+Table4[[#This Row],[Home Differential]])-Table4[[#This Row],[Away Differential]]</f>
        <v>-0.63676706955080875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0.64943773148891504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0.55298967972810642</v>
      </c>
      <c r="H846" t="s">
        <v>55</v>
      </c>
      <c r="I846">
        <f>VLOOKUP(Table4[[#This Row],[Visitor]],'NHL Model'!$A$6:$B$38,2,FALSE)</f>
        <v>-0.24431182281386174</v>
      </c>
      <c r="J846">
        <f>($B$1+Table4[[#This Row],[Home Differential]])-Table4[[#This Row],[Away Differential]]</f>
        <v>1.0048616873339773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0.73001781552092293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-0.4992069962886943</v>
      </c>
      <c r="H847" t="s">
        <v>22</v>
      </c>
      <c r="I847">
        <f>VLOOKUP(Table4[[#This Row],[Visitor]],'NHL Model'!$A$6:$B$38,2,FALSE)</f>
        <v>-3.9931837337852071E-3</v>
      </c>
      <c r="J847">
        <f>($B$1+Table4[[#This Row],[Home Differential]])-Table4[[#This Row],[Away Differential]]</f>
        <v>-0.28765362776289999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0.45915937145292829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-1.0049085234729234</v>
      </c>
      <c r="H848" t="s">
        <v>33</v>
      </c>
      <c r="I848">
        <f>VLOOKUP(Table4[[#This Row],[Visitor]],'NHL Model'!$A$6:$B$38,2,FALSE)</f>
        <v>-0.41595305630289253</v>
      </c>
      <c r="J848">
        <f>($B$1+Table4[[#This Row],[Home Differential]])-Table4[[#This Row],[Away Differential]]</f>
        <v>-0.38139528237802173</v>
      </c>
      <c r="K848" t="str">
        <f>IF(Table4[[#This Row],[HomeIce Differential]]&gt;0,Table4[[#This Row],[Home]],Table4[[#This Row],[Visitor]])</f>
        <v>San Jose Sharks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0.47645560068947485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-0.52340626120007572</v>
      </c>
      <c r="H849" t="s">
        <v>16</v>
      </c>
      <c r="I849">
        <f>VLOOKUP(Table4[[#This Row],[Visitor]],'NHL Model'!$A$6:$B$38,2,FALSE)</f>
        <v>-1.2993694664931768</v>
      </c>
      <c r="J849">
        <f>($B$1+Table4[[#This Row],[Home Differential]])-Table4[[#This Row],[Away Differential]]</f>
        <v>0.98352339008511014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0.6753649914702291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-0.69497686531268954</v>
      </c>
      <c r="H850" t="s">
        <v>12</v>
      </c>
      <c r="I850">
        <f>VLOOKUP(Table4[[#This Row],[Visitor]],'NHL Model'!$A$6:$B$38,2,FALSE)</f>
        <v>1.4229473251234224</v>
      </c>
      <c r="J850">
        <f>($B$1+Table4[[#This Row],[Home Differential]])-Table4[[#This Row],[Away Differential]]</f>
        <v>-1.9103640056441029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0.7892443684337318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0.27405230796993052</v>
      </c>
      <c r="H851" t="s">
        <v>29</v>
      </c>
      <c r="I851">
        <f>VLOOKUP(Table4[[#This Row],[Visitor]],'NHL Model'!$A$6:$B$38,2,FALSE)</f>
        <v>-1.4393526815815083</v>
      </c>
      <c r="J851">
        <f>($B$1+Table4[[#This Row],[Home Differential]])-Table4[[#This Row],[Away Differential]]</f>
        <v>1.9209651743434479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0.91981835816875113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-0.41117752232850285</v>
      </c>
      <c r="H852" t="s">
        <v>30</v>
      </c>
      <c r="I852">
        <f>VLOOKUP(Table4[[#This Row],[Visitor]],'NHL Model'!$A$6:$B$38,2,FALSE)</f>
        <v>-7.6737500378247253E-2</v>
      </c>
      <c r="J852">
        <f>($B$1+Table4[[#This Row],[Home Differential]])-Table4[[#This Row],[Away Differential]]</f>
        <v>-0.12687983715824649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0.53675064991118304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0.19812979206825923</v>
      </c>
      <c r="H853" t="s">
        <v>10</v>
      </c>
      <c r="I853">
        <f>VLOOKUP(Table4[[#This Row],[Visitor]],'NHL Model'!$A$6:$B$38,2,FALSE)</f>
        <v>0.28318004708662448</v>
      </c>
      <c r="J853">
        <f>($B$1+Table4[[#This Row],[Home Differential]])-Table4[[#This Row],[Away Differential]]</f>
        <v>0.12250992977364383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0.57241692943441436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-0.54471700440519322</v>
      </c>
      <c r="H854" t="s">
        <v>19</v>
      </c>
      <c r="I854">
        <f>VLOOKUP(Table4[[#This Row],[Visitor]],'NHL Model'!$A$6:$B$38,2,FALSE)</f>
        <v>-0.76384910289376506</v>
      </c>
      <c r="J854">
        <f>($B$1+Table4[[#This Row],[Home Differential]])-Table4[[#This Row],[Away Differential]]</f>
        <v>0.42669228328058095</v>
      </c>
      <c r="K854" t="str">
        <f>IF(Table4[[#This Row],[HomeIce Differential]]&gt;0,Table4[[#This Row],[Home]],Table4[[#This Row],[Visitor]])</f>
        <v>Seattle Kraken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0.6247645519766224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-1.7049475448313323</v>
      </c>
      <c r="H855" t="s">
        <v>11</v>
      </c>
      <c r="I855">
        <f>VLOOKUP(Table4[[#This Row],[Visitor]],'NHL Model'!$A$6:$B$38,2,FALSE)</f>
        <v>-0.2184338233275798</v>
      </c>
      <c r="J855">
        <f>($B$1+Table4[[#This Row],[Home Differential]])-Table4[[#This Row],[Away Differential]]</f>
        <v>-1.2789535367117433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0.63602584375021609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3.7016822058700272E-2</v>
      </c>
      <c r="H856" t="s">
        <v>40</v>
      </c>
      <c r="I856">
        <f>VLOOKUP(Table4[[#This Row],[Visitor]],'NHL Model'!$A$6:$B$38,2,FALSE)</f>
        <v>0.16605329280468042</v>
      </c>
      <c r="J856">
        <f>($B$1+Table4[[#This Row],[Home Differential]])-Table4[[#This Row],[Away Differential]]</f>
        <v>7.8523714046028953E-2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0.48449164224497737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-0.87761566951859371</v>
      </c>
      <c r="H857" t="s">
        <v>31</v>
      </c>
      <c r="I857">
        <f>VLOOKUP(Table4[[#This Row],[Visitor]],'NHL Model'!$A$6:$B$38,2,FALSE)</f>
        <v>0.49887659623169195</v>
      </c>
      <c r="J857">
        <f>($B$1+Table4[[#This Row],[Home Differential]])-Table4[[#This Row],[Away Differential]]</f>
        <v>-1.1689320809582766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0.64165252318843935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-5.3996763649808116E-4</v>
      </c>
      <c r="H858" t="s">
        <v>39</v>
      </c>
      <c r="I858">
        <f>VLOOKUP(Table4[[#This Row],[Visitor]],'NHL Model'!$A$6:$B$38,2,FALSE)</f>
        <v>4.3588947679693783E-2</v>
      </c>
      <c r="J858">
        <f>($B$1+Table4[[#This Row],[Home Differential]])-Table4[[#This Row],[Away Differential]]</f>
        <v>0.16343126947581724</v>
      </c>
      <c r="K858" t="str">
        <f>IF(Table4[[#This Row],[HomeIce Differential]]&gt;0,Table4[[#This Row],[Home]],Table4[[#This Row],[Visitor]])</f>
        <v>Vegas Golden Knights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0.47000730099449722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0.28318004708662448</v>
      </c>
      <c r="H859" t="s">
        <v>28</v>
      </c>
      <c r="I859">
        <f>VLOOKUP(Table4[[#This Row],[Visitor]],'NHL Model'!$A$6:$B$38,2,FALSE)</f>
        <v>-0.58990467102727129</v>
      </c>
      <c r="J859">
        <f>($B$1+Table4[[#This Row],[Home Differential]])-Table4[[#This Row],[Away Differential]]</f>
        <v>1.0806449029059049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0.69577804053102055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-1.005023581214965</v>
      </c>
      <c r="H860" t="s">
        <v>18</v>
      </c>
      <c r="I860">
        <f>VLOOKUP(Table4[[#This Row],[Visitor]],'NHL Model'!$A$6:$B$38,2,FALSE)</f>
        <v>-0.69497686531268954</v>
      </c>
      <c r="J860">
        <f>($B$1+Table4[[#This Row],[Home Differential]])-Table4[[#This Row],[Away Differential]]</f>
        <v>-0.1024865311102664</v>
      </c>
      <c r="K860" t="str">
        <f>IF(Table4[[#This Row],[HomeIce Differential]]&gt;0,Table4[[#This Row],[Home]],Table4[[#This Row],[Visitor]])</f>
        <v>Montreal Canadiens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0.52120489069855169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-1.2993694664931768</v>
      </c>
      <c r="H861" t="s">
        <v>33</v>
      </c>
      <c r="I861">
        <f>VLOOKUP(Table4[[#This Row],[Visitor]],'NHL Model'!$A$6:$B$38,2,FALSE)</f>
        <v>-0.41595305630289253</v>
      </c>
      <c r="J861">
        <f>($B$1+Table4[[#This Row],[Home Differential]])-Table4[[#This Row],[Away Differential]]</f>
        <v>-0.67585622539827517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0.55301992520810495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-0.4992069962886943</v>
      </c>
      <c r="H862" t="s">
        <v>12</v>
      </c>
      <c r="I862">
        <f>VLOOKUP(Table4[[#This Row],[Visitor]],'NHL Model'!$A$6:$B$38,2,FALSE)</f>
        <v>1.4229473251234224</v>
      </c>
      <c r="J862">
        <f>($B$1+Table4[[#This Row],[Home Differential]])-Table4[[#This Row],[Away Differential]]</f>
        <v>-1.7145941366201076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0.72127835860995138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-1.0049085234729234</v>
      </c>
      <c r="H863" t="s">
        <v>34</v>
      </c>
      <c r="I863">
        <f>VLOOKUP(Table4[[#This Row],[Visitor]],'NHL Model'!$A$6:$B$38,2,FALSE)</f>
        <v>-0.52340626120007572</v>
      </c>
      <c r="J863">
        <f>($B$1+Table4[[#This Row],[Home Differential]])-Table4[[#This Row],[Away Differential]]</f>
        <v>-0.27394207748083854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0.461666524688855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-0.2184338233275798</v>
      </c>
      <c r="H864" t="s">
        <v>40</v>
      </c>
      <c r="I864">
        <f>VLOOKUP(Table4[[#This Row],[Visitor]],'NHL Model'!$A$6:$B$38,2,FALSE)</f>
        <v>0.16605329280468042</v>
      </c>
      <c r="J864">
        <f>($B$1+Table4[[#This Row],[Home Differential]])-Table4[[#This Row],[Away Differential]]</f>
        <v>-0.17692693134025111</v>
      </c>
      <c r="K864" t="str">
        <f>IF(Table4[[#This Row],[HomeIce Differential]]&gt;0,Table4[[#This Row],[Home]],Table4[[#This Row],[Visitor]])</f>
        <v>Winnipeg Jets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0.48588939492058925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-7.6737500378247253E-2</v>
      </c>
      <c r="H865" t="s">
        <v>29</v>
      </c>
      <c r="I865">
        <f>VLOOKUP(Table4[[#This Row],[Visitor]],'NHL Model'!$A$6:$B$38,2,FALSE)</f>
        <v>-1.4393526815815083</v>
      </c>
      <c r="J865">
        <f>($B$1+Table4[[#This Row],[Home Differential]])-Table4[[#This Row],[Away Differential]]</f>
        <v>1.5701753659952702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0.75610749390141152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-0.49956508239762204</v>
      </c>
      <c r="H866" t="s">
        <v>24</v>
      </c>
      <c r="I866">
        <f>VLOOKUP(Table4[[#This Row],[Visitor]],'NHL Model'!$A$6:$B$38,2,FALSE)</f>
        <v>0.27405230796993052</v>
      </c>
      <c r="J866">
        <f>($B$1+Table4[[#This Row],[Home Differential]])-Table4[[#This Row],[Away Differential]]</f>
        <v>-0.56605720557554351</v>
      </c>
      <c r="K866" t="str">
        <f>IF(Table4[[#This Row],[HomeIce Differential]]&gt;0,Table4[[#This Row],[Home]],Table4[[#This Row],[Visitor]])</f>
        <v>New Jersey Devils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0.57790798833748569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-0.59983976271417982</v>
      </c>
      <c r="H867" t="s">
        <v>13</v>
      </c>
      <c r="I867">
        <f>VLOOKUP(Table4[[#This Row],[Visitor]],'NHL Model'!$A$6:$B$38,2,FALSE)</f>
        <v>-0.16069632687214722</v>
      </c>
      <c r="J867">
        <f>($B$1+Table4[[#This Row],[Home Differential]])-Table4[[#This Row],[Away Differential]]</f>
        <v>-0.2315832510500235</v>
      </c>
      <c r="K867" t="str">
        <f>IF(Table4[[#This Row],[HomeIce Differential]]&gt;0,Table4[[#This Row],[Home]],Table4[[#This Row],[Visitor]])</f>
        <v>Los Angeles Kings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0.59119546478877094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0.19812979206825923</v>
      </c>
      <c r="H868" t="s">
        <v>15</v>
      </c>
      <c r="I868">
        <f>VLOOKUP(Table4[[#This Row],[Visitor]],'NHL Model'!$A$6:$B$38,2,FALSE)</f>
        <v>-0.41117752232850285</v>
      </c>
      <c r="J868">
        <f>($B$1+Table4[[#This Row],[Home Differential]])-Table4[[#This Row],[Away Differential]]</f>
        <v>0.81686749918877122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0.566973143784677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-1.7049475448313323</v>
      </c>
      <c r="H869" t="s">
        <v>28</v>
      </c>
      <c r="I869">
        <f>VLOOKUP(Table4[[#This Row],[Visitor]],'NHL Model'!$A$6:$B$38,2,FALSE)</f>
        <v>-0.58990467102727129</v>
      </c>
      <c r="J869">
        <f>($B$1+Table4[[#This Row],[Home Differential]])-Table4[[#This Row],[Away Differential]]</f>
        <v>-0.90748268901205176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0.58489930356091147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-0.24431182281386174</v>
      </c>
      <c r="H870" t="s">
        <v>39</v>
      </c>
      <c r="I870">
        <f>VLOOKUP(Table4[[#This Row],[Visitor]],'NHL Model'!$A$6:$B$38,2,FALSE)</f>
        <v>4.3588947679693783E-2</v>
      </c>
      <c r="J870">
        <f>($B$1+Table4[[#This Row],[Home Differential]])-Table4[[#This Row],[Away Differential]]</f>
        <v>-8.0340585701546424E-2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0.49381611338157977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-0.87761566951859371</v>
      </c>
      <c r="H871" t="s">
        <v>19</v>
      </c>
      <c r="I871">
        <f>VLOOKUP(Table4[[#This Row],[Visitor]],'NHL Model'!$A$6:$B$38,2,FALSE)</f>
        <v>-0.76384910289376506</v>
      </c>
      <c r="J871">
        <f>($B$1+Table4[[#This Row],[Home Differential]])-Table4[[#This Row],[Away Differential]]</f>
        <v>9.3793618167180459E-2</v>
      </c>
      <c r="K871" t="str">
        <f>IF(Table4[[#This Row],[HomeIce Differential]]&gt;0,Table4[[#This Row],[Home]],Table4[[#This Row],[Visitor]])</f>
        <v>Vancouver Canucks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0.55290907003448453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-5.3996763649808116E-4</v>
      </c>
      <c r="H872" t="s">
        <v>32</v>
      </c>
      <c r="I872">
        <f>VLOOKUP(Table4[[#This Row],[Visitor]],'NHL Model'!$A$6:$B$38,2,FALSE)</f>
        <v>-0.54471700440519322</v>
      </c>
      <c r="J872">
        <f>($B$1+Table4[[#This Row],[Home Differential]])-Table4[[#This Row],[Away Differential]]</f>
        <v>0.75173722156070422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0.64346363249745653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-3.9931837337852071E-3</v>
      </c>
      <c r="H873" t="s">
        <v>25</v>
      </c>
      <c r="I873">
        <f>VLOOKUP(Table4[[#This Row],[Visitor]],'NHL Model'!$A$6:$B$38,2,FALSE)</f>
        <v>0.55298967972810642</v>
      </c>
      <c r="J873">
        <f>($B$1+Table4[[#This Row],[Home Differential]])-Table4[[#This Row],[Away Differential]]</f>
        <v>-0.34942267866988252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0.5865535293531432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0.49887659623169195</v>
      </c>
      <c r="H874" t="s">
        <v>20</v>
      </c>
      <c r="I874">
        <f>VLOOKUP(Table4[[#This Row],[Visitor]],'NHL Model'!$A$6:$B$38,2,FALSE)</f>
        <v>-5.3996763649808116E-4</v>
      </c>
      <c r="J874">
        <f>($B$1+Table4[[#This Row],[Home Differential]])-Table4[[#This Row],[Away Differential]]</f>
        <v>0.70697674866019922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0.73366676358642324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0.55298967972810642</v>
      </c>
      <c r="H875" t="s">
        <v>13</v>
      </c>
      <c r="I875">
        <f>VLOOKUP(Table4[[#This Row],[Visitor]],'NHL Model'!$A$6:$B$38,2,FALSE)</f>
        <v>-0.16069632687214722</v>
      </c>
      <c r="J875">
        <f>($B$1+Table4[[#This Row],[Home Differential]])-Table4[[#This Row],[Away Differential]]</f>
        <v>0.92124619139226271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0.61735964945565081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3.7016822058700272E-2</v>
      </c>
      <c r="H876" t="s">
        <v>21</v>
      </c>
      <c r="I876">
        <f>VLOOKUP(Table4[[#This Row],[Visitor]],'NHL Model'!$A$6:$B$38,2,FALSE)</f>
        <v>-0.11354210657072454</v>
      </c>
      <c r="J876">
        <f>($B$1+Table4[[#This Row],[Home Differential]])-Table4[[#This Row],[Away Differential]]</f>
        <v>0.35811911342143393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0.58928890479099172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-1.2993694664931768</v>
      </c>
      <c r="H877" t="s">
        <v>19</v>
      </c>
      <c r="I877">
        <f>VLOOKUP(Table4[[#This Row],[Visitor]],'NHL Model'!$A$6:$B$38,2,FALSE)</f>
        <v>-0.76384910289376506</v>
      </c>
      <c r="J877">
        <f>($B$1+Table4[[#This Row],[Home Differential]])-Table4[[#This Row],[Away Differential]]</f>
        <v>-0.32796017880740269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0.50513804882972546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0.28318004708662448</v>
      </c>
      <c r="H878" t="s">
        <v>33</v>
      </c>
      <c r="I878">
        <f>VLOOKUP(Table4[[#This Row],[Visitor]],'NHL Model'!$A$6:$B$38,2,FALSE)</f>
        <v>-0.41595305630289253</v>
      </c>
      <c r="J878">
        <f>($B$1+Table4[[#This Row],[Home Differential]])-Table4[[#This Row],[Away Differential]]</f>
        <v>0.90669328818152617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0.67183660804372558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1.4229473251234224</v>
      </c>
      <c r="H879" t="s">
        <v>26</v>
      </c>
      <c r="I879">
        <f>VLOOKUP(Table4[[#This Row],[Visitor]],'NHL Model'!$A$6:$B$38,2,FALSE)</f>
        <v>-0.4992069962886943</v>
      </c>
      <c r="J879">
        <f>($B$1+Table4[[#This Row],[Home Differential]])-Table4[[#This Row],[Away Differential]]</f>
        <v>2.1297145062041256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0.87645171655896981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4.3588947679693783E-2</v>
      </c>
      <c r="H880" t="s">
        <v>40</v>
      </c>
      <c r="I880">
        <f>VLOOKUP(Table4[[#This Row],[Visitor]],'NHL Model'!$A$6:$B$38,2,FALSE)</f>
        <v>0.16605329280468042</v>
      </c>
      <c r="J880">
        <f>($B$1+Table4[[#This Row],[Home Differential]])-Table4[[#This Row],[Away Differential]]</f>
        <v>8.5095839667022471E-2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0.4879024473818086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-0.2184338233275798</v>
      </c>
      <c r="H881" t="s">
        <v>23</v>
      </c>
      <c r="I881">
        <f>VLOOKUP(Table4[[#This Row],[Visitor]],'NHL Model'!$A$6:$B$38,2,FALSE)</f>
        <v>-1.005023581214965</v>
      </c>
      <c r="J881">
        <f>($B$1+Table4[[#This Row],[Home Differential]])-Table4[[#This Row],[Away Differential]]</f>
        <v>0.99414994267939438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0.74027582858481555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-0.52340626120007572</v>
      </c>
      <c r="H882" t="s">
        <v>18</v>
      </c>
      <c r="I882">
        <f>VLOOKUP(Table4[[#This Row],[Visitor]],'NHL Model'!$A$6:$B$38,2,FALSE)</f>
        <v>-0.69497686531268954</v>
      </c>
      <c r="J882">
        <f>($B$1+Table4[[#This Row],[Home Differential]])-Table4[[#This Row],[Away Differential]]</f>
        <v>0.37913078890462293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0.54508140719019349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-1.4393526815815083</v>
      </c>
      <c r="H883" t="s">
        <v>35</v>
      </c>
      <c r="I883">
        <f>VLOOKUP(Table4[[#This Row],[Visitor]],'NHL Model'!$A$6:$B$38,2,FALSE)</f>
        <v>-1.7049475448313323</v>
      </c>
      <c r="J883">
        <f>($B$1+Table4[[#This Row],[Home Differential]])-Table4[[#This Row],[Away Differential]]</f>
        <v>0.47315504804183295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0.60512161244760643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0.19812979206825923</v>
      </c>
      <c r="H884" t="s">
        <v>36</v>
      </c>
      <c r="I884">
        <f>VLOOKUP(Table4[[#This Row],[Visitor]],'NHL Model'!$A$6:$B$38,2,FALSE)</f>
        <v>-0.49956508239762204</v>
      </c>
      <c r="J884">
        <f>($B$1+Table4[[#This Row],[Home Differential]])-Table4[[#This Row],[Away Differential]]</f>
        <v>0.90525505925789029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0.70062957519601265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-0.24431182281386174</v>
      </c>
      <c r="H885" t="s">
        <v>38</v>
      </c>
      <c r="I885">
        <f>VLOOKUP(Table4[[#This Row],[Visitor]],'NHL Model'!$A$6:$B$38,2,FALSE)</f>
        <v>-0.87761566951859371</v>
      </c>
      <c r="J885">
        <f>($B$1+Table4[[#This Row],[Home Differential]])-Table4[[#This Row],[Away Differential]]</f>
        <v>0.84086403149674105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0.70396569117645913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-3.9931837337852071E-3</v>
      </c>
      <c r="H886" t="s">
        <v>30</v>
      </c>
      <c r="I886">
        <f>VLOOKUP(Table4[[#This Row],[Visitor]],'NHL Model'!$A$6:$B$38,2,FALSE)</f>
        <v>-7.6737500378247253E-2</v>
      </c>
      <c r="J886">
        <f>($B$1+Table4[[#This Row],[Home Differential]])-Table4[[#This Row],[Away Differential]]</f>
        <v>0.28030450143647112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0.52180054522213015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0.49887659623169195</v>
      </c>
      <c r="H887" t="s">
        <v>32</v>
      </c>
      <c r="I887">
        <f>VLOOKUP(Table4[[#This Row],[Visitor]],'NHL Model'!$A$6:$B$38,2,FALSE)</f>
        <v>-0.54471700440519322</v>
      </c>
      <c r="J887">
        <f>($B$1+Table4[[#This Row],[Home Differential]])-Table4[[#This Row],[Away Differential]]</f>
        <v>1.2511537854288943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0.8276304001993583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0.55298967972810642</v>
      </c>
      <c r="H888" t="s">
        <v>36</v>
      </c>
      <c r="I888">
        <f>VLOOKUP(Table4[[#This Row],[Visitor]],'NHL Model'!$A$6:$B$38,2,FALSE)</f>
        <v>-0.49956508239762204</v>
      </c>
      <c r="J888">
        <f>($B$1+Table4[[#This Row],[Home Differential]])-Table4[[#This Row],[Away Differential]]</f>
        <v>1.2601149469177375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0.76514901387840561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-1.0049085234729234</v>
      </c>
      <c r="H889" t="s">
        <v>19</v>
      </c>
      <c r="I889">
        <f>VLOOKUP(Table4[[#This Row],[Visitor]],'NHL Model'!$A$6:$B$38,2,FALSE)</f>
        <v>-0.76384910289376506</v>
      </c>
      <c r="J889">
        <f>($B$1+Table4[[#This Row],[Home Differential]])-Table4[[#This Row],[Away Differential]]</f>
        <v>-3.3499235787149195E-2</v>
      </c>
      <c r="K889" t="str">
        <f>IF(Table4[[#This Row],[HomeIce Differential]]&gt;0,Table4[[#This Row],[Home]],Table4[[#This Row],[Visitor]])</f>
        <v>Toronto Maple Leafs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0.42857372431109547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0.27405230796993052</v>
      </c>
      <c r="H890" t="s">
        <v>28</v>
      </c>
      <c r="I890">
        <f>VLOOKUP(Table4[[#This Row],[Visitor]],'NHL Model'!$A$6:$B$38,2,FALSE)</f>
        <v>-0.58990467102727129</v>
      </c>
      <c r="J890">
        <f>($B$1+Table4[[#This Row],[Home Differential]])-Table4[[#This Row],[Away Differential]]</f>
        <v>1.0715171637892109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0.80290652479270208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-7.6737500378247253E-2</v>
      </c>
      <c r="H891" t="s">
        <v>14</v>
      </c>
      <c r="I891">
        <f>VLOOKUP(Table4[[#This Row],[Visitor]],'NHL Model'!$A$6:$B$38,2,FALSE)</f>
        <v>0.19812979206825923</v>
      </c>
      <c r="J891">
        <f>($B$1+Table4[[#This Row],[Home Differential]])-Table4[[#This Row],[Away Differential]]</f>
        <v>-6.7307107654497378E-2</v>
      </c>
      <c r="K891" t="str">
        <f>IF(Table4[[#This Row],[HomeIce Differential]]&gt;0,Table4[[#This Row],[Home]],Table4[[#This Row],[Visitor]])</f>
        <v>Pittsburgh Penguins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0.46926365976181655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-0.59983976271417982</v>
      </c>
      <c r="H892" t="s">
        <v>22</v>
      </c>
      <c r="I892">
        <f>VLOOKUP(Table4[[#This Row],[Visitor]],'NHL Model'!$A$6:$B$38,2,FALSE)</f>
        <v>-3.9931837337852071E-3</v>
      </c>
      <c r="J892">
        <f>($B$1+Table4[[#This Row],[Home Differential]])-Table4[[#This Row],[Away Differential]]</f>
        <v>-0.38828639418838551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0.51094543025157901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3.7016822058700272E-2</v>
      </c>
      <c r="H893" t="s">
        <v>23</v>
      </c>
      <c r="I893">
        <f>VLOOKUP(Table4[[#This Row],[Visitor]],'NHL Model'!$A$6:$B$38,2,FALSE)</f>
        <v>-1.005023581214965</v>
      </c>
      <c r="J893">
        <f>($B$1+Table4[[#This Row],[Home Differential]])-Table4[[#This Row],[Away Differential]]</f>
        <v>1.2496005880656744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0.71198591782353593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-0.58990467102727129</v>
      </c>
      <c r="H894" t="s">
        <v>10</v>
      </c>
      <c r="I894">
        <f>VLOOKUP(Table4[[#This Row],[Visitor]],'NHL Model'!$A$6:$B$38,2,FALSE)</f>
        <v>0.28318004708662448</v>
      </c>
      <c r="J894">
        <f>($B$1+Table4[[#This Row],[Home Differential]])-Table4[[#This Row],[Away Differential]]</f>
        <v>-0.66552453332188666</v>
      </c>
      <c r="K894" t="str">
        <f>IF(Table4[[#This Row],[HomeIce Differential]]&gt;0,Table4[[#This Row],[Home]],Table4[[#This Row],[Visitor]])</f>
        <v>Chicago Blackhawks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0.56528215693463602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-1.2993694664931768</v>
      </c>
      <c r="H895" t="s">
        <v>17</v>
      </c>
      <c r="I895">
        <f>VLOOKUP(Table4[[#This Row],[Visitor]],'NHL Model'!$A$6:$B$38,2,FALSE)</f>
        <v>-1.0049085234729234</v>
      </c>
      <c r="J895">
        <f>($B$1+Table4[[#This Row],[Home Differential]])-Table4[[#This Row],[Away Differential]]</f>
        <v>-8.690075822824439E-2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0.47196038702781112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1.4229473251234224</v>
      </c>
      <c r="H896" t="s">
        <v>33</v>
      </c>
      <c r="I896">
        <f>VLOOKUP(Table4[[#This Row],[Visitor]],'NHL Model'!$A$6:$B$38,2,FALSE)</f>
        <v>-0.41595305630289253</v>
      </c>
      <c r="J896">
        <f>($B$1+Table4[[#This Row],[Home Differential]])-Table4[[#This Row],[Away Differential]]</f>
        <v>2.046460566218324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0.91002616543845494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4.3588947679693783E-2</v>
      </c>
      <c r="H897" t="s">
        <v>35</v>
      </c>
      <c r="I897">
        <f>VLOOKUP(Table4[[#This Row],[Visitor]],'NHL Model'!$A$6:$B$38,2,FALSE)</f>
        <v>-1.7049475448313323</v>
      </c>
      <c r="J897">
        <f>($B$1+Table4[[#This Row],[Home Differential]])-Table4[[#This Row],[Away Differential]]</f>
        <v>1.956096677303035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0.81171836979076017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-0.2184338233275798</v>
      </c>
      <c r="H898" t="s">
        <v>21</v>
      </c>
      <c r="I898">
        <f>VLOOKUP(Table4[[#This Row],[Visitor]],'NHL Model'!$A$6:$B$38,2,FALSE)</f>
        <v>-0.11354210657072454</v>
      </c>
      <c r="J898">
        <f>($B$1+Table4[[#This Row],[Home Differential]])-Table4[[#This Row],[Away Differential]]</f>
        <v>0.10266846803515385</v>
      </c>
      <c r="K898" t="str">
        <f>IF(Table4[[#This Row],[HomeIce Differential]]&gt;0,Table4[[#This Row],[Home]],Table4[[#This Row],[Visitor]])</f>
        <v>Florida Panthers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0.61757881555227134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-0.16069632687214722</v>
      </c>
      <c r="H899" t="s">
        <v>32</v>
      </c>
      <c r="I899">
        <f>VLOOKUP(Table4[[#This Row],[Visitor]],'NHL Model'!$A$6:$B$38,2,FALSE)</f>
        <v>-0.54471700440519322</v>
      </c>
      <c r="J899">
        <f>($B$1+Table4[[#This Row],[Home Differential]])-Table4[[#This Row],[Away Differential]]</f>
        <v>0.59158086232505513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0.6214208784354911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-1.4393526815815083</v>
      </c>
      <c r="H900" t="s">
        <v>34</v>
      </c>
      <c r="I900">
        <f>VLOOKUP(Table4[[#This Row],[Visitor]],'NHL Model'!$A$6:$B$38,2,FALSE)</f>
        <v>-0.52340626120007572</v>
      </c>
      <c r="J900">
        <f>($B$1+Table4[[#This Row],[Home Differential]])-Table4[[#This Row],[Away Differential]]</f>
        <v>-0.7083862355894236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0.55749711873135221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-0.24431182281386174</v>
      </c>
      <c r="H901" t="s">
        <v>26</v>
      </c>
      <c r="I901">
        <f>VLOOKUP(Table4[[#This Row],[Visitor]],'NHL Model'!$A$6:$B$38,2,FALSE)</f>
        <v>-0.4992069962886943</v>
      </c>
      <c r="J901">
        <f>($B$1+Table4[[#This Row],[Home Differential]])-Table4[[#This Row],[Away Differential]]</f>
        <v>0.4624553582668417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0.6261489851265617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-5.3996763649808116E-4</v>
      </c>
      <c r="H902" t="s">
        <v>38</v>
      </c>
      <c r="I902">
        <f>VLOOKUP(Table4[[#This Row],[Visitor]],'NHL Model'!$A$6:$B$38,2,FALSE)</f>
        <v>-0.87761566951859371</v>
      </c>
      <c r="J902">
        <f>($B$1+Table4[[#This Row],[Home Differential]])-Table4[[#This Row],[Away Differential]]</f>
        <v>1.0846358866741048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0.66851214782130708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0.16605329280468042</v>
      </c>
      <c r="H903" t="s">
        <v>18</v>
      </c>
      <c r="I903">
        <f>VLOOKUP(Table4[[#This Row],[Visitor]],'NHL Model'!$A$6:$B$38,2,FALSE)</f>
        <v>-0.69497686531268954</v>
      </c>
      <c r="J903">
        <f>($B$1+Table4[[#This Row],[Home Differential]])-Table4[[#This Row],[Away Differential]]</f>
        <v>1.068590342909379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0.69252753234159825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-1.005023581214965</v>
      </c>
      <c r="H904" t="s">
        <v>14</v>
      </c>
      <c r="I904">
        <f>VLOOKUP(Table4[[#This Row],[Visitor]],'NHL Model'!$A$6:$B$38,2,FALSE)</f>
        <v>0.19812979206825923</v>
      </c>
      <c r="J904">
        <f>($B$1+Table4[[#This Row],[Home Differential]])-Table4[[#This Row],[Away Differential]]</f>
        <v>-0.99559318849121514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0.59702619055787698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0.27405230796993052</v>
      </c>
      <c r="H905" t="s">
        <v>30</v>
      </c>
      <c r="I905">
        <f>VLOOKUP(Table4[[#This Row],[Visitor]],'NHL Model'!$A$6:$B$38,2,FALSE)</f>
        <v>-7.6737500378247253E-2</v>
      </c>
      <c r="J905">
        <f>($B$1+Table4[[#This Row],[Home Differential]])-Table4[[#This Row],[Away Differential]]</f>
        <v>0.55834999314018685</v>
      </c>
      <c r="K905" t="str">
        <f>IF(Table4[[#This Row],[HomeIce Differential]]&gt;0,Table4[[#This Row],[Home]],Table4[[#This Row],[Visitor]])</f>
        <v>New Jersey Devils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0.67684722378822459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-0.41117752232850285</v>
      </c>
      <c r="H906" t="s">
        <v>25</v>
      </c>
      <c r="I906">
        <f>VLOOKUP(Table4[[#This Row],[Visitor]],'NHL Model'!$A$6:$B$38,2,FALSE)</f>
        <v>0.55298967972810642</v>
      </c>
      <c r="J906">
        <f>($B$1+Table4[[#This Row],[Home Differential]])-Table4[[#This Row],[Away Differential]]</f>
        <v>-0.75660701726460022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0.64509214462049713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-0.59983976271417982</v>
      </c>
      <c r="H907" t="s">
        <v>36</v>
      </c>
      <c r="I907">
        <f>VLOOKUP(Table4[[#This Row],[Visitor]],'NHL Model'!$A$6:$B$38,2,FALSE)</f>
        <v>-0.49956508239762204</v>
      </c>
      <c r="J907">
        <f>($B$1+Table4[[#This Row],[Home Differential]])-Table4[[#This Row],[Away Differential]]</f>
        <v>0.10728550447545132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0.55726147414111715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3.7016822058700272E-2</v>
      </c>
      <c r="H908" t="s">
        <v>11</v>
      </c>
      <c r="I908">
        <f>VLOOKUP(Table4[[#This Row],[Visitor]],'NHL Model'!$A$6:$B$38,2,FALSE)</f>
        <v>-0.2184338233275798</v>
      </c>
      <c r="J908">
        <f>($B$1+Table4[[#This Row],[Home Differential]])-Table4[[#This Row],[Away Differential]]</f>
        <v>0.46301083017828915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0.60372543623216135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-5.3996763649808116E-4</v>
      </c>
      <c r="H909" t="s">
        <v>13</v>
      </c>
      <c r="I909">
        <f>VLOOKUP(Table4[[#This Row],[Visitor]],'NHL Model'!$A$6:$B$38,2,FALSE)</f>
        <v>-0.16069632687214722</v>
      </c>
      <c r="J909">
        <f>($B$1+Table4[[#This Row],[Home Differential]])-Table4[[#This Row],[Away Differential]]</f>
        <v>0.36771654402765824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0.48881207238434871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-3.9931837337852071E-3</v>
      </c>
      <c r="H910" t="s">
        <v>29</v>
      </c>
      <c r="I910">
        <f>VLOOKUP(Table4[[#This Row],[Visitor]],'NHL Model'!$A$6:$B$38,2,FALSE)</f>
        <v>-1.4393526815815083</v>
      </c>
      <c r="J910">
        <f>($B$1+Table4[[#This Row],[Home Differential]])-Table4[[#This Row],[Away Differential]]</f>
        <v>1.6429196826397323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0.76861497068644258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0.49887659623169195</v>
      </c>
      <c r="H911" t="s">
        <v>17</v>
      </c>
      <c r="I911">
        <f>VLOOKUP(Table4[[#This Row],[Visitor]],'NHL Model'!$A$6:$B$38,2,FALSE)</f>
        <v>-1.0049085234729234</v>
      </c>
      <c r="J911">
        <f>($B$1+Table4[[#This Row],[Home Differential]])-Table4[[#This Row],[Away Differential]]</f>
        <v>1.7113453044966245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0.89096780699746647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4.3588947679693783E-2</v>
      </c>
      <c r="H912" t="s">
        <v>32</v>
      </c>
      <c r="I912">
        <f>VLOOKUP(Table4[[#This Row],[Visitor]],'NHL Model'!$A$6:$B$38,2,FALSE)</f>
        <v>-0.54471700440519322</v>
      </c>
      <c r="J912">
        <f>($B$1+Table4[[#This Row],[Home Differential]])-Table4[[#This Row],[Away Differential]]</f>
        <v>0.79586613687689611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0.65203269399336738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-0.16069632687214722</v>
      </c>
      <c r="H913" t="s">
        <v>20</v>
      </c>
      <c r="I913">
        <f>VLOOKUP(Table4[[#This Row],[Visitor]],'NHL Model'!$A$6:$B$38,2,FALSE)</f>
        <v>-5.3996763649808116E-4</v>
      </c>
      <c r="J913">
        <f>($B$1+Table4[[#This Row],[Home Differential]])-Table4[[#This Row],[Away Differential]]</f>
        <v>4.7403825556359969E-2</v>
      </c>
      <c r="K913" t="str">
        <f>IF(Table4[[#This Row],[HomeIce Differential]]&gt;0,Table4[[#This Row],[Home]],Table4[[#This Row],[Visitor]])</f>
        <v>Los Angeles Kings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0.52575508630017587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0.27405230796993052</v>
      </c>
      <c r="H914" t="s">
        <v>23</v>
      </c>
      <c r="I914">
        <f>VLOOKUP(Table4[[#This Row],[Visitor]],'NHL Model'!$A$6:$B$38,2,FALSE)</f>
        <v>-1.005023581214965</v>
      </c>
      <c r="J914">
        <f>($B$1+Table4[[#This Row],[Home Differential]])-Table4[[#This Row],[Away Differential]]</f>
        <v>1.4866360739769047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0.86004046619477204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3.7016822058700272E-2</v>
      </c>
      <c r="H915" t="s">
        <v>19</v>
      </c>
      <c r="I915">
        <f>VLOOKUP(Table4[[#This Row],[Visitor]],'NHL Model'!$A$6:$B$38,2,FALSE)</f>
        <v>-0.76384910289376506</v>
      </c>
      <c r="J915">
        <f>($B$1+Table4[[#This Row],[Home Differential]])-Table4[[#This Row],[Away Differential]]</f>
        <v>1.0084261097444744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0.67879242031255038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-0.24431182281386174</v>
      </c>
      <c r="H916" t="s">
        <v>12</v>
      </c>
      <c r="I916">
        <f>VLOOKUP(Table4[[#This Row],[Visitor]],'NHL Model'!$A$6:$B$38,2,FALSE)</f>
        <v>1.4229473251234224</v>
      </c>
      <c r="J916">
        <f>($B$1+Table4[[#This Row],[Home Differential]])-Table4[[#This Row],[Away Differential]]</f>
        <v>-1.459698963145275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0.65742406609813764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-0.87761566951859371</v>
      </c>
      <c r="H917" t="s">
        <v>40</v>
      </c>
      <c r="I917">
        <f>VLOOKUP(Table4[[#This Row],[Visitor]],'NHL Model'!$A$6:$B$38,2,FALSE)</f>
        <v>0.16605329280468042</v>
      </c>
      <c r="J917">
        <f>($B$1+Table4[[#This Row],[Home Differential]])-Table4[[#This Row],[Away Differential]]</f>
        <v>-0.836108777531265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0.64139170803308843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-3.9931837337852071E-3</v>
      </c>
      <c r="H918" t="s">
        <v>27</v>
      </c>
      <c r="I918">
        <f>VLOOKUP(Table4[[#This Row],[Visitor]],'NHL Model'!$A$6:$B$38,2,FALSE)</f>
        <v>-0.59983976271417982</v>
      </c>
      <c r="J918">
        <f>($B$1+Table4[[#This Row],[Home Differential]])-Table4[[#This Row],[Away Differential]]</f>
        <v>0.80340676377240372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0.65307053092300282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-0.11354210657072454</v>
      </c>
      <c r="H919" t="s">
        <v>28</v>
      </c>
      <c r="I919">
        <f>VLOOKUP(Table4[[#This Row],[Visitor]],'NHL Model'!$A$6:$B$38,2,FALSE)</f>
        <v>-0.58990467102727129</v>
      </c>
      <c r="J919">
        <f>($B$1+Table4[[#This Row],[Home Differential]])-Table4[[#This Row],[Away Differential]]</f>
        <v>0.68392274924855589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0.68584611909320703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0.55298967972810642</v>
      </c>
      <c r="H920" t="s">
        <v>37</v>
      </c>
      <c r="I920">
        <f>VLOOKUP(Table4[[#This Row],[Visitor]],'NHL Model'!$A$6:$B$38,2,FALSE)</f>
        <v>3.7016822058700272E-2</v>
      </c>
      <c r="J920">
        <f>($B$1+Table4[[#This Row],[Home Differential]])-Table4[[#This Row],[Away Differential]]</f>
        <v>0.72353304246141525</v>
      </c>
      <c r="K920" t="str">
        <f>IF(Table4[[#This Row],[HomeIce Differential]]&gt;0,Table4[[#This Row],[Home]],Table4[[#This Row],[Visitor]])</f>
        <v>Carolina Hurricanes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0.64503636029348166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1.4229473251234224</v>
      </c>
      <c r="H921" t="s">
        <v>34</v>
      </c>
      <c r="I921">
        <f>VLOOKUP(Table4[[#This Row],[Visitor]],'NHL Model'!$A$6:$B$38,2,FALSE)</f>
        <v>-0.52340626120007572</v>
      </c>
      <c r="J921">
        <f>($B$1+Table4[[#This Row],[Home Differential]])-Table4[[#This Row],[Away Differential]]</f>
        <v>2.1539137711155072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0.92481524143907468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-0.2184338233275798</v>
      </c>
      <c r="H922" t="s">
        <v>19</v>
      </c>
      <c r="I922">
        <f>VLOOKUP(Table4[[#This Row],[Visitor]],'NHL Model'!$A$6:$B$38,2,FALSE)</f>
        <v>-0.76384910289376506</v>
      </c>
      <c r="J922">
        <f>($B$1+Table4[[#This Row],[Home Differential]])-Table4[[#This Row],[Away Differential]]</f>
        <v>0.7529754643581944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0.70708233107383001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-0.16069632687214722</v>
      </c>
      <c r="H923" t="s">
        <v>17</v>
      </c>
      <c r="I923">
        <f>VLOOKUP(Table4[[#This Row],[Visitor]],'NHL Model'!$A$6:$B$38,2,FALSE)</f>
        <v>-1.0049085234729234</v>
      </c>
      <c r="J923">
        <f>($B$1+Table4[[#This Row],[Home Differential]])-Table4[[#This Row],[Away Differential]]</f>
        <v>1.0517723813927853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0.68475828523359927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-0.69497686531268954</v>
      </c>
      <c r="H924" t="s">
        <v>30</v>
      </c>
      <c r="I924">
        <f>VLOOKUP(Table4[[#This Row],[Visitor]],'NHL Model'!$A$6:$B$38,2,FALSE)</f>
        <v>-7.6737500378247253E-2</v>
      </c>
      <c r="J924">
        <f>($B$1+Table4[[#This Row],[Home Differential]])-Table4[[#This Row],[Away Differential]]</f>
        <v>-0.41067918014243321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0.5758107231433881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-1.4393526815815083</v>
      </c>
      <c r="H925" t="s">
        <v>10</v>
      </c>
      <c r="I925">
        <f>VLOOKUP(Table4[[#This Row],[Visitor]],'NHL Model'!$A$6:$B$38,2,FALSE)</f>
        <v>0.28318004708662448</v>
      </c>
      <c r="J925">
        <f>($B$1+Table4[[#This Row],[Home Differential]])-Table4[[#This Row],[Away Differential]]</f>
        <v>-1.5149725438761239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0.68927901055360008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-0.41117752232850285</v>
      </c>
      <c r="H926" t="s">
        <v>27</v>
      </c>
      <c r="I926">
        <f>VLOOKUP(Table4[[#This Row],[Visitor]],'NHL Model'!$A$6:$B$38,2,FALSE)</f>
        <v>-0.59983976271417982</v>
      </c>
      <c r="J926">
        <f>($B$1+Table4[[#This Row],[Home Differential]])-Table4[[#This Row],[Away Differential]]</f>
        <v>0.39622242517768608</v>
      </c>
      <c r="K926" t="str">
        <f>IF(Table4[[#This Row],[HomeIce Differential]]&gt;0,Table4[[#This Row],[Home]],Table4[[#This Row],[Visitor]])</f>
        <v>New York Rangers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0.59453316692330993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-0.49956508239762204</v>
      </c>
      <c r="H927" t="s">
        <v>26</v>
      </c>
      <c r="I927">
        <f>VLOOKUP(Table4[[#This Row],[Visitor]],'NHL Model'!$A$6:$B$38,2,FALSE)</f>
        <v>-0.4992069962886943</v>
      </c>
      <c r="J927">
        <f>($B$1+Table4[[#This Row],[Home Differential]])-Table4[[#This Row],[Away Differential]]</f>
        <v>0.20720209868308137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0.52393063080577618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0.19812979206825923</v>
      </c>
      <c r="H928" t="s">
        <v>24</v>
      </c>
      <c r="I928">
        <f>VLOOKUP(Table4[[#This Row],[Visitor]],'NHL Model'!$A$6:$B$38,2,FALSE)</f>
        <v>0.27405230796993052</v>
      </c>
      <c r="J928">
        <f>($B$1+Table4[[#This Row],[Home Differential]])-Table4[[#This Row],[Away Differential]]</f>
        <v>0.13163766889033779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0.55209823189197971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-0.41595305630289253</v>
      </c>
      <c r="H929" t="s">
        <v>16</v>
      </c>
      <c r="I929">
        <f>VLOOKUP(Table4[[#This Row],[Visitor]],'NHL Model'!$A$6:$B$38,2,FALSE)</f>
        <v>-1.2993694664931768</v>
      </c>
      <c r="J929">
        <f>($B$1+Table4[[#This Row],[Home Differential]])-Table4[[#This Row],[Away Differential]]</f>
        <v>1.0909765949822934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0.69015406747084895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-1.7049475448313323</v>
      </c>
      <c r="H930" t="s">
        <v>32</v>
      </c>
      <c r="I930">
        <f>VLOOKUP(Table4[[#This Row],[Visitor]],'NHL Model'!$A$6:$B$38,2,FALSE)</f>
        <v>-0.54471700440519322</v>
      </c>
      <c r="J930">
        <f>($B$1+Table4[[#This Row],[Home Differential]])-Table4[[#This Row],[Away Differential]]</f>
        <v>-0.95267035563412983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0.59111860466602073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0.49887659623169195</v>
      </c>
      <c r="H931" t="s">
        <v>40</v>
      </c>
      <c r="I931">
        <f>VLOOKUP(Table4[[#This Row],[Visitor]],'NHL Model'!$A$6:$B$38,2,FALSE)</f>
        <v>0.16605329280468042</v>
      </c>
      <c r="J931">
        <f>($B$1+Table4[[#This Row],[Home Differential]])-Table4[[#This Row],[Away Differential]]</f>
        <v>0.54038348821902071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0.66759478397422722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-0.2184338233275798</v>
      </c>
      <c r="H932" t="s">
        <v>23</v>
      </c>
      <c r="I932">
        <f>VLOOKUP(Table4[[#This Row],[Visitor]],'NHL Model'!$A$6:$B$38,2,FALSE)</f>
        <v>-1.005023581214965</v>
      </c>
      <c r="J932">
        <f>($B$1+Table4[[#This Row],[Home Differential]])-Table4[[#This Row],[Away Differential]]</f>
        <v>0.99414994267939438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0.74027582858481555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-0.24431182281386174</v>
      </c>
      <c r="H933" t="s">
        <v>34</v>
      </c>
      <c r="I933">
        <f>VLOOKUP(Table4[[#This Row],[Visitor]],'NHL Model'!$A$6:$B$38,2,FALSE)</f>
        <v>-0.52340626120007572</v>
      </c>
      <c r="J933">
        <f>($B$1+Table4[[#This Row],[Home Differential]])-Table4[[#This Row],[Away Differential]]</f>
        <v>0.48665462317822306</v>
      </c>
      <c r="K933" t="str">
        <f>IF(Table4[[#This Row],[HomeIce Differential]]&gt;0,Table4[[#This Row],[Home]],Table4[[#This Row],[Visitor]])</f>
        <v>Utah Mammoth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0.67525210166688998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-3.9931837337852071E-3</v>
      </c>
      <c r="H934" t="s">
        <v>20</v>
      </c>
      <c r="I934">
        <f>VLOOKUP(Table4[[#This Row],[Visitor]],'NHL Model'!$A$6:$B$38,2,FALSE)</f>
        <v>-5.3996763649808116E-4</v>
      </c>
      <c r="J934">
        <f>($B$1+Table4[[#This Row],[Home Differential]])-Table4[[#This Row],[Away Differential]]</f>
        <v>0.20410696869472197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0.54983092606964235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0.55298967972810642</v>
      </c>
      <c r="H935" t="s">
        <v>26</v>
      </c>
      <c r="I935">
        <f>VLOOKUP(Table4[[#This Row],[Visitor]],'NHL Model'!$A$6:$B$38,2,FALSE)</f>
        <v>-0.4992069962886943</v>
      </c>
      <c r="J935">
        <f>($B$1+Table4[[#This Row],[Home Differential]])-Table4[[#This Row],[Away Differential]]</f>
        <v>1.2597568608088099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0.71883829863929716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-0.58990467102727129</v>
      </c>
      <c r="H936" t="s">
        <v>30</v>
      </c>
      <c r="I936">
        <f>VLOOKUP(Table4[[#This Row],[Visitor]],'NHL Model'!$A$6:$B$38,2,FALSE)</f>
        <v>-7.6737500378247253E-2</v>
      </c>
      <c r="J936">
        <f>($B$1+Table4[[#This Row],[Home Differential]])-Table4[[#This Row],[Away Differential]]</f>
        <v>-0.30560698585701496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0.55425664021383791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1.4229473251234224</v>
      </c>
      <c r="H937" t="s">
        <v>10</v>
      </c>
      <c r="I937">
        <f>VLOOKUP(Table4[[#This Row],[Visitor]],'NHL Model'!$A$6:$B$38,2,FALSE)</f>
        <v>0.28318004708662448</v>
      </c>
      <c r="J937">
        <f>($B$1+Table4[[#This Row],[Home Differential]])-Table4[[#This Row],[Away Differential]]</f>
        <v>1.3473274628288068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0.79413198480413572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4.3588947679693783E-2</v>
      </c>
      <c r="H938" t="s">
        <v>29</v>
      </c>
      <c r="I938">
        <f>VLOOKUP(Table4[[#This Row],[Visitor]],'NHL Model'!$A$6:$B$38,2,FALSE)</f>
        <v>-1.4393526815815083</v>
      </c>
      <c r="J938">
        <f>($B$1+Table4[[#This Row],[Home Differential]])-Table4[[#This Row],[Away Differential]]</f>
        <v>1.6905018140532113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0.77516382847452581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-0.16069632687214722</v>
      </c>
      <c r="H939" t="s">
        <v>16</v>
      </c>
      <c r="I939">
        <f>VLOOKUP(Table4[[#This Row],[Visitor]],'NHL Model'!$A$6:$B$38,2,FALSE)</f>
        <v>-1.2993694664931768</v>
      </c>
      <c r="J939">
        <f>($B$1+Table4[[#This Row],[Home Differential]])-Table4[[#This Row],[Away Differential]]</f>
        <v>1.3462333244130387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0.7252857433927824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-0.69497686531268954</v>
      </c>
      <c r="H940" t="s">
        <v>22</v>
      </c>
      <c r="I940">
        <f>VLOOKUP(Table4[[#This Row],[Visitor]],'NHL Model'!$A$6:$B$38,2,FALSE)</f>
        <v>-3.9931837337852071E-3</v>
      </c>
      <c r="J940">
        <f>($B$1+Table4[[#This Row],[Home Differential]])-Table4[[#This Row],[Away Differential]]</f>
        <v>-0.48342349678689522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0.52653488689618611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-0.41117752232850285</v>
      </c>
      <c r="H941" t="s">
        <v>14</v>
      </c>
      <c r="I941">
        <f>VLOOKUP(Table4[[#This Row],[Visitor]],'NHL Model'!$A$6:$B$38,2,FALSE)</f>
        <v>0.19812979206825923</v>
      </c>
      <c r="J941">
        <f>($B$1+Table4[[#This Row],[Home Differential]])-Table4[[#This Row],[Away Differential]]</f>
        <v>-0.40174712960475301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0.51529354697647844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-0.59983976271417982</v>
      </c>
      <c r="H942" t="s">
        <v>21</v>
      </c>
      <c r="I942">
        <f>VLOOKUP(Table4[[#This Row],[Visitor]],'NHL Model'!$A$6:$B$38,2,FALSE)</f>
        <v>-0.11354210657072454</v>
      </c>
      <c r="J942">
        <f>($B$1+Table4[[#This Row],[Home Differential]])-Table4[[#This Row],[Away Differential]]</f>
        <v>-0.27873747135144616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0.49586791490737164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-0.54471700440519322</v>
      </c>
      <c r="H943" t="s">
        <v>38</v>
      </c>
      <c r="I943">
        <f>VLOOKUP(Table4[[#This Row],[Visitor]],'NHL Model'!$A$6:$B$38,2,FALSE)</f>
        <v>-0.87761566951859371</v>
      </c>
      <c r="J943">
        <f>($B$1+Table4[[#This Row],[Home Differential]])-Table4[[#This Row],[Away Differential]]</f>
        <v>0.5404588499054096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0.61983936267899864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-0.41595305630289253</v>
      </c>
      <c r="H944" t="s">
        <v>17</v>
      </c>
      <c r="I944">
        <f>VLOOKUP(Table4[[#This Row],[Visitor]],'NHL Model'!$A$6:$B$38,2,FALSE)</f>
        <v>-1.0049085234729234</v>
      </c>
      <c r="J944">
        <f>($B$1+Table4[[#This Row],[Home Differential]])-Table4[[#This Row],[Away Differential]]</f>
        <v>0.79651565196203999</v>
      </c>
      <c r="K944" t="str">
        <f>IF(Table4[[#This Row],[HomeIce Differential]]&gt;0,Table4[[#This Row],[Home]],Table4[[#This Row],[Visitor]])</f>
        <v>San Jose Sharks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0.64962660931166583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-1.7049475448313323</v>
      </c>
      <c r="H945" t="s">
        <v>24</v>
      </c>
      <c r="I945">
        <f>VLOOKUP(Table4[[#This Row],[Visitor]],'NHL Model'!$A$6:$B$38,2,FALSE)</f>
        <v>0.27405230796993052</v>
      </c>
      <c r="J945">
        <f>($B$1+Table4[[#This Row],[Home Differential]])-Table4[[#This Row],[Away Differential]]</f>
        <v>-1.7714396680092537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0.74632060842582482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3.7016822058700272E-2</v>
      </c>
      <c r="H946" t="s">
        <v>23</v>
      </c>
      <c r="I946">
        <f>VLOOKUP(Table4[[#This Row],[Visitor]],'NHL Model'!$A$6:$B$38,2,FALSE)</f>
        <v>-1.005023581214965</v>
      </c>
      <c r="J946">
        <f>($B$1+Table4[[#This Row],[Home Differential]])-Table4[[#This Row],[Away Differential]]</f>
        <v>1.2496005880656744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0.71198591782353593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-0.76384910289376506</v>
      </c>
      <c r="H947" t="s">
        <v>36</v>
      </c>
      <c r="I947">
        <f>VLOOKUP(Table4[[#This Row],[Visitor]],'NHL Model'!$A$6:$B$38,2,FALSE)</f>
        <v>-0.49956508239762204</v>
      </c>
      <c r="J947">
        <f>($B$1+Table4[[#This Row],[Home Differential]])-Table4[[#This Row],[Away Differential]]</f>
        <v>-5.6723835704133918E-2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0.45379043484308301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0.49887659623169195</v>
      </c>
      <c r="H948" t="s">
        <v>16</v>
      </c>
      <c r="I948">
        <f>VLOOKUP(Table4[[#This Row],[Visitor]],'NHL Model'!$A$6:$B$38,2,FALSE)</f>
        <v>-1.2993694664931768</v>
      </c>
      <c r="J948">
        <f>($B$1+Table4[[#This Row],[Home Differential]])-Table4[[#This Row],[Away Differential]]</f>
        <v>2.0058062475168779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0.93149526515664949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-0.52340626120007572</v>
      </c>
      <c r="H949" t="s">
        <v>35</v>
      </c>
      <c r="I949">
        <f>VLOOKUP(Table4[[#This Row],[Visitor]],'NHL Model'!$A$6:$B$38,2,FALSE)</f>
        <v>-1.7049475448313323</v>
      </c>
      <c r="J949">
        <f>($B$1+Table4[[#This Row],[Home Differential]])-Table4[[#This Row],[Away Differential]]</f>
        <v>1.3891014684232657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0.73118580231033059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-7.6737500378247253E-2</v>
      </c>
      <c r="H950" t="s">
        <v>11</v>
      </c>
      <c r="I950">
        <f>VLOOKUP(Table4[[#This Row],[Visitor]],'NHL Model'!$A$6:$B$38,2,FALSE)</f>
        <v>-0.2184338233275798</v>
      </c>
      <c r="J950">
        <f>($B$1+Table4[[#This Row],[Home Differential]])-Table4[[#This Row],[Away Differential]]</f>
        <v>0.34925650774134165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0.58806912033605785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0.19812979206825923</v>
      </c>
      <c r="H951" t="s">
        <v>20</v>
      </c>
      <c r="I951">
        <f>VLOOKUP(Table4[[#This Row],[Visitor]],'NHL Model'!$A$6:$B$38,2,FALSE)</f>
        <v>-5.3996763649808116E-4</v>
      </c>
      <c r="J951">
        <f>($B$1+Table4[[#This Row],[Home Differential]])-Table4[[#This Row],[Away Differential]]</f>
        <v>0.40622994449676642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0.61146608450291273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-0.41595305630289253</v>
      </c>
      <c r="H952" t="s">
        <v>40</v>
      </c>
      <c r="I952">
        <f>VLOOKUP(Table4[[#This Row],[Visitor]],'NHL Model'!$A$6:$B$38,2,FALSE)</f>
        <v>0.16605329280468042</v>
      </c>
      <c r="J952">
        <f>($B$1+Table4[[#This Row],[Home Differential]])-Table4[[#This Row],[Away Differential]]</f>
        <v>-0.37444616431556388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0.57785183055782152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-0.24431182281386174</v>
      </c>
      <c r="H953" t="s">
        <v>10</v>
      </c>
      <c r="I953">
        <f>VLOOKUP(Table4[[#This Row],[Visitor]],'NHL Model'!$A$6:$B$38,2,FALSE)</f>
        <v>0.28318004708662448</v>
      </c>
      <c r="J953">
        <f>($B$1+Table4[[#This Row],[Home Differential]])-Table4[[#This Row],[Away Differential]]</f>
        <v>-0.31993168510847714</v>
      </c>
      <c r="K953" t="str">
        <f>IF(Table4[[#This Row],[HomeIce Differential]]&gt;0,Table4[[#This Row],[Home]],Table4[[#This Row],[Visitor]])</f>
        <v>Chicago Blackhawks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0.45579777135120503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-0.16069632687214722</v>
      </c>
      <c r="H954" t="s">
        <v>12</v>
      </c>
      <c r="I954">
        <f>VLOOKUP(Table4[[#This Row],[Visitor]],'NHL Model'!$A$6:$B$38,2,FALSE)</f>
        <v>1.4229473251234224</v>
      </c>
      <c r="J954">
        <f>($B$1+Table4[[#This Row],[Home Differential]])-Table4[[#This Row],[Away Differential]]</f>
        <v>-1.3760834672035605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0.7157098889716268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-1.4393526815815083</v>
      </c>
      <c r="H955" t="s">
        <v>26</v>
      </c>
      <c r="I955">
        <f>VLOOKUP(Table4[[#This Row],[Visitor]],'NHL Model'!$A$6:$B$38,2,FALSE)</f>
        <v>-0.4992069962886943</v>
      </c>
      <c r="J955">
        <f>($B$1+Table4[[#This Row],[Home Differential]])-Table4[[#This Row],[Away Differential]]</f>
        <v>-0.73258550050080506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0.60792712066968579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-0.41117752232850285</v>
      </c>
      <c r="H956" t="s">
        <v>28</v>
      </c>
      <c r="I956">
        <f>VLOOKUP(Table4[[#This Row],[Visitor]],'NHL Model'!$A$6:$B$38,2,FALSE)</f>
        <v>-0.58990467102727129</v>
      </c>
      <c r="J956">
        <f>($B$1+Table4[[#This Row],[Home Differential]])-Table4[[#This Row],[Away Differential]]</f>
        <v>0.38628733349077754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0.59316577331070053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-0.54471700440519322</v>
      </c>
      <c r="H957" t="s">
        <v>25</v>
      </c>
      <c r="I957">
        <f>VLOOKUP(Table4[[#This Row],[Visitor]],'NHL Model'!$A$6:$B$38,2,FALSE)</f>
        <v>0.55298967972810642</v>
      </c>
      <c r="J957">
        <f>($B$1+Table4[[#This Row],[Home Differential]])-Table4[[#This Row],[Away Differential]]</f>
        <v>-0.89014649934129053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0.63721915911411808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-0.76384910289376506</v>
      </c>
      <c r="H958" t="s">
        <v>27</v>
      </c>
      <c r="I958">
        <f>VLOOKUP(Table4[[#This Row],[Visitor]],'NHL Model'!$A$6:$B$38,2,FALSE)</f>
        <v>-0.59983976271417982</v>
      </c>
      <c r="J958">
        <f>($B$1+Table4[[#This Row],[Home Differential]])-Table4[[#This Row],[Away Differential]]</f>
        <v>4.3550844612423867E-2</v>
      </c>
      <c r="K958" t="str">
        <f>IF(Table4[[#This Row],[HomeIce Differential]]&gt;0,Table4[[#This Row],[Home]],Table4[[#This Row],[Visitor]])</f>
        <v>Toronto Maple Leafs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0.56001064135151191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-0.87761566951859371</v>
      </c>
      <c r="H959" t="s">
        <v>39</v>
      </c>
      <c r="I959">
        <f>VLOOKUP(Table4[[#This Row],[Visitor]],'NHL Model'!$A$6:$B$38,2,FALSE)</f>
        <v>4.3588947679693783E-2</v>
      </c>
      <c r="J959">
        <f>($B$1+Table4[[#This Row],[Home Differential]])-Table4[[#This Row],[Away Differential]]</f>
        <v>-0.7136444324062784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0.65070700646466861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0.49887659623169195</v>
      </c>
      <c r="H960" t="s">
        <v>12</v>
      </c>
      <c r="I960">
        <f>VLOOKUP(Table4[[#This Row],[Visitor]],'NHL Model'!$A$6:$B$38,2,FALSE)</f>
        <v>1.4229473251234224</v>
      </c>
      <c r="J960">
        <f>($B$1+Table4[[#This Row],[Home Differential]])-Table4[[#This Row],[Away Differential]]</f>
        <v>-0.71651054409972126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0.50539495036151139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-0.11354210657072454</v>
      </c>
      <c r="H961" t="s">
        <v>14</v>
      </c>
      <c r="I961">
        <f>VLOOKUP(Table4[[#This Row],[Visitor]],'NHL Model'!$A$6:$B$38,2,FALSE)</f>
        <v>0.19812979206825923</v>
      </c>
      <c r="J961">
        <f>($B$1+Table4[[#This Row],[Home Differential]])-Table4[[#This Row],[Away Differential]]</f>
        <v>-0.10411171384697467</v>
      </c>
      <c r="K961" t="str">
        <f>IF(Table4[[#This Row],[HomeIce Differential]]&gt;0,Table4[[#This Row],[Home]],Table4[[#This Row],[Visitor]])</f>
        <v>Pittsburgh Penguins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0.42261320119397183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-1.005023581214965</v>
      </c>
      <c r="H962" t="s">
        <v>20</v>
      </c>
      <c r="I962">
        <f>VLOOKUP(Table4[[#This Row],[Visitor]],'NHL Model'!$A$6:$B$38,2,FALSE)</f>
        <v>-5.3996763649808116E-4</v>
      </c>
      <c r="J962">
        <f>($B$1+Table4[[#This Row],[Home Differential]])-Table4[[#This Row],[Away Differential]]</f>
        <v>-0.79692342878645783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0.5904519635111225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-0.58990467102727129</v>
      </c>
      <c r="H963" t="s">
        <v>29</v>
      </c>
      <c r="I963">
        <f>VLOOKUP(Table4[[#This Row],[Visitor]],'NHL Model'!$A$6:$B$38,2,FALSE)</f>
        <v>-1.4393526815815083</v>
      </c>
      <c r="J963">
        <f>($B$1+Table4[[#This Row],[Home Differential]])-Table4[[#This Row],[Away Differential]]</f>
        <v>1.057008195346246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0.69252485636737737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-1.2993694664931768</v>
      </c>
      <c r="H964" t="s">
        <v>39</v>
      </c>
      <c r="I964">
        <f>VLOOKUP(Table4[[#This Row],[Visitor]],'NHL Model'!$A$6:$B$38,2,FALSE)</f>
        <v>4.3588947679693783E-2</v>
      </c>
      <c r="J964">
        <f>($B$1+Table4[[#This Row],[Home Differential]])-Table4[[#This Row],[Away Differential]]</f>
        <v>-1.1353982293808615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0.7087541253288786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-1.0049085234729234</v>
      </c>
      <c r="H965" t="s">
        <v>36</v>
      </c>
      <c r="I965">
        <f>VLOOKUP(Table4[[#This Row],[Visitor]],'NHL Model'!$A$6:$B$38,2,FALSE)</f>
        <v>-0.49956508239762204</v>
      </c>
      <c r="J965">
        <f>($B$1+Table4[[#This Row],[Home Differential]])-Table4[[#This Row],[Away Differential]]</f>
        <v>-0.29778325628329222</v>
      </c>
      <c r="K965" t="str">
        <f>IF(Table4[[#This Row],[HomeIce Differential]]&gt;0,Table4[[#This Row],[Home]],Table4[[#This Row],[Visitor]])</f>
        <v>Ottawa Senators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0.46494785078416534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-0.52340626120007572</v>
      </c>
      <c r="H966" t="s">
        <v>37</v>
      </c>
      <c r="I966">
        <f>VLOOKUP(Table4[[#This Row],[Visitor]],'NHL Model'!$A$6:$B$38,2,FALSE)</f>
        <v>3.7016822058700272E-2</v>
      </c>
      <c r="J966">
        <f>($B$1+Table4[[#This Row],[Home Differential]])-Table4[[#This Row],[Away Differential]]</f>
        <v>-0.35286289846676688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0.55566486915277702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0.27405230796993052</v>
      </c>
      <c r="H967" t="s">
        <v>11</v>
      </c>
      <c r="I967">
        <f>VLOOKUP(Table4[[#This Row],[Visitor]],'NHL Model'!$A$6:$B$38,2,FALSE)</f>
        <v>-0.2184338233275798</v>
      </c>
      <c r="J967">
        <f>($B$1+Table4[[#This Row],[Home Differential]])-Table4[[#This Row],[Away Differential]]</f>
        <v>0.70004631608951939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0.75177998460339746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-0.41595305630289253</v>
      </c>
      <c r="H968" t="s">
        <v>18</v>
      </c>
      <c r="I968">
        <f>VLOOKUP(Table4[[#This Row],[Visitor]],'NHL Model'!$A$6:$B$38,2,FALSE)</f>
        <v>-0.69497686531268954</v>
      </c>
      <c r="J968">
        <f>($B$1+Table4[[#This Row],[Home Differential]])-Table4[[#This Row],[Away Differential]]</f>
        <v>0.48658399380180611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0.55987048319081334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0.16605329280468042</v>
      </c>
      <c r="H969" t="s">
        <v>10</v>
      </c>
      <c r="I969">
        <f>VLOOKUP(Table4[[#This Row],[Visitor]],'NHL Model'!$A$6:$B$38,2,FALSE)</f>
        <v>0.28318004708662448</v>
      </c>
      <c r="J969">
        <f>($B$1+Table4[[#This Row],[Home Differential]])-Table4[[#This Row],[Away Differential]]</f>
        <v>9.0433430510065027E-2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0.58387516972305553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-3.9931837337852071E-3</v>
      </c>
      <c r="H970" t="s">
        <v>55</v>
      </c>
      <c r="I970">
        <f>VLOOKUP(Table4[[#This Row],[Visitor]],'NHL Model'!$A$6:$B$38,2,FALSE)</f>
        <v>-0.24431182281386174</v>
      </c>
      <c r="J970">
        <f>($B$1+Table4[[#This Row],[Home Differential]])-Table4[[#This Row],[Away Differential]]</f>
        <v>0.44787882387208566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0.60413825637092533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0.49887659623169195</v>
      </c>
      <c r="H971" t="s">
        <v>30</v>
      </c>
      <c r="I971">
        <f>VLOOKUP(Table4[[#This Row],[Visitor]],'NHL Model'!$A$6:$B$38,2,FALSE)</f>
        <v>-7.6737500378247253E-2</v>
      </c>
      <c r="J971">
        <f>($B$1+Table4[[#This Row],[Home Differential]])-Table4[[#This Row],[Away Differential]]</f>
        <v>0.78317428140194834</v>
      </c>
      <c r="K971" t="str">
        <f>IF(Table4[[#This Row],[HomeIce Differential]]&gt;0,Table4[[#This Row],[Home]],Table4[[#This Row],[Visitor]])</f>
        <v>Anaheim Ducks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0.70779040029999019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-0.4992069962886943</v>
      </c>
      <c r="H972" t="s">
        <v>20</v>
      </c>
      <c r="I972">
        <f>VLOOKUP(Table4[[#This Row],[Visitor]],'NHL Model'!$A$6:$B$38,2,FALSE)</f>
        <v>-5.3996763649808116E-4</v>
      </c>
      <c r="J972">
        <f>($B$1+Table4[[#This Row],[Home Differential]])-Table4[[#This Row],[Away Differential]]</f>
        <v>-0.29110684386018709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0.48006582439554341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0.27405230796993052</v>
      </c>
      <c r="H973" t="s">
        <v>19</v>
      </c>
      <c r="I973">
        <f>VLOOKUP(Table4[[#This Row],[Visitor]],'NHL Model'!$A$6:$B$38,2,FALSE)</f>
        <v>-0.76384910289376506</v>
      </c>
      <c r="J973">
        <f>($B$1+Table4[[#This Row],[Home Differential]])-Table4[[#This Row],[Away Differential]]</f>
        <v>1.2454615956557047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0.82684696868378649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-0.54471700440519322</v>
      </c>
      <c r="H974" t="s">
        <v>35</v>
      </c>
      <c r="I974">
        <f>VLOOKUP(Table4[[#This Row],[Visitor]],'NHL Model'!$A$6:$B$38,2,FALSE)</f>
        <v>-1.7049475448313323</v>
      </c>
      <c r="J974">
        <f>($B$1+Table4[[#This Row],[Home Differential]])-Table4[[#This Row],[Away Differential]]</f>
        <v>1.367790725218148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0.75429048277782129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-0.87761566951859371</v>
      </c>
      <c r="H975" t="s">
        <v>25</v>
      </c>
      <c r="I975">
        <f>VLOOKUP(Table4[[#This Row],[Visitor]],'NHL Model'!$A$6:$B$38,2,FALSE)</f>
        <v>0.55298967972810642</v>
      </c>
      <c r="J975">
        <f>($B$1+Table4[[#This Row],[Home Differential]])-Table4[[#This Row],[Away Differential]]</f>
        <v>-1.2230451644546911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0.70928929178779765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-0.58990467102727129</v>
      </c>
      <c r="H976" t="s">
        <v>11</v>
      </c>
      <c r="I976">
        <f>VLOOKUP(Table4[[#This Row],[Visitor]],'NHL Model'!$A$6:$B$38,2,FALSE)</f>
        <v>-0.2184338233275798</v>
      </c>
      <c r="J976">
        <f>($B$1+Table4[[#This Row],[Home Differential]])-Table4[[#This Row],[Away Differential]]</f>
        <v>-0.16391066290768239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0.47551351719797641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-1.2993694664931768</v>
      </c>
      <c r="H977" t="s">
        <v>36</v>
      </c>
      <c r="I977">
        <f>VLOOKUP(Table4[[#This Row],[Visitor]],'NHL Model'!$A$6:$B$38,2,FALSE)</f>
        <v>-0.49956508239762204</v>
      </c>
      <c r="J977">
        <f>($B$1+Table4[[#This Row],[Home Differential]])-Table4[[#This Row],[Away Differential]]</f>
        <v>-0.59224419930354566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0.54151217530279538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-0.16069632687214722</v>
      </c>
      <c r="H978" t="s">
        <v>30</v>
      </c>
      <c r="I978">
        <f>VLOOKUP(Table4[[#This Row],[Visitor]],'NHL Model'!$A$6:$B$38,2,FALSE)</f>
        <v>-7.6737500378247253E-2</v>
      </c>
      <c r="J978">
        <f>($B$1+Table4[[#This Row],[Home Differential]])-Table4[[#This Row],[Away Differential]]</f>
        <v>0.12360135829810914</v>
      </c>
      <c r="K978" t="str">
        <f>IF(Table4[[#This Row],[HomeIce Differential]]&gt;0,Table4[[#This Row],[Home]],Table4[[#This Row],[Visitor]])</f>
        <v>Los Angeles Kings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0.49772375631871674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-1.4393526815815083</v>
      </c>
      <c r="H979" t="s">
        <v>21</v>
      </c>
      <c r="I979">
        <f>VLOOKUP(Table4[[#This Row],[Visitor]],'NHL Model'!$A$6:$B$38,2,FALSE)</f>
        <v>-0.11354210657072454</v>
      </c>
      <c r="J979">
        <f>($B$1+Table4[[#This Row],[Home Differential]])-Table4[[#This Row],[Away Differential]]</f>
        <v>-1.1182503902187748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0.61390783387515135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-0.41117752232850285</v>
      </c>
      <c r="H980" t="s">
        <v>19</v>
      </c>
      <c r="I980">
        <f>VLOOKUP(Table4[[#This Row],[Visitor]],'NHL Model'!$A$6:$B$38,2,FALSE)</f>
        <v>-0.76384910289376506</v>
      </c>
      <c r="J980">
        <f>($B$1+Table4[[#This Row],[Home Differential]])-Table4[[#This Row],[Away Differential]]</f>
        <v>0.56023176535727126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0.61710621720178493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-0.59983976271417982</v>
      </c>
      <c r="H981" t="s">
        <v>55</v>
      </c>
      <c r="I981">
        <f>VLOOKUP(Table4[[#This Row],[Visitor]],'NHL Model'!$A$6:$B$38,2,FALSE)</f>
        <v>-0.24431182281386174</v>
      </c>
      <c r="J981">
        <f>($B$1+Table4[[#This Row],[Home Differential]])-Table4[[#This Row],[Away Differential]]</f>
        <v>-0.14796775510830898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0.47786972421636559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0.19812979206825923</v>
      </c>
      <c r="H982" t="s">
        <v>23</v>
      </c>
      <c r="I982">
        <f>VLOOKUP(Table4[[#This Row],[Visitor]],'NHL Model'!$A$6:$B$38,2,FALSE)</f>
        <v>-1.005023581214965</v>
      </c>
      <c r="J982">
        <f>($B$1+Table4[[#This Row],[Home Differential]])-Table4[[#This Row],[Away Differential]]</f>
        <v>1.4107135580752335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0.77019719918006802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0.16605329280468042</v>
      </c>
      <c r="H983" t="s">
        <v>37</v>
      </c>
      <c r="I983">
        <f>VLOOKUP(Table4[[#This Row],[Visitor]],'NHL Model'!$A$6:$B$38,2,FALSE)</f>
        <v>3.7016822058700272E-2</v>
      </c>
      <c r="J983">
        <f>($B$1+Table4[[#This Row],[Home Differential]])-Table4[[#This Row],[Away Differential]]</f>
        <v>0.33659665553798923</v>
      </c>
      <c r="K983" t="str">
        <f>IF(Table4[[#This Row],[HomeIce Differential]]&gt;0,Table4[[#This Row],[Home]],Table4[[#This Row],[Visitor]])</f>
        <v>Winnipeg Jets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0.59178125599862785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0.49887659623169195</v>
      </c>
      <c r="H984" t="s">
        <v>18</v>
      </c>
      <c r="I984">
        <f>VLOOKUP(Table4[[#This Row],[Visitor]],'NHL Model'!$A$6:$B$38,2,FALSE)</f>
        <v>-0.69497686531268954</v>
      </c>
      <c r="J984">
        <f>($B$1+Table4[[#This Row],[Home Differential]])-Table4[[#This Row],[Away Differential]]</f>
        <v>1.4014136463363907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0.80453084618375048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0.28318004708662448</v>
      </c>
      <c r="H985" t="s">
        <v>38</v>
      </c>
      <c r="I985">
        <f>VLOOKUP(Table4[[#This Row],[Visitor]],'NHL Model'!$A$6:$B$38,2,FALSE)</f>
        <v>-0.87761566951859371</v>
      </c>
      <c r="J985">
        <f>($B$1+Table4[[#This Row],[Home Differential]])-Table4[[#This Row],[Away Differential]]</f>
        <v>1.3683559013972273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0.71464632313272036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4.3588947679693783E-2</v>
      </c>
      <c r="H986" t="s">
        <v>12</v>
      </c>
      <c r="I986">
        <f>VLOOKUP(Table4[[#This Row],[Visitor]],'NHL Model'!$A$6:$B$38,2,FALSE)</f>
        <v>1.4229473251234224</v>
      </c>
      <c r="J986">
        <f>($B$1+Table4[[#This Row],[Home Differential]])-Table4[[#This Row],[Away Differential]]</f>
        <v>-1.1717981926517194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0.68508728695392995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-0.4992069962886943</v>
      </c>
      <c r="H987" t="s">
        <v>11</v>
      </c>
      <c r="I987">
        <f>VLOOKUP(Table4[[#This Row],[Visitor]],'NHL Model'!$A$6:$B$38,2,FALSE)</f>
        <v>-0.2184338233275798</v>
      </c>
      <c r="J987">
        <f>($B$1+Table4[[#This Row],[Home Differential]])-Table4[[#This Row],[Away Differential]]</f>
        <v>-7.3212988169105403E-2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0.42964532466755134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-1.0049085234729234</v>
      </c>
      <c r="H988" t="s">
        <v>25</v>
      </c>
      <c r="I988">
        <f>VLOOKUP(Table4[[#This Row],[Visitor]],'NHL Model'!$A$6:$B$38,2,FALSE)</f>
        <v>0.55298967972810642</v>
      </c>
      <c r="J988">
        <f>($B$1+Table4[[#This Row],[Home Differential]])-Table4[[#This Row],[Away Differential]]</f>
        <v>-1.3503380184090208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0.69035518806378959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-0.41595305630289253</v>
      </c>
      <c r="H989" t="s">
        <v>35</v>
      </c>
      <c r="I989">
        <f>VLOOKUP(Table4[[#This Row],[Visitor]],'NHL Model'!$A$6:$B$38,2,FALSE)</f>
        <v>-1.7049475448313323</v>
      </c>
      <c r="J989">
        <f>($B$1+Table4[[#This Row],[Home Differential]])-Table4[[#This Row],[Away Differential]]</f>
        <v>1.4965546733204489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0.74597487831095044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-5.3996763649808116E-4</v>
      </c>
      <c r="H990" t="s">
        <v>34</v>
      </c>
      <c r="I990">
        <f>VLOOKUP(Table4[[#This Row],[Visitor]],'NHL Model'!$A$6:$B$38,2,FALSE)</f>
        <v>-0.52340626120007572</v>
      </c>
      <c r="J990">
        <f>($B$1+Table4[[#This Row],[Home Differential]])-Table4[[#This Row],[Away Differential]]</f>
        <v>0.73042647835558672</v>
      </c>
      <c r="K990" t="str">
        <f>IF(Table4[[#This Row],[HomeIce Differential]]&gt;0,Table4[[#This Row],[Home]],Table4[[#This Row],[Visitor]])</f>
        <v>Vegas Golden Knights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0.64053057711589079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-0.11354210657072454</v>
      </c>
      <c r="H991" t="s">
        <v>22</v>
      </c>
      <c r="I991">
        <f>VLOOKUP(Table4[[#This Row],[Visitor]],'NHL Model'!$A$6:$B$38,2,FALSE)</f>
        <v>-3.9931837337852071E-3</v>
      </c>
      <c r="J991">
        <f>($B$1+Table4[[#This Row],[Home Differential]])-Table4[[#This Row],[Away Differential]]</f>
        <v>9.8011261955069776E-2</v>
      </c>
      <c r="K991" t="str">
        <f>IF(Table4[[#This Row],[HomeIce Differential]]&gt;0,Table4[[#This Row],[Home]],Table4[[#This Row],[Visitor]])</f>
        <v>Boston Bruins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0.60520553211852557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-1.005023581214965</v>
      </c>
      <c r="H992" t="s">
        <v>29</v>
      </c>
      <c r="I992">
        <f>VLOOKUP(Table4[[#This Row],[Visitor]],'NHL Model'!$A$6:$B$38,2,FALSE)</f>
        <v>-1.4393526815815083</v>
      </c>
      <c r="J992">
        <f>($B$1+Table4[[#This Row],[Home Differential]])-Table4[[#This Row],[Away Differential]]</f>
        <v>0.64188928515855237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0.62834496310535104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-0.58990467102727129</v>
      </c>
      <c r="H993" t="s">
        <v>55</v>
      </c>
      <c r="I993">
        <f>VLOOKUP(Table4[[#This Row],[Visitor]],'NHL Model'!$A$6:$B$38,2,FALSE)</f>
        <v>-0.24431182281386174</v>
      </c>
      <c r="J993">
        <f>($B$1+Table4[[#This Row],[Home Differential]])-Table4[[#This Row],[Away Differential]]</f>
        <v>-0.13803266342140044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0.47195185794813993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-1.2993694664931768</v>
      </c>
      <c r="H994" t="s">
        <v>25</v>
      </c>
      <c r="I994">
        <f>VLOOKUP(Table4[[#This Row],[Visitor]],'NHL Model'!$A$6:$B$38,2,FALSE)</f>
        <v>0.55298967972810642</v>
      </c>
      <c r="J994">
        <f>($B$1+Table4[[#This Row],[Home Differential]])-Table4[[#This Row],[Away Differential]]</f>
        <v>-1.6447989614292742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0.76733641065200764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-0.16069632687214722</v>
      </c>
      <c r="H995" t="s">
        <v>18</v>
      </c>
      <c r="I995">
        <f>VLOOKUP(Table4[[#This Row],[Visitor]],'NHL Model'!$A$6:$B$38,2,FALSE)</f>
        <v>-0.69497686531268954</v>
      </c>
      <c r="J995">
        <f>($B$1+Table4[[#This Row],[Home Differential]])-Table4[[#This Row],[Away Differential]]</f>
        <v>0.74184072323255146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0.59500215911274679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0.27405230796993052</v>
      </c>
      <c r="H996" t="s">
        <v>15</v>
      </c>
      <c r="I996">
        <f>VLOOKUP(Table4[[#This Row],[Visitor]],'NHL Model'!$A$6:$B$38,2,FALSE)</f>
        <v>-0.41117752232850285</v>
      </c>
      <c r="J996">
        <f>($B$1+Table4[[#This Row],[Home Differential]])-Table4[[#This Row],[Away Differential]]</f>
        <v>0.89279001509044242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0.661338649464425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0.19812979206825923</v>
      </c>
      <c r="H997" t="s">
        <v>27</v>
      </c>
      <c r="I997">
        <f>VLOOKUP(Table4[[#This Row],[Visitor]],'NHL Model'!$A$6:$B$38,2,FALSE)</f>
        <v>-0.59983976271417982</v>
      </c>
      <c r="J997">
        <f>($B$1+Table4[[#This Row],[Home Differential]])-Table4[[#This Row],[Away Differential]]</f>
        <v>1.005529739574448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0.71443065139060735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-0.54471700440519322</v>
      </c>
      <c r="H998" t="s">
        <v>36</v>
      </c>
      <c r="I998">
        <f>VLOOKUP(Table4[[#This Row],[Visitor]],'NHL Model'!$A$6:$B$38,2,FALSE)</f>
        <v>-0.49956508239762204</v>
      </c>
      <c r="J998">
        <f>($B$1+Table4[[#This Row],[Home Differential]])-Table4[[#This Row],[Away Differential]]</f>
        <v>0.16240826278443793</v>
      </c>
      <c r="K998" t="str">
        <f>IF(Table4[[#This Row],[HomeIce Differential]]&gt;0,Table4[[#This Row],[Home]],Table4[[#This Row],[Visitor]])</f>
        <v>Seattle Kraken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0.58839042550355247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-0.41595305630289253</v>
      </c>
      <c r="H999" t="s">
        <v>30</v>
      </c>
      <c r="I999">
        <f>VLOOKUP(Table4[[#This Row],[Visitor]],'NHL Model'!$A$6:$B$38,2,FALSE)</f>
        <v>-7.6737500378247253E-2</v>
      </c>
      <c r="J999">
        <f>($B$1+Table4[[#This Row],[Home Differential]])-Table4[[#This Row],[Away Differential]]</f>
        <v>-0.13165537113263617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0.53740791960321665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-0.76384910289376506</v>
      </c>
      <c r="H1000" t="s">
        <v>37</v>
      </c>
      <c r="I1000">
        <f>VLOOKUP(Table4[[#This Row],[Visitor]],'NHL Model'!$A$6:$B$38,2,FALSE)</f>
        <v>3.7016822058700272E-2</v>
      </c>
      <c r="J1000">
        <f>($B$1+Table4[[#This Row],[Home Differential]])-Table4[[#This Row],[Away Differential]]</f>
        <v>-0.59330574016045623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0.57461602452867955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0.16605329280468042</v>
      </c>
      <c r="H1001" t="s">
        <v>38</v>
      </c>
      <c r="I1001">
        <f>VLOOKUP(Table4[[#This Row],[Visitor]],'NHL Model'!$A$6:$B$38,2,FALSE)</f>
        <v>-0.87761566951859371</v>
      </c>
      <c r="J1001">
        <f>($B$1+Table4[[#This Row],[Home Differential]])-Table4[[#This Row],[Away Differential]]</f>
        <v>1.2512291471152832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0.7436386322507198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0.49887659623169195</v>
      </c>
      <c r="H1002" t="s">
        <v>35</v>
      </c>
      <c r="I1002">
        <f>VLOOKUP(Table4[[#This Row],[Visitor]],'NHL Model'!$A$6:$B$38,2,FALSE)</f>
        <v>-1.7049475448313323</v>
      </c>
      <c r="J1002">
        <f>($B$1+Table4[[#This Row],[Home Differential]])-Table4[[#This Row],[Away Differential]]</f>
        <v>2.4113843258550336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0.9873160759967512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-1.005023581214965</v>
      </c>
      <c r="H1003" t="s">
        <v>37</v>
      </c>
      <c r="I1003">
        <f>VLOOKUP(Table4[[#This Row],[Visitor]],'NHL Model'!$A$6:$B$38,2,FALSE)</f>
        <v>3.7016822058700272E-2</v>
      </c>
      <c r="J1003">
        <f>($B$1+Table4[[#This Row],[Home Differential]])-Table4[[#This Row],[Away Differential]]</f>
        <v>-0.83448021848165621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0.62195116704152209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1.4229473251234224</v>
      </c>
      <c r="H1004" t="s">
        <v>34</v>
      </c>
      <c r="I1004">
        <f>VLOOKUP(Table4[[#This Row],[Visitor]],'NHL Model'!$A$6:$B$38,2,FALSE)</f>
        <v>-0.52340626120007572</v>
      </c>
      <c r="J1004">
        <f>($B$1+Table4[[#This Row],[Home Differential]])-Table4[[#This Row],[Away Differential]]</f>
        <v>2.1539137711155072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0.92481524143907468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4.3588947679693783E-2</v>
      </c>
      <c r="H1005" t="s">
        <v>10</v>
      </c>
      <c r="I1005">
        <f>VLOOKUP(Table4[[#This Row],[Visitor]],'NHL Model'!$A$6:$B$38,2,FALSE)</f>
        <v>0.28318004708662448</v>
      </c>
      <c r="J1005">
        <f>($B$1+Table4[[#This Row],[Home Differential]])-Table4[[#This Row],[Away Differential]]</f>
        <v>-3.203091461492158E-2</v>
      </c>
      <c r="K1005" t="str">
        <f>IF(Table4[[#This Row],[HomeIce Differential]]&gt;0,Table4[[#This Row],[Home]],Table4[[#This Row],[Visitor]])</f>
        <v>Chicago Blackhawks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0.48266937121077286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0.27405230796993052</v>
      </c>
      <c r="H1006" t="s">
        <v>26</v>
      </c>
      <c r="I1006">
        <f>VLOOKUP(Table4[[#This Row],[Visitor]],'NHL Model'!$A$6:$B$38,2,FALSE)</f>
        <v>-0.4992069962886943</v>
      </c>
      <c r="J1006">
        <f>($B$1+Table4[[#This Row],[Home Differential]])-Table4[[#This Row],[Away Differential]]</f>
        <v>0.98081948905063387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0.74664333167482977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0.19812979206825923</v>
      </c>
      <c r="H1007" t="s">
        <v>21</v>
      </c>
      <c r="I1007">
        <f>VLOOKUP(Table4[[#This Row],[Visitor]],'NHL Model'!$A$6:$B$38,2,FALSE)</f>
        <v>-0.11354210657072454</v>
      </c>
      <c r="J1007">
        <f>($B$1+Table4[[#This Row],[Home Differential]])-Table4[[#This Row],[Away Differential]]</f>
        <v>0.51923208343099281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0.6475001861475238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-5.3996763649808116E-4</v>
      </c>
      <c r="H1008" t="s">
        <v>17</v>
      </c>
      <c r="I1008">
        <f>VLOOKUP(Table4[[#This Row],[Visitor]],'NHL Model'!$A$6:$B$38,2,FALSE)</f>
        <v>-1.0049085234729234</v>
      </c>
      <c r="J1008">
        <f>($B$1+Table4[[#This Row],[Home Differential]])-Table4[[#This Row],[Away Differential]]</f>
        <v>1.2119287406284345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0.7068010392955647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0.28318004708662448</v>
      </c>
      <c r="H1009" t="s">
        <v>55</v>
      </c>
      <c r="I1009">
        <f>VLOOKUP(Table4[[#This Row],[Visitor]],'NHL Model'!$A$6:$B$38,2,FALSE)</f>
        <v>-0.24431182281386174</v>
      </c>
      <c r="J1009">
        <f>($B$1+Table4[[#This Row],[Home Differential]])-Table4[[#This Row],[Away Differential]]</f>
        <v>0.73505205469249535</v>
      </c>
      <c r="K1009" t="str">
        <f>IF(Table4[[#This Row],[HomeIce Differential]]&gt;0,Table4[[#This Row],[Home]],Table4[[#This Row],[Visitor]])</f>
        <v>Chicago Blackhawks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0.64821315959155235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-0.59983976271417982</v>
      </c>
      <c r="H1010" t="s">
        <v>15</v>
      </c>
      <c r="I1010">
        <f>VLOOKUP(Table4[[#This Row],[Visitor]],'NHL Model'!$A$6:$B$38,2,FALSE)</f>
        <v>-0.41117752232850285</v>
      </c>
      <c r="J1010">
        <f>($B$1+Table4[[#This Row],[Home Differential]])-Table4[[#This Row],[Away Differential]]</f>
        <v>1.8897944406332134E-2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0.42365360691838144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-0.87761566951859371</v>
      </c>
      <c r="H1011" t="s">
        <v>36</v>
      </c>
      <c r="I1011">
        <f>VLOOKUP(Table4[[#This Row],[Visitor]],'NHL Model'!$A$6:$B$38,2,FALSE)</f>
        <v>-0.49956508239762204</v>
      </c>
      <c r="J1011">
        <f>($B$1+Table4[[#This Row],[Home Differential]])-Table4[[#This Row],[Away Differential]]</f>
        <v>-0.17049040232896256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0.48346505643858539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-3.9931837337852071E-3</v>
      </c>
      <c r="H1012" t="s">
        <v>16</v>
      </c>
      <c r="I1012">
        <f>VLOOKUP(Table4[[#This Row],[Visitor]],'NHL Model'!$A$6:$B$38,2,FALSE)</f>
        <v>-1.2993694664931768</v>
      </c>
      <c r="J1012">
        <f>($B$1+Table4[[#This Row],[Home Differential]])-Table4[[#This Row],[Away Differential]]</f>
        <v>1.5029364675514008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0.74934870116257546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-0.11354210657072454</v>
      </c>
      <c r="H1013" t="s">
        <v>13</v>
      </c>
      <c r="I1013">
        <f>VLOOKUP(Table4[[#This Row],[Visitor]],'NHL Model'!$A$6:$B$38,2,FALSE)</f>
        <v>-0.16069632687214722</v>
      </c>
      <c r="J1013">
        <f>($B$1+Table4[[#This Row],[Home Differential]])-Table4[[#This Row],[Away Differential]]</f>
        <v>0.25471440509343179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0.52562307208846681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-1.005023581214965</v>
      </c>
      <c r="H1014" t="s">
        <v>33</v>
      </c>
      <c r="I1014">
        <f>VLOOKUP(Table4[[#This Row],[Visitor]],'NHL Model'!$A$6:$B$38,2,FALSE)</f>
        <v>-0.41595305630289253</v>
      </c>
      <c r="J1014">
        <f>($B$1+Table4[[#This Row],[Home Differential]])-Table4[[#This Row],[Away Differential]]</f>
        <v>-0.38151034012006341</v>
      </c>
      <c r="K1014" t="str">
        <f>IF(Table4[[#This Row],[HomeIce Differential]]&gt;0,Table4[[#This Row],[Home]],Table4[[#This Row],[Visitor]])</f>
        <v>San Jose Sharks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0.51250830275799297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0.55298967972810642</v>
      </c>
      <c r="H1015" t="s">
        <v>14</v>
      </c>
      <c r="I1015">
        <f>VLOOKUP(Table4[[#This Row],[Visitor]],'NHL Model'!$A$6:$B$38,2,FALSE)</f>
        <v>0.19812979206825923</v>
      </c>
      <c r="J1015">
        <f>($B$1+Table4[[#This Row],[Home Differential]])-Table4[[#This Row],[Away Differential]]</f>
        <v>0.56242007245185632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0.66912337617321205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1.4229473251234224</v>
      </c>
      <c r="H1016" t="s">
        <v>17</v>
      </c>
      <c r="I1016">
        <f>VLOOKUP(Table4[[#This Row],[Visitor]],'NHL Model'!$A$6:$B$38,2,FALSE)</f>
        <v>-1.0049085234729234</v>
      </c>
      <c r="J1016">
        <f>($B$1+Table4[[#This Row],[Home Differential]])-Table4[[#This Row],[Away Differential]]</f>
        <v>2.6354160333883545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0.99108570361874859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4.3588947679693783E-2</v>
      </c>
      <c r="H1017" t="s">
        <v>20</v>
      </c>
      <c r="I1017">
        <f>VLOOKUP(Table4[[#This Row],[Visitor]],'NHL Model'!$A$6:$B$38,2,FALSE)</f>
        <v>-5.3996763649808116E-4</v>
      </c>
      <c r="J1017">
        <f>($B$1+Table4[[#This Row],[Home Differential]])-Table4[[#This Row],[Away Differential]]</f>
        <v>0.251689100108201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0.55637978385772557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-0.2184338233275798</v>
      </c>
      <c r="H1018" t="s">
        <v>26</v>
      </c>
      <c r="I1018">
        <f>VLOOKUP(Table4[[#This Row],[Visitor]],'NHL Model'!$A$6:$B$38,2,FALSE)</f>
        <v>-0.4992069962886943</v>
      </c>
      <c r="J1018">
        <f>($B$1+Table4[[#This Row],[Home Differential]])-Table4[[#This Row],[Away Differential]]</f>
        <v>0.48833335775312359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0.62473276827020352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-0.52340626120007572</v>
      </c>
      <c r="H1019" t="s">
        <v>55</v>
      </c>
      <c r="I1019">
        <f>VLOOKUP(Table4[[#This Row],[Visitor]],'NHL Model'!$A$6:$B$38,2,FALSE)</f>
        <v>-0.24431182281386174</v>
      </c>
      <c r="J1019">
        <f>($B$1+Table4[[#This Row],[Home Differential]])-Table4[[#This Row],[Away Differential]]</f>
        <v>-7.1534253594204872E-2</v>
      </c>
      <c r="K1019" t="str">
        <f>IF(Table4[[#This Row],[HomeIce Differential]]&gt;0,Table4[[#This Row],[Home]],Table4[[#This Row],[Visitor]])</f>
        <v>Utah Mammoth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0.46984545332142108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-0.69497686531268954</v>
      </c>
      <c r="H1020" t="s">
        <v>19</v>
      </c>
      <c r="I1020">
        <f>VLOOKUP(Table4[[#This Row],[Visitor]],'NHL Model'!$A$6:$B$38,2,FALSE)</f>
        <v>-0.76384910289376506</v>
      </c>
      <c r="J1020">
        <f>($B$1+Table4[[#This Row],[Home Differential]])-Table4[[#This Row],[Away Differential]]</f>
        <v>0.27643242237308463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0.57804614396957987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-0.41117752232850285</v>
      </c>
      <c r="H1021" t="s">
        <v>16</v>
      </c>
      <c r="I1021">
        <f>VLOOKUP(Table4[[#This Row],[Visitor]],'NHL Model'!$A$6:$B$38,2,FALSE)</f>
        <v>-1.2993694664931768</v>
      </c>
      <c r="J1021">
        <f>($B$1+Table4[[#This Row],[Home Differential]])-Table4[[#This Row],[Away Differential]]</f>
        <v>1.0957521289566829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0.69081133716288246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-0.54471700440519322</v>
      </c>
      <c r="H1022" t="s">
        <v>29</v>
      </c>
      <c r="I1022">
        <f>VLOOKUP(Table4[[#This Row],[Visitor]],'NHL Model'!$A$6:$B$38,2,FALSE)</f>
        <v>-1.4393526815815083</v>
      </c>
      <c r="J1022">
        <f>($B$1+Table4[[#This Row],[Home Differential]])-Table4[[#This Row],[Away Differential]]</f>
        <v>1.1021958619683243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0.71773594146158692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-1.7049475448313323</v>
      </c>
      <c r="H1023" t="s">
        <v>30</v>
      </c>
      <c r="I1023">
        <f>VLOOKUP(Table4[[#This Row],[Visitor]],'NHL Model'!$A$6:$B$38,2,FALSE)</f>
        <v>-7.6737500378247253E-2</v>
      </c>
      <c r="J1023">
        <f>($B$1+Table4[[#This Row],[Home Differential]])-Table4[[#This Row],[Away Differential]]</f>
        <v>-1.4206498596610757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0.71481572678279504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3.7016822058700272E-2</v>
      </c>
      <c r="H1024" t="s">
        <v>28</v>
      </c>
      <c r="I1024">
        <f>VLOOKUP(Table4[[#This Row],[Visitor]],'NHL Model'!$A$6:$B$38,2,FALSE)</f>
        <v>-0.58990467102727129</v>
      </c>
      <c r="J1024">
        <f>($B$1+Table4[[#This Row],[Home Differential]])-Table4[[#This Row],[Away Differential]]</f>
        <v>0.83448167787798067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0.65485197642146598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0.16605329280468042</v>
      </c>
      <c r="H1025" t="s">
        <v>31</v>
      </c>
      <c r="I1025">
        <f>VLOOKUP(Table4[[#This Row],[Visitor]],'NHL Model'!$A$6:$B$38,2,FALSE)</f>
        <v>0.49887659623169195</v>
      </c>
      <c r="J1025">
        <f>($B$1+Table4[[#This Row],[Home Differential]])-Table4[[#This Row],[Away Differential]]</f>
        <v>-0.12526311863500245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0.44581173129986101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-0.49956508239762204</v>
      </c>
      <c r="H1026" t="s">
        <v>18</v>
      </c>
      <c r="I1026">
        <f>VLOOKUP(Table4[[#This Row],[Visitor]],'NHL Model'!$A$6:$B$38,2,FALSE)</f>
        <v>-0.69497686531268954</v>
      </c>
      <c r="J1026">
        <f>($B$1+Table4[[#This Row],[Home Differential]])-Table4[[#This Row],[Away Differential]]</f>
        <v>0.40297196770707661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0.5508749688029313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-0.59983976271417982</v>
      </c>
      <c r="H1027" t="s">
        <v>22</v>
      </c>
      <c r="I1027">
        <f>VLOOKUP(Table4[[#This Row],[Visitor]],'NHL Model'!$A$6:$B$38,2,FALSE)</f>
        <v>-3.9931837337852071E-3</v>
      </c>
      <c r="J1027">
        <f>($B$1+Table4[[#This Row],[Home Differential]])-Table4[[#This Row],[Away Differential]]</f>
        <v>-0.38828639418838551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0.51094543025157901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-0.11354210657072454</v>
      </c>
      <c r="H1028" t="s">
        <v>33</v>
      </c>
      <c r="I1028">
        <f>VLOOKUP(Table4[[#This Row],[Visitor]],'NHL Model'!$A$6:$B$38,2,FALSE)</f>
        <v>-0.41595305630289253</v>
      </c>
      <c r="J1028">
        <f>($B$1+Table4[[#This Row],[Home Differential]])-Table4[[#This Row],[Away Differential]]</f>
        <v>0.50997113452417708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0.66190468660591217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-1.005023581214965</v>
      </c>
      <c r="H1029" t="s">
        <v>22</v>
      </c>
      <c r="I1029">
        <f>VLOOKUP(Table4[[#This Row],[Visitor]],'NHL Model'!$A$6:$B$38,2,FALSE)</f>
        <v>-3.9931837337852071E-3</v>
      </c>
      <c r="J1029">
        <f>($B$1+Table4[[#This Row],[Home Differential]])-Table4[[#This Row],[Away Differential]]</f>
        <v>-0.79347021268917073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0.56920745724537958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0.55298967972810642</v>
      </c>
      <c r="H1030" t="s">
        <v>35</v>
      </c>
      <c r="I1030">
        <f>VLOOKUP(Table4[[#This Row],[Visitor]],'NHL Model'!$A$6:$B$38,2,FALSE)</f>
        <v>-1.7049475448313323</v>
      </c>
      <c r="J1030">
        <f>($B$1+Table4[[#This Row],[Home Differential]])-Table4[[#This Row],[Away Differential]]</f>
        <v>2.4654974093514479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0.93104907115267443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4.3588947679693783E-2</v>
      </c>
      <c r="H1031" t="s">
        <v>17</v>
      </c>
      <c r="I1031">
        <f>VLOOKUP(Table4[[#This Row],[Visitor]],'NHL Model'!$A$6:$B$38,2,FALSE)</f>
        <v>-1.0049085234729234</v>
      </c>
      <c r="J1031">
        <f>($B$1+Table4[[#This Row],[Home Differential]])-Table4[[#This Row],[Away Differential]]</f>
        <v>1.2560576559446264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0.71537010079147556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-0.2184338233275798</v>
      </c>
      <c r="H1032" t="s">
        <v>28</v>
      </c>
      <c r="I1032">
        <f>VLOOKUP(Table4[[#This Row],[Visitor]],'NHL Model'!$A$6:$B$38,2,FALSE)</f>
        <v>-0.58990467102727129</v>
      </c>
      <c r="J1032">
        <f>($B$1+Table4[[#This Row],[Home Differential]])-Table4[[#This Row],[Away Differential]]</f>
        <v>0.57903103249170063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0.6831418871827456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-0.52340626120007572</v>
      </c>
      <c r="H1033" t="s">
        <v>27</v>
      </c>
      <c r="I1033">
        <f>VLOOKUP(Table4[[#This Row],[Visitor]],'NHL Model'!$A$6:$B$38,2,FALSE)</f>
        <v>-0.59983976271417982</v>
      </c>
      <c r="J1033">
        <f>($B$1+Table4[[#This Row],[Home Differential]])-Table4[[#This Row],[Away Differential]]</f>
        <v>0.28399368630611321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0.57908682123065647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0.27405230796993052</v>
      </c>
      <c r="H1034" t="s">
        <v>16</v>
      </c>
      <c r="I1034">
        <f>VLOOKUP(Table4[[#This Row],[Visitor]],'NHL Model'!$A$6:$B$38,2,FALSE)</f>
        <v>-1.2993694664931768</v>
      </c>
      <c r="J1034">
        <f>($B$1+Table4[[#This Row],[Home Differential]])-Table4[[#This Row],[Away Differential]]</f>
        <v>1.7809819592551164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0.90055208864488401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-0.54471700440519322</v>
      </c>
      <c r="H1035" t="s">
        <v>12</v>
      </c>
      <c r="I1035">
        <f>VLOOKUP(Table4[[#This Row],[Visitor]],'NHL Model'!$A$6:$B$38,2,FALSE)</f>
        <v>1.4229473251234224</v>
      </c>
      <c r="J1035">
        <f>($B$1+Table4[[#This Row],[Home Differential]])-Table4[[#This Row],[Away Differential]]</f>
        <v>-1.7601041447366064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0.74224790680206165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3.7016822058700272E-2</v>
      </c>
      <c r="H1036" t="s">
        <v>26</v>
      </c>
      <c r="I1036">
        <f>VLOOKUP(Table4[[#This Row],[Visitor]],'NHL Model'!$A$6:$B$38,2,FALSE)</f>
        <v>-0.4992069962886943</v>
      </c>
      <c r="J1036">
        <f>($B$1+Table4[[#This Row],[Home Differential]])-Table4[[#This Row],[Away Differential]]</f>
        <v>0.74378400313940363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0.59526961799645717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-0.76384910289376506</v>
      </c>
      <c r="H1037" t="s">
        <v>31</v>
      </c>
      <c r="I1037">
        <f>VLOOKUP(Table4[[#This Row],[Visitor]],'NHL Model'!$A$6:$B$38,2,FALSE)</f>
        <v>0.49887659623169195</v>
      </c>
      <c r="J1037">
        <f>($B$1+Table4[[#This Row],[Home Differential]])-Table4[[#This Row],[Away Differential]]</f>
        <v>-1.055165514333448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0.61189195798898788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-0.24431182281386174</v>
      </c>
      <c r="H1038" t="s">
        <v>10</v>
      </c>
      <c r="I1038">
        <f>VLOOKUP(Table4[[#This Row],[Visitor]],'NHL Model'!$A$6:$B$38,2,FALSE)</f>
        <v>0.28318004708662448</v>
      </c>
      <c r="J1038">
        <f>($B$1+Table4[[#This Row],[Home Differential]])-Table4[[#This Row],[Away Differential]]</f>
        <v>-0.31993168510847714</v>
      </c>
      <c r="K1038" t="str">
        <f>IF(Table4[[#This Row],[HomeIce Differential]]&gt;0,Table4[[#This Row],[Home]],Table4[[#This Row],[Visitor]])</f>
        <v>Chicago Blackhawks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0.45579777135120503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-0.87761566951859371</v>
      </c>
      <c r="H1039" t="s">
        <v>29</v>
      </c>
      <c r="I1039">
        <f>VLOOKUP(Table4[[#This Row],[Visitor]],'NHL Model'!$A$6:$B$38,2,FALSE)</f>
        <v>-1.4393526815815083</v>
      </c>
      <c r="J1039">
        <f>($B$1+Table4[[#This Row],[Home Differential]])-Table4[[#This Row],[Away Differential]]</f>
        <v>0.7692971968549237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0.64588045951944917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-5.3996763649808116E-4</v>
      </c>
      <c r="H1040" t="s">
        <v>14</v>
      </c>
      <c r="I1040">
        <f>VLOOKUP(Table4[[#This Row],[Visitor]],'NHL Model'!$A$6:$B$38,2,FALSE)</f>
        <v>0.19812979206825923</v>
      </c>
      <c r="J1040">
        <f>($B$1+Table4[[#This Row],[Home Differential]])-Table4[[#This Row],[Away Differential]]</f>
        <v>8.8904250872517965E-3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0.54122361331538693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0.16605329280468042</v>
      </c>
      <c r="H1041" t="s">
        <v>15</v>
      </c>
      <c r="I1041">
        <f>VLOOKUP(Table4[[#This Row],[Visitor]],'NHL Model'!$A$6:$B$38,2,FALSE)</f>
        <v>-0.41117752232850285</v>
      </c>
      <c r="J1041">
        <f>($B$1+Table4[[#This Row],[Home Differential]])-Table4[[#This Row],[Away Differential]]</f>
        <v>0.7847909999251923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0.57860114894896553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-7.6737500378247253E-2</v>
      </c>
      <c r="H1042" t="s">
        <v>13</v>
      </c>
      <c r="I1042">
        <f>VLOOKUP(Table4[[#This Row],[Visitor]],'NHL Model'!$A$6:$B$38,2,FALSE)</f>
        <v>-0.16069632687214722</v>
      </c>
      <c r="J1042">
        <f>($B$1+Table4[[#This Row],[Home Differential]])-Table4[[#This Row],[Away Differential]]</f>
        <v>0.29151901128590907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0.47832479930714533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-1.7049475448313323</v>
      </c>
      <c r="H1043" t="s">
        <v>17</v>
      </c>
      <c r="I1043">
        <f>VLOOKUP(Table4[[#This Row],[Visitor]],'NHL Model'!$A$6:$B$38,2,FALSE)</f>
        <v>-1.0049085234729234</v>
      </c>
      <c r="J1043">
        <f>($B$1+Table4[[#This Row],[Home Differential]])-Table4[[#This Row],[Away Differential]]</f>
        <v>-0.49247883656639968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0.52778119786791255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-1.005023581214965</v>
      </c>
      <c r="H1044" t="s">
        <v>19</v>
      </c>
      <c r="I1044">
        <f>VLOOKUP(Table4[[#This Row],[Visitor]],'NHL Model'!$A$6:$B$38,2,FALSE)</f>
        <v>-0.76384910289376506</v>
      </c>
      <c r="J1044">
        <f>($B$1+Table4[[#This Row],[Home Differential]])-Table4[[#This Row],[Away Differential]]</f>
        <v>-3.3614293529190875E-2</v>
      </c>
      <c r="K1044" t="str">
        <f>IF(Table4[[#This Row],[HomeIce Differential]]&gt;0,Table4[[#This Row],[Home]],Table4[[#This Row],[Visitor]])</f>
        <v>Toronto Maple Leafs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0.46462642637961354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4.3588947679693783E-2</v>
      </c>
      <c r="H1045" t="s">
        <v>26</v>
      </c>
      <c r="I1045">
        <f>VLOOKUP(Table4[[#This Row],[Visitor]],'NHL Model'!$A$6:$B$38,2,FALSE)</f>
        <v>-0.4992069962886943</v>
      </c>
      <c r="J1045">
        <f>($B$1+Table4[[#This Row],[Home Differential]])-Table4[[#This Row],[Away Differential]]</f>
        <v>0.75035612876039726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0.59868639298655557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-0.52340626120007572</v>
      </c>
      <c r="H1046" t="s">
        <v>15</v>
      </c>
      <c r="I1046">
        <f>VLOOKUP(Table4[[#This Row],[Visitor]],'NHL Model'!$A$6:$B$38,2,FALSE)</f>
        <v>-0.41117752232850285</v>
      </c>
      <c r="J1046">
        <f>($B$1+Table4[[#This Row],[Home Differential]])-Table4[[#This Row],[Away Differential]]</f>
        <v>9.5331445920436242E-2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0.43172537660150934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-0.69497686531268954</v>
      </c>
      <c r="H1047" t="s">
        <v>33</v>
      </c>
      <c r="I1047">
        <f>VLOOKUP(Table4[[#This Row],[Visitor]],'NHL Model'!$A$6:$B$38,2,FALSE)</f>
        <v>-0.41595305630289253</v>
      </c>
      <c r="J1047">
        <f>($B$1+Table4[[#This Row],[Home Differential]])-Table4[[#This Row],[Away Differential]]</f>
        <v>-7.1463624217787902E-2</v>
      </c>
      <c r="K1047" t="str">
        <f>IF(Table4[[#This Row],[HomeIce Differential]]&gt;0,Table4[[#This Row],[Home]],Table4[[#This Row],[Visitor]])</f>
        <v>San Jose Sharks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0.46983573240879956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0.27405230796993052</v>
      </c>
      <c r="H1048" t="s">
        <v>13</v>
      </c>
      <c r="I1048">
        <f>VLOOKUP(Table4[[#This Row],[Visitor]],'NHL Model'!$A$6:$B$38,2,FALSE)</f>
        <v>-0.16069632687214722</v>
      </c>
      <c r="J1048">
        <f>($B$1+Table4[[#This Row],[Home Differential]])-Table4[[#This Row],[Away Differential]]</f>
        <v>0.64230881963408681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0.64668491336194378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-7.6737500378247253E-2</v>
      </c>
      <c r="H1049" t="s">
        <v>16</v>
      </c>
      <c r="I1049">
        <f>VLOOKUP(Table4[[#This Row],[Visitor]],'NHL Model'!$A$6:$B$38,2,FALSE)</f>
        <v>-1.2993694664931768</v>
      </c>
      <c r="J1049">
        <f>($B$1+Table4[[#This Row],[Home Differential]])-Table4[[#This Row],[Away Differential]]</f>
        <v>1.4301921509069386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0.7368412243775444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-0.49956508239762204</v>
      </c>
      <c r="H1050" t="s">
        <v>31</v>
      </c>
      <c r="I1050">
        <f>VLOOKUP(Table4[[#This Row],[Visitor]],'NHL Model'!$A$6:$B$38,2,FALSE)</f>
        <v>0.49887659623169195</v>
      </c>
      <c r="J1050">
        <f>($B$1+Table4[[#This Row],[Home Differential]])-Table4[[#This Row],[Away Differential]]</f>
        <v>-0.79088149383730488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0.58711203441446869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-0.59983976271417982</v>
      </c>
      <c r="H1051" t="s">
        <v>28</v>
      </c>
      <c r="I1051">
        <f>VLOOKUP(Table4[[#This Row],[Visitor]],'NHL Model'!$A$6:$B$38,2,FALSE)</f>
        <v>-0.58990467102727129</v>
      </c>
      <c r="J1051">
        <f>($B$1+Table4[[#This Row],[Home Differential]])-Table4[[#This Row],[Away Differential]]</f>
        <v>0.19762509310510057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0.56969515672310256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3.7016822058700272E-2</v>
      </c>
      <c r="H1052" t="s">
        <v>25</v>
      </c>
      <c r="I1052">
        <f>VLOOKUP(Table4[[#This Row],[Visitor]],'NHL Model'!$A$6:$B$38,2,FALSE)</f>
        <v>0.55298967972810642</v>
      </c>
      <c r="J1052">
        <f>($B$1+Table4[[#This Row],[Home Differential]])-Table4[[#This Row],[Away Differential]]</f>
        <v>-0.30841267287739704</v>
      </c>
      <c r="K1052" t="str">
        <f>IF(Table4[[#This Row],[HomeIce Differential]]&gt;0,Table4[[#This Row],[Home]],Table4[[#This Row],[Visitor]])</f>
        <v>Carolina Hurricanes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0.5834059415097318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-0.24431182281386174</v>
      </c>
      <c r="H1053" t="s">
        <v>14</v>
      </c>
      <c r="I1053">
        <f>VLOOKUP(Table4[[#This Row],[Visitor]],'NHL Model'!$A$6:$B$38,2,FALSE)</f>
        <v>0.19812979206825923</v>
      </c>
      <c r="J1053">
        <f>($B$1+Table4[[#This Row],[Home Differential]])-Table4[[#This Row],[Away Differential]]</f>
        <v>-0.23488143009011186</v>
      </c>
      <c r="K1053" t="str">
        <f>IF(Table4[[#This Row],[HomeIce Differential]]&gt;0,Table4[[#This Row],[Home]],Table4[[#This Row],[Visitor]])</f>
        <v>Pittsburgh Penguins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0.42405486213361371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-0.87761566951859371</v>
      </c>
      <c r="H1054" t="s">
        <v>32</v>
      </c>
      <c r="I1054">
        <f>VLOOKUP(Table4[[#This Row],[Visitor]],'NHL Model'!$A$6:$B$38,2,FALSE)</f>
        <v>-0.54471700440519322</v>
      </c>
      <c r="J1054">
        <f>($B$1+Table4[[#This Row],[Home Differential]])-Table4[[#This Row],[Away Differential]]</f>
        <v>-0.12533848032139139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0.47725067496170925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-5.3996763649808116E-4</v>
      </c>
      <c r="H1055" t="s">
        <v>10</v>
      </c>
      <c r="I1055">
        <f>VLOOKUP(Table4[[#This Row],[Visitor]],'NHL Model'!$A$6:$B$38,2,FALSE)</f>
        <v>0.28318004708662448</v>
      </c>
      <c r="J1055">
        <f>($B$1+Table4[[#This Row],[Home Differential]])-Table4[[#This Row],[Away Differential]]</f>
        <v>-7.6159829931113449E-2</v>
      </c>
      <c r="K1055" t="str">
        <f>IF(Table4[[#This Row],[HomeIce Differential]]&gt;0,Table4[[#This Row],[Home]],Table4[[#This Row],[Visitor]])</f>
        <v>Chicago Blackhawks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0.49125131470635713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0.16605329280468042</v>
      </c>
      <c r="H1056" t="s">
        <v>12</v>
      </c>
      <c r="I1056">
        <f>VLOOKUP(Table4[[#This Row],[Visitor]],'NHL Model'!$A$6:$B$38,2,FALSE)</f>
        <v>1.4229473251234224</v>
      </c>
      <c r="J1056">
        <f>($B$1+Table4[[#This Row],[Home Differential]])-Table4[[#This Row],[Away Differential]]</f>
        <v>-1.0493338475267329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0.61810687373068252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-3.9931837337852071E-3</v>
      </c>
      <c r="H1057" t="s">
        <v>21</v>
      </c>
      <c r="I1057">
        <f>VLOOKUP(Table4[[#This Row],[Visitor]],'NHL Model'!$A$6:$B$38,2,FALSE)</f>
        <v>-0.11354210657072454</v>
      </c>
      <c r="J1057">
        <f>($B$1+Table4[[#This Row],[Home Differential]])-Table4[[#This Row],[Away Differential]]</f>
        <v>0.31710910762894845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0.58614006567991928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-1.0049085234729234</v>
      </c>
      <c r="H1058" t="s">
        <v>29</v>
      </c>
      <c r="I1058">
        <f>VLOOKUP(Table4[[#This Row],[Visitor]],'NHL Model'!$A$6:$B$38,2,FALSE)</f>
        <v>-1.4393526815815083</v>
      </c>
      <c r="J1058">
        <f>($B$1+Table4[[#This Row],[Home Differential]])-Table4[[#This Row],[Away Differential]]</f>
        <v>0.64200434290059405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0.66439766517386922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-0.52340626120007572</v>
      </c>
      <c r="H1059" t="s">
        <v>19</v>
      </c>
      <c r="I1059">
        <f>VLOOKUP(Table4[[#This Row],[Visitor]],'NHL Model'!$A$6:$B$38,2,FALSE)</f>
        <v>-0.76384910289376506</v>
      </c>
      <c r="J1059">
        <f>($B$1+Table4[[#This Row],[Home Differential]])-Table4[[#This Row],[Away Differential]]</f>
        <v>0.44800302648569845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0.60165987150913158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-0.69497686531268954</v>
      </c>
      <c r="H1060" t="s">
        <v>31</v>
      </c>
      <c r="I1060">
        <f>VLOOKUP(Table4[[#This Row],[Visitor]],'NHL Model'!$A$6:$B$38,2,FALSE)</f>
        <v>0.49887659623169195</v>
      </c>
      <c r="J1060">
        <f>($B$1+Table4[[#This Row],[Home Differential]])-Table4[[#This Row],[Away Differential]]</f>
        <v>-0.98629327675237244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0.61651544925334401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-0.49956508239762204</v>
      </c>
      <c r="H1061" t="s">
        <v>33</v>
      </c>
      <c r="I1061">
        <f>VLOOKUP(Table4[[#This Row],[Visitor]],'NHL Model'!$A$6:$B$38,2,FALSE)</f>
        <v>-0.41595305630289253</v>
      </c>
      <c r="J1061">
        <f>($B$1+Table4[[#This Row],[Home Differential]])-Table4[[#This Row],[Away Differential]]</f>
        <v>0.1239481586972796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0.5595548004304024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-0.54471700440519322</v>
      </c>
      <c r="H1062" t="s">
        <v>11</v>
      </c>
      <c r="I1062">
        <f>VLOOKUP(Table4[[#This Row],[Visitor]],'NHL Model'!$A$6:$B$38,2,FALSE)</f>
        <v>-0.2184338233275798</v>
      </c>
      <c r="J1062">
        <f>($B$1+Table4[[#This Row],[Home Differential]])-Table4[[#This Row],[Away Differential]]</f>
        <v>-0.11872299628560432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0.45030243210376675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0.16605329280468042</v>
      </c>
      <c r="H1063" t="s">
        <v>35</v>
      </c>
      <c r="I1063">
        <f>VLOOKUP(Table4[[#This Row],[Visitor]],'NHL Model'!$A$6:$B$38,2,FALSE)</f>
        <v>-1.7049475448313323</v>
      </c>
      <c r="J1063">
        <f>($B$1+Table4[[#This Row],[Home Differential]])-Table4[[#This Row],[Away Differential]]</f>
        <v>2.0785610224280218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0.87779396685782063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1.4229473251234224</v>
      </c>
      <c r="H1064" t="s">
        <v>14</v>
      </c>
      <c r="I1064">
        <f>VLOOKUP(Table4[[#This Row],[Visitor]],'NHL Model'!$A$6:$B$38,2,FALSE)</f>
        <v>0.19812979206825923</v>
      </c>
      <c r="J1064">
        <f>($B$1+Table4[[#This Row],[Home Differential]])-Table4[[#This Row],[Away Differential]]</f>
        <v>1.4323777178471722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0.82550827763857082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4.3588947679693783E-2</v>
      </c>
      <c r="H1065" t="s">
        <v>55</v>
      </c>
      <c r="I1065">
        <f>VLOOKUP(Table4[[#This Row],[Visitor]],'NHL Model'!$A$6:$B$38,2,FALSE)</f>
        <v>-0.24431182281386174</v>
      </c>
      <c r="J1065">
        <f>($B$1+Table4[[#This Row],[Home Differential]])-Table4[[#This Row],[Away Differential]]</f>
        <v>0.49546095528556466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0.61068711415900856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-0.4992069962886943</v>
      </c>
      <c r="H1066" t="s">
        <v>16</v>
      </c>
      <c r="I1066">
        <f>VLOOKUP(Table4[[#This Row],[Visitor]],'NHL Model'!$A$6:$B$38,2,FALSE)</f>
        <v>-1.2993694664931768</v>
      </c>
      <c r="J1066">
        <f>($B$1+Table4[[#This Row],[Home Differential]])-Table4[[#This Row],[Away Differential]]</f>
        <v>1.0077226549964915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0.7191267793739351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0.27405230796993052</v>
      </c>
      <c r="H1067" t="s">
        <v>21</v>
      </c>
      <c r="I1067">
        <f>VLOOKUP(Table4[[#This Row],[Visitor]],'NHL Model'!$A$6:$B$38,2,FALSE)</f>
        <v>-0.11354210657072454</v>
      </c>
      <c r="J1067">
        <f>($B$1+Table4[[#This Row],[Home Differential]])-Table4[[#This Row],[Away Differential]]</f>
        <v>0.59515459933266412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0.73734345316222782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-0.41117752232850285</v>
      </c>
      <c r="H1068" t="s">
        <v>13</v>
      </c>
      <c r="I1068">
        <f>VLOOKUP(Table4[[#This Row],[Visitor]],'NHL Model'!$A$6:$B$38,2,FALSE)</f>
        <v>-0.16069632687214722</v>
      </c>
      <c r="J1068">
        <f>($B$1+Table4[[#This Row],[Home Differential]])-Table4[[#This Row],[Away Differential]]</f>
        <v>-4.2921010664346532E-2</v>
      </c>
      <c r="K1068" t="str">
        <f>IF(Table4[[#This Row],[HomeIce Differential]]&gt;0,Table4[[#This Row],[Home]],Table4[[#This Row],[Visitor]])</f>
        <v>Los Angeles Kings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0.5677050879075165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-0.58990467102727129</v>
      </c>
      <c r="H1069" t="s">
        <v>25</v>
      </c>
      <c r="I1069">
        <f>VLOOKUP(Table4[[#This Row],[Visitor]],'NHL Model'!$A$6:$B$38,2,FALSE)</f>
        <v>0.55298967972810642</v>
      </c>
      <c r="J1069">
        <f>($B$1+Table4[[#This Row],[Home Differential]])-Table4[[#This Row],[Away Differential]]</f>
        <v>-0.9353341659633686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0.6626308829510319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0.28318004708662448</v>
      </c>
      <c r="H1070" t="s">
        <v>34</v>
      </c>
      <c r="I1070">
        <f>VLOOKUP(Table4[[#This Row],[Visitor]],'NHL Model'!$A$6:$B$38,2,FALSE)</f>
        <v>-0.52340626120007572</v>
      </c>
      <c r="J1070">
        <f>($B$1+Table4[[#This Row],[Home Differential]])-Table4[[#This Row],[Away Differential]]</f>
        <v>1.0141464930787092</v>
      </c>
      <c r="K1070" t="str">
        <f>IF(Table4[[#This Row],[HomeIce Differential]]&gt;0,Table4[[#This Row],[Home]],Table4[[#This Row],[Visitor]])</f>
        <v>Chicago Blackhawks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0.68662568404434543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-1.0049085234729234</v>
      </c>
      <c r="H1071" t="s">
        <v>33</v>
      </c>
      <c r="I1071">
        <f>VLOOKUP(Table4[[#This Row],[Visitor]],'NHL Model'!$A$6:$B$38,2,FALSE)</f>
        <v>-0.41595305630289253</v>
      </c>
      <c r="J1071">
        <f>($B$1+Table4[[#This Row],[Home Differential]])-Table4[[#This Row],[Away Differential]]</f>
        <v>-0.38139528237802173</v>
      </c>
      <c r="K1071" t="str">
        <f>IF(Table4[[#This Row],[HomeIce Differential]]&gt;0,Table4[[#This Row],[Home]],Table4[[#This Row],[Visitor]])</f>
        <v>San Jose Sharks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0.47645560068947485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-0.69497686531268954</v>
      </c>
      <c r="H1072" t="s">
        <v>21</v>
      </c>
      <c r="I1072">
        <f>VLOOKUP(Table4[[#This Row],[Visitor]],'NHL Model'!$A$6:$B$38,2,FALSE)</f>
        <v>-0.11354210657072454</v>
      </c>
      <c r="J1072">
        <f>($B$1+Table4[[#This Row],[Home Differential]])-Table4[[#This Row],[Away Differential]]</f>
        <v>-0.37387457394995588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0.51145737155197879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-0.54471700440519322</v>
      </c>
      <c r="H1073" t="s">
        <v>37</v>
      </c>
      <c r="I1073">
        <f>VLOOKUP(Table4[[#This Row],[Visitor]],'NHL Model'!$A$6:$B$38,2,FALSE)</f>
        <v>3.7016822058700272E-2</v>
      </c>
      <c r="J1073">
        <f>($B$1+Table4[[#This Row],[Home Differential]])-Table4[[#This Row],[Away Differential]]</f>
        <v>-0.37417364167188438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0.53226776382284346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-0.76384910289376506</v>
      </c>
      <c r="H1074" t="s">
        <v>30</v>
      </c>
      <c r="I1074">
        <f>VLOOKUP(Table4[[#This Row],[Visitor]],'NHL Model'!$A$6:$B$38,2,FALSE)</f>
        <v>-7.6737500378247253E-2</v>
      </c>
      <c r="J1074">
        <f>($B$1+Table4[[#This Row],[Home Differential]])-Table4[[#This Row],[Away Differential]]</f>
        <v>-0.47955141772350873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0.57115660132896073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-0.87761566951859371</v>
      </c>
      <c r="H1075" t="s">
        <v>11</v>
      </c>
      <c r="I1075">
        <f>VLOOKUP(Table4[[#This Row],[Visitor]],'NHL Model'!$A$6:$B$38,2,FALSE)</f>
        <v>-0.2184338233275798</v>
      </c>
      <c r="J1075">
        <f>($B$1+Table4[[#This Row],[Home Differential]])-Table4[[#This Row],[Away Differential]]</f>
        <v>-0.45162166139900484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0.52215791404590461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-5.3996763649808116E-4</v>
      </c>
      <c r="H1076" t="s">
        <v>23</v>
      </c>
      <c r="I1076">
        <f>VLOOKUP(Table4[[#This Row],[Visitor]],'NHL Model'!$A$6:$B$38,2,FALSE)</f>
        <v>-1.005023581214965</v>
      </c>
      <c r="J1076">
        <f>($B$1+Table4[[#This Row],[Home Differential]])-Table4[[#This Row],[Away Differential]]</f>
        <v>1.2120437983704762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0.70681687500463586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0.16605329280468042</v>
      </c>
      <c r="H1077" t="s">
        <v>29</v>
      </c>
      <c r="I1077">
        <f>VLOOKUP(Table4[[#This Row],[Visitor]],'NHL Model'!$A$6:$B$38,2,FALSE)</f>
        <v>-1.4393526815815083</v>
      </c>
      <c r="J1077">
        <f>($B$1+Table4[[#This Row],[Home Differential]])-Table4[[#This Row],[Away Differential]]</f>
        <v>1.8129661591781978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0.84123942554158626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0.49887659623169195</v>
      </c>
      <c r="H1078" t="s">
        <v>27</v>
      </c>
      <c r="I1078">
        <f>VLOOKUP(Table4[[#This Row],[Visitor]],'NHL Model'!$A$6:$B$38,2,FALSE)</f>
        <v>-0.59983976271417982</v>
      </c>
      <c r="J1078">
        <f>($B$1+Table4[[#This Row],[Home Differential]])-Table4[[#This Row],[Away Differential]]</f>
        <v>1.3062765437378809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0.83521709491707696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0.55298967972810642</v>
      </c>
      <c r="H1079" t="s">
        <v>14</v>
      </c>
      <c r="I1079">
        <f>VLOOKUP(Table4[[#This Row],[Visitor]],'NHL Model'!$A$6:$B$38,2,FALSE)</f>
        <v>0.19812979206825923</v>
      </c>
      <c r="J1079">
        <f>($B$1+Table4[[#This Row],[Home Differential]])-Table4[[#This Row],[Away Differential]]</f>
        <v>0.56242007245185632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0.66912337617321205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-1.2993694664931768</v>
      </c>
      <c r="H1080" t="s">
        <v>35</v>
      </c>
      <c r="I1080">
        <f>VLOOKUP(Table4[[#This Row],[Visitor]],'NHL Model'!$A$6:$B$38,2,FALSE)</f>
        <v>-1.7049475448313323</v>
      </c>
      <c r="J1080">
        <f>($B$1+Table4[[#This Row],[Home Differential]])-Table4[[#This Row],[Away Differential]]</f>
        <v>0.61313826313016451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0.62438788197147355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1.4229473251234224</v>
      </c>
      <c r="H1081" t="s">
        <v>39</v>
      </c>
      <c r="I1081">
        <f>VLOOKUP(Table4[[#This Row],[Visitor]],'NHL Model'!$A$6:$B$38,2,FALSE)</f>
        <v>4.3588947679693783E-2</v>
      </c>
      <c r="J1081">
        <f>($B$1+Table4[[#This Row],[Home Differential]])-Table4[[#This Row],[Away Differential]]</f>
        <v>1.5869185622357376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0.7568734438686886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-0.41117752232850285</v>
      </c>
      <c r="H1082" t="s">
        <v>24</v>
      </c>
      <c r="I1082">
        <f>VLOOKUP(Table4[[#This Row],[Visitor]],'NHL Model'!$A$6:$B$38,2,FALSE)</f>
        <v>0.27405230796993052</v>
      </c>
      <c r="J1082">
        <f>($B$1+Table4[[#This Row],[Home Differential]])-Table4[[#This Row],[Away Differential]]</f>
        <v>-0.47766964550642427</v>
      </c>
      <c r="K1082" t="str">
        <f>IF(Table4[[#This Row],[HomeIce Differential]]&gt;0,Table4[[#This Row],[Home]],Table4[[#This Row],[Visitor]])</f>
        <v>New Jersey Devils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0.56825553155421282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-3.9931837337852071E-3</v>
      </c>
      <c r="H1083" t="s">
        <v>36</v>
      </c>
      <c r="I1083">
        <f>VLOOKUP(Table4[[#This Row],[Visitor]],'NHL Model'!$A$6:$B$38,2,FALSE)</f>
        <v>-0.49956508239762204</v>
      </c>
      <c r="J1083">
        <f>($B$1+Table4[[#This Row],[Home Differential]])-Table4[[#This Row],[Away Differential]]</f>
        <v>0.70313208345584588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0.63926945472840802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-0.11354210657072454</v>
      </c>
      <c r="H1084" t="s">
        <v>40</v>
      </c>
      <c r="I1084">
        <f>VLOOKUP(Table4[[#This Row],[Visitor]],'NHL Model'!$A$6:$B$38,2,FALSE)</f>
        <v>0.16605329280468042</v>
      </c>
      <c r="J1084">
        <f>($B$1+Table4[[#This Row],[Home Differential]])-Table4[[#This Row],[Away Differential]]</f>
        <v>-7.203521458339586E-2</v>
      </c>
      <c r="K1084" t="str">
        <f>IF(Table4[[#This Row],[HomeIce Differential]]&gt;0,Table4[[#This Row],[Home]],Table4[[#This Row],[Visitor]])</f>
        <v>Winnipeg Jets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0.48359861246727393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-0.58990467102727129</v>
      </c>
      <c r="H1085" t="s">
        <v>15</v>
      </c>
      <c r="I1085">
        <f>VLOOKUP(Table4[[#This Row],[Visitor]],'NHL Model'!$A$6:$B$38,2,FALSE)</f>
        <v>-0.41117752232850285</v>
      </c>
      <c r="J1085">
        <f>($B$1+Table4[[#This Row],[Home Differential]])-Table4[[#This Row],[Away Differential]]</f>
        <v>2.8833036093240672E-2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0.42950028384566052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-0.4992069962886943</v>
      </c>
      <c r="H1086" t="s">
        <v>18</v>
      </c>
      <c r="I1086">
        <f>VLOOKUP(Table4[[#This Row],[Visitor]],'NHL Model'!$A$6:$B$38,2,FALSE)</f>
        <v>-0.69497686531268954</v>
      </c>
      <c r="J1086">
        <f>($B$1+Table4[[#This Row],[Home Differential]])-Table4[[#This Row],[Away Differential]]</f>
        <v>0.40333005381600434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0.58940971421327271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-1.0049085234729234</v>
      </c>
      <c r="H1087" t="s">
        <v>11</v>
      </c>
      <c r="I1087">
        <f>VLOOKUP(Table4[[#This Row],[Visitor]],'NHL Model'!$A$6:$B$38,2,FALSE)</f>
        <v>-0.2184338233275798</v>
      </c>
      <c r="J1087">
        <f>($B$1+Table4[[#This Row],[Home Differential]])-Table4[[#This Row],[Away Differential]]</f>
        <v>-0.57891451535333449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0.50364070839148456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-0.16069632687214722</v>
      </c>
      <c r="H1088" t="s">
        <v>27</v>
      </c>
      <c r="I1088">
        <f>VLOOKUP(Table4[[#This Row],[Visitor]],'NHL Model'!$A$6:$B$38,2,FALSE)</f>
        <v>-0.59983976271417982</v>
      </c>
      <c r="J1088">
        <f>($B$1+Table4[[#This Row],[Home Differential]])-Table4[[#This Row],[Away Differential]]</f>
        <v>0.64670362063404174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0.62900757315320976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-0.52340626120007572</v>
      </c>
      <c r="H1089" t="s">
        <v>10</v>
      </c>
      <c r="I1089">
        <f>VLOOKUP(Table4[[#This Row],[Visitor]],'NHL Model'!$A$6:$B$38,2,FALSE)</f>
        <v>0.28318004708662448</v>
      </c>
      <c r="J1089">
        <f>($B$1+Table4[[#This Row],[Home Differential]])-Table4[[#This Row],[Away Differential]]</f>
        <v>-0.59902612349469109</v>
      </c>
      <c r="K1089" t="str">
        <f>IF(Table4[[#This Row],[HomeIce Differential]]&gt;0,Table4[[#This Row],[Home]],Table4[[#This Row],[Visitor]])</f>
        <v>Chicago Blackhawks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0.56321482069087592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-1.4393526815815083</v>
      </c>
      <c r="H1090" t="s">
        <v>32</v>
      </c>
      <c r="I1090">
        <f>VLOOKUP(Table4[[#This Row],[Visitor]],'NHL Model'!$A$6:$B$38,2,FALSE)</f>
        <v>-0.54471700440519322</v>
      </c>
      <c r="J1090">
        <f>($B$1+Table4[[#This Row],[Home Differential]])-Table4[[#This Row],[Away Differential]]</f>
        <v>-0.6870754923843061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0.55456406334978636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-0.49956508239762204</v>
      </c>
      <c r="H1091" t="s">
        <v>30</v>
      </c>
      <c r="I1091">
        <f>VLOOKUP(Table4[[#This Row],[Visitor]],'NHL Model'!$A$6:$B$38,2,FALSE)</f>
        <v>-7.6737500378247253E-2</v>
      </c>
      <c r="J1091">
        <f>($B$1+Table4[[#This Row],[Home Differential]])-Table4[[#This Row],[Away Differential]]</f>
        <v>-0.21526739722736568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0.5464063591705659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-0.41595305630289253</v>
      </c>
      <c r="H1092" t="s">
        <v>23</v>
      </c>
      <c r="I1092">
        <f>VLOOKUP(Table4[[#This Row],[Visitor]],'NHL Model'!$A$6:$B$38,2,FALSE)</f>
        <v>-1.005023581214965</v>
      </c>
      <c r="J1092">
        <f>($B$1+Table4[[#This Row],[Home Differential]])-Table4[[#This Row],[Away Differential]]</f>
        <v>0.79663070970408167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0.64964244502073698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-0.87761566951859371</v>
      </c>
      <c r="H1093" t="s">
        <v>37</v>
      </c>
      <c r="I1093">
        <f>VLOOKUP(Table4[[#This Row],[Visitor]],'NHL Model'!$A$6:$B$38,2,FALSE)</f>
        <v>3.7016822058700272E-2</v>
      </c>
      <c r="J1093">
        <f>($B$1+Table4[[#This Row],[Home Differential]])-Table4[[#This Row],[Away Differential]]</f>
        <v>-0.70707230678528488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0.60441567062742407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-5.3996763649808116E-4</v>
      </c>
      <c r="H1094" t="s">
        <v>55</v>
      </c>
      <c r="I1094">
        <f>VLOOKUP(Table4[[#This Row],[Visitor]],'NHL Model'!$A$6:$B$38,2,FALSE)</f>
        <v>-0.24431182281386174</v>
      </c>
      <c r="J1094">
        <f>($B$1+Table4[[#This Row],[Home Differential]])-Table4[[#This Row],[Away Differential]]</f>
        <v>0.45133203996937277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0.6021180526630977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-1.2993694664931768</v>
      </c>
      <c r="H1095" t="s">
        <v>11</v>
      </c>
      <c r="I1095">
        <f>VLOOKUP(Table4[[#This Row],[Visitor]],'NHL Model'!$A$6:$B$38,2,FALSE)</f>
        <v>-0.2184338233275798</v>
      </c>
      <c r="J1095">
        <f>($B$1+Table4[[#This Row],[Home Differential]])-Table4[[#This Row],[Away Differential]]</f>
        <v>-0.87337545837358799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0.5802050329101146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0.28318004708662448</v>
      </c>
      <c r="H1096" t="s">
        <v>12</v>
      </c>
      <c r="I1096">
        <f>VLOOKUP(Table4[[#This Row],[Visitor]],'NHL Model'!$A$6:$B$38,2,FALSE)</f>
        <v>1.4229473251234224</v>
      </c>
      <c r="J1096">
        <f>($B$1+Table4[[#This Row],[Home Differential]])-Table4[[#This Row],[Away Differential]]</f>
        <v>-0.93220709324478879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0.64753295959824797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-0.76384910289376506</v>
      </c>
      <c r="H1097" t="s">
        <v>25</v>
      </c>
      <c r="I1097">
        <f>VLOOKUP(Table4[[#This Row],[Visitor]],'NHL Model'!$A$6:$B$38,2,FALSE)</f>
        <v>0.55298967972810642</v>
      </c>
      <c r="J1097">
        <f>($B$1+Table4[[#This Row],[Home Differential]])-Table4[[#This Row],[Away Differential]]</f>
        <v>-1.1092785978298623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0.67955474218747813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-0.24431182281386174</v>
      </c>
      <c r="H1098" t="s">
        <v>31</v>
      </c>
      <c r="I1098">
        <f>VLOOKUP(Table4[[#This Row],[Visitor]],'NHL Model'!$A$6:$B$38,2,FALSE)</f>
        <v>0.49887659623169195</v>
      </c>
      <c r="J1098">
        <f>($B$1+Table4[[#This Row],[Home Differential]])-Table4[[#This Row],[Away Differential]]</f>
        <v>-0.53562823425354456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0.48548467237412146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-3.9931837337852071E-3</v>
      </c>
      <c r="H1099" t="s">
        <v>24</v>
      </c>
      <c r="I1099">
        <f>VLOOKUP(Table4[[#This Row],[Visitor]],'NHL Model'!$A$6:$B$38,2,FALSE)</f>
        <v>0.27405230796993052</v>
      </c>
      <c r="J1099">
        <f>($B$1+Table4[[#This Row],[Home Differential]])-Table4[[#This Row],[Away Differential]]</f>
        <v>-7.0485306911706624E-2</v>
      </c>
      <c r="K1099" t="str">
        <f>IF(Table4[[#This Row],[HomeIce Differential]]&gt;0,Table4[[#This Row],[Home]],Table4[[#This Row],[Visitor]])</f>
        <v>New Jersey Devils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0.50970108394478952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-0.58990467102727129</v>
      </c>
      <c r="H1100" t="s">
        <v>32</v>
      </c>
      <c r="I1100">
        <f>VLOOKUP(Table4[[#This Row],[Visitor]],'NHL Model'!$A$6:$B$38,2,FALSE)</f>
        <v>-0.54471700440519322</v>
      </c>
      <c r="J1100">
        <f>($B$1+Table4[[#This Row],[Home Differential]])-Table4[[#This Row],[Away Differential]]</f>
        <v>0.16237251816993103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0.56939372188621906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-0.4992069962886943</v>
      </c>
      <c r="H1101" t="s">
        <v>21</v>
      </c>
      <c r="I1101">
        <f>VLOOKUP(Table4[[#This Row],[Visitor]],'NHL Model'!$A$6:$B$38,2,FALSE)</f>
        <v>-0.11354210657072454</v>
      </c>
      <c r="J1101">
        <f>($B$1+Table4[[#This Row],[Home Differential]])-Table4[[#This Row],[Away Differential]]</f>
        <v>-0.17810470492596064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0.44408185610872092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-1.0049085234729234</v>
      </c>
      <c r="H1102" t="s">
        <v>37</v>
      </c>
      <c r="I1102">
        <f>VLOOKUP(Table4[[#This Row],[Visitor]],'NHL Model'!$A$6:$B$38,2,FALSE)</f>
        <v>3.7016822058700272E-2</v>
      </c>
      <c r="J1102">
        <f>($B$1+Table4[[#This Row],[Home Differential]])-Table4[[#This Row],[Away Differential]]</f>
        <v>-0.83436516073961453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0.58542417514583844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-0.16069632687214722</v>
      </c>
      <c r="H1103" t="s">
        <v>23</v>
      </c>
      <c r="I1103">
        <f>VLOOKUP(Table4[[#This Row],[Visitor]],'NHL Model'!$A$6:$B$38,2,FALSE)</f>
        <v>-1.005023581214965</v>
      </c>
      <c r="J1103">
        <f>($B$1+Table4[[#This Row],[Home Differential]])-Table4[[#This Row],[Away Differential]]</f>
        <v>1.051887439134827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0.68477412094267043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-0.52340626120007572</v>
      </c>
      <c r="H1104" t="s">
        <v>39</v>
      </c>
      <c r="I1104">
        <f>VLOOKUP(Table4[[#This Row],[Visitor]],'NHL Model'!$A$6:$B$38,2,FALSE)</f>
        <v>4.3588947679693783E-2</v>
      </c>
      <c r="J1104">
        <f>($B$1+Table4[[#This Row],[Home Differential]])-Table4[[#This Row],[Away Differential]]</f>
        <v>-0.3594350240877604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0.60195620499002156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-0.69497686531268954</v>
      </c>
      <c r="H1105" t="s">
        <v>30</v>
      </c>
      <c r="I1105">
        <f>VLOOKUP(Table4[[#This Row],[Visitor]],'NHL Model'!$A$6:$B$38,2,FALSE)</f>
        <v>-7.6737500378247253E-2</v>
      </c>
      <c r="J1105">
        <f>($B$1+Table4[[#This Row],[Home Differential]])-Table4[[#This Row],[Away Differential]]</f>
        <v>-0.41067918014243321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0.5758107231433881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-1.4393526815815083</v>
      </c>
      <c r="H1106" t="s">
        <v>20</v>
      </c>
      <c r="I1106">
        <f>VLOOKUP(Table4[[#This Row],[Visitor]],'NHL Model'!$A$6:$B$38,2,FALSE)</f>
        <v>-5.3996763649808116E-4</v>
      </c>
      <c r="J1106">
        <f>($B$1+Table4[[#This Row],[Home Differential]])-Table4[[#This Row],[Away Differential]]</f>
        <v>-1.2312525291530012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0.65022985548510159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-0.49956508239762204</v>
      </c>
      <c r="H1107" t="s">
        <v>19</v>
      </c>
      <c r="I1107">
        <f>VLOOKUP(Table4[[#This Row],[Visitor]],'NHL Model'!$A$6:$B$38,2,FALSE)</f>
        <v>-0.76384910289376506</v>
      </c>
      <c r="J1107">
        <f>($B$1+Table4[[#This Row],[Home Differential]])-Table4[[#This Row],[Away Differential]]</f>
        <v>0.47184420528815213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0.60743667680878177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0.19812979206825923</v>
      </c>
      <c r="H1108" t="s">
        <v>40</v>
      </c>
      <c r="I1108">
        <f>VLOOKUP(Table4[[#This Row],[Visitor]],'NHL Model'!$A$6:$B$38,2,FALSE)</f>
        <v>0.16605329280468042</v>
      </c>
      <c r="J1108">
        <f>($B$1+Table4[[#This Row],[Home Differential]])-Table4[[#This Row],[Away Differential]]</f>
        <v>0.23963668405558788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0.54318592834839974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-0.41595305630289253</v>
      </c>
      <c r="H1109" t="s">
        <v>27</v>
      </c>
      <c r="I1109">
        <f>VLOOKUP(Table4[[#This Row],[Visitor]],'NHL Model'!$A$6:$B$38,2,FALSE)</f>
        <v>-0.59983976271417982</v>
      </c>
      <c r="J1109">
        <f>($B$1+Table4[[#This Row],[Home Differential]])-Table4[[#This Row],[Away Differential]]</f>
        <v>0.3914468912032964</v>
      </c>
      <c r="K1109" t="str">
        <f>IF(Table4[[#This Row],[HomeIce Differential]]&gt;0,Table4[[#This Row],[Home]],Table4[[#This Row],[Visitor]])</f>
        <v>San Jose Sharks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0.59387589723127632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-0.87761566951859371</v>
      </c>
      <c r="H1110" t="s">
        <v>35</v>
      </c>
      <c r="I1110">
        <f>VLOOKUP(Table4[[#This Row],[Visitor]],'NHL Model'!$A$6:$B$38,2,FALSE)</f>
        <v>-1.7049475448313323</v>
      </c>
      <c r="J1110">
        <f>($B$1+Table4[[#This Row],[Home Differential]])-Table4[[#This Row],[Away Differential]]</f>
        <v>1.0348920601047475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0.68243500083568354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0.49887659623169195</v>
      </c>
      <c r="H1111" t="s">
        <v>23</v>
      </c>
      <c r="I1111">
        <f>VLOOKUP(Table4[[#This Row],[Visitor]],'NHL Model'!$A$6:$B$38,2,FALSE)</f>
        <v>-1.005023581214965</v>
      </c>
      <c r="J1111">
        <f>($B$1+Table4[[#This Row],[Home Differential]])-Table4[[#This Row],[Away Differential]]</f>
        <v>1.7114603622386662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0.89098364270653763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-1.2993694664931768</v>
      </c>
      <c r="H1112" t="s">
        <v>37</v>
      </c>
      <c r="I1112">
        <f>VLOOKUP(Table4[[#This Row],[Visitor]],'NHL Model'!$A$6:$B$38,2,FALSE)</f>
        <v>3.7016822058700272E-2</v>
      </c>
      <c r="J1112">
        <f>($B$1+Table4[[#This Row],[Home Differential]])-Table4[[#This Row],[Away Differential]]</f>
        <v>-1.1288261037598679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0.66246278949163406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0.28318004708662448</v>
      </c>
      <c r="H1113" t="s">
        <v>29</v>
      </c>
      <c r="I1113">
        <f>VLOOKUP(Table4[[#This Row],[Visitor]],'NHL Model'!$A$6:$B$38,2,FALSE)</f>
        <v>-1.4393526815815083</v>
      </c>
      <c r="J1113">
        <f>($B$1+Table4[[#This Row],[Home Differential]])-Table4[[#This Row],[Away Differential]]</f>
        <v>1.9300929134601419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0.81268987390706959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4.3588947679693783E-2</v>
      </c>
      <c r="H1114" t="s">
        <v>20</v>
      </c>
      <c r="I1114">
        <f>VLOOKUP(Table4[[#This Row],[Visitor]],'NHL Model'!$A$6:$B$38,2,FALSE)</f>
        <v>-5.3996763649808116E-4</v>
      </c>
      <c r="J1114">
        <f>($B$1+Table4[[#This Row],[Home Differential]])-Table4[[#This Row],[Away Differential]]</f>
        <v>0.251689100108201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0.55637978385772557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-7.6737500378247253E-2</v>
      </c>
      <c r="H1115" t="s">
        <v>28</v>
      </c>
      <c r="I1115">
        <f>VLOOKUP(Table4[[#This Row],[Visitor]],'NHL Model'!$A$6:$B$38,2,FALSE)</f>
        <v>-0.58990467102727129</v>
      </c>
      <c r="J1115">
        <f>($B$1+Table4[[#This Row],[Home Differential]])-Table4[[#This Row],[Away Differential]]</f>
        <v>0.72072735544103317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0.63919566052536247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-0.41117752232850285</v>
      </c>
      <c r="H1116" t="s">
        <v>40</v>
      </c>
      <c r="I1116">
        <f>VLOOKUP(Table4[[#This Row],[Visitor]],'NHL Model'!$A$6:$B$38,2,FALSE)</f>
        <v>0.16605329280468042</v>
      </c>
      <c r="J1116">
        <f>($B$1+Table4[[#This Row],[Home Differential]])-Table4[[#This Row],[Away Differential]]</f>
        <v>-0.3696706303411742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0.57719456086578802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0.19812979206825923</v>
      </c>
      <c r="H1117" t="s">
        <v>25</v>
      </c>
      <c r="I1117">
        <f>VLOOKUP(Table4[[#This Row],[Visitor]],'NHL Model'!$A$6:$B$38,2,FALSE)</f>
        <v>0.55298967972810642</v>
      </c>
      <c r="J1117">
        <f>($B$1+Table4[[#This Row],[Home Differential]])-Table4[[#This Row],[Away Differential]]</f>
        <v>-0.14729970286783811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0.52477776208361182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-0.24431182281386174</v>
      </c>
      <c r="H1118" t="s">
        <v>13</v>
      </c>
      <c r="I1118">
        <f>VLOOKUP(Table4[[#This Row],[Visitor]],'NHL Model'!$A$6:$B$38,2,FALSE)</f>
        <v>-0.16069632687214722</v>
      </c>
      <c r="J1118">
        <f>($B$1+Table4[[#This Row],[Home Differential]])-Table4[[#This Row],[Away Differential]]</f>
        <v>0.12394468885029458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0.52487134366161181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-3.9931837337852071E-3</v>
      </c>
      <c r="H1119" t="s">
        <v>12</v>
      </c>
      <c r="I1119">
        <f>VLOOKUP(Table4[[#This Row],[Visitor]],'NHL Model'!$A$6:$B$38,2,FALSE)</f>
        <v>1.4229473251234224</v>
      </c>
      <c r="J1119">
        <f>($B$1+Table4[[#This Row],[Home Differential]])-Table4[[#This Row],[Away Differential]]</f>
        <v>-1.2193803240651984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0.69163614474201318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-0.41117752232850285</v>
      </c>
      <c r="H1120" t="s">
        <v>36</v>
      </c>
      <c r="I1120">
        <f>VLOOKUP(Table4[[#This Row],[Visitor]],'NHL Model'!$A$6:$B$38,2,FALSE)</f>
        <v>-0.49956508239762204</v>
      </c>
      <c r="J1120">
        <f>($B$1+Table4[[#This Row],[Home Differential]])-Table4[[#This Row],[Away Differential]]</f>
        <v>0.29594774486112829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0.58073209072871512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-0.11354210657072454</v>
      </c>
      <c r="H1121" t="s">
        <v>19</v>
      </c>
      <c r="I1121">
        <f>VLOOKUP(Table4[[#This Row],[Visitor]],'NHL Model'!$A$6:$B$38,2,FALSE)</f>
        <v>-0.76384910289376506</v>
      </c>
      <c r="J1121">
        <f>($B$1+Table4[[#This Row],[Home Differential]])-Table4[[#This Row],[Away Differential]]</f>
        <v>0.85786718111504967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0.70978656298429155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-1.2993694664931768</v>
      </c>
      <c r="H1122" t="s">
        <v>13</v>
      </c>
      <c r="I1122">
        <f>VLOOKUP(Table4[[#This Row],[Visitor]],'NHL Model'!$A$6:$B$38,2,FALSE)</f>
        <v>-0.16069632687214722</v>
      </c>
      <c r="J1122">
        <f>($B$1+Table4[[#This Row],[Home Differential]])-Table4[[#This Row],[Away Differential]]</f>
        <v>-0.93111295482902057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0.68994935393902701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4.3588947679693783E-2</v>
      </c>
      <c r="H1123" t="s">
        <v>24</v>
      </c>
      <c r="I1123">
        <f>VLOOKUP(Table4[[#This Row],[Visitor]],'NHL Model'!$A$6:$B$38,2,FALSE)</f>
        <v>0.27405230796993052</v>
      </c>
      <c r="J1123">
        <f>($B$1+Table4[[#This Row],[Home Differential]])-Table4[[#This Row],[Away Differential]]</f>
        <v>-2.2903175498227624E-2</v>
      </c>
      <c r="K1123" t="str">
        <f>IF(Table4[[#This Row],[HomeIce Differential]]&gt;0,Table4[[#This Row],[Home]],Table4[[#This Row],[Visitor]])</f>
        <v>New Jersey Devils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0.50315222615670629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-0.4992069962886943</v>
      </c>
      <c r="H1124" t="s">
        <v>36</v>
      </c>
      <c r="I1124">
        <f>VLOOKUP(Table4[[#This Row],[Visitor]],'NHL Model'!$A$6:$B$38,2,FALSE)</f>
        <v>-0.49956508239762204</v>
      </c>
      <c r="J1124">
        <f>($B$1+Table4[[#This Row],[Home Differential]])-Table4[[#This Row],[Away Differential]]</f>
        <v>0.20791827090093684</v>
      </c>
      <c r="K1124" t="str">
        <f>IF(Table4[[#This Row],[HomeIce Differential]]&gt;0,Table4[[#This Row],[Home]],Table4[[#This Row],[Visitor]])</f>
        <v>Detroit Red Wings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0.60904753293976777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-0.2184338233275798</v>
      </c>
      <c r="H1125" t="s">
        <v>32</v>
      </c>
      <c r="I1125">
        <f>VLOOKUP(Table4[[#This Row],[Visitor]],'NHL Model'!$A$6:$B$38,2,FALSE)</f>
        <v>-0.54471700440519322</v>
      </c>
      <c r="J1125">
        <f>($B$1+Table4[[#This Row],[Home Differential]])-Table4[[#This Row],[Away Differential]]</f>
        <v>0.53384336586962255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0.67692258607763622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-0.69497686531268954</v>
      </c>
      <c r="H1126" t="s">
        <v>25</v>
      </c>
      <c r="I1126">
        <f>VLOOKUP(Table4[[#This Row],[Visitor]],'NHL Model'!$A$6:$B$38,2,FALSE)</f>
        <v>0.55298967972810642</v>
      </c>
      <c r="J1126">
        <f>($B$1+Table4[[#This Row],[Home Differential]])-Table4[[#This Row],[Away Differential]]</f>
        <v>-1.0404063602487867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0.68415221785270219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-1.4393526815815083</v>
      </c>
      <c r="H1127" t="s">
        <v>33</v>
      </c>
      <c r="I1127">
        <f>VLOOKUP(Table4[[#This Row],[Visitor]],'NHL Model'!$A$6:$B$38,2,FALSE)</f>
        <v>-0.41595305630289253</v>
      </c>
      <c r="J1127">
        <f>($B$1+Table4[[#This Row],[Home Differential]])-Table4[[#This Row],[Away Differential]]</f>
        <v>-0.81583944048660673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0.57228619473197206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-7.6737500378247253E-2</v>
      </c>
      <c r="H1128" t="s">
        <v>10</v>
      </c>
      <c r="I1128">
        <f>VLOOKUP(Table4[[#This Row],[Visitor]],'NHL Model'!$A$6:$B$38,2,FALSE)</f>
        <v>0.28318004708662448</v>
      </c>
      <c r="J1128">
        <f>($B$1+Table4[[#This Row],[Home Differential]])-Table4[[#This Row],[Away Differential]]</f>
        <v>-0.15235736267286262</v>
      </c>
      <c r="K1128" t="str">
        <f>IF(Table4[[#This Row],[HomeIce Differential]]&gt;0,Table4[[#This Row],[Home]],Table4[[#This Row],[Visitor]])</f>
        <v>Chicago Blackhawks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0.50173858778356051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-0.59983976271417982</v>
      </c>
      <c r="H1129" t="s">
        <v>28</v>
      </c>
      <c r="I1129">
        <f>VLOOKUP(Table4[[#This Row],[Visitor]],'NHL Model'!$A$6:$B$38,2,FALSE)</f>
        <v>-0.58990467102727129</v>
      </c>
      <c r="J1129">
        <f>($B$1+Table4[[#This Row],[Home Differential]])-Table4[[#This Row],[Away Differential]]</f>
        <v>0.19762509310510057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0.56969515672310256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0.19812979206825923</v>
      </c>
      <c r="H1130" t="s">
        <v>12</v>
      </c>
      <c r="I1130">
        <f>VLOOKUP(Table4[[#This Row],[Visitor]],'NHL Model'!$A$6:$B$38,2,FALSE)</f>
        <v>1.4229473251234224</v>
      </c>
      <c r="J1130">
        <f>($B$1+Table4[[#This Row],[Home Differential]])-Table4[[#This Row],[Away Differential]]</f>
        <v>-1.0172573482631542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0.62980380598733887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-1.7049475448313323</v>
      </c>
      <c r="H1131" t="s">
        <v>22</v>
      </c>
      <c r="I1131">
        <f>VLOOKUP(Table4[[#This Row],[Visitor]],'NHL Model'!$A$6:$B$38,2,FALSE)</f>
        <v>-3.9931837337852071E-3</v>
      </c>
      <c r="J1131">
        <f>($B$1+Table4[[#This Row],[Home Differential]])-Table4[[#This Row],[Away Differential]]</f>
        <v>-1.4933941763055378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0.66553989053559304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3.7016822058700272E-2</v>
      </c>
      <c r="H1132" t="s">
        <v>34</v>
      </c>
      <c r="I1132">
        <f>VLOOKUP(Table4[[#This Row],[Visitor]],'NHL Model'!$A$6:$B$38,2,FALSE)</f>
        <v>-0.52340626120007572</v>
      </c>
      <c r="J1132">
        <f>($B$1+Table4[[#This Row],[Home Differential]])-Table4[[#This Row],[Away Differential]]</f>
        <v>0.7679832680507851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0.64569961993479086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-0.24431182281386174</v>
      </c>
      <c r="H1133" t="s">
        <v>17</v>
      </c>
      <c r="I1133">
        <f>VLOOKUP(Table4[[#This Row],[Visitor]],'NHL Model'!$A$6:$B$38,2,FALSE)</f>
        <v>-1.0049085234729234</v>
      </c>
      <c r="J1133">
        <f>($B$1+Table4[[#This Row],[Home Differential]])-Table4[[#This Row],[Away Differential]]</f>
        <v>0.9681568854510707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0.74152256384656401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-0.87761566951859371</v>
      </c>
      <c r="H1134" t="s">
        <v>31</v>
      </c>
      <c r="I1134">
        <f>VLOOKUP(Table4[[#This Row],[Visitor]],'NHL Model'!$A$6:$B$38,2,FALSE)</f>
        <v>0.49887659623169195</v>
      </c>
      <c r="J1134">
        <f>($B$1+Table4[[#This Row],[Home Differential]])-Table4[[#This Row],[Away Differential]]</f>
        <v>-1.1689320809582766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0.64165252318843935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0.16605329280468042</v>
      </c>
      <c r="H1135" t="s">
        <v>20</v>
      </c>
      <c r="I1135">
        <f>VLOOKUP(Table4[[#This Row],[Visitor]],'NHL Model'!$A$6:$B$38,2,FALSE)</f>
        <v>-5.3996763649808116E-4</v>
      </c>
      <c r="J1135">
        <f>($B$1+Table4[[#This Row],[Home Differential]])-Table4[[#This Row],[Away Differential]]</f>
        <v>0.37415344523318761</v>
      </c>
      <c r="K1135" t="str">
        <f>IF(Table4[[#This Row],[HomeIce Differential]]&gt;0,Table4[[#This Row],[Home]],Table4[[#This Row],[Visitor]])</f>
        <v>Winnipeg Jets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0.62292432479155402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-1.005023581214965</v>
      </c>
      <c r="H1136" t="s">
        <v>21</v>
      </c>
      <c r="I1136">
        <f>VLOOKUP(Table4[[#This Row],[Visitor]],'NHL Model'!$A$6:$B$38,2,FALSE)</f>
        <v>-0.11354210657072454</v>
      </c>
      <c r="J1136">
        <f>($B$1+Table4[[#This Row],[Home Differential]])-Table4[[#This Row],[Away Differential]]</f>
        <v>-0.68392128985223144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0.55412994190117226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-0.76384910289376506</v>
      </c>
      <c r="H1137" t="s">
        <v>15</v>
      </c>
      <c r="I1137">
        <f>VLOOKUP(Table4[[#This Row],[Visitor]],'NHL Model'!$A$6:$B$38,2,FALSE)</f>
        <v>-0.41117752232850285</v>
      </c>
      <c r="J1137">
        <f>($B$1+Table4[[#This Row],[Home Differential]])-Table4[[#This Row],[Away Differential]]</f>
        <v>-0.1451113957732531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0.58753964250660851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-1.2993694664931768</v>
      </c>
      <c r="H1138" t="s">
        <v>31</v>
      </c>
      <c r="I1138">
        <f>VLOOKUP(Table4[[#This Row],[Visitor]],'NHL Model'!$A$6:$B$38,2,FALSE)</f>
        <v>0.49887659623169195</v>
      </c>
      <c r="J1138">
        <f>($B$1+Table4[[#This Row],[Home Differential]])-Table4[[#This Row],[Away Differential]]</f>
        <v>-1.5906858779328596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0.69969964205264934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-0.2184338233275798</v>
      </c>
      <c r="H1139" t="s">
        <v>34</v>
      </c>
      <c r="I1139">
        <f>VLOOKUP(Table4[[#This Row],[Visitor]],'NHL Model'!$A$6:$B$38,2,FALSE)</f>
        <v>-0.52340626120007572</v>
      </c>
      <c r="J1139">
        <f>($B$1+Table4[[#This Row],[Home Differential]])-Table4[[#This Row],[Away Differential]]</f>
        <v>0.51253262266450506</v>
      </c>
      <c r="K1139" t="str">
        <f>IF(Table4[[#This Row],[HomeIce Differential]]&gt;0,Table4[[#This Row],[Home]],Table4[[#This Row],[Visitor]])</f>
        <v>Florida Panthers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0.67398953069607048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-0.69497686531268954</v>
      </c>
      <c r="H1140" t="s">
        <v>28</v>
      </c>
      <c r="I1140">
        <f>VLOOKUP(Table4[[#This Row],[Visitor]],'NHL Model'!$A$6:$B$38,2,FALSE)</f>
        <v>-0.58990467102727129</v>
      </c>
      <c r="J1140">
        <f>($B$1+Table4[[#This Row],[Home Differential]])-Table4[[#This Row],[Away Differential]]</f>
        <v>0.10248799050659085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0.55410570007849547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-1.4393526815815083</v>
      </c>
      <c r="H1141" t="s">
        <v>24</v>
      </c>
      <c r="I1141">
        <f>VLOOKUP(Table4[[#This Row],[Visitor]],'NHL Model'!$A$6:$B$38,2,FALSE)</f>
        <v>0.27405230796993052</v>
      </c>
      <c r="J1141">
        <f>($B$1+Table4[[#This Row],[Home Differential]])-Table4[[#This Row],[Away Differential]]</f>
        <v>-1.5058448047594299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0.70976606710959045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-7.6737500378247253E-2</v>
      </c>
      <c r="H1142" t="s">
        <v>39</v>
      </c>
      <c r="I1142">
        <f>VLOOKUP(Table4[[#This Row],[Visitor]],'NHL Model'!$A$6:$B$38,2,FALSE)</f>
        <v>4.3588947679693783E-2</v>
      </c>
      <c r="J1142">
        <f>($B$1+Table4[[#This Row],[Home Differential]])-Table4[[#This Row],[Away Differential]]</f>
        <v>8.7233736734068063E-2</v>
      </c>
      <c r="K1142" t="str">
        <f>IF(Table4[[#This Row],[HomeIce Differential]]&gt;0,Table4[[#This Row],[Home]],Table4[[#This Row],[Visitor]])</f>
        <v>New York Islanders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0.45952002791729385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-0.49956508239762204</v>
      </c>
      <c r="H1143" t="s">
        <v>14</v>
      </c>
      <c r="I1143">
        <f>VLOOKUP(Table4[[#This Row],[Visitor]],'NHL Model'!$A$6:$B$38,2,FALSE)</f>
        <v>0.19812979206825923</v>
      </c>
      <c r="J1143">
        <f>($B$1+Table4[[#This Row],[Home Differential]])-Table4[[#This Row],[Away Differential]]</f>
        <v>-0.49013468967387219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0.52496308736948161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-0.59983976271417982</v>
      </c>
      <c r="H1144" t="s">
        <v>10</v>
      </c>
      <c r="I1144">
        <f>VLOOKUP(Table4[[#This Row],[Visitor]],'NHL Model'!$A$6:$B$38,2,FALSE)</f>
        <v>0.28318004708662448</v>
      </c>
      <c r="J1144">
        <f>($B$1+Table4[[#This Row],[Home Differential]])-Table4[[#This Row],[Away Differential]]</f>
        <v>-0.67545962500879519</v>
      </c>
      <c r="K1144" t="str">
        <f>IF(Table4[[#This Row],[HomeIce Differential]]&gt;0,Table4[[#This Row],[Home]],Table4[[#This Row],[Visitor]])</f>
        <v>Chicago Blackhawks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0.571226209586147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-1.7049475448313323</v>
      </c>
      <c r="H1145" t="s">
        <v>33</v>
      </c>
      <c r="I1145">
        <f>VLOOKUP(Table4[[#This Row],[Visitor]],'NHL Model'!$A$6:$B$38,2,FALSE)</f>
        <v>-0.41595305630289253</v>
      </c>
      <c r="J1145">
        <f>($B$1+Table4[[#This Row],[Home Differential]])-Table4[[#This Row],[Away Differential]]</f>
        <v>-1.0814343037364305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0.60884073604820643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3.7016822058700272E-2</v>
      </c>
      <c r="H1146" t="s">
        <v>32</v>
      </c>
      <c r="I1146">
        <f>VLOOKUP(Table4[[#This Row],[Visitor]],'NHL Model'!$A$6:$B$38,2,FALSE)</f>
        <v>-0.54471700440519322</v>
      </c>
      <c r="J1146">
        <f>($B$1+Table4[[#This Row],[Home Differential]])-Table4[[#This Row],[Away Differential]]</f>
        <v>0.78929401125590259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0.6486326753163566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-0.24431182281386174</v>
      </c>
      <c r="H1147" t="s">
        <v>22</v>
      </c>
      <c r="I1147">
        <f>VLOOKUP(Table4[[#This Row],[Visitor]],'NHL Model'!$A$6:$B$38,2,FALSE)</f>
        <v>-3.9931837337852071E-3</v>
      </c>
      <c r="J1147">
        <f>($B$1+Table4[[#This Row],[Home Differential]])-Table4[[#This Row],[Away Differential]]</f>
        <v>-3.2758454288067423E-2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0.39623612882111631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-0.87761566951859371</v>
      </c>
      <c r="H1148" t="s">
        <v>13</v>
      </c>
      <c r="I1148">
        <f>VLOOKUP(Table4[[#This Row],[Visitor]],'NHL Model'!$A$6:$B$38,2,FALSE)</f>
        <v>-0.16069632687214722</v>
      </c>
      <c r="J1148">
        <f>($B$1+Table4[[#This Row],[Home Differential]])-Table4[[#This Row],[Away Differential]]</f>
        <v>-0.50935915785443742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0.63190223507481702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-5.3996763649808116E-4</v>
      </c>
      <c r="H1149" t="s">
        <v>17</v>
      </c>
      <c r="I1149">
        <f>VLOOKUP(Table4[[#This Row],[Visitor]],'NHL Model'!$A$6:$B$38,2,FALSE)</f>
        <v>-1.0049085234729234</v>
      </c>
      <c r="J1149">
        <f>($B$1+Table4[[#This Row],[Home Differential]])-Table4[[#This Row],[Away Differential]]</f>
        <v>1.2119287406284345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0.7068010392955647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0.16605329280468042</v>
      </c>
      <c r="H1150" t="s">
        <v>12</v>
      </c>
      <c r="I1150">
        <f>VLOOKUP(Table4[[#This Row],[Visitor]],'NHL Model'!$A$6:$B$38,2,FALSE)</f>
        <v>1.4229473251234224</v>
      </c>
      <c r="J1150">
        <f>($B$1+Table4[[#This Row],[Home Differential]])-Table4[[#This Row],[Away Differential]]</f>
        <v>-1.0493338475267329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0.61810687373068252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-1.005023581214965</v>
      </c>
      <c r="H1151" t="s">
        <v>26</v>
      </c>
      <c r="I1151">
        <f>VLOOKUP(Table4[[#This Row],[Visitor]],'NHL Model'!$A$6:$B$38,2,FALSE)</f>
        <v>-0.4992069962886943</v>
      </c>
      <c r="J1151">
        <f>($B$1+Table4[[#This Row],[Home Differential]])-Table4[[#This Row],[Away Differential]]</f>
        <v>-0.29825640013426163</v>
      </c>
      <c r="K1151" t="str">
        <f>IF(Table4[[#This Row],[HomeIce Differential]]&gt;0,Table4[[#This Row],[Home]],Table4[[#This Row],[Visitor]])</f>
        <v>Detroit Red Wings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0.5481492286957067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-0.41117752232850285</v>
      </c>
      <c r="H1152" t="s">
        <v>10</v>
      </c>
      <c r="I1152">
        <f>VLOOKUP(Table4[[#This Row],[Visitor]],'NHL Model'!$A$6:$B$38,2,FALSE)</f>
        <v>0.28318004708662448</v>
      </c>
      <c r="J1152">
        <f>($B$1+Table4[[#This Row],[Home Differential]])-Table4[[#This Row],[Away Differential]]</f>
        <v>-0.48679738462311822</v>
      </c>
      <c r="K1152" t="str">
        <f>IF(Table4[[#This Row],[HomeIce Differential]]&gt;0,Table4[[#This Row],[Home]],Table4[[#This Row],[Visitor]])</f>
        <v>Chicago Blackhawks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0.54776847499822245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-0.11354210657072454</v>
      </c>
      <c r="H1153" t="s">
        <v>34</v>
      </c>
      <c r="I1153">
        <f>VLOOKUP(Table4[[#This Row],[Visitor]],'NHL Model'!$A$6:$B$38,2,FALSE)</f>
        <v>-0.52340626120007572</v>
      </c>
      <c r="J1153">
        <f>($B$1+Table4[[#This Row],[Home Differential]])-Table4[[#This Row],[Away Differential]]</f>
        <v>0.61742433942136032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0.67669376260653191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-1.005023581214965</v>
      </c>
      <c r="H1154" t="s">
        <v>32</v>
      </c>
      <c r="I1154">
        <f>VLOOKUP(Table4[[#This Row],[Visitor]],'NHL Model'!$A$6:$B$38,2,FALSE)</f>
        <v>-0.54471700440519322</v>
      </c>
      <c r="J1154">
        <f>($B$1+Table4[[#This Row],[Home Differential]])-Table4[[#This Row],[Away Differential]]</f>
        <v>-0.25274639201776272</v>
      </c>
      <c r="K1154" t="str">
        <f>IF(Table4[[#This Row],[HomeIce Differential]]&gt;0,Table4[[#This Row],[Home]],Table4[[#This Row],[Visitor]])</f>
        <v>Seattle Kraken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0.49478617137580733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0.55298967972810642</v>
      </c>
      <c r="H1155" t="s">
        <v>24</v>
      </c>
      <c r="I1155">
        <f>VLOOKUP(Table4[[#This Row],[Visitor]],'NHL Model'!$A$6:$B$38,2,FALSE)</f>
        <v>0.27405230796993052</v>
      </c>
      <c r="J1155">
        <f>($B$1+Table4[[#This Row],[Home Differential]])-Table4[[#This Row],[Away Differential]]</f>
        <v>0.48649755655018501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0.61695797807818709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-0.58990467102727129</v>
      </c>
      <c r="H1156" t="s">
        <v>33</v>
      </c>
      <c r="I1156">
        <f>VLOOKUP(Table4[[#This Row],[Visitor]],'NHL Model'!$A$6:$B$38,2,FALSE)</f>
        <v>-0.41595305630289253</v>
      </c>
      <c r="J1156">
        <f>($B$1+Table4[[#This Row],[Home Differential]])-Table4[[#This Row],[Away Differential]]</f>
        <v>3.360857006763035E-2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0.55167159050403336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-1.2993694664931768</v>
      </c>
      <c r="H1157" t="s">
        <v>38</v>
      </c>
      <c r="I1157">
        <f>VLOOKUP(Table4[[#This Row],[Visitor]],'NHL Model'!$A$6:$B$38,2,FALSE)</f>
        <v>-0.87761566951859371</v>
      </c>
      <c r="J1157">
        <f>($B$1+Table4[[#This Row],[Home Differential]])-Table4[[#This Row],[Away Differential]]</f>
        <v>-0.21419361218257404</v>
      </c>
      <c r="K1157" t="str">
        <f>IF(Table4[[#This Row],[HomeIce Differential]]&gt;0,Table4[[#This Row],[Home]],Table4[[#This Row],[Visitor]])</f>
        <v>Vancouver Canucks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0.51024927850206869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1.4229473251234224</v>
      </c>
      <c r="H1158" t="s">
        <v>40</v>
      </c>
      <c r="I1158">
        <f>VLOOKUP(Table4[[#This Row],[Visitor]],'NHL Model'!$A$6:$B$38,2,FALSE)</f>
        <v>0.16605329280468042</v>
      </c>
      <c r="J1158">
        <f>($B$1+Table4[[#This Row],[Home Differential]])-Table4[[#This Row],[Away Differential]]</f>
        <v>1.4644542171107509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0.76607293449936875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-0.4992069962886943</v>
      </c>
      <c r="H1159" t="s">
        <v>27</v>
      </c>
      <c r="I1159">
        <f>VLOOKUP(Table4[[#This Row],[Visitor]],'NHL Model'!$A$6:$B$38,2,FALSE)</f>
        <v>-0.59983976271417982</v>
      </c>
      <c r="J1159">
        <f>($B$1+Table4[[#This Row],[Home Differential]])-Table4[[#This Row],[Away Differential]]</f>
        <v>0.30819295121749463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0.62284860913436257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-1.0049085234729234</v>
      </c>
      <c r="H1160" t="s">
        <v>31</v>
      </c>
      <c r="I1160">
        <f>VLOOKUP(Table4[[#This Row],[Visitor]],'NHL Model'!$A$6:$B$38,2,FALSE)</f>
        <v>0.49887659623169195</v>
      </c>
      <c r="J1160">
        <f>($B$1+Table4[[#This Row],[Home Differential]])-Table4[[#This Row],[Away Differential]]</f>
        <v>-1.2962249349126063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0.62284739756867991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-0.16069632687214722</v>
      </c>
      <c r="H1161" t="s">
        <v>55</v>
      </c>
      <c r="I1161">
        <f>VLOOKUP(Table4[[#This Row],[Visitor]],'NHL Model'!$A$6:$B$38,2,FALSE)</f>
        <v>-0.24431182281386174</v>
      </c>
      <c r="J1161">
        <f>($B$1+Table4[[#This Row],[Home Differential]])-Table4[[#This Row],[Away Differential]]</f>
        <v>0.29117568073372363</v>
      </c>
      <c r="K1161" t="str">
        <f>IF(Table4[[#This Row],[HomeIce Differential]]&gt;0,Table4[[#This Row],[Home]],Table4[[#This Row],[Visitor]])</f>
        <v>Los Angeles Kings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0.58007529860113227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-1.4393526815815083</v>
      </c>
      <c r="H1162" t="s">
        <v>18</v>
      </c>
      <c r="I1162">
        <f>VLOOKUP(Table4[[#This Row],[Visitor]],'NHL Model'!$A$6:$B$38,2,FALSE)</f>
        <v>-0.69497686531268954</v>
      </c>
      <c r="J1162">
        <f>($B$1+Table4[[#This Row],[Home Differential]])-Table4[[#This Row],[Away Differential]]</f>
        <v>-0.53681563147680977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0.58098278267253067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-7.6737500378247253E-2</v>
      </c>
      <c r="H1163" t="s">
        <v>11</v>
      </c>
      <c r="I1163">
        <f>VLOOKUP(Table4[[#This Row],[Visitor]],'NHL Model'!$A$6:$B$38,2,FALSE)</f>
        <v>-0.2184338233275798</v>
      </c>
      <c r="J1163">
        <f>($B$1+Table4[[#This Row],[Home Differential]])-Table4[[#This Row],[Away Differential]]</f>
        <v>0.34925650774134165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0.58806912033605785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0.19812979206825923</v>
      </c>
      <c r="H1164" t="s">
        <v>39</v>
      </c>
      <c r="I1164">
        <f>VLOOKUP(Table4[[#This Row],[Visitor]],'NHL Model'!$A$6:$B$38,2,FALSE)</f>
        <v>4.3588947679693783E-2</v>
      </c>
      <c r="J1164">
        <f>($B$1+Table4[[#This Row],[Home Differential]])-Table4[[#This Row],[Away Differential]]</f>
        <v>0.36210102918057452</v>
      </c>
      <c r="K1164" t="str">
        <f>IF(Table4[[#This Row],[HomeIce Differential]]&gt;0,Table4[[#This Row],[Home]],Table4[[#This Row],[Visitor]])</f>
        <v>Pittsburgh Penguins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0.53370791439772169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-1.7049475448313323</v>
      </c>
      <c r="H1165" t="s">
        <v>19</v>
      </c>
      <c r="I1165">
        <f>VLOOKUP(Table4[[#This Row],[Visitor]],'NHL Model'!$A$6:$B$38,2,FALSE)</f>
        <v>-0.76384910289376506</v>
      </c>
      <c r="J1165">
        <f>($B$1+Table4[[#This Row],[Home Differential]])-Table4[[#This Row],[Away Differential]]</f>
        <v>-0.73353825714555798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0.56095885966982695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3.7016822058700272E-2</v>
      </c>
      <c r="H1166" t="s">
        <v>36</v>
      </c>
      <c r="I1166">
        <f>VLOOKUP(Table4[[#This Row],[Visitor]],'NHL Model'!$A$6:$B$38,2,FALSE)</f>
        <v>-0.49956508239762204</v>
      </c>
      <c r="J1166">
        <f>($B$1+Table4[[#This Row],[Home Differential]])-Table4[[#This Row],[Away Differential]]</f>
        <v>0.74414208924833147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0.64241829383948057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-5.3996763649808116E-4</v>
      </c>
      <c r="H1167" t="s">
        <v>22</v>
      </c>
      <c r="I1167">
        <f>VLOOKUP(Table4[[#This Row],[Visitor]],'NHL Model'!$A$6:$B$38,2,FALSE)</f>
        <v>-3.9931837337852071E-3</v>
      </c>
      <c r="J1167">
        <f>($B$1+Table4[[#This Row],[Home Differential]])-Table4[[#This Row],[Away Differential]]</f>
        <v>0.21101340088929624</v>
      </c>
      <c r="K1167" t="str">
        <f>IF(Table4[[#This Row],[HomeIce Differential]]&gt;0,Table4[[#This Row],[Home]],Table4[[#This Row],[Visitor]])</f>
        <v>Vegas Golden Knights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0.56904234662788433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0.55298967972810642</v>
      </c>
      <c r="H1168" t="s">
        <v>18</v>
      </c>
      <c r="I1168">
        <f>VLOOKUP(Table4[[#This Row],[Visitor]],'NHL Model'!$A$6:$B$38,2,FALSE)</f>
        <v>-0.69497686531268954</v>
      </c>
      <c r="J1168">
        <f>($B$1+Table4[[#This Row],[Home Differential]])-Table4[[#This Row],[Away Differential]]</f>
        <v>1.4555267298328052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0.74578263663645217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-0.58990467102727129</v>
      </c>
      <c r="H1169" t="s">
        <v>21</v>
      </c>
      <c r="I1169">
        <f>VLOOKUP(Table4[[#This Row],[Visitor]],'NHL Model'!$A$6:$B$38,2,FALSE)</f>
        <v>-0.11354210657072454</v>
      </c>
      <c r="J1169">
        <f>($B$1+Table4[[#This Row],[Home Differential]])-Table4[[#This Row],[Away Differential]]</f>
        <v>-0.26880237966453763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0.48995004863914599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0.27405230796993052</v>
      </c>
      <c r="H1170" t="s">
        <v>10</v>
      </c>
      <c r="I1170">
        <f>VLOOKUP(Table4[[#This Row],[Visitor]],'NHL Model'!$A$6:$B$38,2,FALSE)</f>
        <v>0.28318004708662448</v>
      </c>
      <c r="J1170">
        <f>($B$1+Table4[[#This Row],[Home Differential]])-Table4[[#This Row],[Away Differential]]</f>
        <v>0.19843244567531515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0.66367443200615917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-0.41117752232850285</v>
      </c>
      <c r="H1171" t="s">
        <v>11</v>
      </c>
      <c r="I1171">
        <f>VLOOKUP(Table4[[#This Row],[Visitor]],'NHL Model'!$A$6:$B$38,2,FALSE)</f>
        <v>-0.2184338233275798</v>
      </c>
      <c r="J1171">
        <f>($B$1+Table4[[#This Row],[Home Differential]])-Table4[[#This Row],[Away Differential]]</f>
        <v>1.4816485791086048E-2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0.5420392331213959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-0.59983976271417982</v>
      </c>
      <c r="H1172" t="s">
        <v>39</v>
      </c>
      <c r="I1172">
        <f>VLOOKUP(Table4[[#This Row],[Visitor]],'NHL Model'!$A$6:$B$38,2,FALSE)</f>
        <v>4.3588947679693783E-2</v>
      </c>
      <c r="J1172">
        <f>($B$1+Table4[[#This Row],[Home Differential]])-Table4[[#This Row],[Away Differential]]</f>
        <v>-0.43586852560186451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0.60998976724400222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3.7016822058700272E-2</v>
      </c>
      <c r="H1173" t="s">
        <v>29</v>
      </c>
      <c r="I1173">
        <f>VLOOKUP(Table4[[#This Row],[Visitor]],'NHL Model'!$A$6:$B$38,2,FALSE)</f>
        <v>-1.4393526815815083</v>
      </c>
      <c r="J1173">
        <f>($B$1+Table4[[#This Row],[Home Differential]])-Table4[[#This Row],[Away Differential]]</f>
        <v>1.6839296884322177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0.77176380979751502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0.49887659623169195</v>
      </c>
      <c r="H1174" t="s">
        <v>19</v>
      </c>
      <c r="I1174">
        <f>VLOOKUP(Table4[[#This Row],[Visitor]],'NHL Model'!$A$6:$B$38,2,FALSE)</f>
        <v>-0.76384910289376506</v>
      </c>
      <c r="J1174">
        <f>($B$1+Table4[[#This Row],[Home Differential]])-Table4[[#This Row],[Away Differential]]</f>
        <v>1.4702858839174662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0.85779014519555208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1.4229473251234224</v>
      </c>
      <c r="H1175" t="s">
        <v>16</v>
      </c>
      <c r="I1175">
        <f>VLOOKUP(Table4[[#This Row],[Visitor]],'NHL Model'!$A$6:$B$38,2,FALSE)</f>
        <v>-1.2993694664931768</v>
      </c>
      <c r="J1175">
        <f>($B$1+Table4[[#This Row],[Home Differential]])-Table4[[#This Row],[Away Differential]]</f>
        <v>2.9298769764086083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-7.6737500378247253E-2</v>
      </c>
      <c r="H1176" t="s">
        <v>14</v>
      </c>
      <c r="I1176">
        <f>VLOOKUP(Table4[[#This Row],[Visitor]],'NHL Model'!$A$6:$B$38,2,FALSE)</f>
        <v>0.19812979206825923</v>
      </c>
      <c r="J1176">
        <f>($B$1+Table4[[#This Row],[Home Differential]])-Table4[[#This Row],[Away Differential]]</f>
        <v>-6.7307107654497378E-2</v>
      </c>
      <c r="K1176" t="str">
        <f>IF(Table4[[#This Row],[HomeIce Differential]]&gt;0,Table4[[#This Row],[Home]],Table4[[#This Row],[Visitor]])</f>
        <v>Pittsburgh Penguins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0.46926365976181655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-0.41595305630289253</v>
      </c>
      <c r="H1177" t="s">
        <v>35</v>
      </c>
      <c r="I1177">
        <f>VLOOKUP(Table4[[#This Row],[Visitor]],'NHL Model'!$A$6:$B$38,2,FALSE)</f>
        <v>-1.7049475448313323</v>
      </c>
      <c r="J1177">
        <f>($B$1+Table4[[#This Row],[Home Differential]])-Table4[[#This Row],[Away Differential]]</f>
        <v>1.4965546733204489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0.74597487831095044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-5.3996763649808116E-4</v>
      </c>
      <c r="H1178" t="s">
        <v>38</v>
      </c>
      <c r="I1178">
        <f>VLOOKUP(Table4[[#This Row],[Visitor]],'NHL Model'!$A$6:$B$38,2,FALSE)</f>
        <v>-0.87761566951859371</v>
      </c>
      <c r="J1178">
        <f>($B$1+Table4[[#This Row],[Home Differential]])-Table4[[#This Row],[Away Differential]]</f>
        <v>1.0846358866741048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0.66851214782130708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-0.11354210657072454</v>
      </c>
      <c r="H1179" t="s">
        <v>39</v>
      </c>
      <c r="I1179">
        <f>VLOOKUP(Table4[[#This Row],[Visitor]],'NHL Model'!$A$6:$B$38,2,FALSE)</f>
        <v>4.3588947679693783E-2</v>
      </c>
      <c r="J1179">
        <f>($B$1+Table4[[#This Row],[Home Differential]])-Table4[[#This Row],[Away Differential]]</f>
        <v>5.0429130541590782E-2</v>
      </c>
      <c r="K1179" t="str">
        <f>IF(Table4[[#This Row],[HomeIce Differential]]&gt;0,Table4[[#This Row],[Home]],Table4[[#This Row],[Visitor]])</f>
        <v>Boston Bruins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0.50694069799908137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-1.005023581214965</v>
      </c>
      <c r="H1180" t="s">
        <v>30</v>
      </c>
      <c r="I1180">
        <f>VLOOKUP(Table4[[#This Row],[Visitor]],'NHL Model'!$A$6:$B$38,2,FALSE)</f>
        <v>-7.6737500378247253E-2</v>
      </c>
      <c r="J1180">
        <f>($B$1+Table4[[#This Row],[Home Differential]])-Table4[[#This Row],[Away Differential]]</f>
        <v>-0.72072589604470871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0.61848329349258158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-0.58990467102727129</v>
      </c>
      <c r="H1181" t="s">
        <v>25</v>
      </c>
      <c r="I1181">
        <f>VLOOKUP(Table4[[#This Row],[Visitor]],'NHL Model'!$A$6:$B$38,2,FALSE)</f>
        <v>0.55298967972810642</v>
      </c>
      <c r="J1181">
        <f>($B$1+Table4[[#This Row],[Home Differential]])-Table4[[#This Row],[Away Differential]]</f>
        <v>-0.9353341659633686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0.6626308829510319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0.28318004708662448</v>
      </c>
      <c r="H1182" t="s">
        <v>40</v>
      </c>
      <c r="I1182">
        <f>VLOOKUP(Table4[[#This Row],[Visitor]],'NHL Model'!$A$6:$B$38,2,FALSE)</f>
        <v>0.16605329280468042</v>
      </c>
      <c r="J1182">
        <f>($B$1+Table4[[#This Row],[Home Differential]])-Table4[[#This Row],[Away Differential]]</f>
        <v>0.32468693907395318</v>
      </c>
      <c r="K1182" t="str">
        <f>IF(Table4[[#This Row],[HomeIce Differential]]&gt;0,Table4[[#This Row],[Home]],Table4[[#This Row],[Visitor]])</f>
        <v>Chicago Blackhawks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0.52545677473749075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-1.0049085234729234</v>
      </c>
      <c r="H1183" t="s">
        <v>32</v>
      </c>
      <c r="I1183">
        <f>VLOOKUP(Table4[[#This Row],[Visitor]],'NHL Model'!$A$6:$B$38,2,FALSE)</f>
        <v>-0.54471700440519322</v>
      </c>
      <c r="J1183">
        <f>($B$1+Table4[[#This Row],[Home Differential]])-Table4[[#This Row],[Away Differential]]</f>
        <v>-0.25263133427572104</v>
      </c>
      <c r="K1183" t="str">
        <f>IF(Table4[[#This Row],[HomeIce Differential]]&gt;0,Table4[[#This Row],[Home]],Table4[[#This Row],[Visitor]])</f>
        <v>Seattle Kraken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0.4587334693072892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-0.2184338233275798</v>
      </c>
      <c r="H1184" t="s">
        <v>36</v>
      </c>
      <c r="I1184">
        <f>VLOOKUP(Table4[[#This Row],[Visitor]],'NHL Model'!$A$6:$B$38,2,FALSE)</f>
        <v>-0.49956508239762204</v>
      </c>
      <c r="J1184">
        <f>($B$1+Table4[[#This Row],[Home Differential]])-Table4[[#This Row],[Away Differential]]</f>
        <v>0.48869144386205132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0.67070820460076019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-0.41117752232850285</v>
      </c>
      <c r="H1185" t="s">
        <v>24</v>
      </c>
      <c r="I1185">
        <f>VLOOKUP(Table4[[#This Row],[Visitor]],'NHL Model'!$A$6:$B$38,2,FALSE)</f>
        <v>0.27405230796993052</v>
      </c>
      <c r="J1185">
        <f>($B$1+Table4[[#This Row],[Home Differential]])-Table4[[#This Row],[Away Differential]]</f>
        <v>-0.47766964550642427</v>
      </c>
      <c r="K1185" t="str">
        <f>IF(Table4[[#This Row],[HomeIce Differential]]&gt;0,Table4[[#This Row],[Home]],Table4[[#This Row],[Visitor]])</f>
        <v>New Jersey Devils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0.56825553155421282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0.19812979206825923</v>
      </c>
      <c r="H1186" t="s">
        <v>26</v>
      </c>
      <c r="I1186">
        <f>VLOOKUP(Table4[[#This Row],[Visitor]],'NHL Model'!$A$6:$B$38,2,FALSE)</f>
        <v>-0.4992069962886943</v>
      </c>
      <c r="J1186">
        <f>($B$1+Table4[[#This Row],[Home Differential]])-Table4[[#This Row],[Away Differential]]</f>
        <v>0.90489697314896267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0.65395518918015494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3.7016822058700272E-2</v>
      </c>
      <c r="H1187" t="s">
        <v>18</v>
      </c>
      <c r="I1187">
        <f>VLOOKUP(Table4[[#This Row],[Visitor]],'NHL Model'!$A$6:$B$38,2,FALSE)</f>
        <v>-0.69497686531268954</v>
      </c>
      <c r="J1187">
        <f>($B$1+Table4[[#This Row],[Home Differential]])-Table4[[#This Row],[Away Differential]]</f>
        <v>0.93955387216339892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0.62221395599361229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-3.9931837337852071E-3</v>
      </c>
      <c r="H1188" t="s">
        <v>27</v>
      </c>
      <c r="I1188">
        <f>VLOOKUP(Table4[[#This Row],[Visitor]],'NHL Model'!$A$6:$B$38,2,FALSE)</f>
        <v>-0.59983976271417982</v>
      </c>
      <c r="J1188">
        <f>($B$1+Table4[[#This Row],[Home Differential]])-Table4[[#This Row],[Away Differential]]</f>
        <v>0.80340676377240372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0.65307053092300282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1.4229473251234224</v>
      </c>
      <c r="H1189" t="s">
        <v>38</v>
      </c>
      <c r="I1189">
        <f>VLOOKUP(Table4[[#This Row],[Visitor]],'NHL Model'!$A$6:$B$38,2,FALSE)</f>
        <v>-0.87761566951859371</v>
      </c>
      <c r="J1189">
        <f>($B$1+Table4[[#This Row],[Home Differential]])-Table4[[#This Row],[Away Differential]]</f>
        <v>2.5081231794340253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0.95389544733179998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-0.16069632687214722</v>
      </c>
      <c r="H1190" t="s">
        <v>35</v>
      </c>
      <c r="I1190">
        <f>VLOOKUP(Table4[[#This Row],[Visitor]],'NHL Model'!$A$6:$B$38,2,FALSE)</f>
        <v>-1.7049475448313323</v>
      </c>
      <c r="J1190">
        <f>($B$1+Table4[[#This Row],[Home Differential]])-Table4[[#This Row],[Away Differential]]</f>
        <v>1.7518114027511942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0.78110655423288389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-0.41595305630289253</v>
      </c>
      <c r="H1191" t="s">
        <v>31</v>
      </c>
      <c r="I1191">
        <f>VLOOKUP(Table4[[#This Row],[Visitor]],'NHL Model'!$A$6:$B$38,2,FALSE)</f>
        <v>0.49887659623169195</v>
      </c>
      <c r="J1191">
        <f>($B$1+Table4[[#This Row],[Home Differential]])-Table4[[#This Row],[Away Differential]]</f>
        <v>-0.70726946774257538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0.57811264571317245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0.55298967972810642</v>
      </c>
      <c r="H1192" t="s">
        <v>28</v>
      </c>
      <c r="I1192">
        <f>VLOOKUP(Table4[[#This Row],[Visitor]],'NHL Model'!$A$6:$B$38,2,FALSE)</f>
        <v>-0.58990467102727129</v>
      </c>
      <c r="J1192">
        <f>($B$1+Table4[[#This Row],[Home Differential]])-Table4[[#This Row],[Away Differential]]</f>
        <v>1.3504545355473869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0.77758269646039102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4.3588947679693783E-2</v>
      </c>
      <c r="H1193" t="s">
        <v>40</v>
      </c>
      <c r="I1193">
        <f>VLOOKUP(Table4[[#This Row],[Visitor]],'NHL Model'!$A$6:$B$38,2,FALSE)</f>
        <v>0.16605329280468042</v>
      </c>
      <c r="J1193">
        <f>($B$1+Table4[[#This Row],[Home Differential]])-Table4[[#This Row],[Away Differential]]</f>
        <v>8.5095839667022471E-2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0.4879024473818086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-1.0049085234729234</v>
      </c>
      <c r="H1194" t="s">
        <v>10</v>
      </c>
      <c r="I1194">
        <f>VLOOKUP(Table4[[#This Row],[Visitor]],'NHL Model'!$A$6:$B$38,2,FALSE)</f>
        <v>0.28318004708662448</v>
      </c>
      <c r="J1194">
        <f>($B$1+Table4[[#This Row],[Home Differential]])-Table4[[#This Row],[Away Differential]]</f>
        <v>-1.0805283857675387</v>
      </c>
      <c r="K1194" t="str">
        <f>IF(Table4[[#This Row],[HomeIce Differential]]&gt;0,Table4[[#This Row],[Home]],Table4[[#This Row],[Visitor]])</f>
        <v>Chicago Blackhawks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0.59316049654576353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-0.2184338233275798</v>
      </c>
      <c r="H1195" t="s">
        <v>21</v>
      </c>
      <c r="I1195">
        <f>VLOOKUP(Table4[[#This Row],[Visitor]],'NHL Model'!$A$6:$B$38,2,FALSE)</f>
        <v>-0.11354210657072454</v>
      </c>
      <c r="J1195">
        <f>($B$1+Table4[[#This Row],[Home Differential]])-Table4[[#This Row],[Away Differential]]</f>
        <v>0.10266846803515385</v>
      </c>
      <c r="K1195" t="str">
        <f>IF(Table4[[#This Row],[HomeIce Differential]]&gt;0,Table4[[#This Row],[Home]],Table4[[#This Row],[Visitor]])</f>
        <v>Florida Panthers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0.61757881555227134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-0.16069632687214722</v>
      </c>
      <c r="H1196" t="s">
        <v>29</v>
      </c>
      <c r="I1196">
        <f>VLOOKUP(Table4[[#This Row],[Visitor]],'NHL Model'!$A$6:$B$38,2,FALSE)</f>
        <v>-1.4393526815815083</v>
      </c>
      <c r="J1196">
        <f>($B$1+Table4[[#This Row],[Home Differential]])-Table4[[#This Row],[Away Differential]]</f>
        <v>1.4862165395013702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0.74455201291664952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-0.52340626120007572</v>
      </c>
      <c r="H1197" t="s">
        <v>38</v>
      </c>
      <c r="I1197">
        <f>VLOOKUP(Table4[[#This Row],[Visitor]],'NHL Model'!$A$6:$B$38,2,FALSE)</f>
        <v>-0.87761566951859371</v>
      </c>
      <c r="J1197">
        <f>($B$1+Table4[[#This Row],[Home Differential]])-Table4[[#This Row],[Away Differential]]</f>
        <v>0.5617695931105271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0.59654864183678835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0.27405230796993052</v>
      </c>
      <c r="H1198" t="s">
        <v>22</v>
      </c>
      <c r="I1198">
        <f>VLOOKUP(Table4[[#This Row],[Visitor]],'NHL Model'!$A$6:$B$38,2,FALSE)</f>
        <v>-3.9931837337852071E-3</v>
      </c>
      <c r="J1198">
        <f>($B$1+Table4[[#This Row],[Home Differential]])-Table4[[#This Row],[Away Differential]]</f>
        <v>0.48560567649572484</v>
      </c>
      <c r="K1198" t="str">
        <f>IF(Table4[[#This Row],[HomeIce Differential]]&gt;0,Table4[[#This Row],[Home]],Table4[[#This Row],[Visitor]])</f>
        <v>New Jersey Devils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0.72226593781802051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-0.41117752232850285</v>
      </c>
      <c r="H1199" t="s">
        <v>18</v>
      </c>
      <c r="I1199">
        <f>VLOOKUP(Table4[[#This Row],[Visitor]],'NHL Model'!$A$6:$B$38,2,FALSE)</f>
        <v>-0.69497686531268954</v>
      </c>
      <c r="J1199">
        <f>($B$1+Table4[[#This Row],[Home Differential]])-Table4[[#This Row],[Away Differential]]</f>
        <v>0.49135952777619579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0.56052775288284684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-0.49956508239762204</v>
      </c>
      <c r="H1200" t="s">
        <v>23</v>
      </c>
      <c r="I1200">
        <f>VLOOKUP(Table4[[#This Row],[Visitor]],'NHL Model'!$A$6:$B$38,2,FALSE)</f>
        <v>-1.005023581214965</v>
      </c>
      <c r="J1200">
        <f>($B$1+Table4[[#This Row],[Home Differential]])-Table4[[#This Row],[Away Differential]]</f>
        <v>0.71301868360935217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0.64063017431976732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-0.59983976271417982</v>
      </c>
      <c r="H1201" t="s">
        <v>26</v>
      </c>
      <c r="I1201">
        <f>VLOOKUP(Table4[[#This Row],[Visitor]],'NHL Model'!$A$6:$B$38,2,FALSE)</f>
        <v>-0.4992069962886943</v>
      </c>
      <c r="J1201">
        <f>($B$1+Table4[[#This Row],[Home Differential]])-Table4[[#This Row],[Away Differential]]</f>
        <v>0.10692741836652359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0.51012955461118137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-0.54471700440519322</v>
      </c>
      <c r="H1202" t="s">
        <v>55</v>
      </c>
      <c r="I1202">
        <f>VLOOKUP(Table4[[#This Row],[Visitor]],'NHL Model'!$A$6:$B$38,2,FALSE)</f>
        <v>-0.24431182281386174</v>
      </c>
      <c r="J1202">
        <f>($B$1+Table4[[#This Row],[Home Differential]])-Table4[[#This Row],[Away Differential]]</f>
        <v>-9.2844996799322371E-2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0.44674077285393027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-0.41595305630289253</v>
      </c>
      <c r="H1203" t="s">
        <v>19</v>
      </c>
      <c r="I1203">
        <f>VLOOKUP(Table4[[#This Row],[Visitor]],'NHL Model'!$A$6:$B$38,2,FALSE)</f>
        <v>-0.76384910289376506</v>
      </c>
      <c r="J1203">
        <f>($B$1+Table4[[#This Row],[Home Differential]])-Table4[[#This Row],[Away Differential]]</f>
        <v>0.55545623138288169</v>
      </c>
      <c r="K1203" t="str">
        <f>IF(Table4[[#This Row],[HomeIce Differential]]&gt;0,Table4[[#This Row],[Home]],Table4[[#This Row],[Visitor]])</f>
        <v>San Jose Sharks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0.61644894750975143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3.7016822058700272E-2</v>
      </c>
      <c r="H1204" t="s">
        <v>14</v>
      </c>
      <c r="I1204">
        <f>VLOOKUP(Table4[[#This Row],[Visitor]],'NHL Model'!$A$6:$B$38,2,FALSE)</f>
        <v>0.19812979206825923</v>
      </c>
      <c r="J1204">
        <f>($B$1+Table4[[#This Row],[Home Differential]])-Table4[[#This Row],[Away Differential]]</f>
        <v>4.6447214782450147E-2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0.546392656134287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-5.3996763649808116E-4</v>
      </c>
      <c r="H1205" t="s">
        <v>16</v>
      </c>
      <c r="I1205">
        <f>VLOOKUP(Table4[[#This Row],[Visitor]],'NHL Model'!$A$6:$B$38,2,FALSE)</f>
        <v>-1.2993694664931768</v>
      </c>
      <c r="J1205">
        <f>($B$1+Table4[[#This Row],[Home Differential]])-Table4[[#This Row],[Away Differential]]</f>
        <v>1.5063896836486879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0.74732849745474783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0.49887659623169195</v>
      </c>
      <c r="H1206" t="s">
        <v>35</v>
      </c>
      <c r="I1206">
        <f>VLOOKUP(Table4[[#This Row],[Visitor]],'NHL Model'!$A$6:$B$38,2,FALSE)</f>
        <v>-1.7049475448313323</v>
      </c>
      <c r="J1206">
        <f>($B$1+Table4[[#This Row],[Home Differential]])-Table4[[#This Row],[Away Differential]]</f>
        <v>2.4113843258550336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0.9873160759967512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-7.6737500378247253E-2</v>
      </c>
      <c r="H1207" t="s">
        <v>27</v>
      </c>
      <c r="I1207">
        <f>VLOOKUP(Table4[[#This Row],[Visitor]],'NHL Model'!$A$6:$B$38,2,FALSE)</f>
        <v>-0.59983976271417982</v>
      </c>
      <c r="J1207">
        <f>($B$1+Table4[[#This Row],[Home Differential]])-Table4[[#This Row],[Away Differential]]</f>
        <v>0.73066244712794171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0.64056305413797188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0.49887659623169195</v>
      </c>
      <c r="H1208" t="s">
        <v>16</v>
      </c>
      <c r="I1208">
        <f>VLOOKUP(Table4[[#This Row],[Visitor]],'NHL Model'!$A$6:$B$38,2,FALSE)</f>
        <v>-1.2993694664931768</v>
      </c>
      <c r="J1208">
        <f>($B$1+Table4[[#This Row],[Home Differential]])-Table4[[#This Row],[Away Differential]]</f>
        <v>2.0058062475168779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0.93149526515664949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0.55298967972810642</v>
      </c>
      <c r="H1209" t="s">
        <v>30</v>
      </c>
      <c r="I1209">
        <f>VLOOKUP(Table4[[#This Row],[Visitor]],'NHL Model'!$A$6:$B$38,2,FALSE)</f>
        <v>-7.6737500378247253E-2</v>
      </c>
      <c r="J1209">
        <f>($B$1+Table4[[#This Row],[Home Differential]])-Table4[[#This Row],[Away Differential]]</f>
        <v>0.83728736489836275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0.64857146406837307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-0.58990467102727129</v>
      </c>
      <c r="H1210" t="s">
        <v>40</v>
      </c>
      <c r="I1210">
        <f>VLOOKUP(Table4[[#This Row],[Visitor]],'NHL Model'!$A$6:$B$38,2,FALSE)</f>
        <v>0.16605329280468042</v>
      </c>
      <c r="J1210">
        <f>($B$1+Table4[[#This Row],[Home Differential]])-Table4[[#This Row],[Away Differential]]</f>
        <v>-0.54839777903994258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0.59470824280220158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4.3588947679693783E-2</v>
      </c>
      <c r="H1211" t="s">
        <v>12</v>
      </c>
      <c r="I1211">
        <f>VLOOKUP(Table4[[#This Row],[Visitor]],'NHL Model'!$A$6:$B$38,2,FALSE)</f>
        <v>1.4229473251234224</v>
      </c>
      <c r="J1211">
        <f>($B$1+Table4[[#This Row],[Home Differential]])-Table4[[#This Row],[Away Differential]]</f>
        <v>-1.1717981926517194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0.68508728695392995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-1.0049085234729234</v>
      </c>
      <c r="H1212" t="s">
        <v>20</v>
      </c>
      <c r="I1212">
        <f>VLOOKUP(Table4[[#This Row],[Visitor]],'NHL Model'!$A$6:$B$38,2,FALSE)</f>
        <v>-5.3996763649808116E-4</v>
      </c>
      <c r="J1212">
        <f>($B$1+Table4[[#This Row],[Home Differential]])-Table4[[#This Row],[Away Differential]]</f>
        <v>-0.79680837104441615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0.55411134147726504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-0.16069632687214722</v>
      </c>
      <c r="H1213" t="s">
        <v>19</v>
      </c>
      <c r="I1213">
        <f>VLOOKUP(Table4[[#This Row],[Visitor]],'NHL Model'!$A$6:$B$38,2,FALSE)</f>
        <v>-0.76384910289376506</v>
      </c>
      <c r="J1213">
        <f>($B$1+Table4[[#This Row],[Home Differential]])-Table4[[#This Row],[Away Differential]]</f>
        <v>0.81071296081362698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0.65158062343168488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0.27405230796993052</v>
      </c>
      <c r="H1214" t="s">
        <v>18</v>
      </c>
      <c r="I1214">
        <f>VLOOKUP(Table4[[#This Row],[Visitor]],'NHL Model'!$A$6:$B$38,2,FALSE)</f>
        <v>-0.69497686531268954</v>
      </c>
      <c r="J1214">
        <f>($B$1+Table4[[#This Row],[Home Differential]])-Table4[[#This Row],[Away Differential]]</f>
        <v>1.1765893580746292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0.77358766967198478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-0.41117752232850285</v>
      </c>
      <c r="H1215" t="s">
        <v>26</v>
      </c>
      <c r="I1215">
        <f>VLOOKUP(Table4[[#This Row],[Visitor]],'NHL Model'!$A$6:$B$38,2,FALSE)</f>
        <v>-0.4992069962886943</v>
      </c>
      <c r="J1215">
        <f>($B$1+Table4[[#This Row],[Home Differential]])-Table4[[#This Row],[Away Differential]]</f>
        <v>0.29558965875220056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0.53358341488569183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-0.49956508239762204</v>
      </c>
      <c r="H1216" t="s">
        <v>34</v>
      </c>
      <c r="I1216">
        <f>VLOOKUP(Table4[[#This Row],[Visitor]],'NHL Model'!$A$6:$B$38,2,FALSE)</f>
        <v>-0.52340626120007572</v>
      </c>
      <c r="J1216">
        <f>($B$1+Table4[[#This Row],[Home Differential]])-Table4[[#This Row],[Away Differential]]</f>
        <v>0.23140136359446278</v>
      </c>
      <c r="K1216" t="str">
        <f>IF(Table4[[#This Row],[HomeIce Differential]]&gt;0,Table4[[#This Row],[Home]],Table4[[#This Row],[Visitor]])</f>
        <v>Ottawa Senators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0.57434387643102225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0.19812979206825923</v>
      </c>
      <c r="H1217" t="s">
        <v>11</v>
      </c>
      <c r="I1217">
        <f>VLOOKUP(Table4[[#This Row],[Visitor]],'NHL Model'!$A$6:$B$38,2,FALSE)</f>
        <v>-0.2184338233275798</v>
      </c>
      <c r="J1217">
        <f>($B$1+Table4[[#This Row],[Home Differential]])-Table4[[#This Row],[Away Differential]]</f>
        <v>0.62412380018784808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0.66193671758869344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-0.54471700440519322</v>
      </c>
      <c r="H1218" t="s">
        <v>10</v>
      </c>
      <c r="I1218">
        <f>VLOOKUP(Table4[[#This Row],[Visitor]],'NHL Model'!$A$6:$B$38,2,FALSE)</f>
        <v>0.28318004708662448</v>
      </c>
      <c r="J1218">
        <f>($B$1+Table4[[#This Row],[Home Differential]])-Table4[[#This Row],[Away Differential]]</f>
        <v>-0.62033686669980859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0.53992409984866552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-0.41595305630289253</v>
      </c>
      <c r="H1219" t="s">
        <v>29</v>
      </c>
      <c r="I1219">
        <f>VLOOKUP(Table4[[#This Row],[Visitor]],'NHL Model'!$A$6:$B$38,2,FALSE)</f>
        <v>-1.4393526815815083</v>
      </c>
      <c r="J1219">
        <f>($B$1+Table4[[#This Row],[Home Differential]])-Table4[[#This Row],[Away Differential]]</f>
        <v>1.2309598100706249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0.70942033699471607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3.7016822058700272E-2</v>
      </c>
      <c r="H1220" t="s">
        <v>21</v>
      </c>
      <c r="I1220">
        <f>VLOOKUP(Table4[[#This Row],[Visitor]],'NHL Model'!$A$6:$B$38,2,FALSE)</f>
        <v>-0.11354210657072454</v>
      </c>
      <c r="J1220">
        <f>($B$1+Table4[[#This Row],[Home Differential]])-Table4[[#This Row],[Away Differential]]</f>
        <v>0.35811911342143393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0.58928890479099172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-0.87761566951859371</v>
      </c>
      <c r="H1221" t="s">
        <v>55</v>
      </c>
      <c r="I1221">
        <f>VLOOKUP(Table4[[#This Row],[Visitor]],'NHL Model'!$A$6:$B$38,2,FALSE)</f>
        <v>-0.24431182281386174</v>
      </c>
      <c r="J1221">
        <f>($B$1+Table4[[#This Row],[Home Differential]])-Table4[[#This Row],[Away Differential]]</f>
        <v>-0.42574366191272284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0.51859625479606808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-3.9931837337852071E-3</v>
      </c>
      <c r="H1222" t="s">
        <v>23</v>
      </c>
      <c r="I1222">
        <f>VLOOKUP(Table4[[#This Row],[Visitor]],'NHL Model'!$A$6:$B$38,2,FALSE)</f>
        <v>-1.005023581214965</v>
      </c>
      <c r="J1222">
        <f>($B$1+Table4[[#This Row],[Home Differential]])-Table4[[#This Row],[Away Differential]]</f>
        <v>1.2085905822731888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0.70883707871246349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1.4229473251234224</v>
      </c>
      <c r="H1223" t="s">
        <v>35</v>
      </c>
      <c r="I1223">
        <f>VLOOKUP(Table4[[#This Row],[Visitor]],'NHL Model'!$A$6:$B$38,2,FALSE)</f>
        <v>-1.7049475448313323</v>
      </c>
      <c r="J1223">
        <f>($B$1+Table4[[#This Row],[Home Differential]])-Table4[[#This Row],[Away Differential]]</f>
        <v>3.3354550547467636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-0.4992069962886943</v>
      </c>
      <c r="H1224" t="s">
        <v>34</v>
      </c>
      <c r="I1224">
        <f>VLOOKUP(Table4[[#This Row],[Visitor]],'NHL Model'!$A$6:$B$38,2,FALSE)</f>
        <v>-0.52340626120007572</v>
      </c>
      <c r="J1224">
        <f>($B$1+Table4[[#This Row],[Home Differential]])-Table4[[#This Row],[Away Differential]]</f>
        <v>0.23175944970339052</v>
      </c>
      <c r="K1224" t="str">
        <f>IF(Table4[[#This Row],[HomeIce Differential]]&gt;0,Table4[[#This Row],[Home]],Table4[[#This Row],[Visitor]])</f>
        <v>Detroit Red Wings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0.61232885903507805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-0.69497686531268954</v>
      </c>
      <c r="H1225" t="s">
        <v>24</v>
      </c>
      <c r="I1225">
        <f>VLOOKUP(Table4[[#This Row],[Visitor]],'NHL Model'!$A$6:$B$38,2,FALSE)</f>
        <v>0.27405230796993052</v>
      </c>
      <c r="J1225">
        <f>($B$1+Table4[[#This Row],[Home Differential]])-Table4[[#This Row],[Away Differential]]</f>
        <v>-0.76146898849061095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0.607315604786418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-0.41117752232850285</v>
      </c>
      <c r="H1226" t="s">
        <v>22</v>
      </c>
      <c r="I1226">
        <f>VLOOKUP(Table4[[#This Row],[Visitor]],'NHL Model'!$A$6:$B$38,2,FALSE)</f>
        <v>-3.9931837337852071E-3</v>
      </c>
      <c r="J1226">
        <f>($B$1+Table4[[#This Row],[Home Differential]])-Table4[[#This Row],[Away Differential]]</f>
        <v>-0.19962415380270854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0.48747481366398104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-0.49956508239762204</v>
      </c>
      <c r="H1227" t="s">
        <v>25</v>
      </c>
      <c r="I1227">
        <f>VLOOKUP(Table4[[#This Row],[Visitor]],'NHL Model'!$A$6:$B$38,2,FALSE)</f>
        <v>0.55298967972810642</v>
      </c>
      <c r="J1227">
        <f>($B$1+Table4[[#This Row],[Home Differential]])-Table4[[#This Row],[Away Differential]]</f>
        <v>-0.8449945773337193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0.65476043374583925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-0.59983976271417982</v>
      </c>
      <c r="H1228" t="s">
        <v>21</v>
      </c>
      <c r="I1228">
        <f>VLOOKUP(Table4[[#This Row],[Visitor]],'NHL Model'!$A$6:$B$38,2,FALSE)</f>
        <v>-0.11354210657072454</v>
      </c>
      <c r="J1228">
        <f>($B$1+Table4[[#This Row],[Home Differential]])-Table4[[#This Row],[Away Differential]]</f>
        <v>-0.27873747135144616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0.49586791490737164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0.19812979206825923</v>
      </c>
      <c r="H1229" t="s">
        <v>11</v>
      </c>
      <c r="I1229">
        <f>VLOOKUP(Table4[[#This Row],[Visitor]],'NHL Model'!$A$6:$B$38,2,FALSE)</f>
        <v>-0.2184338233275798</v>
      </c>
      <c r="J1229">
        <f>($B$1+Table4[[#This Row],[Home Differential]])-Table4[[#This Row],[Away Differential]]</f>
        <v>0.62412380018784808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0.66193671758869344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-1.005023581214965</v>
      </c>
      <c r="H1230" t="s">
        <v>37</v>
      </c>
      <c r="I1230">
        <f>VLOOKUP(Table4[[#This Row],[Visitor]],'NHL Model'!$A$6:$B$38,2,FALSE)</f>
        <v>3.7016822058700272E-2</v>
      </c>
      <c r="J1230">
        <f>($B$1+Table4[[#This Row],[Home Differential]])-Table4[[#This Row],[Away Differential]]</f>
        <v>-0.83448021848165621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0.62195116704152209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-0.16069632687214722</v>
      </c>
      <c r="H1231" t="s">
        <v>29</v>
      </c>
      <c r="I1231">
        <f>VLOOKUP(Table4[[#This Row],[Visitor]],'NHL Model'!$A$6:$B$38,2,FALSE)</f>
        <v>-1.4393526815815083</v>
      </c>
      <c r="J1231">
        <f>($B$1+Table4[[#This Row],[Home Differential]])-Table4[[#This Row],[Away Differential]]</f>
        <v>1.4862165395013702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0.74455201291664952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-0.41595305630289253</v>
      </c>
      <c r="H1232" t="s">
        <v>10</v>
      </c>
      <c r="I1232">
        <f>VLOOKUP(Table4[[#This Row],[Visitor]],'NHL Model'!$A$6:$B$38,2,FALSE)</f>
        <v>0.28318004708662448</v>
      </c>
      <c r="J1232">
        <f>($B$1+Table4[[#This Row],[Home Differential]])-Table4[[#This Row],[Away Differential]]</f>
        <v>-0.4915729185975079</v>
      </c>
      <c r="K1232" t="str">
        <f>IF(Table4[[#This Row],[HomeIce Differential]]&gt;0,Table4[[#This Row],[Home]],Table4[[#This Row],[Visitor]])</f>
        <v>Chicago Blackhawks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0.54842574469025607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0.16605329280468042</v>
      </c>
      <c r="H1233" t="s">
        <v>32</v>
      </c>
      <c r="I1233">
        <f>VLOOKUP(Table4[[#This Row],[Visitor]],'NHL Model'!$A$6:$B$38,2,FALSE)</f>
        <v>-0.54471700440519322</v>
      </c>
      <c r="J1233">
        <f>($B$1+Table4[[#This Row],[Home Differential]])-Table4[[#This Row],[Away Differential]]</f>
        <v>0.91833048200188272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0.71810829106042784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0.49887659623169195</v>
      </c>
      <c r="H1234" t="s">
        <v>29</v>
      </c>
      <c r="I1234">
        <f>VLOOKUP(Table4[[#This Row],[Visitor]],'NHL Model'!$A$6:$B$38,2,FALSE)</f>
        <v>-1.4393526815815083</v>
      </c>
      <c r="J1234">
        <f>($B$1+Table4[[#This Row],[Home Differential]])-Table4[[#This Row],[Away Differential]]</f>
        <v>2.1457894626052094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0.95076153468051672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0.55298967972810642</v>
      </c>
      <c r="H1235" t="s">
        <v>21</v>
      </c>
      <c r="I1235">
        <f>VLOOKUP(Table4[[#This Row],[Visitor]],'NHL Model'!$A$6:$B$38,2,FALSE)</f>
        <v>-0.11354210657072454</v>
      </c>
      <c r="J1235">
        <f>($B$1+Table4[[#This Row],[Home Differential]])-Table4[[#This Row],[Away Differential]]</f>
        <v>0.87409197109084003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0.71201962482991688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4.3588947679693783E-2</v>
      </c>
      <c r="H1236" t="s">
        <v>16</v>
      </c>
      <c r="I1236">
        <f>VLOOKUP(Table4[[#This Row],[Visitor]],'NHL Model'!$A$6:$B$38,2,FALSE)</f>
        <v>-1.2993694664931768</v>
      </c>
      <c r="J1236">
        <f>($B$1+Table4[[#This Row],[Home Differential]])-Table4[[#This Row],[Away Differential]]</f>
        <v>1.5505185989648798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0.75589755895065869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-0.4992069962886943</v>
      </c>
      <c r="H1237" t="s">
        <v>28</v>
      </c>
      <c r="I1237">
        <f>VLOOKUP(Table4[[#This Row],[Visitor]],'NHL Model'!$A$6:$B$38,2,FALSE)</f>
        <v>-0.58990467102727129</v>
      </c>
      <c r="J1237">
        <f>($B$1+Table4[[#This Row],[Home Differential]])-Table4[[#This Row],[Away Differential]]</f>
        <v>0.29825785953058609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0.62148121552175317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-0.52340626120007572</v>
      </c>
      <c r="H1238" t="s">
        <v>32</v>
      </c>
      <c r="I1238">
        <f>VLOOKUP(Table4[[#This Row],[Visitor]],'NHL Model'!$A$6:$B$38,2,FALSE)</f>
        <v>-0.54471700440519322</v>
      </c>
      <c r="J1238">
        <f>($B$1+Table4[[#This Row],[Home Differential]])-Table4[[#This Row],[Away Differential]]</f>
        <v>0.22887092799712661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0.5715001265129378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-0.69497686531268954</v>
      </c>
      <c r="H1239" t="s">
        <v>11</v>
      </c>
      <c r="I1239">
        <f>VLOOKUP(Table4[[#This Row],[Visitor]],'NHL Model'!$A$6:$B$38,2,FALSE)</f>
        <v>-0.2184338233275798</v>
      </c>
      <c r="J1239">
        <f>($B$1+Table4[[#This Row],[Home Differential]])-Table4[[#This Row],[Away Differential]]</f>
        <v>-0.26898285719310067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0.49702084011080921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0.27405230796993052</v>
      </c>
      <c r="H1240" t="s">
        <v>27</v>
      </c>
      <c r="I1240">
        <f>VLOOKUP(Table4[[#This Row],[Visitor]],'NHL Model'!$A$6:$B$38,2,FALSE)</f>
        <v>-0.59983976271417982</v>
      </c>
      <c r="J1240">
        <f>($B$1+Table4[[#This Row],[Home Differential]])-Table4[[#This Row],[Away Differential]]</f>
        <v>1.0814522554761195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0.80427391840531137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-0.49956508239762204</v>
      </c>
      <c r="H1241" t="s">
        <v>37</v>
      </c>
      <c r="I1241">
        <f>VLOOKUP(Table4[[#This Row],[Visitor]],'NHL Model'!$A$6:$B$38,2,FALSE)</f>
        <v>3.7016822058700272E-2</v>
      </c>
      <c r="J1241">
        <f>($B$1+Table4[[#This Row],[Home Differential]])-Table4[[#This Row],[Away Differential]]</f>
        <v>-0.32902171966431321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0.54987130754003932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-1.7049475448313323</v>
      </c>
      <c r="H1242" t="s">
        <v>12</v>
      </c>
      <c r="I1242">
        <f>VLOOKUP(Table4[[#This Row],[Visitor]],'NHL Model'!$A$6:$B$38,2,FALSE)</f>
        <v>1.4229473251234224</v>
      </c>
      <c r="J1242">
        <f>($B$1+Table4[[#This Row],[Home Differential]])-Table4[[#This Row],[Away Differential]]</f>
        <v>-2.9203346851627456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0.92824937207313862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-0.24431182281386174</v>
      </c>
      <c r="H1243" t="s">
        <v>17</v>
      </c>
      <c r="I1243">
        <f>VLOOKUP(Table4[[#This Row],[Visitor]],'NHL Model'!$A$6:$B$38,2,FALSE)</f>
        <v>-1.0049085234729234</v>
      </c>
      <c r="J1243">
        <f>($B$1+Table4[[#This Row],[Home Differential]])-Table4[[#This Row],[Away Differential]]</f>
        <v>0.9681568854510707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0.74152256384656401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-0.87761566951859371</v>
      </c>
      <c r="H1244" t="s">
        <v>20</v>
      </c>
      <c r="I1244">
        <f>VLOOKUP(Table4[[#This Row],[Visitor]],'NHL Model'!$A$6:$B$38,2,FALSE)</f>
        <v>-5.3996763649808116E-4</v>
      </c>
      <c r="J1244">
        <f>($B$1+Table4[[#This Row],[Home Differential]])-Table4[[#This Row],[Away Differential]]</f>
        <v>-0.6695155170900865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0.57291646709702448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-0.41117752232850285</v>
      </c>
      <c r="H1245" t="s">
        <v>23</v>
      </c>
      <c r="I1245">
        <f>VLOOKUP(Table4[[#This Row],[Visitor]],'NHL Model'!$A$6:$B$38,2,FALSE)</f>
        <v>-1.005023581214965</v>
      </c>
      <c r="J1245">
        <f>($B$1+Table4[[#This Row],[Home Differential]])-Table4[[#This Row],[Away Differential]]</f>
        <v>0.80140624367847124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0.65029971471277059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-0.41595305630289253</v>
      </c>
      <c r="H1246" t="s">
        <v>17</v>
      </c>
      <c r="I1246">
        <f>VLOOKUP(Table4[[#This Row],[Visitor]],'NHL Model'!$A$6:$B$38,2,FALSE)</f>
        <v>-1.0049085234729234</v>
      </c>
      <c r="J1246">
        <f>($B$1+Table4[[#This Row],[Home Differential]])-Table4[[#This Row],[Away Differential]]</f>
        <v>0.79651565196203999</v>
      </c>
      <c r="K1246" t="str">
        <f>IF(Table4[[#This Row],[HomeIce Differential]]&gt;0,Table4[[#This Row],[Home]],Table4[[#This Row],[Visitor]])</f>
        <v>San Jose Sharks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0.64962660931166583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-0.76384910289376506</v>
      </c>
      <c r="H1247" t="s">
        <v>22</v>
      </c>
      <c r="I1247">
        <f>VLOOKUP(Table4[[#This Row],[Visitor]],'NHL Model'!$A$6:$B$38,2,FALSE)</f>
        <v>-3.9931837337852071E-3</v>
      </c>
      <c r="J1247">
        <f>($B$1+Table4[[#This Row],[Home Differential]])-Table4[[#This Row],[Away Differential]]</f>
        <v>-0.55229573436797075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0.52199733923577907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0.49887659623169195</v>
      </c>
      <c r="H1248" t="s">
        <v>33</v>
      </c>
      <c r="I1248">
        <f>VLOOKUP(Table4[[#This Row],[Visitor]],'NHL Model'!$A$6:$B$38,2,FALSE)</f>
        <v>-0.41595305630289253</v>
      </c>
      <c r="J1248">
        <f>($B$1+Table4[[#This Row],[Home Differential]])-Table4[[#This Row],[Away Differential]]</f>
        <v>1.1223898373265937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0.80990826881717271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-1.005023581214965</v>
      </c>
      <c r="H1249" t="s">
        <v>28</v>
      </c>
      <c r="I1249">
        <f>VLOOKUP(Table4[[#This Row],[Visitor]],'NHL Model'!$A$6:$B$38,2,FALSE)</f>
        <v>-0.58990467102727129</v>
      </c>
      <c r="J1249">
        <f>($B$1+Table4[[#This Row],[Home Differential]])-Table4[[#This Row],[Away Differential]]</f>
        <v>-0.20755872539568465</v>
      </c>
      <c r="K1249" t="str">
        <f>IF(Table4[[#This Row],[HomeIce Differential]]&gt;0,Table4[[#This Row],[Home]],Table4[[#This Row],[Visitor]])</f>
        <v>Columbus Blue Jackets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0.48856687027069806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0.28318004708662448</v>
      </c>
      <c r="H1250" t="s">
        <v>25</v>
      </c>
      <c r="I1250">
        <f>VLOOKUP(Table4[[#This Row],[Visitor]],'NHL Model'!$A$6:$B$38,2,FALSE)</f>
        <v>0.55298967972810642</v>
      </c>
      <c r="J1250">
        <f>($B$1+Table4[[#This Row],[Home Differential]])-Table4[[#This Row],[Away Differential]]</f>
        <v>-6.2249447849472839E-2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0.54246586541133957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1.4229473251234224</v>
      </c>
      <c r="H1251" t="s">
        <v>16</v>
      </c>
      <c r="I1251">
        <f>VLOOKUP(Table4[[#This Row],[Visitor]],'NHL Model'!$A$6:$B$38,2,FALSE)</f>
        <v>-1.2993694664931768</v>
      </c>
      <c r="J1251">
        <f>($B$1+Table4[[#This Row],[Home Differential]])-Table4[[#This Row],[Away Differential]]</f>
        <v>2.9298769764086083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4.3588947679693783E-2</v>
      </c>
      <c r="H1252" t="s">
        <v>34</v>
      </c>
      <c r="I1252">
        <f>VLOOKUP(Table4[[#This Row],[Visitor]],'NHL Model'!$A$6:$B$38,2,FALSE)</f>
        <v>-0.52340626120007572</v>
      </c>
      <c r="J1252">
        <f>($B$1+Table4[[#This Row],[Home Differential]])-Table4[[#This Row],[Away Differential]]</f>
        <v>0.77455539367177861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0.64909963861180164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-0.4992069962886943</v>
      </c>
      <c r="H1253" t="s">
        <v>27</v>
      </c>
      <c r="I1253">
        <f>VLOOKUP(Table4[[#This Row],[Visitor]],'NHL Model'!$A$6:$B$38,2,FALSE)</f>
        <v>-0.59983976271417982</v>
      </c>
      <c r="J1253">
        <f>($B$1+Table4[[#This Row],[Home Differential]])-Table4[[#This Row],[Away Differential]]</f>
        <v>0.30819295121749463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0.62284860913436257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-0.16069632687214722</v>
      </c>
      <c r="H1254" t="s">
        <v>38</v>
      </c>
      <c r="I1254">
        <f>VLOOKUP(Table4[[#This Row],[Visitor]],'NHL Model'!$A$6:$B$38,2,FALSE)</f>
        <v>-0.87761566951859371</v>
      </c>
      <c r="J1254">
        <f>($B$1+Table4[[#This Row],[Home Differential]])-Table4[[#This Row],[Away Differential]]</f>
        <v>0.92447952743845563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0.64646939375934165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-0.69497686531268954</v>
      </c>
      <c r="H1255" t="s">
        <v>37</v>
      </c>
      <c r="I1255">
        <f>VLOOKUP(Table4[[#This Row],[Visitor]],'NHL Model'!$A$6:$B$38,2,FALSE)</f>
        <v>3.7016822058700272E-2</v>
      </c>
      <c r="J1255">
        <f>($B$1+Table4[[#This Row],[Home Differential]])-Table4[[#This Row],[Away Differential]]</f>
        <v>-0.52443350257938071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0.57927859669232873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0.27405230796993052</v>
      </c>
      <c r="H1256" t="s">
        <v>14</v>
      </c>
      <c r="I1256">
        <f>VLOOKUP(Table4[[#This Row],[Visitor]],'NHL Model'!$A$6:$B$38,2,FALSE)</f>
        <v>0.19812979206825923</v>
      </c>
      <c r="J1256">
        <f>($B$1+Table4[[#This Row],[Home Differential]])-Table4[[#This Row],[Away Differential]]</f>
        <v>0.28348270069368042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0.69444720450552311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-7.6737500378247253E-2</v>
      </c>
      <c r="H1257" t="s">
        <v>19</v>
      </c>
      <c r="I1257">
        <f>VLOOKUP(Table4[[#This Row],[Visitor]],'NHL Model'!$A$6:$B$38,2,FALSE)</f>
        <v>-0.76384910289376506</v>
      </c>
      <c r="J1257">
        <f>($B$1+Table4[[#This Row],[Home Differential]])-Table4[[#This Row],[Away Differential]]</f>
        <v>0.89467178730752694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0.66313610441644699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-0.49956508239762204</v>
      </c>
      <c r="H1258" t="s">
        <v>11</v>
      </c>
      <c r="I1258">
        <f>VLOOKUP(Table4[[#This Row],[Visitor]],'NHL Model'!$A$6:$B$38,2,FALSE)</f>
        <v>-0.2184338233275798</v>
      </c>
      <c r="J1258">
        <f>($B$1+Table4[[#This Row],[Home Differential]])-Table4[[#This Row],[Away Differential]]</f>
        <v>-7.3571074278033138E-2</v>
      </c>
      <c r="K1258" t="str">
        <f>IF(Table4[[#This Row],[HomeIce Differential]]&gt;0,Table4[[#This Row],[Home]],Table4[[#This Row],[Visitor]])</f>
        <v>Florida Panthers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0.46763030727160726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-0.54471700440519322</v>
      </c>
      <c r="H1259" t="s">
        <v>20</v>
      </c>
      <c r="I1259">
        <f>VLOOKUP(Table4[[#This Row],[Visitor]],'NHL Model'!$A$6:$B$38,2,FALSE)</f>
        <v>-5.3996763649808116E-4</v>
      </c>
      <c r="J1259">
        <f>($B$1+Table4[[#This Row],[Home Differential]])-Table4[[#This Row],[Away Differential]]</f>
        <v>-0.336616851976686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0.50087494478016703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-1.7049475448313323</v>
      </c>
      <c r="H1260" t="s">
        <v>40</v>
      </c>
      <c r="I1260">
        <f>VLOOKUP(Table4[[#This Row],[Visitor]],'NHL Model'!$A$6:$B$38,2,FALSE)</f>
        <v>0.16605329280468042</v>
      </c>
      <c r="J1260">
        <f>($B$1+Table4[[#This Row],[Home Differential]])-Table4[[#This Row],[Away Differential]]</f>
        <v>-1.6634406528440036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0.7552596377373999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-0.24431182281386174</v>
      </c>
      <c r="H1261" t="s">
        <v>29</v>
      </c>
      <c r="I1261">
        <f>VLOOKUP(Table4[[#This Row],[Visitor]],'NHL Model'!$A$6:$B$38,2,FALSE)</f>
        <v>-1.4393526815815083</v>
      </c>
      <c r="J1261">
        <f>($B$1+Table4[[#This Row],[Home Differential]])-Table4[[#This Row],[Away Differential]]</f>
        <v>1.4026010435596556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0.80131629152961414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-0.11354210657072454</v>
      </c>
      <c r="H1262" t="s">
        <v>37</v>
      </c>
      <c r="I1262">
        <f>VLOOKUP(Table4[[#This Row],[Visitor]],'NHL Model'!$A$6:$B$38,2,FALSE)</f>
        <v>3.7016822058700272E-2</v>
      </c>
      <c r="J1262">
        <f>($B$1+Table4[[#This Row],[Home Differential]])-Table4[[#This Row],[Away Differential]]</f>
        <v>5.7001256162584293E-2</v>
      </c>
      <c r="K1262" t="str">
        <f>IF(Table4[[#This Row],[HomeIce Differential]]&gt;0,Table4[[#This Row],[Home]],Table4[[#This Row],[Visitor]])</f>
        <v>Boston Bruins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0.55329978292629767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0.28318004708662448</v>
      </c>
      <c r="H1263" t="s">
        <v>35</v>
      </c>
      <c r="I1263">
        <f>VLOOKUP(Table4[[#This Row],[Visitor]],'NHL Model'!$A$6:$B$38,2,FALSE)</f>
        <v>-1.7049475448313323</v>
      </c>
      <c r="J1263">
        <f>($B$1+Table4[[#This Row],[Home Differential]])-Table4[[#This Row],[Away Differential]]</f>
        <v>2.1956877767099661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0.84924441522330407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1.4229473251234224</v>
      </c>
      <c r="H1264" t="s">
        <v>20</v>
      </c>
      <c r="I1264">
        <f>VLOOKUP(Table4[[#This Row],[Visitor]],'NHL Model'!$A$6:$B$38,2,FALSE)</f>
        <v>-5.3996763649808116E-4</v>
      </c>
      <c r="J1264">
        <f>($B$1+Table4[[#This Row],[Home Differential]])-Table4[[#This Row],[Away Differential]]</f>
        <v>1.6310474775519295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0.8331811398726342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4.3588947679693783E-2</v>
      </c>
      <c r="H1265" t="s">
        <v>15</v>
      </c>
      <c r="I1265">
        <f>VLOOKUP(Table4[[#This Row],[Visitor]],'NHL Model'!$A$6:$B$38,2,FALSE)</f>
        <v>-0.41117752232850285</v>
      </c>
      <c r="J1265">
        <f>($B$1+Table4[[#This Row],[Home Differential]])-Table4[[#This Row],[Away Differential]]</f>
        <v>0.66232665480020581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0.51221044529375559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-0.4992069962886943</v>
      </c>
      <c r="H1266" t="s">
        <v>24</v>
      </c>
      <c r="I1266">
        <f>VLOOKUP(Table4[[#This Row],[Visitor]],'NHL Model'!$A$6:$B$38,2,FALSE)</f>
        <v>0.27405230796993052</v>
      </c>
      <c r="J1266">
        <f>($B$1+Table4[[#This Row],[Home Differential]])-Table4[[#This Row],[Away Differential]]</f>
        <v>-0.56569911946661566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0.53939716551365424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-0.16069632687214722</v>
      </c>
      <c r="H1267" t="s">
        <v>17</v>
      </c>
      <c r="I1267">
        <f>VLOOKUP(Table4[[#This Row],[Visitor]],'NHL Model'!$A$6:$B$38,2,FALSE)</f>
        <v>-1.0049085234729234</v>
      </c>
      <c r="J1267">
        <f>($B$1+Table4[[#This Row],[Home Differential]])-Table4[[#This Row],[Away Differential]]</f>
        <v>1.0517723813927853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0.68475828523359927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-0.69497686531268954</v>
      </c>
      <c r="H1268" t="s">
        <v>28</v>
      </c>
      <c r="I1268">
        <f>VLOOKUP(Table4[[#This Row],[Visitor]],'NHL Model'!$A$6:$B$38,2,FALSE)</f>
        <v>-0.58990467102727129</v>
      </c>
      <c r="J1268">
        <f>($B$1+Table4[[#This Row],[Home Differential]])-Table4[[#This Row],[Away Differential]]</f>
        <v>0.10248799050659085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0.55410570007849547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-1.4393526815815083</v>
      </c>
      <c r="H1269" t="s">
        <v>34</v>
      </c>
      <c r="I1269">
        <f>VLOOKUP(Table4[[#This Row],[Visitor]],'NHL Model'!$A$6:$B$38,2,FALSE)</f>
        <v>-0.52340626120007572</v>
      </c>
      <c r="J1269">
        <f>($B$1+Table4[[#This Row],[Home Differential]])-Table4[[#This Row],[Away Differential]]</f>
        <v>-0.7083862355894236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0.55749711873135221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-7.6737500378247253E-2</v>
      </c>
      <c r="H1270" t="s">
        <v>36</v>
      </c>
      <c r="I1270">
        <f>VLOOKUP(Table4[[#This Row],[Visitor]],'NHL Model'!$A$6:$B$38,2,FALSE)</f>
        <v>-0.49956508239762204</v>
      </c>
      <c r="J1270">
        <f>($B$1+Table4[[#This Row],[Home Differential]])-Table4[[#This Row],[Away Differential]]</f>
        <v>0.63038776681138387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0.62676197794337707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0.19812979206825923</v>
      </c>
      <c r="H1271" t="s">
        <v>22</v>
      </c>
      <c r="I1271">
        <f>VLOOKUP(Table4[[#This Row],[Visitor]],'NHL Model'!$A$6:$B$38,2,FALSE)</f>
        <v>-3.9931837337852071E-3</v>
      </c>
      <c r="J1271">
        <f>($B$1+Table4[[#This Row],[Home Differential]])-Table4[[#This Row],[Away Differential]]</f>
        <v>0.40968316059405352</v>
      </c>
      <c r="K1271" t="str">
        <f>IF(Table4[[#This Row],[HomeIce Differential]]&gt;0,Table4[[#This Row],[Home]],Table4[[#This Row],[Visitor]])</f>
        <v>Pittsburgh Penguins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0.63242267080331649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-0.54471700440519322</v>
      </c>
      <c r="H1272" t="s">
        <v>16</v>
      </c>
      <c r="I1272">
        <f>VLOOKUP(Table4[[#This Row],[Visitor]],'NHL Model'!$A$6:$B$38,2,FALSE)</f>
        <v>-1.2993694664931768</v>
      </c>
      <c r="J1272">
        <f>($B$1+Table4[[#This Row],[Home Differential]])-Table4[[#This Row],[Away Differential]]</f>
        <v>0.96221264687999264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0.6984696719377198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-0.41595305630289253</v>
      </c>
      <c r="H1273" t="s">
        <v>38</v>
      </c>
      <c r="I1273">
        <f>VLOOKUP(Table4[[#This Row],[Visitor]],'NHL Model'!$A$6:$B$38,2,FALSE)</f>
        <v>-0.87761566951859371</v>
      </c>
      <c r="J1273">
        <f>($B$1+Table4[[#This Row],[Home Differential]])-Table4[[#This Row],[Away Differential]]</f>
        <v>0.66922279800771034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0.6113377178374082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-0.76384910289376506</v>
      </c>
      <c r="H1274" t="s">
        <v>11</v>
      </c>
      <c r="I1274">
        <f>VLOOKUP(Table4[[#This Row],[Visitor]],'NHL Model'!$A$6:$B$38,2,FALSE)</f>
        <v>-0.2184338233275798</v>
      </c>
      <c r="J1274">
        <f>($B$1+Table4[[#This Row],[Home Differential]])-Table4[[#This Row],[Away Differential]]</f>
        <v>-0.33785509477417619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0.49248329245040218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-0.24431182281386174</v>
      </c>
      <c r="H1275" t="s">
        <v>25</v>
      </c>
      <c r="I1275">
        <f>VLOOKUP(Table4[[#This Row],[Visitor]],'NHL Model'!$A$6:$B$38,2,FALSE)</f>
        <v>0.55298967972810642</v>
      </c>
      <c r="J1275">
        <f>($B$1+Table4[[#This Row],[Home Differential]])-Table4[[#This Row],[Away Differential]]</f>
        <v>-0.58974131774995908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0.55232154308066417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0.16605329280468042</v>
      </c>
      <c r="H1276" t="s">
        <v>27</v>
      </c>
      <c r="I1276">
        <f>VLOOKUP(Table4[[#This Row],[Visitor]],'NHL Model'!$A$6:$B$38,2,FALSE)</f>
        <v>-0.59983976271417982</v>
      </c>
      <c r="J1276">
        <f>($B$1+Table4[[#This Row],[Home Differential]])-Table4[[#This Row],[Away Differential]]</f>
        <v>0.97345324031086933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0.72569498577814651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0.49887659623169195</v>
      </c>
      <c r="H1277" t="s">
        <v>38</v>
      </c>
      <c r="I1277">
        <f>VLOOKUP(Table4[[#This Row],[Visitor]],'NHL Model'!$A$6:$B$38,2,FALSE)</f>
        <v>-0.87761566951859371</v>
      </c>
      <c r="J1277">
        <f>($B$1+Table4[[#This Row],[Home Differential]])-Table4[[#This Row],[Away Differential]]</f>
        <v>1.5840524505422948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0.85438107104558902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-0.58990467102727129</v>
      </c>
      <c r="H1278" t="s">
        <v>21</v>
      </c>
      <c r="I1278">
        <f>VLOOKUP(Table4[[#This Row],[Visitor]],'NHL Model'!$A$6:$B$38,2,FALSE)</f>
        <v>-0.11354210657072454</v>
      </c>
      <c r="J1278">
        <f>($B$1+Table4[[#This Row],[Home Differential]])-Table4[[#This Row],[Away Differential]]</f>
        <v>-0.26880237966453763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0.48995004863914599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-1.2993694664931768</v>
      </c>
      <c r="H1279" t="s">
        <v>55</v>
      </c>
      <c r="I1279">
        <f>VLOOKUP(Table4[[#This Row],[Visitor]],'NHL Model'!$A$6:$B$38,2,FALSE)</f>
        <v>-0.24431182281386174</v>
      </c>
      <c r="J1279">
        <f>($B$1+Table4[[#This Row],[Home Differential]])-Table4[[#This Row],[Away Differential]]</f>
        <v>-0.84749745888730599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0.57664337366027807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0.27405230796993052</v>
      </c>
      <c r="H1280" t="s">
        <v>36</v>
      </c>
      <c r="I1280">
        <f>VLOOKUP(Table4[[#This Row],[Visitor]],'NHL Model'!$A$6:$B$38,2,FALSE)</f>
        <v>-0.49956508239762204</v>
      </c>
      <c r="J1280">
        <f>($B$1+Table4[[#This Row],[Home Differential]])-Table4[[#This Row],[Away Differential]]</f>
        <v>0.98117757515956172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0.79047284221071656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-7.6737500378247253E-2</v>
      </c>
      <c r="H1281" t="s">
        <v>18</v>
      </c>
      <c r="I1281">
        <f>VLOOKUP(Table4[[#This Row],[Visitor]],'NHL Model'!$A$6:$B$38,2,FALSE)</f>
        <v>-0.69497686531268954</v>
      </c>
      <c r="J1281">
        <f>($B$1+Table4[[#This Row],[Home Differential]])-Table4[[#This Row],[Away Differential]]</f>
        <v>0.82579954972645142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0.60655764009750879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-3.9931837337852071E-3</v>
      </c>
      <c r="H1282" t="s">
        <v>14</v>
      </c>
      <c r="I1282">
        <f>VLOOKUP(Table4[[#This Row],[Visitor]],'NHL Model'!$A$6:$B$38,2,FALSE)</f>
        <v>0.19812979206825923</v>
      </c>
      <c r="J1282">
        <f>($B$1+Table4[[#This Row],[Home Differential]])-Table4[[#This Row],[Away Differential]]</f>
        <v>5.4372089899646647E-3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0.54324381702321456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0.28318004708662448</v>
      </c>
      <c r="H1283" t="s">
        <v>23</v>
      </c>
      <c r="I1283">
        <f>VLOOKUP(Table4[[#This Row],[Visitor]],'NHL Model'!$A$6:$B$38,2,FALSE)</f>
        <v>-1.005023581214965</v>
      </c>
      <c r="J1283">
        <f>($B$1+Table4[[#This Row],[Home Differential]])-Table4[[#This Row],[Away Differential]]</f>
        <v>1.4957638130935986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0.7529119819330905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-1.0049085234729234</v>
      </c>
      <c r="H1284" t="s">
        <v>12</v>
      </c>
      <c r="I1284">
        <f>VLOOKUP(Table4[[#This Row],[Visitor]],'NHL Model'!$A$6:$B$38,2,FALSE)</f>
        <v>1.4229473251234224</v>
      </c>
      <c r="J1284">
        <f>($B$1+Table4[[#This Row],[Home Differential]])-Table4[[#This Row],[Away Differential]]</f>
        <v>-2.2202956638043365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0.79538123196751664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-0.2184338233275798</v>
      </c>
      <c r="H1285" t="s">
        <v>15</v>
      </c>
      <c r="I1285">
        <f>VLOOKUP(Table4[[#This Row],[Visitor]],'NHL Model'!$A$6:$B$38,2,FALSE)</f>
        <v>-0.41117752232850285</v>
      </c>
      <c r="J1285">
        <f>($B$1+Table4[[#This Row],[Home Differential]])-Table4[[#This Row],[Away Differential]]</f>
        <v>0.40030388379293214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0.53785352983100321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-1.4393526815815083</v>
      </c>
      <c r="H1286" t="s">
        <v>33</v>
      </c>
      <c r="I1286">
        <f>VLOOKUP(Table4[[#This Row],[Visitor]],'NHL Model'!$A$6:$B$38,2,FALSE)</f>
        <v>-0.41595305630289253</v>
      </c>
      <c r="J1286">
        <f>($B$1+Table4[[#This Row],[Home Differential]])-Table4[[#This Row],[Away Differential]]</f>
        <v>-0.81583944048660673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0.57228619473197206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-0.59983976271417982</v>
      </c>
      <c r="H1287" t="s">
        <v>25</v>
      </c>
      <c r="I1287">
        <f>VLOOKUP(Table4[[#This Row],[Visitor]],'NHL Model'!$A$6:$B$38,2,FALSE)</f>
        <v>0.55298967972810642</v>
      </c>
      <c r="J1287">
        <f>($B$1+Table4[[#This Row],[Home Differential]])-Table4[[#This Row],[Away Differential]]</f>
        <v>-0.94526925765027714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0.66856150994043406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-0.54471700440519322</v>
      </c>
      <c r="H1288" t="s">
        <v>13</v>
      </c>
      <c r="I1288">
        <f>VLOOKUP(Table4[[#This Row],[Visitor]],'NHL Model'!$A$6:$B$38,2,FALSE)</f>
        <v>-0.16069632687214722</v>
      </c>
      <c r="J1288">
        <f>($B$1+Table4[[#This Row],[Home Differential]])-Table4[[#This Row],[Away Differential]]</f>
        <v>-0.1764604927410369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0.56000102188703282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-1.7049475448313323</v>
      </c>
      <c r="H1289" t="s">
        <v>34</v>
      </c>
      <c r="I1289">
        <f>VLOOKUP(Table4[[#This Row],[Visitor]],'NHL Model'!$A$6:$B$38,2,FALSE)</f>
        <v>-0.52340626120007572</v>
      </c>
      <c r="J1289">
        <f>($B$1+Table4[[#This Row],[Home Differential]])-Table4[[#This Row],[Away Differential]]</f>
        <v>-0.97398109883924733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0.59405166004758658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3.7016822058700272E-2</v>
      </c>
      <c r="H1290" t="s">
        <v>26</v>
      </c>
      <c r="I1290">
        <f>VLOOKUP(Table4[[#This Row],[Visitor]],'NHL Model'!$A$6:$B$38,2,FALSE)</f>
        <v>-0.4992069962886943</v>
      </c>
      <c r="J1290">
        <f>($B$1+Table4[[#This Row],[Home Differential]])-Table4[[#This Row],[Away Differential]]</f>
        <v>0.74378400313940363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0.59526961799645717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-0.76384910289376506</v>
      </c>
      <c r="H1291" t="s">
        <v>39</v>
      </c>
      <c r="I1291">
        <f>VLOOKUP(Table4[[#This Row],[Visitor]],'NHL Model'!$A$6:$B$38,2,FALSE)</f>
        <v>4.3588947679693783E-2</v>
      </c>
      <c r="J1291">
        <f>($B$1+Table4[[#This Row],[Home Differential]])-Table4[[#This Row],[Away Differential]]</f>
        <v>-0.59987786578144975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0.62102435598401562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-5.3996763649808116E-4</v>
      </c>
      <c r="H1292" t="s">
        <v>40</v>
      </c>
      <c r="I1292">
        <f>VLOOKUP(Table4[[#This Row],[Visitor]],'NHL Model'!$A$6:$B$38,2,FALSE)</f>
        <v>0.16605329280468042</v>
      </c>
      <c r="J1292">
        <f>($B$1+Table4[[#This Row],[Home Differential]])-Table4[[#This Row],[Away Differential]]</f>
        <v>4.0966924350830602E-2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0.4793225994260773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-0.11354210657072454</v>
      </c>
      <c r="H1293" t="s">
        <v>24</v>
      </c>
      <c r="I1293">
        <f>VLOOKUP(Table4[[#This Row],[Visitor]],'NHL Model'!$A$6:$B$38,2,FALSE)</f>
        <v>0.27405230796993052</v>
      </c>
      <c r="J1293">
        <f>($B$1+Table4[[#This Row],[Home Differential]])-Table4[[#This Row],[Away Differential]]</f>
        <v>-0.18003422974864597</v>
      </c>
      <c r="K1293" t="str">
        <f>IF(Table4[[#This Row],[HomeIce Differential]]&gt;0,Table4[[#This Row],[Home]],Table4[[#This Row],[Visitor]])</f>
        <v>New Jersey Devils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0.47477859928899691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-0.58990467102727129</v>
      </c>
      <c r="H1294" t="s">
        <v>22</v>
      </c>
      <c r="I1294">
        <f>VLOOKUP(Table4[[#This Row],[Visitor]],'NHL Model'!$A$6:$B$38,2,FALSE)</f>
        <v>-3.9931837337852071E-3</v>
      </c>
      <c r="J1294">
        <f>($B$1+Table4[[#This Row],[Home Differential]])-Table4[[#This Row],[Away Differential]]</f>
        <v>-0.37835130250147697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0.50502756398335336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-1.2993694664931768</v>
      </c>
      <c r="H1295" t="s">
        <v>12</v>
      </c>
      <c r="I1295">
        <f>VLOOKUP(Table4[[#This Row],[Visitor]],'NHL Model'!$A$6:$B$38,2,FALSE)</f>
        <v>1.4229473251234224</v>
      </c>
      <c r="J1295">
        <f>($B$1+Table4[[#This Row],[Home Differential]])-Table4[[#This Row],[Away Differential]]</f>
        <v>-2.5147566068245899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0.87242856123303714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-0.52340626120007572</v>
      </c>
      <c r="H1296" t="s">
        <v>31</v>
      </c>
      <c r="I1296">
        <f>VLOOKUP(Table4[[#This Row],[Visitor]],'NHL Model'!$A$6:$B$38,2,FALSE)</f>
        <v>0.49887659623169195</v>
      </c>
      <c r="J1296">
        <f>($B$1+Table4[[#This Row],[Home Differential]])-Table4[[#This Row],[Away Differential]]</f>
        <v>-0.81472267263975851</v>
      </c>
      <c r="K1296" t="str">
        <f>IF(Table4[[#This Row],[HomeIce Differential]]&gt;0,Table4[[#This Row],[Home]],Table4[[#This Row],[Visitor]])</f>
        <v>Anaheim Ducks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0.5929017217137923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-7.6737500378247253E-2</v>
      </c>
      <c r="H1297" t="s">
        <v>25</v>
      </c>
      <c r="I1297">
        <f>VLOOKUP(Table4[[#This Row],[Visitor]],'NHL Model'!$A$6:$B$38,2,FALSE)</f>
        <v>0.55298967972810642</v>
      </c>
      <c r="J1297">
        <f>($B$1+Table4[[#This Row],[Home Differential]])-Table4[[#This Row],[Away Differential]]</f>
        <v>-0.42216699531434454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0.59906225740583519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-0.59983976271417982</v>
      </c>
      <c r="H1298" t="s">
        <v>18</v>
      </c>
      <c r="I1298">
        <f>VLOOKUP(Table4[[#This Row],[Visitor]],'NHL Model'!$A$6:$B$38,2,FALSE)</f>
        <v>-0.69497686531268954</v>
      </c>
      <c r="J1298">
        <f>($B$1+Table4[[#This Row],[Home Differential]])-Table4[[#This Row],[Away Differential]]</f>
        <v>0.30269728739051882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0.53707389260833649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-1.7049475448313323</v>
      </c>
      <c r="H1299" t="s">
        <v>14</v>
      </c>
      <c r="I1299">
        <f>VLOOKUP(Table4[[#This Row],[Visitor]],'NHL Model'!$A$6:$B$38,2,FALSE)</f>
        <v>0.19812979206825923</v>
      </c>
      <c r="J1299">
        <f>($B$1+Table4[[#This Row],[Home Differential]])-Table4[[#This Row],[Away Differential]]</f>
        <v>-1.6955171521075822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0.69335862384809044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-0.24431182281386174</v>
      </c>
      <c r="H1300" t="s">
        <v>40</v>
      </c>
      <c r="I1300">
        <f>VLOOKUP(Table4[[#This Row],[Visitor]],'NHL Model'!$A$6:$B$38,2,FALSE)</f>
        <v>0.16605329280468042</v>
      </c>
      <c r="J1300">
        <f>($B$1+Table4[[#This Row],[Home Differential]])-Table4[[#This Row],[Away Differential]]</f>
        <v>-0.20280493082653306</v>
      </c>
      <c r="K1300" t="str">
        <f>IF(Table4[[#This Row],[HomeIce Differential]]&gt;0,Table4[[#This Row],[Home]],Table4[[#This Row],[Visitor]])</f>
        <v>Winnipeg Jets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0.48443433176239892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-0.87761566951859371</v>
      </c>
      <c r="H1301" t="s">
        <v>13</v>
      </c>
      <c r="I1301">
        <f>VLOOKUP(Table4[[#This Row],[Visitor]],'NHL Model'!$A$6:$B$38,2,FALSE)</f>
        <v>-0.16069632687214722</v>
      </c>
      <c r="J1301">
        <f>($B$1+Table4[[#This Row],[Home Differential]])-Table4[[#This Row],[Away Differential]]</f>
        <v>-0.50935915785443742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0.63190223507481702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-1.005023581214965</v>
      </c>
      <c r="H1302" t="s">
        <v>39</v>
      </c>
      <c r="I1302">
        <f>VLOOKUP(Table4[[#This Row],[Visitor]],'NHL Model'!$A$6:$B$38,2,FALSE)</f>
        <v>4.3588947679693783E-2</v>
      </c>
      <c r="J1302">
        <f>($B$1+Table4[[#This Row],[Home Differential]])-Table4[[#This Row],[Away Differential]]</f>
        <v>-0.84105234410264973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0.66824250287876663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0.28318004708662448</v>
      </c>
      <c r="H1303" t="s">
        <v>33</v>
      </c>
      <c r="I1303">
        <f>VLOOKUP(Table4[[#This Row],[Visitor]],'NHL Model'!$A$6:$B$38,2,FALSE)</f>
        <v>-0.41595305630289253</v>
      </c>
      <c r="J1303">
        <f>($B$1+Table4[[#This Row],[Home Differential]])-Table4[[#This Row],[Away Differential]]</f>
        <v>0.90669328818152617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0.67183660804372558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-0.2184338233275798</v>
      </c>
      <c r="H1304" t="s">
        <v>26</v>
      </c>
      <c r="I1304">
        <f>VLOOKUP(Table4[[#This Row],[Visitor]],'NHL Model'!$A$6:$B$38,2,FALSE)</f>
        <v>-0.4992069962886943</v>
      </c>
      <c r="J1304">
        <f>($B$1+Table4[[#This Row],[Home Differential]])-Table4[[#This Row],[Away Differential]]</f>
        <v>0.48833335775312359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0.62473276827020352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-0.49956508239762204</v>
      </c>
      <c r="H1305" t="s">
        <v>19</v>
      </c>
      <c r="I1305">
        <f>VLOOKUP(Table4[[#This Row],[Visitor]],'NHL Model'!$A$6:$B$38,2,FALSE)</f>
        <v>-0.76384910289376506</v>
      </c>
      <c r="J1305">
        <f>($B$1+Table4[[#This Row],[Home Differential]])-Table4[[#This Row],[Away Differential]]</f>
        <v>0.47184420528815213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0.60743667680878177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3.7016822058700272E-2</v>
      </c>
      <c r="H1306" t="s">
        <v>15</v>
      </c>
      <c r="I1306">
        <f>VLOOKUP(Table4[[#This Row],[Visitor]],'NHL Model'!$A$6:$B$38,2,FALSE)</f>
        <v>-0.41117752232850285</v>
      </c>
      <c r="J1306">
        <f>($B$1+Table4[[#This Row],[Home Differential]])-Table4[[#This Row],[Away Differential]]</f>
        <v>0.65575452917921218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0.50885792540492814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-5.3996763649808116E-4</v>
      </c>
      <c r="H1307" t="s">
        <v>32</v>
      </c>
      <c r="I1307">
        <f>VLOOKUP(Table4[[#This Row],[Visitor]],'NHL Model'!$A$6:$B$38,2,FALSE)</f>
        <v>-0.54471700440519322</v>
      </c>
      <c r="J1307">
        <f>($B$1+Table4[[#This Row],[Home Differential]])-Table4[[#This Row],[Away Differential]]</f>
        <v>0.75173722156070422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0.64346363249745653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-1.2993694664931768</v>
      </c>
      <c r="H1308" t="s">
        <v>13</v>
      </c>
      <c r="I1308">
        <f>VLOOKUP(Table4[[#This Row],[Visitor]],'NHL Model'!$A$6:$B$38,2,FALSE)</f>
        <v>-0.16069632687214722</v>
      </c>
      <c r="J1308">
        <f>($B$1+Table4[[#This Row],[Home Differential]])-Table4[[#This Row],[Away Differential]]</f>
        <v>-0.93111295482902057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0.68994935393902701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1.4229473251234224</v>
      </c>
      <c r="H1309" t="s">
        <v>32</v>
      </c>
      <c r="I1309">
        <f>VLOOKUP(Table4[[#This Row],[Visitor]],'NHL Model'!$A$6:$B$38,2,FALSE)</f>
        <v>-0.54471700440519322</v>
      </c>
      <c r="J1309">
        <f>($B$1+Table4[[#This Row],[Home Differential]])-Table4[[#This Row],[Away Differential]]</f>
        <v>2.1752245143206244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0.92774829682064053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-1.0049085234729234</v>
      </c>
      <c r="H1310" t="s">
        <v>38</v>
      </c>
      <c r="I1310">
        <f>VLOOKUP(Table4[[#This Row],[Visitor]],'NHL Model'!$A$6:$B$38,2,FALSE)</f>
        <v>-0.87761566951859371</v>
      </c>
      <c r="J1310">
        <f>($B$1+Table4[[#This Row],[Home Differential]])-Table4[[#This Row],[Away Differential]]</f>
        <v>8.0267330837679451E-2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0.56660296598190074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-1.4393526815815083</v>
      </c>
      <c r="H1311" t="s">
        <v>31</v>
      </c>
      <c r="I1311">
        <f>VLOOKUP(Table4[[#This Row],[Visitor]],'NHL Model'!$A$6:$B$38,2,FALSE)</f>
        <v>0.49887659623169195</v>
      </c>
      <c r="J1311">
        <f>($B$1+Table4[[#This Row],[Home Differential]])-Table4[[#This Row],[Away Differential]]</f>
        <v>-1.7306690930211912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0.71896591157651646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-0.24431182281386174</v>
      </c>
      <c r="H1312" t="s">
        <v>35</v>
      </c>
      <c r="I1312">
        <f>VLOOKUP(Table4[[#This Row],[Visitor]],'NHL Model'!$A$6:$B$38,2,FALSE)</f>
        <v>-1.7049475448313323</v>
      </c>
      <c r="J1312">
        <f>($B$1+Table4[[#This Row],[Home Differential]])-Table4[[#This Row],[Away Differential]]</f>
        <v>1.6681959068094796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0.83787083284584862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0.16605329280468042</v>
      </c>
      <c r="H1313" t="s">
        <v>33</v>
      </c>
      <c r="I1313">
        <f>VLOOKUP(Table4[[#This Row],[Visitor]],'NHL Model'!$A$6:$B$38,2,FALSE)</f>
        <v>-0.41595305630289253</v>
      </c>
      <c r="J1313">
        <f>($B$1+Table4[[#This Row],[Home Differential]])-Table4[[#This Row],[Away Differential]]</f>
        <v>0.78956653389958209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0.70038615967824225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9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8" priority="9" operator="containsText" text="NO">
      <formula>NOT(ISERROR(SEARCH("NO",M2)))</formula>
    </cfRule>
    <cfRule type="containsText" dxfId="17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1313">
    <cfRule type="containsText" dxfId="16" priority="3" operator="containsText" text="YES">
      <formula>NOT(ISERROR(SEARCH("YES",R1)))</formula>
    </cfRule>
    <cfRule type="containsText" dxfId="15" priority="4" operator="containsText" text="NO">
      <formula>NOT(ISERROR(SEARCH("NO",R1)))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workbookViewId="0">
      <selection activeCell="M35" sqref="M35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20</v>
      </c>
      <c r="C2">
        <f>COUNTIF(NHL2025_26Results[Winning Team],Standings!A2)</f>
        <v>13</v>
      </c>
      <c r="D2">
        <f>COUNTIFS('NHL2025-26Results'!$H:$H,A2,'NHL2025-26Results'!$F:$F,"")</f>
        <v>6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27</v>
      </c>
      <c r="G2">
        <f>COUNTIFS('NHL2025-26Results'!$D:$D,A2,'NHL2025-26Results'!$G:$G,A2)</f>
        <v>7</v>
      </c>
      <c r="H2">
        <f>COUNTIFS('NHL2025-26Results'!$D:$D,A2,'NHL2025-26Results'!$H:$H,A2,'NHL2025-26Results'!$F:$F,"")</f>
        <v>1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6</v>
      </c>
      <c r="K2">
        <f>COUNTIFS('NHL2025-26Results'!$B:$B,A2,'NHL2025-26Results'!$H:$H,A2,'NHL2025-26Results'!$F:$F,"")</f>
        <v>5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0.875</v>
      </c>
      <c r="N2" s="11">
        <f>Table1[[#This Row],[AwayWins]]/SUM(Table1[[#This Row],[AwayWins]:[AwayOTL]])</f>
        <v>0.5</v>
      </c>
      <c r="O2" s="14">
        <f>SUMIFS('NHL2025-26Results'!$E:$E,'NHL2025-26Results'!$D:$D,A2,'NHL2025-26Results'!$E:$E,"&gt;0")/COUNTIFS('NHL2025-26Results'!$D:$D,A2,'NHL2025-26Results'!$E:$E,"&gt;0")</f>
        <v>4</v>
      </c>
      <c r="P2" s="15">
        <f>SUMIFS('NHL2025-26Results'!$C:$C,'NHL2025-26Results'!$B:$B,A2,'NHL2025-26Results'!$C:$C,"&gt;0")/COUNTIFS('NHL2025-26Results'!$B:$B,A2,'NHL2025-26Results'!$C:$C,"&gt;0")</f>
        <v>3.8181818181818183</v>
      </c>
      <c r="Q2" s="14">
        <f>SUMIFS('NHL2025-26Results'!$C:$C,'NHL2025-26Results'!$D:$D,A2,'NHL2025-26Results'!$C:$C,"&gt;0")/COUNTIFS('NHL2025-26Results'!$D:$D,A2,'NHL2025-26Results'!$C:$C,"&gt;0")</f>
        <v>2.375</v>
      </c>
      <c r="R2" s="14">
        <f>SUMIFS('NHL2025-26Results'!$E:$E,'NHL2025-26Results'!$B:$B,A2,'NHL2025-26Results'!$E:$E,"&gt;0")/COUNTIFS('NHL2025-26Results'!$B:$B,A2,'NHL2025-26Results'!$E:$E,"&gt;0")</f>
        <v>3.6666666666666665</v>
      </c>
    </row>
    <row r="3" spans="1:18" x14ac:dyDescent="0.2">
      <c r="A3" s="4" t="s">
        <v>21</v>
      </c>
      <c r="B3">
        <f>SUM(Table1[[#This Row],[W]:[OTL]])</f>
        <v>22</v>
      </c>
      <c r="C3">
        <f>COUNTIF(NHL2025_26Results[Winning Team],Standings!A3)</f>
        <v>12</v>
      </c>
      <c r="D3">
        <f>COUNTIFS('NHL2025-26Results'!$H:$H,A3,'NHL2025-26Results'!$F:$F,"")</f>
        <v>10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24</v>
      </c>
      <c r="G3">
        <f>COUNTIFS('NHL2025-26Results'!$D:$D,A3,'NHL2025-26Results'!$G:$G,A3)</f>
        <v>8</v>
      </c>
      <c r="H3">
        <f>COUNTIFS('NHL2025-26Results'!$D:$D,A3,'NHL2025-26Results'!$H:$H,A3,'NHL2025-26Results'!$F:$F,"")</f>
        <v>4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4</v>
      </c>
      <c r="K3">
        <f>COUNTIFS('NHL2025-26Results'!$B:$B,A3,'NHL2025-26Results'!$H:$H,A3,'NHL2025-26Results'!$F:$F,"")</f>
        <v>6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0.66666666666666663</v>
      </c>
      <c r="N3" s="11">
        <f>Table1[[#This Row],[AwayWins]]/SUM(Table1[[#This Row],[AwayWins]:[AwayOTL]])</f>
        <v>0.4</v>
      </c>
      <c r="O3" s="14">
        <f>SUMIFS('NHL2025-26Results'!$E:$E,'NHL2025-26Results'!$D:$D,A3,'NHL2025-26Results'!$E:$E,"&gt;0")/COUNTIFS('NHL2025-26Results'!$D:$D,A3,'NHL2025-26Results'!$E:$E,"&gt;0")</f>
        <v>3.4166666666666665</v>
      </c>
      <c r="P3" s="14">
        <f>SUMIFS('NHL2025-26Results'!$C:$C,'NHL2025-26Results'!$B:$B,A3,'NHL2025-26Results'!$C:$C,"&gt;0")/COUNTIFS('NHL2025-26Results'!$B:$B,A3,'NHL2025-26Results'!$C:$C,"&gt;0")</f>
        <v>3.1</v>
      </c>
      <c r="Q3" s="14">
        <f>SUMIFS('NHL2025-26Results'!$C:$C,'NHL2025-26Results'!$D:$D,A3,'NHL2025-26Results'!$C:$C,"&gt;0")/COUNTIFS('NHL2025-26Results'!$D:$D,A3,'NHL2025-26Results'!$C:$C,"&gt;0")</f>
        <v>2.9166666666666665</v>
      </c>
      <c r="R3" s="14">
        <f>SUMIFS('NHL2025-26Results'!$E:$E,'NHL2025-26Results'!$B:$B,A3,'NHL2025-26Results'!$E:$E,"&gt;0")/COUNTIFS('NHL2025-26Results'!$B:$B,A3,'NHL2025-26Results'!$E:$E,"&gt;0")</f>
        <v>3.8</v>
      </c>
    </row>
    <row r="4" spans="1:18" x14ac:dyDescent="0.2">
      <c r="A4" s="4" t="s">
        <v>23</v>
      </c>
      <c r="B4">
        <f>SUM(Table1[[#This Row],[W]:[OTL]])</f>
        <v>20</v>
      </c>
      <c r="C4">
        <f>COUNTIF(NHL2025_26Results[Winning Team],Standings!A4)</f>
        <v>7</v>
      </c>
      <c r="D4">
        <f>COUNTIFS('NHL2025-26Results'!$H:$H,A4,'NHL2025-26Results'!$F:$F,"")</f>
        <v>9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18</v>
      </c>
      <c r="G4">
        <f>COUNTIFS('NHL2025-26Results'!$D:$D,A4,'NHL2025-26Results'!$G:$G,A4)</f>
        <v>6</v>
      </c>
      <c r="H4">
        <f>COUNTIFS('NHL2025-26Results'!$D:$D,A4,'NHL2025-26Results'!$H:$H,A4,'NHL2025-26Results'!$F:$F,"")</f>
        <v>4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1</v>
      </c>
      <c r="K4">
        <f>COUNTIFS('NHL2025-26Results'!$B:$B,A4,'NHL2025-26Results'!$H:$H,A4,'NHL2025-26Results'!$F:$F,"")</f>
        <v>5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</v>
      </c>
      <c r="N4" s="11">
        <f>Table1[[#This Row],[AwayWins]]/SUM(Table1[[#This Row],[AwayWins]:[AwayOTL]])</f>
        <v>0.125</v>
      </c>
      <c r="O4" s="14">
        <f>SUMIFS('NHL2025-26Results'!$E:$E,'NHL2025-26Results'!$D:$D,A4,'NHL2025-26Results'!$E:$E,"&gt;0")/COUNTIFS('NHL2025-26Results'!$D:$D,A4,'NHL2025-26Results'!$E:$E,"&gt;0")</f>
        <v>3.6</v>
      </c>
      <c r="P4" s="14">
        <f>SUMIFS('NHL2025-26Results'!$C:$C,'NHL2025-26Results'!$B:$B,A4,'NHL2025-26Results'!$C:$C,"&gt;0")/COUNTIFS('NHL2025-26Results'!$B:$B,A4,'NHL2025-26Results'!$C:$C,"&gt;0")</f>
        <v>2.75</v>
      </c>
      <c r="Q4" s="14">
        <f>SUMIFS('NHL2025-26Results'!$C:$C,'NHL2025-26Results'!$D:$D,A4,'NHL2025-26Results'!$C:$C,"&gt;0")/COUNTIFS('NHL2025-26Results'!$D:$D,A4,'NHL2025-26Results'!$C:$C,"&gt;0")</f>
        <v>3.1818181818181817</v>
      </c>
      <c r="R4" s="14">
        <f>SUMIFS('NHL2025-26Results'!$E:$E,'NHL2025-26Results'!$B:$B,A4,'NHL2025-26Results'!$E:$E,"&gt;0")/COUNTIFS('NHL2025-26Results'!$B:$B,A4,'NHL2025-26Results'!$E:$E,"&gt;0")</f>
        <v>4.5</v>
      </c>
    </row>
    <row r="5" spans="1:18" x14ac:dyDescent="0.2">
      <c r="A5" s="4" t="s">
        <v>16</v>
      </c>
      <c r="B5">
        <f>SUM(Table1[[#This Row],[W]:[OTL]])</f>
        <v>22</v>
      </c>
      <c r="C5">
        <f>COUNTIF(NHL2025_26Results[Winning Team],Standings!A5)</f>
        <v>6</v>
      </c>
      <c r="D5">
        <f>COUNTIFS('NHL2025-26Results'!$H:$H,A5,'NHL2025-26Results'!$F:$F,"")</f>
        <v>13</v>
      </c>
      <c r="E5">
        <f>COUNTIFS('NHL2025-26Results'!$F:$F,"OT",'NHL2025-26Results'!$H:$H,A5) + COUNTIFS('NHL2025-26Results'!$F:$F,"SO",'NHL2025-26Results'!$H:$H,A5)</f>
        <v>3</v>
      </c>
      <c r="F5" s="3">
        <f>(Table1[[#This Row],[W]]*2)+Table1[[#This Row],[OTL]]</f>
        <v>15</v>
      </c>
      <c r="G5">
        <f>COUNTIFS('NHL2025-26Results'!$D:$D,A5,'NHL2025-26Results'!$G:$G,A5)</f>
        <v>3</v>
      </c>
      <c r="H5">
        <f>COUNTIFS('NHL2025-26Results'!$D:$D,A5,'NHL2025-26Results'!$H:$H,A5,'NHL2025-26Results'!$F:$F,"")</f>
        <v>4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3</v>
      </c>
      <c r="K5">
        <f>COUNTIFS('NHL2025-26Results'!$B:$B,A5,'NHL2025-26Results'!$H:$H,A5,'NHL2025-26Results'!$F:$F,"")</f>
        <v>9</v>
      </c>
      <c r="L5">
        <f>COUNTIFS('NHL2025-26Results'!$B:$B,A5,'NHL2025-26Results'!$H:$H,A5,'NHL2025-26Results'!$F:$F,"OT") + COUNTIFS('NHL2025-26Results'!$B:$B,A5,'NHL2025-26Results'!$H:$H,A5,'NHL2025-26Results'!$F:$F,"SO")</f>
        <v>1</v>
      </c>
      <c r="M5" s="11">
        <f>Table1[[#This Row],[HomeWins]]/SUM(Table1[[#This Row],[HomeWins]:[HomeOTL]])</f>
        <v>0.33333333333333331</v>
      </c>
      <c r="N5" s="11">
        <f>Table1[[#This Row],[AwayWins]]/SUM(Table1[[#This Row],[AwayWins]:[AwayOTL]])</f>
        <v>0.23076923076923078</v>
      </c>
      <c r="O5" s="14">
        <f>SUMIFS('NHL2025-26Results'!$E:$E,'NHL2025-26Results'!$D:$D,A5,'NHL2025-26Results'!$E:$E,"&gt;0")/COUNTIFS('NHL2025-26Results'!$D:$D,A5,'NHL2025-26Results'!$E:$E,"&gt;0")</f>
        <v>2.625</v>
      </c>
      <c r="P5" s="14">
        <f>SUMIFS('NHL2025-26Results'!$C:$C,'NHL2025-26Results'!$B:$B,A5,'NHL2025-26Results'!$C:$C,"&gt;0")/COUNTIFS('NHL2025-26Results'!$B:$B,A5,'NHL2025-26Results'!$C:$C,"&gt;0")</f>
        <v>2.5</v>
      </c>
      <c r="Q5" s="14">
        <f>SUMIFS('NHL2025-26Results'!$C:$C,'NHL2025-26Results'!$D:$D,A5,'NHL2025-26Results'!$C:$C,"&gt;0")/COUNTIFS('NHL2025-26Results'!$D:$D,A5,'NHL2025-26Results'!$C:$C,"&gt;0")</f>
        <v>2.75</v>
      </c>
      <c r="R5" s="14">
        <f>SUMIFS('NHL2025-26Results'!$E:$E,'NHL2025-26Results'!$B:$B,A5,'NHL2025-26Results'!$E:$E,"&gt;0")/COUNTIFS('NHL2025-26Results'!$B:$B,A5,'NHL2025-26Results'!$E:$E,"&gt;0")</f>
        <v>3.6153846153846154</v>
      </c>
    </row>
    <row r="6" spans="1:18" x14ac:dyDescent="0.2">
      <c r="A6" s="4" t="s">
        <v>25</v>
      </c>
      <c r="B6">
        <f>SUM(Table1[[#This Row],[W]:[OTL]])</f>
        <v>20</v>
      </c>
      <c r="C6">
        <f>COUNTIF(NHL2025_26Results[Winning Team],Standings!A6)</f>
        <v>13</v>
      </c>
      <c r="D6">
        <f>COUNTIFS('NHL2025-26Results'!$H:$H,A6,'NHL2025-26Results'!$F:$F,"")</f>
        <v>5</v>
      </c>
      <c r="E6">
        <f>COUNTIFS('NHL2025-26Results'!$F:$F,"OT",'NHL2025-26Results'!$H:$H,A6) + COUNTIFS('NHL2025-26Results'!$F:$F,"SO",'NHL2025-26Results'!$H:$H,A6)</f>
        <v>2</v>
      </c>
      <c r="F6" s="3">
        <f>(Table1[[#This Row],[W]]*2)+Table1[[#This Row],[OTL]]</f>
        <v>28</v>
      </c>
      <c r="G6">
        <f>COUNTIFS('NHL2025-26Results'!$D:$D,A6,'NHL2025-26Results'!$G:$G,A6)</f>
        <v>6</v>
      </c>
      <c r="H6">
        <f>COUNTIFS('NHL2025-26Results'!$D:$D,A6,'NHL2025-26Results'!$H:$H,A6,'NHL2025-26Results'!$F:$F,"")</f>
        <v>2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7</v>
      </c>
      <c r="K6">
        <f>COUNTIFS('NHL2025-26Results'!$B:$B,A6,'NHL2025-26Results'!$H:$H,A6,'NHL2025-26Results'!$F:$F,"")</f>
        <v>3</v>
      </c>
      <c r="L6">
        <f>COUNTIFS('NHL2025-26Results'!$B:$B,A6,'NHL2025-26Results'!$H:$H,A6,'NHL2025-26Results'!$F:$F,"OT") + COUNTIFS('NHL2025-26Results'!$B:$B,A6,'NHL2025-26Results'!$H:$H,A6,'NHL2025-26Results'!$F:$F,"SO")</f>
        <v>1</v>
      </c>
      <c r="M6" s="11">
        <f>Table1[[#This Row],[HomeWins]]/SUM(Table1[[#This Row],[HomeWins]:[HomeOTL]])</f>
        <v>0.66666666666666663</v>
      </c>
      <c r="N6" s="11">
        <f>Table1[[#This Row],[AwayWins]]/SUM(Table1[[#This Row],[AwayWins]:[AwayOTL]])</f>
        <v>0.63636363636363635</v>
      </c>
      <c r="O6" s="14">
        <f>SUMIFS('NHL2025-26Results'!$E:$E,'NHL2025-26Results'!$D:$D,A6,'NHL2025-26Results'!$E:$E,"&gt;0")/COUNTIFS('NHL2025-26Results'!$D:$D,A6,'NHL2025-26Results'!$E:$E,"&gt;0")</f>
        <v>4.1111111111111107</v>
      </c>
      <c r="P6" s="14">
        <f>SUMIFS('NHL2025-26Results'!$C:$C,'NHL2025-26Results'!$B:$B,A6,'NHL2025-26Results'!$C:$C,"&gt;0")/COUNTIFS('NHL2025-26Results'!$B:$B,A6,'NHL2025-26Results'!$C:$C,"&gt;0")</f>
        <v>3.2727272727272729</v>
      </c>
      <c r="Q6" s="14">
        <f>SUMIFS('NHL2025-26Results'!$C:$C,'NHL2025-26Results'!$D:$D,A6,'NHL2025-26Results'!$C:$C,"&gt;0")/COUNTIFS('NHL2025-26Results'!$D:$D,A6,'NHL2025-26Results'!$C:$C,"&gt;0")</f>
        <v>3.4444444444444446</v>
      </c>
      <c r="R6" s="14">
        <f>SUMIFS('NHL2025-26Results'!$E:$E,'NHL2025-26Results'!$B:$B,A6,'NHL2025-26Results'!$E:$E,"&gt;0")/COUNTIFS('NHL2025-26Results'!$B:$B,A6,'NHL2025-26Results'!$E:$E,"&gt;0")</f>
        <v>2.7</v>
      </c>
    </row>
    <row r="7" spans="1:18" x14ac:dyDescent="0.2">
      <c r="A7" s="4" t="s">
        <v>10</v>
      </c>
      <c r="B7">
        <f>SUM(Table1[[#This Row],[W]:[OTL]])</f>
        <v>19</v>
      </c>
      <c r="C7">
        <f>COUNTIF(NHL2025_26Results[Winning Team],Standings!A7)</f>
        <v>10</v>
      </c>
      <c r="D7">
        <f>COUNTIFS('NHL2025-26Results'!$H:$H,A7,'NHL2025-26Results'!$F:$F,"")</f>
        <v>5</v>
      </c>
      <c r="E7">
        <f>COUNTIFS('NHL2025-26Results'!$F:$F,"OT",'NHL2025-26Results'!$H:$H,A7) + COUNTIFS('NHL2025-26Results'!$F:$F,"SO",'NHL2025-26Results'!$H:$H,A7)</f>
        <v>4</v>
      </c>
      <c r="F7" s="3">
        <f>(Table1[[#This Row],[W]]*2)+Table1[[#This Row],[OTL]]</f>
        <v>24</v>
      </c>
      <c r="G7">
        <f>COUNTIFS('NHL2025-26Results'!$D:$D,A7,'NHL2025-26Results'!$G:$G,A7)</f>
        <v>5</v>
      </c>
      <c r="H7">
        <f>COUNTIFS('NHL2025-26Results'!$D:$D,A7,'NHL2025-26Results'!$H:$H,A7,'NHL2025-26Results'!$F:$F,"")</f>
        <v>2</v>
      </c>
      <c r="I7">
        <f>COUNTIFS('NHL2025-26Results'!$D:$D,A7,'NHL2025-26Results'!$H:$H,A7,'NHL2025-26Results'!$F:$F,"OT") + COUNTIFS('NHL2025-26Results'!$D:$D,A7,'NHL2025-26Results'!$H:$H,A7,'NHL2025-26Results'!$F:$F,"SO")</f>
        <v>2</v>
      </c>
      <c r="J7">
        <f>COUNTIFS('NHL2025-26Results'!$B:$B,A7,'NHL2025-26Results'!$G:$G,A7)</f>
        <v>5</v>
      </c>
      <c r="K7">
        <f>COUNTIFS('NHL2025-26Results'!$B:$B,A7,'NHL2025-26Results'!$H:$H,A7,'NHL2025-26Results'!$F:$F,"")</f>
        <v>3</v>
      </c>
      <c r="L7">
        <f>COUNTIFS('NHL2025-26Results'!$B:$B,A7,'NHL2025-26Results'!$H:$H,A7,'NHL2025-26Results'!$F:$F,"OT") + COUNTIFS('NHL2025-26Results'!$B:$B,A7,'NHL2025-26Results'!$H:$H,A7,'NHL2025-26Results'!$F:$F,"SO")</f>
        <v>2</v>
      </c>
      <c r="M7" s="11">
        <f>Table1[[#This Row],[HomeWins]]/SUM(Table1[[#This Row],[HomeWins]:[HomeOTL]])</f>
        <v>0.55555555555555558</v>
      </c>
      <c r="N7" s="11">
        <f>Table1[[#This Row],[AwayWins]]/SUM(Table1[[#This Row],[AwayWins]:[AwayOTL]])</f>
        <v>0.5</v>
      </c>
      <c r="O7" s="14">
        <f>SUMIFS('NHL2025-26Results'!$E:$E,'NHL2025-26Results'!$D:$D,A7,'NHL2025-26Results'!$E:$E,"&gt;0")/COUNTIFS('NHL2025-26Results'!$D:$D,A7,'NHL2025-26Results'!$E:$E,"&gt;0")</f>
        <v>3.1111111111111112</v>
      </c>
      <c r="P7" s="14">
        <f>SUMIFS('NHL2025-26Results'!$C:$C,'NHL2025-26Results'!$B:$B,A7,'NHL2025-26Results'!$C:$C,"&gt;0")/COUNTIFS('NHL2025-26Results'!$B:$B,A7,'NHL2025-26Results'!$C:$C,"&gt;0")</f>
        <v>3.6</v>
      </c>
      <c r="Q7" s="14">
        <f>SUMIFS('NHL2025-26Results'!$C:$C,'NHL2025-26Results'!$D:$D,A7,'NHL2025-26Results'!$C:$C,"&gt;0")/COUNTIFS('NHL2025-26Results'!$D:$D,A7,'NHL2025-26Results'!$C:$C,"&gt;0")</f>
        <v>2.4444444444444446</v>
      </c>
      <c r="R7" s="14">
        <f>SUMIFS('NHL2025-26Results'!$E:$E,'NHL2025-26Results'!$B:$B,A7,'NHL2025-26Results'!$E:$E,"&gt;0")/COUNTIFS('NHL2025-26Results'!$B:$B,A7,'NHL2025-26Results'!$E:$E,"&gt;0")</f>
        <v>3</v>
      </c>
    </row>
    <row r="8" spans="1:18" x14ac:dyDescent="0.2">
      <c r="A8" s="4" t="s">
        <v>12</v>
      </c>
      <c r="B8">
        <f>SUM(Table1[[#This Row],[W]:[OTL]])</f>
        <v>19</v>
      </c>
      <c r="C8">
        <f>COUNTIF(NHL2025_26Results[Winning Team],Standings!A8)</f>
        <v>13</v>
      </c>
      <c r="D8">
        <f>COUNTIFS('NHL2025-26Results'!$H:$H,A8,'NHL2025-26Results'!$F:$F,"")</f>
        <v>1</v>
      </c>
      <c r="E8">
        <f>COUNTIFS('NHL2025-26Results'!$F:$F,"OT",'NHL2025-26Results'!$H:$H,A8) + COUNTIFS('NHL2025-26Results'!$F:$F,"SO",'NHL2025-26Results'!$H:$H,A8)</f>
        <v>5</v>
      </c>
      <c r="F8" s="3">
        <f>(Table1[[#This Row],[W]]*2)+Table1[[#This Row],[OTL]]</f>
        <v>31</v>
      </c>
      <c r="G8">
        <f>COUNTIFS('NHL2025-26Results'!$D:$D,A8,'NHL2025-26Results'!$G:$G,A8)</f>
        <v>7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6</v>
      </c>
      <c r="K8">
        <f>COUNTIFS('NHL2025-26Results'!$B:$B,A8,'NHL2025-26Results'!$H:$H,A8,'NHL2025-26Results'!$F:$F,"")</f>
        <v>1</v>
      </c>
      <c r="L8">
        <f>COUNTIFS('NHL2025-26Results'!$B:$B,A8,'NHL2025-26Results'!$H:$H,A8,'NHL2025-26Results'!$F:$F,"OT") + COUNTIFS('NHL2025-26Results'!$B:$B,A8,'NHL2025-26Results'!$H:$H,A8,'NHL2025-26Results'!$F:$F,"SO")</f>
        <v>3</v>
      </c>
      <c r="M8" s="11">
        <f>Table1[[#This Row],[HomeWins]]/SUM(Table1[[#This Row],[HomeWins]:[HomeOTL]])</f>
        <v>0.77777777777777779</v>
      </c>
      <c r="N8" s="11">
        <f>Table1[[#This Row],[AwayWins]]/SUM(Table1[[#This Row],[AwayWins]:[AwayOTL]])</f>
        <v>0.6</v>
      </c>
      <c r="O8" s="14">
        <f>SUMIFS('NHL2025-26Results'!$E:$E,'NHL2025-26Results'!$D:$D,A8,'NHL2025-26Results'!$E:$E,"&gt;0")/COUNTIFS('NHL2025-26Results'!$D:$D,A8,'NHL2025-26Results'!$E:$E,"&gt;0")</f>
        <v>4.333333333333333</v>
      </c>
      <c r="P8" s="14">
        <f>SUMIFS('NHL2025-26Results'!$C:$C,'NHL2025-26Results'!$B:$B,A8,'NHL2025-26Results'!$C:$C,"&gt;0")/COUNTIFS('NHL2025-26Results'!$B:$B,A8,'NHL2025-26Results'!$C:$C,"&gt;0")</f>
        <v>3.9</v>
      </c>
      <c r="Q8" s="14">
        <f>SUMIFS('NHL2025-26Results'!$C:$C,'NHL2025-26Results'!$D:$D,A8,'NHL2025-26Results'!$C:$C,"&gt;0")/COUNTIFS('NHL2025-26Results'!$D:$D,A8,'NHL2025-26Results'!$C:$C,"&gt;0")</f>
        <v>2.5555555555555554</v>
      </c>
      <c r="R8" s="14">
        <f>SUMIFS('NHL2025-26Results'!$E:$E,'NHL2025-26Results'!$B:$B,A8,'NHL2025-26Results'!$E:$E,"&gt;0")/COUNTIFS('NHL2025-26Results'!$B:$B,A8,'NHL2025-26Results'!$E:$E,"&gt;0")</f>
        <v>2.4</v>
      </c>
    </row>
    <row r="9" spans="1:18" x14ac:dyDescent="0.2">
      <c r="A9" s="4" t="s">
        <v>28</v>
      </c>
      <c r="B9">
        <f>SUM(Table1[[#This Row],[W]:[OTL]])</f>
        <v>20</v>
      </c>
      <c r="C9">
        <f>COUNTIF(NHL2025_26Results[Winning Team],Standings!A9)</f>
        <v>10</v>
      </c>
      <c r="D9">
        <f>COUNTIFS('NHL2025-26Results'!$H:$H,A9,'NHL2025-26Results'!$F:$F,"")</f>
        <v>8</v>
      </c>
      <c r="E9">
        <f>COUNTIFS('NHL2025-26Results'!$F:$F,"OT",'NHL2025-26Results'!$H:$H,A9) + COUNTIFS('NHL2025-26Results'!$F:$F,"SO",'NHL2025-26Results'!$H:$H,A9)</f>
        <v>2</v>
      </c>
      <c r="F9" s="3">
        <f>(Table1[[#This Row],[W]]*2)+Table1[[#This Row],[OTL]]</f>
        <v>22</v>
      </c>
      <c r="G9">
        <f>COUNTIFS('NHL2025-26Results'!$D:$D,A9,'NHL2025-26Results'!$G:$G,A9)</f>
        <v>5</v>
      </c>
      <c r="H9">
        <f>COUNTIFS('NHL2025-26Results'!$D:$D,A9,'NHL2025-26Results'!$H:$H,A9,'NHL2025-26Results'!$F:$F,"")</f>
        <v>3</v>
      </c>
      <c r="I9">
        <f>COUNTIFS('NHL2025-26Results'!$D:$D,A9,'NHL2025-26Results'!$H:$H,A9,'NHL2025-26Results'!$F:$F,"OT") + COUNTIFS('NHL2025-26Results'!$D:$D,A9,'NHL2025-26Results'!$H:$H,A9,'NHL2025-26Results'!$F:$F,"SO")</f>
        <v>1</v>
      </c>
      <c r="J9">
        <f>COUNTIFS('NHL2025-26Results'!$B:$B,A9,'NHL2025-26Results'!$G:$G,A9)</f>
        <v>5</v>
      </c>
      <c r="K9">
        <f>COUNTIFS('NHL2025-26Results'!$B:$B,A9,'NHL2025-26Results'!$H:$H,A9,'NHL2025-26Results'!$F:$F,"")</f>
        <v>5</v>
      </c>
      <c r="L9">
        <f>COUNTIFS('NHL2025-26Results'!$B:$B,A9,'NHL2025-26Results'!$H:$H,A9,'NHL2025-26Results'!$F:$F,"OT") + COUNTIFS('NHL2025-26Results'!$B:$B,A9,'NHL2025-26Results'!$H:$H,A9,'NHL2025-26Results'!$F:$F,"SO")</f>
        <v>1</v>
      </c>
      <c r="M9" s="11">
        <f>Table1[[#This Row],[HomeWins]]/SUM(Table1[[#This Row],[HomeWins]:[HomeOTL]])</f>
        <v>0.55555555555555558</v>
      </c>
      <c r="N9" s="11">
        <f>Table1[[#This Row],[AwayWins]]/SUM(Table1[[#This Row],[AwayWins]:[AwayOTL]])</f>
        <v>0.45454545454545453</v>
      </c>
      <c r="O9" s="14">
        <f>SUMIFS('NHL2025-26Results'!$E:$E,'NHL2025-26Results'!$D:$D,A9,'NHL2025-26Results'!$E:$E,"&gt;0")/COUNTIFS('NHL2025-26Results'!$D:$D,A9,'NHL2025-26Results'!$E:$E,"&gt;0")</f>
        <v>2.8888888888888888</v>
      </c>
      <c r="P9" s="14">
        <f>SUMIFS('NHL2025-26Results'!$C:$C,'NHL2025-26Results'!$B:$B,A9,'NHL2025-26Results'!$C:$C,"&gt;0")/COUNTIFS('NHL2025-26Results'!$B:$B,A9,'NHL2025-26Results'!$C:$C,"&gt;0")</f>
        <v>3.2727272727272729</v>
      </c>
      <c r="Q9" s="14">
        <f>SUMIFS('NHL2025-26Results'!$C:$C,'NHL2025-26Results'!$D:$D,A9,'NHL2025-26Results'!$C:$C,"&gt;0")/COUNTIFS('NHL2025-26Results'!$D:$D,A9,'NHL2025-26Results'!$C:$C,"&gt;0")</f>
        <v>3.1111111111111112</v>
      </c>
      <c r="R9" s="14">
        <f>SUMIFS('NHL2025-26Results'!$E:$E,'NHL2025-26Results'!$B:$B,A9,'NHL2025-26Results'!$E:$E,"&gt;0")/COUNTIFS('NHL2025-26Results'!$B:$B,A9,'NHL2025-26Results'!$E:$E,"&gt;0")</f>
        <v>3.3636363636363638</v>
      </c>
    </row>
    <row r="10" spans="1:18" x14ac:dyDescent="0.2">
      <c r="A10" s="4" t="s">
        <v>39</v>
      </c>
      <c r="B10">
        <f>SUM(Table1[[#This Row],[W]:[OTL]])</f>
        <v>20</v>
      </c>
      <c r="C10">
        <f>COUNTIF(NHL2025_26Results[Winning Team],Standings!A10)</f>
        <v>12</v>
      </c>
      <c r="D10">
        <f>COUNTIFS('NHL2025-26Results'!$H:$H,A10,'NHL2025-26Results'!$F:$F,"")</f>
        <v>5</v>
      </c>
      <c r="E10">
        <f>COUNTIFS('NHL2025-26Results'!$F:$F,"OT",'NHL2025-26Results'!$H:$H,A10) + COUNTIFS('NHL2025-26Results'!$F:$F,"SO",'NHL2025-26Results'!$H:$H,A10)</f>
        <v>3</v>
      </c>
      <c r="F10" s="3">
        <f>(Table1[[#This Row],[W]]*2)+Table1[[#This Row],[OTL]]</f>
        <v>27</v>
      </c>
      <c r="G10">
        <f>COUNTIFS('NHL2025-26Results'!$D:$D,A10,'NHL2025-26Results'!$G:$G,A10)</f>
        <v>6</v>
      </c>
      <c r="H10">
        <f>COUNTIFS('NHL2025-26Results'!$D:$D,A10,'NHL2025-26Results'!$H:$H,A10,'NHL2025-26Results'!$F:$F,"")</f>
        <v>4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6</v>
      </c>
      <c r="K10">
        <f>COUNTIFS('NHL2025-26Results'!$B:$B,A10,'NHL2025-26Results'!$H:$H,A10,'NHL2025-26Results'!$F:$F,"")</f>
        <v>1</v>
      </c>
      <c r="L10">
        <f>COUNTIFS('NHL2025-26Results'!$B:$B,A10,'NHL2025-26Results'!$H:$H,A10,'NHL2025-26Results'!$F:$F,"OT") + COUNTIFS('NHL2025-26Results'!$B:$B,A10,'NHL2025-26Results'!$H:$H,A10,'NHL2025-26Results'!$F:$F,"SO")</f>
        <v>2</v>
      </c>
      <c r="M10" s="11">
        <f>Table1[[#This Row],[HomeWins]]/SUM(Table1[[#This Row],[HomeWins]:[HomeOTL]])</f>
        <v>0.54545454545454541</v>
      </c>
      <c r="N10" s="11">
        <f>Table1[[#This Row],[AwayWins]]/SUM(Table1[[#This Row],[AwayWins]:[AwayOTL]])</f>
        <v>0.66666666666666663</v>
      </c>
      <c r="O10" s="14">
        <f>SUMIFS('NHL2025-26Results'!$E:$E,'NHL2025-26Results'!$D:$D,A10,'NHL2025-26Results'!$E:$E,"&gt;0")/COUNTIFS('NHL2025-26Results'!$D:$D,A10,'NHL2025-26Results'!$E:$E,"&gt;0")</f>
        <v>3</v>
      </c>
      <c r="P10" s="14">
        <f>SUMIFS('NHL2025-26Results'!$C:$C,'NHL2025-26Results'!$B:$B,A10,'NHL2025-26Results'!$C:$C,"&gt;0")/COUNTIFS('NHL2025-26Results'!$B:$B,A10,'NHL2025-26Results'!$C:$C,"&gt;0")</f>
        <v>3.6666666666666665</v>
      </c>
      <c r="Q10" s="14">
        <f>SUMIFS('NHL2025-26Results'!$C:$C,'NHL2025-26Results'!$D:$D,A10,'NHL2025-26Results'!$C:$C,"&gt;0")/COUNTIFS('NHL2025-26Results'!$D:$D,A10,'NHL2025-26Results'!$C:$C,"&gt;0")</f>
        <v>3.2</v>
      </c>
      <c r="R10" s="14">
        <f>SUMIFS('NHL2025-26Results'!$E:$E,'NHL2025-26Results'!$B:$B,A10,'NHL2025-26Results'!$E:$E,"&gt;0")/COUNTIFS('NHL2025-26Results'!$B:$B,A10,'NHL2025-26Results'!$E:$E,"&gt;0")</f>
        <v>3.125</v>
      </c>
    </row>
    <row r="11" spans="1:18" x14ac:dyDescent="0.2">
      <c r="A11" s="4" t="s">
        <v>26</v>
      </c>
      <c r="B11">
        <f>SUM(Table1[[#This Row],[W]:[OTL]])</f>
        <v>20</v>
      </c>
      <c r="C11">
        <f>COUNTIF(NHL2025_26Results[Winning Team],Standings!A11)</f>
        <v>12</v>
      </c>
      <c r="D11">
        <f>COUNTIFS('NHL2025-26Results'!$H:$H,A11,'NHL2025-26Results'!$F:$F,"")</f>
        <v>7</v>
      </c>
      <c r="E11">
        <f>COUNTIFS('NHL2025-26Results'!$F:$F,"OT",'NHL2025-26Results'!$H:$H,A11) + COUNTIFS('NHL2025-26Results'!$F:$F,"SO",'NHL2025-26Results'!$H:$H,A11)</f>
        <v>1</v>
      </c>
      <c r="F11" s="3">
        <f>(Table1[[#This Row],[W]]*2)+Table1[[#This Row],[OTL]]</f>
        <v>25</v>
      </c>
      <c r="G11">
        <f>COUNTIFS('NHL2025-26Results'!$D:$D,A11,'NHL2025-26Results'!$G:$G,A11)</f>
        <v>7</v>
      </c>
      <c r="H11">
        <f>COUNTIFS('NHL2025-26Results'!$D:$D,A11,'NHL2025-26Results'!$H:$H,A11,'NHL2025-26Results'!$F:$F,"")</f>
        <v>3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5</v>
      </c>
      <c r="K11">
        <f>COUNTIFS('NHL2025-26Results'!$B:$B,A11,'NHL2025-26Results'!$H:$H,A11,'NHL2025-26Results'!$F:$F,"")</f>
        <v>4</v>
      </c>
      <c r="L11">
        <f>COUNTIFS('NHL2025-26Results'!$B:$B,A11,'NHL2025-26Results'!$H:$H,A11,'NHL2025-26Results'!$F:$F,"OT") + COUNTIFS('NHL2025-26Results'!$B:$B,A11,'NHL2025-26Results'!$H:$H,A11,'NHL2025-26Results'!$F:$F,"SO")</f>
        <v>0</v>
      </c>
      <c r="M11" s="11">
        <f>Table1[[#This Row],[HomeWins]]/SUM(Table1[[#This Row],[HomeWins]:[HomeOTL]])</f>
        <v>0.63636363636363635</v>
      </c>
      <c r="N11" s="11">
        <f>Table1[[#This Row],[AwayWins]]/SUM(Table1[[#This Row],[AwayWins]:[AwayOTL]])</f>
        <v>0.55555555555555558</v>
      </c>
      <c r="O11" s="14">
        <f>SUMIFS('NHL2025-26Results'!$E:$E,'NHL2025-26Results'!$D:$D,A11,'NHL2025-26Results'!$E:$E,"&gt;0")/COUNTIFS('NHL2025-26Results'!$D:$D,A11,'NHL2025-26Results'!$E:$E,"&gt;0")</f>
        <v>3.5454545454545454</v>
      </c>
      <c r="P11" s="14">
        <f>SUMIFS('NHL2025-26Results'!$C:$C,'NHL2025-26Results'!$B:$B,A11,'NHL2025-26Results'!$C:$C,"&gt;0")/COUNTIFS('NHL2025-26Results'!$B:$B,A11,'NHL2025-26Results'!$C:$C,"&gt;0")</f>
        <v>2.875</v>
      </c>
      <c r="Q11" s="14">
        <f>SUMIFS('NHL2025-26Results'!$C:$C,'NHL2025-26Results'!$D:$D,A11,'NHL2025-26Results'!$C:$C,"&gt;0")/COUNTIFS('NHL2025-26Results'!$D:$D,A11,'NHL2025-26Results'!$C:$C,"&gt;0")</f>
        <v>3.1818181818181817</v>
      </c>
      <c r="R11" s="14">
        <f>SUMIFS('NHL2025-26Results'!$E:$E,'NHL2025-26Results'!$B:$B,A11,'NHL2025-26Results'!$E:$E,"&gt;0")/COUNTIFS('NHL2025-26Results'!$B:$B,A11,'NHL2025-26Results'!$E:$E,"&gt;0")</f>
        <v>3</v>
      </c>
    </row>
    <row r="12" spans="1:18" x14ac:dyDescent="0.2">
      <c r="A12" s="4" t="s">
        <v>17</v>
      </c>
      <c r="B12">
        <f>SUM(Table1[[#This Row],[W]:[OTL]])</f>
        <v>22</v>
      </c>
      <c r="C12">
        <f>COUNTIF(NHL2025_26Results[Winning Team],Standings!A12)</f>
        <v>9</v>
      </c>
      <c r="D12">
        <f>COUNTIFS('NHL2025-26Results'!$H:$H,A12,'NHL2025-26Results'!$F:$F,"")</f>
        <v>9</v>
      </c>
      <c r="E12">
        <f>COUNTIFS('NHL2025-26Results'!$F:$F,"OT",'NHL2025-26Results'!$H:$H,A12) + COUNTIFS('NHL2025-26Results'!$F:$F,"SO",'NHL2025-26Results'!$H:$H,A12)</f>
        <v>4</v>
      </c>
      <c r="F12" s="3">
        <f>(Table1[[#This Row],[W]]*2)+Table1[[#This Row],[OTL]]</f>
        <v>22</v>
      </c>
      <c r="G12">
        <f>COUNTIFS('NHL2025-26Results'!$D:$D,A12,'NHL2025-26Results'!$G:$G,A12)</f>
        <v>5</v>
      </c>
      <c r="H12">
        <f>COUNTIFS('NHL2025-26Results'!$D:$D,A12,'NHL2025-26Results'!$H:$H,A12,'NHL2025-26Results'!$F:$F,"")</f>
        <v>1</v>
      </c>
      <c r="I12">
        <f>COUNTIFS('NHL2025-26Results'!$D:$D,A12,'NHL2025-26Results'!$H:$H,A12,'NHL2025-26Results'!$F:$F,"OT") + COUNTIFS('NHL2025-26Results'!$D:$D,A12,'NHL2025-26Results'!$H:$H,A12,'NHL2025-26Results'!$F:$F,"SO")</f>
        <v>2</v>
      </c>
      <c r="J12">
        <f>COUNTIFS('NHL2025-26Results'!$B:$B,A12,'NHL2025-26Results'!$G:$G,A12)</f>
        <v>4</v>
      </c>
      <c r="K12">
        <f>COUNTIFS('NHL2025-26Results'!$B:$B,A12,'NHL2025-26Results'!$H:$H,A12,'NHL2025-26Results'!$F:$F,"")</f>
        <v>8</v>
      </c>
      <c r="L12">
        <f>COUNTIFS('NHL2025-26Results'!$B:$B,A12,'NHL2025-26Results'!$H:$H,A12,'NHL2025-26Results'!$F:$F,"OT") + COUNTIFS('NHL2025-26Results'!$B:$B,A12,'NHL2025-26Results'!$H:$H,A12,'NHL2025-26Results'!$F:$F,"SO")</f>
        <v>2</v>
      </c>
      <c r="M12" s="11">
        <f>Table1[[#This Row],[HomeWins]]/SUM(Table1[[#This Row],[HomeWins]:[HomeOTL]])</f>
        <v>0.625</v>
      </c>
      <c r="N12" s="11">
        <f>Table1[[#This Row],[AwayWins]]/SUM(Table1[[#This Row],[AwayWins]:[AwayOTL]])</f>
        <v>0.2857142857142857</v>
      </c>
      <c r="O12" s="14">
        <f>SUMIFS('NHL2025-26Results'!$E:$E,'NHL2025-26Results'!$D:$D,A12,'NHL2025-26Results'!$E:$E,"&gt;0")/COUNTIFS('NHL2025-26Results'!$D:$D,A12,'NHL2025-26Results'!$E:$E,"&gt;0")</f>
        <v>3.75</v>
      </c>
      <c r="P12" s="14">
        <f>SUMIFS('NHL2025-26Results'!$C:$C,'NHL2025-26Results'!$B:$B,A12,'NHL2025-26Results'!$C:$C,"&gt;0")/COUNTIFS('NHL2025-26Results'!$B:$B,A12,'NHL2025-26Results'!$C:$C,"&gt;0")</f>
        <v>2.6428571428571428</v>
      </c>
      <c r="Q12" s="14">
        <f>SUMIFS('NHL2025-26Results'!$C:$C,'NHL2025-26Results'!$D:$D,A12,'NHL2025-26Results'!$C:$C,"&gt;0")/COUNTIFS('NHL2025-26Results'!$D:$D,A12,'NHL2025-26Results'!$C:$C,"&gt;0")</f>
        <v>4</v>
      </c>
      <c r="R12" s="14">
        <f>SUMIFS('NHL2025-26Results'!$E:$E,'NHL2025-26Results'!$B:$B,A12,'NHL2025-26Results'!$E:$E,"&gt;0")/COUNTIFS('NHL2025-26Results'!$B:$B,A12,'NHL2025-26Results'!$E:$E,"&gt;0")</f>
        <v>3.8461538461538463</v>
      </c>
    </row>
    <row r="13" spans="1:18" x14ac:dyDescent="0.2">
      <c r="A13" s="4" t="s">
        <v>11</v>
      </c>
      <c r="B13">
        <f>SUM(Table1[[#This Row],[W]:[OTL]])</f>
        <v>19</v>
      </c>
      <c r="C13">
        <f>COUNTIF(NHL2025_26Results[Winning Team],Standings!A13)</f>
        <v>10</v>
      </c>
      <c r="D13">
        <f>COUNTIFS('NHL2025-26Results'!$H:$H,A13,'NHL2025-26Results'!$F:$F,"")</f>
        <v>8</v>
      </c>
      <c r="E13">
        <f>COUNTIFS('NHL2025-26Results'!$F:$F,"OT",'NHL2025-26Results'!$H:$H,A13) + COUNTIFS('NHL2025-26Results'!$F:$F,"SO",'NHL2025-26Results'!$H:$H,A13)</f>
        <v>1</v>
      </c>
      <c r="F13" s="3">
        <f>(Table1[[#This Row],[W]]*2)+Table1[[#This Row],[OTL]]</f>
        <v>21</v>
      </c>
      <c r="G13">
        <f>COUNTIFS('NHL2025-26Results'!$D:$D,A13,'NHL2025-26Results'!$G:$G,A13)</f>
        <v>7</v>
      </c>
      <c r="H13">
        <f>COUNTIFS('NHL2025-26Results'!$D:$D,A13,'NHL2025-26Results'!$H:$H,A13,'NHL2025-26Results'!$F:$F,"")</f>
        <v>2</v>
      </c>
      <c r="I13">
        <f>COUNTIFS('NHL2025-26Results'!$D:$D,A13,'NHL2025-26Results'!$H:$H,A13,'NHL2025-26Results'!$F:$F,"OT") + COUNTIFS('NHL2025-26Results'!$D:$D,A13,'NHL2025-26Results'!$H:$H,A13,'NHL2025-26Results'!$F:$F,"SO")</f>
        <v>1</v>
      </c>
      <c r="J13">
        <f>COUNTIFS('NHL2025-26Results'!$B:$B,A13,'NHL2025-26Results'!$G:$G,A13)</f>
        <v>3</v>
      </c>
      <c r="K13">
        <f>COUNTIFS('NHL2025-26Results'!$B:$B,A13,'NHL2025-26Results'!$H:$H,A13,'NHL2025-26Results'!$F:$F,"")</f>
        <v>6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0.7</v>
      </c>
      <c r="N13" s="11">
        <f>Table1[[#This Row],[AwayWins]]/SUM(Table1[[#This Row],[AwayWins]:[AwayOTL]])</f>
        <v>0.33333333333333331</v>
      </c>
      <c r="O13" s="14">
        <f>SUMIFS('NHL2025-26Results'!$E:$E,'NHL2025-26Results'!$D:$D,A13,'NHL2025-26Results'!$E:$E,"&gt;0")/COUNTIFS('NHL2025-26Results'!$D:$D,A13,'NHL2025-26Results'!$E:$E,"&gt;0")</f>
        <v>3.8</v>
      </c>
      <c r="P13" s="14">
        <f>SUMIFS('NHL2025-26Results'!$C:$C,'NHL2025-26Results'!$B:$B,A13,'NHL2025-26Results'!$C:$C,"&gt;0")/COUNTIFS('NHL2025-26Results'!$B:$B,A13,'NHL2025-26Results'!$C:$C,"&gt;0")</f>
        <v>2.5</v>
      </c>
      <c r="Q13" s="14">
        <f>SUMIFS('NHL2025-26Results'!$C:$C,'NHL2025-26Results'!$D:$D,A13,'NHL2025-26Results'!$C:$C,"&gt;0")/COUNTIFS('NHL2025-26Results'!$D:$D,A13,'NHL2025-26Results'!$C:$C,"&gt;0")</f>
        <v>3</v>
      </c>
      <c r="R13" s="14">
        <f>SUMIFS('NHL2025-26Results'!$E:$E,'NHL2025-26Results'!$B:$B,A13,'NHL2025-26Results'!$E:$E,"&gt;0")/COUNTIFS('NHL2025-26Results'!$B:$B,A13,'NHL2025-26Results'!$E:$E,"&gt;0")</f>
        <v>3.5555555555555554</v>
      </c>
    </row>
    <row r="14" spans="1:18" x14ac:dyDescent="0.2">
      <c r="A14" s="4" t="s">
        <v>13</v>
      </c>
      <c r="B14">
        <f>SUM(Table1[[#This Row],[W]:[OTL]])</f>
        <v>20</v>
      </c>
      <c r="C14">
        <f>COUNTIF(NHL2025_26Results[Winning Team],Standings!A14)</f>
        <v>10</v>
      </c>
      <c r="D14">
        <f>COUNTIFS('NHL2025-26Results'!$H:$H,A14,'NHL2025-26Results'!$F:$F,"")</f>
        <v>6</v>
      </c>
      <c r="E14">
        <f>COUNTIFS('NHL2025-26Results'!$F:$F,"OT",'NHL2025-26Results'!$H:$H,A14) + COUNTIFS('NHL2025-26Results'!$F:$F,"SO",'NHL2025-26Results'!$H:$H,A14)</f>
        <v>4</v>
      </c>
      <c r="F14" s="3">
        <f>(Table1[[#This Row],[W]]*2)+Table1[[#This Row],[OTL]]</f>
        <v>24</v>
      </c>
      <c r="G14">
        <f>COUNTIFS('NHL2025-26Results'!$D:$D,A14,'NHL2025-26Results'!$G:$G,A14)</f>
        <v>1</v>
      </c>
      <c r="H14">
        <f>COUNTIFS('NHL2025-26Results'!$D:$D,A14,'NHL2025-26Results'!$H:$H,A14,'NHL2025-26Results'!$F:$F,"")</f>
        <v>4</v>
      </c>
      <c r="I14">
        <f>COUNTIFS('NHL2025-26Results'!$D:$D,A14,'NHL2025-26Results'!$H:$H,A14,'NHL2025-26Results'!$F:$F,"OT") + COUNTIFS('NHL2025-26Results'!$D:$D,A14,'NHL2025-26Results'!$H:$H,A14,'NHL2025-26Results'!$F:$F,"SO")</f>
        <v>2</v>
      </c>
      <c r="J14">
        <f>COUNTIFS('NHL2025-26Results'!$B:$B,A14,'NHL2025-26Results'!$G:$G,A14)</f>
        <v>9</v>
      </c>
      <c r="K14">
        <f>COUNTIFS('NHL2025-26Results'!$B:$B,A14,'NHL2025-26Results'!$H:$H,A14,'NHL2025-26Results'!$F:$F,"")</f>
        <v>2</v>
      </c>
      <c r="L14">
        <f>COUNTIFS('NHL2025-26Results'!$B:$B,A14,'NHL2025-26Results'!$H:$H,A14,'NHL2025-26Results'!$F:$F,"OT") + COUNTIFS('NHL2025-26Results'!$B:$B,A14,'NHL2025-26Results'!$H:$H,A14,'NHL2025-26Results'!$F:$F,"SO")</f>
        <v>2</v>
      </c>
      <c r="M14" s="11">
        <f>Table1[[#This Row],[HomeWins]]/SUM(Table1[[#This Row],[HomeWins]:[HomeOTL]])</f>
        <v>0.14285714285714285</v>
      </c>
      <c r="N14" s="11">
        <f>Table1[[#This Row],[AwayWins]]/SUM(Table1[[#This Row],[AwayWins]:[AwayOTL]])</f>
        <v>0.69230769230769229</v>
      </c>
      <c r="O14" s="14">
        <f>SUMIFS('NHL2025-26Results'!$E:$E,'NHL2025-26Results'!$D:$D,A14,'NHL2025-26Results'!$E:$E,"&gt;0")/COUNTIFS('NHL2025-26Results'!$D:$D,A14,'NHL2025-26Results'!$E:$E,"&gt;0")</f>
        <v>2.1428571428571428</v>
      </c>
      <c r="P14" s="14">
        <f>SUMIFS('NHL2025-26Results'!$C:$C,'NHL2025-26Results'!$B:$B,A14,'NHL2025-26Results'!$C:$C,"&gt;0")/COUNTIFS('NHL2025-26Results'!$B:$B,A14,'NHL2025-26Results'!$C:$C,"&gt;0")</f>
        <v>3.1538461538461537</v>
      </c>
      <c r="Q14" s="14">
        <f>SUMIFS('NHL2025-26Results'!$C:$C,'NHL2025-26Results'!$D:$D,A14,'NHL2025-26Results'!$C:$C,"&gt;0")/COUNTIFS('NHL2025-26Results'!$D:$D,A14,'NHL2025-26Results'!$C:$C,"&gt;0")</f>
        <v>4.166666666666667</v>
      </c>
      <c r="R14" s="14">
        <f>SUMIFS('NHL2025-26Results'!$E:$E,'NHL2025-26Results'!$B:$B,A14,'NHL2025-26Results'!$E:$E,"&gt;0")/COUNTIFS('NHL2025-26Results'!$B:$B,A14,'NHL2025-26Results'!$E:$E,"&gt;0")</f>
        <v>2.6666666666666665</v>
      </c>
    </row>
    <row r="15" spans="1:18" x14ac:dyDescent="0.2">
      <c r="A15" s="4" t="s">
        <v>34</v>
      </c>
      <c r="B15">
        <f>SUM(Table1[[#This Row],[W]:[OTL]])</f>
        <v>21</v>
      </c>
      <c r="C15">
        <f>COUNTIF(NHL2025_26Results[Winning Team],Standings!A15)</f>
        <v>10</v>
      </c>
      <c r="D15">
        <f>COUNTIFS('NHL2025-26Results'!$H:$H,A15,'NHL2025-26Results'!$F:$F,"")</f>
        <v>7</v>
      </c>
      <c r="E15">
        <f>COUNTIFS('NHL2025-26Results'!$F:$F,"OT",'NHL2025-26Results'!$H:$H,A15) + COUNTIFS('NHL2025-26Results'!$F:$F,"SO",'NHL2025-26Results'!$H:$H,A15)</f>
        <v>4</v>
      </c>
      <c r="F15" s="3">
        <f>(Table1[[#This Row],[W]]*2)+Table1[[#This Row],[OTL]]</f>
        <v>24</v>
      </c>
      <c r="G15">
        <f>COUNTIFS('NHL2025-26Results'!$D:$D,A15,'NHL2025-26Results'!$G:$G,A15)</f>
        <v>7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3</v>
      </c>
      <c r="J15">
        <f>COUNTIFS('NHL2025-26Results'!$B:$B,A15,'NHL2025-26Results'!$G:$G,A15)</f>
        <v>3</v>
      </c>
      <c r="K15">
        <f>COUNTIFS('NHL2025-26Results'!$B:$B,A15,'NHL2025-26Results'!$H:$H,A15,'NHL2025-26Results'!$F:$F,"")</f>
        <v>4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0.53846153846153844</v>
      </c>
      <c r="N15" s="11">
        <f>Table1[[#This Row],[AwayWins]]/SUM(Table1[[#This Row],[AwayWins]:[AwayOTL]])</f>
        <v>0.375</v>
      </c>
      <c r="O15" s="14">
        <f>SUMIFS('NHL2025-26Results'!$E:$E,'NHL2025-26Results'!$D:$D,A15,'NHL2025-26Results'!$E:$E,"&gt;0")/COUNTIFS('NHL2025-26Results'!$D:$D,A15,'NHL2025-26Results'!$E:$E,"&gt;0")</f>
        <v>3</v>
      </c>
      <c r="P15" s="14">
        <f>SUMIFS('NHL2025-26Results'!$C:$C,'NHL2025-26Results'!$B:$B,A15,'NHL2025-26Results'!$C:$C,"&gt;0")/COUNTIFS('NHL2025-26Results'!$B:$B,A15,'NHL2025-26Results'!$C:$C,"&gt;0")</f>
        <v>2.625</v>
      </c>
      <c r="Q15" s="14">
        <f>SUMIFS('NHL2025-26Results'!$C:$C,'NHL2025-26Results'!$D:$D,A15,'NHL2025-26Results'!$C:$C,"&gt;0")/COUNTIFS('NHL2025-26Results'!$D:$D,A15,'NHL2025-26Results'!$C:$C,"&gt;0")</f>
        <v>3.7272727272727271</v>
      </c>
      <c r="R15" s="14">
        <f>SUMIFS('NHL2025-26Results'!$E:$E,'NHL2025-26Results'!$B:$B,A15,'NHL2025-26Results'!$E:$E,"&gt;0")/COUNTIFS('NHL2025-26Results'!$B:$B,A15,'NHL2025-26Results'!$E:$E,"&gt;0")</f>
        <v>3.2857142857142856</v>
      </c>
    </row>
    <row r="16" spans="1:18" x14ac:dyDescent="0.2">
      <c r="A16" s="4" t="s">
        <v>18</v>
      </c>
      <c r="B16">
        <f>SUM(Table1[[#This Row],[W]:[OTL]])</f>
        <v>19</v>
      </c>
      <c r="C16">
        <f>COUNTIF(NHL2025_26Results[Winning Team],Standings!A16)</f>
        <v>10</v>
      </c>
      <c r="D16">
        <f>COUNTIFS('NHL2025-26Results'!$H:$H,A16,'NHL2025-26Results'!$F:$F,"")</f>
        <v>6</v>
      </c>
      <c r="E16">
        <f>COUNTIFS('NHL2025-26Results'!$F:$F,"OT",'NHL2025-26Results'!$H:$H,A16) + COUNTIFS('NHL2025-26Results'!$F:$F,"SO",'NHL2025-26Results'!$H:$H,A16)</f>
        <v>3</v>
      </c>
      <c r="F16" s="3">
        <f>(Table1[[#This Row],[W]]*2)+Table1[[#This Row],[OTL]]</f>
        <v>23</v>
      </c>
      <c r="G16">
        <f>COUNTIFS('NHL2025-26Results'!$D:$D,A16,'NHL2025-26Results'!$G:$G,A16)</f>
        <v>5</v>
      </c>
      <c r="H16">
        <f>COUNTIFS('NHL2025-26Results'!$D:$D,A16,'NHL2025-26Results'!$H:$H,A16,'NHL2025-26Results'!$F:$F,"")</f>
        <v>4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5</v>
      </c>
      <c r="K16">
        <f>COUNTIFS('NHL2025-26Results'!$B:$B,A16,'NHL2025-26Results'!$H:$H,A16,'NHL2025-26Results'!$F:$F,"")</f>
        <v>2</v>
      </c>
      <c r="L16">
        <f>COUNTIFS('NHL2025-26Results'!$B:$B,A16,'NHL2025-26Results'!$H:$H,A16,'NHL2025-26Results'!$F:$F,"OT") + COUNTIFS('NHL2025-26Results'!$B:$B,A16,'NHL2025-26Results'!$H:$H,A16,'NHL2025-26Results'!$F:$F,"SO")</f>
        <v>2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0.55555555555555558</v>
      </c>
      <c r="O16" s="14">
        <f>SUMIFS('NHL2025-26Results'!$E:$E,'NHL2025-26Results'!$D:$D,A16,'NHL2025-26Results'!$E:$E,"&gt;0")/COUNTIFS('NHL2025-26Results'!$D:$D,A16,'NHL2025-26Results'!$E:$E,"&gt;0")</f>
        <v>3.5555555555555554</v>
      </c>
      <c r="P16" s="14">
        <f>SUMIFS('NHL2025-26Results'!$C:$C,'NHL2025-26Results'!$B:$B,A16,'NHL2025-26Results'!$C:$C,"&gt;0")/COUNTIFS('NHL2025-26Results'!$B:$B,A16,'NHL2025-26Results'!$C:$C,"&gt;0")</f>
        <v>3.4444444444444446</v>
      </c>
      <c r="Q16" s="14">
        <f>SUMIFS('NHL2025-26Results'!$C:$C,'NHL2025-26Results'!$D:$D,A16,'NHL2025-26Results'!$C:$C,"&gt;0")/COUNTIFS('NHL2025-26Results'!$D:$D,A16,'NHL2025-26Results'!$C:$C,"&gt;0")</f>
        <v>3.7</v>
      </c>
      <c r="R16" s="14">
        <f>SUMIFS('NHL2025-26Results'!$E:$E,'NHL2025-26Results'!$B:$B,A16,'NHL2025-26Results'!$E:$E,"&gt;0")/COUNTIFS('NHL2025-26Results'!$B:$B,A16,'NHL2025-26Results'!$E:$E,"&gt;0")</f>
        <v>3.2222222222222223</v>
      </c>
    </row>
    <row r="17" spans="1:18" x14ac:dyDescent="0.2">
      <c r="A17" s="4" t="s">
        <v>29</v>
      </c>
      <c r="B17">
        <f>SUM(Table1[[#This Row],[W]:[OTL]])</f>
        <v>20</v>
      </c>
      <c r="C17">
        <f>COUNTIF(NHL2025_26Results[Winning Team],Standings!A17)</f>
        <v>6</v>
      </c>
      <c r="D17">
        <f>COUNTIFS('NHL2025-26Results'!$H:$H,A17,'NHL2025-26Results'!$F:$F,"")</f>
        <v>10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16</v>
      </c>
      <c r="G17">
        <f>COUNTIFS('NHL2025-26Results'!$D:$D,A17,'NHL2025-26Results'!$G:$G,A17)</f>
        <v>5</v>
      </c>
      <c r="H17">
        <f>COUNTIFS('NHL2025-26Results'!$D:$D,A17,'NHL2025-26Results'!$H:$H,A17,'NHL2025-26Results'!$F:$F,"")</f>
        <v>5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1</v>
      </c>
      <c r="K17">
        <f>COUNTIFS('NHL2025-26Results'!$B:$B,A17,'NHL2025-26Results'!$H:$H,A17,'NHL2025-26Results'!$F:$F,"")</f>
        <v>5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0.41666666666666669</v>
      </c>
      <c r="N17" s="11">
        <f>Table1[[#This Row],[AwayWins]]/SUM(Table1[[#This Row],[AwayWins]:[AwayOTL]])</f>
        <v>0.125</v>
      </c>
      <c r="O17" s="14">
        <f>SUMIFS('NHL2025-26Results'!$E:$E,'NHL2025-26Results'!$D:$D,A17,'NHL2025-26Results'!$E:$E,"&gt;0")/COUNTIFS('NHL2025-26Results'!$D:$D,A17,'NHL2025-26Results'!$E:$E,"&gt;0")</f>
        <v>2.6666666666666665</v>
      </c>
      <c r="P17" s="14">
        <f>SUMIFS('NHL2025-26Results'!$C:$C,'NHL2025-26Results'!$B:$B,A17,'NHL2025-26Results'!$C:$C,"&gt;0")/COUNTIFS('NHL2025-26Results'!$B:$B,A17,'NHL2025-26Results'!$C:$C,"&gt;0")</f>
        <v>2.4285714285714284</v>
      </c>
      <c r="Q17" s="14">
        <f>SUMIFS('NHL2025-26Results'!$C:$C,'NHL2025-26Results'!$D:$D,A17,'NHL2025-26Results'!$C:$C,"&gt;0")/COUNTIFS('NHL2025-26Results'!$D:$D,A17,'NHL2025-26Results'!$C:$C,"&gt;0")</f>
        <v>3.1666666666666665</v>
      </c>
      <c r="R17" s="14">
        <f>SUMIFS('NHL2025-26Results'!$E:$E,'NHL2025-26Results'!$B:$B,A17,'NHL2025-26Results'!$E:$E,"&gt;0")/COUNTIFS('NHL2025-26Results'!$B:$B,A17,'NHL2025-26Results'!$E:$E,"&gt;0")</f>
        <v>4</v>
      </c>
    </row>
    <row r="18" spans="1:18" x14ac:dyDescent="0.2">
      <c r="A18" s="4" t="s">
        <v>24</v>
      </c>
      <c r="B18">
        <f>SUM(Table1[[#This Row],[W]:[OTL]])</f>
        <v>19</v>
      </c>
      <c r="C18">
        <f>COUNTIF(NHL2025_26Results[Winning Team],Standings!A18)</f>
        <v>13</v>
      </c>
      <c r="D18">
        <f>COUNTIFS('NHL2025-26Results'!$H:$H,A18,'NHL2025-26Results'!$F:$F,"")</f>
        <v>5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27</v>
      </c>
      <c r="G18">
        <f>COUNTIFS('NHL2025-26Results'!$D:$D,A18,'NHL2025-26Results'!$G:$G,A18)</f>
        <v>7</v>
      </c>
      <c r="H18">
        <f>COUNTIFS('NHL2025-26Results'!$D:$D,A18,'NHL2025-26Results'!$H:$H,A18,'NHL2025-26Results'!$F:$F,"")</f>
        <v>0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6</v>
      </c>
      <c r="K18">
        <f>COUNTIFS('NHL2025-26Results'!$B:$B,A18,'NHL2025-26Results'!$H:$H,A18,'NHL2025-26Results'!$F:$F,"")</f>
        <v>5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0.875</v>
      </c>
      <c r="N18" s="11">
        <f>Table1[[#This Row],[AwayWins]]/SUM(Table1[[#This Row],[AwayWins]:[AwayOTL]])</f>
        <v>0.54545454545454541</v>
      </c>
      <c r="O18" s="14">
        <f>SUMIFS('NHL2025-26Results'!$E:$E,'NHL2025-26Results'!$D:$D,A18,'NHL2025-26Results'!$E:$E,"&gt;0")/COUNTIFS('NHL2025-26Results'!$D:$D,A18,'NHL2025-26Results'!$E:$E,"&gt;0")</f>
        <v>3.375</v>
      </c>
      <c r="P18" s="14">
        <f>SUMIFS('NHL2025-26Results'!$C:$C,'NHL2025-26Results'!$B:$B,A18,'NHL2025-26Results'!$C:$C,"&gt;0")/COUNTIFS('NHL2025-26Results'!$B:$B,A18,'NHL2025-26Results'!$C:$C,"&gt;0")</f>
        <v>3.1818181818181817</v>
      </c>
      <c r="Q18" s="14">
        <f>SUMIFS('NHL2025-26Results'!$C:$C,'NHL2025-26Results'!$D:$D,A18,'NHL2025-26Results'!$C:$C,"&gt;0")/COUNTIFS('NHL2025-26Results'!$D:$D,A18,'NHL2025-26Results'!$C:$C,"&gt;0")</f>
        <v>2</v>
      </c>
      <c r="R18" s="14">
        <f>SUMIFS('NHL2025-26Results'!$E:$E,'NHL2025-26Results'!$B:$B,A18,'NHL2025-26Results'!$E:$E,"&gt;0")/COUNTIFS('NHL2025-26Results'!$B:$B,A18,'NHL2025-26Results'!$E:$E,"&gt;0")</f>
        <v>3.7272727272727271</v>
      </c>
    </row>
    <row r="19" spans="1:18" x14ac:dyDescent="0.2">
      <c r="A19" s="4" t="s">
        <v>30</v>
      </c>
      <c r="B19">
        <f>SUM(Table1[[#This Row],[W]:[OTL]])</f>
        <v>20</v>
      </c>
      <c r="C19">
        <f>COUNTIF(NHL2025_26Results[Winning Team],Standings!A19)</f>
        <v>11</v>
      </c>
      <c r="D19">
        <f>COUNTIFS('NHL2025-26Results'!$H:$H,A19,'NHL2025-26Results'!$F:$F,"")</f>
        <v>7</v>
      </c>
      <c r="E19">
        <f>COUNTIFS('NHL2025-26Results'!$F:$F,"OT",'NHL2025-26Results'!$H:$H,A19) + COUNTIFS('NHL2025-26Results'!$F:$F,"SO",'NHL2025-26Results'!$H:$H,A19)</f>
        <v>2</v>
      </c>
      <c r="F19" s="3">
        <f>(Table1[[#This Row],[W]]*2)+Table1[[#This Row],[OTL]]</f>
        <v>24</v>
      </c>
      <c r="G19">
        <f>COUNTIFS('NHL2025-26Results'!$D:$D,A19,'NHL2025-26Results'!$G:$G,A19)</f>
        <v>4</v>
      </c>
      <c r="H19">
        <f>COUNTIFS('NHL2025-26Results'!$D:$D,A19,'NHL2025-26Results'!$H:$H,A19,'NHL2025-26Results'!$F:$F,"")</f>
        <v>3</v>
      </c>
      <c r="I19">
        <f>COUNTIFS('NHL2025-26Results'!$D:$D,A19,'NHL2025-26Results'!$H:$H,A19,'NHL2025-26Results'!$F:$F,"OT") + COUNTIFS('NHL2025-26Results'!$D:$D,A19,'NHL2025-26Results'!$H:$H,A19,'NHL2025-26Results'!$F:$F,"SO")</f>
        <v>1</v>
      </c>
      <c r="J19">
        <f>COUNTIFS('NHL2025-26Results'!$B:$B,A19,'NHL2025-26Results'!$G:$G,A19)</f>
        <v>7</v>
      </c>
      <c r="K19">
        <f>COUNTIFS('NHL2025-26Results'!$B:$B,A19,'NHL2025-26Results'!$H:$H,A19,'NHL2025-26Results'!$F:$F,"")</f>
        <v>4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0.5</v>
      </c>
      <c r="N19" s="11">
        <f>Table1[[#This Row],[AwayWins]]/SUM(Table1[[#This Row],[AwayWins]:[AwayOTL]])</f>
        <v>0.58333333333333337</v>
      </c>
      <c r="O19" s="14">
        <f>SUMIFS('NHL2025-26Results'!$E:$E,'NHL2025-26Results'!$D:$D,A19,'NHL2025-26Results'!$E:$E,"&gt;0")/COUNTIFS('NHL2025-26Results'!$D:$D,A19,'NHL2025-26Results'!$E:$E,"&gt;0")</f>
        <v>3.375</v>
      </c>
      <c r="P19" s="14">
        <f>SUMIFS('NHL2025-26Results'!$C:$C,'NHL2025-26Results'!$B:$B,A19,'NHL2025-26Results'!$C:$C,"&gt;0")/COUNTIFS('NHL2025-26Results'!$B:$B,A19,'NHL2025-26Results'!$C:$C,"&gt;0")</f>
        <v>3.0833333333333335</v>
      </c>
      <c r="Q19" s="14">
        <f>SUMIFS('NHL2025-26Results'!$C:$C,'NHL2025-26Results'!$D:$D,A19,'NHL2025-26Results'!$C:$C,"&gt;0")/COUNTIFS('NHL2025-26Results'!$D:$D,A19,'NHL2025-26Results'!$C:$C,"&gt;0")</f>
        <v>3.375</v>
      </c>
      <c r="R19" s="14">
        <f>SUMIFS('NHL2025-26Results'!$E:$E,'NHL2025-26Results'!$B:$B,A19,'NHL2025-26Results'!$E:$E,"&gt;0")/COUNTIFS('NHL2025-26Results'!$B:$B,A19,'NHL2025-26Results'!$E:$E,"&gt;0")</f>
        <v>3.3636363636363638</v>
      </c>
    </row>
    <row r="20" spans="1:18" x14ac:dyDescent="0.2">
      <c r="A20" s="4" t="s">
        <v>15</v>
      </c>
      <c r="B20">
        <f>SUM(Table1[[#This Row],[W]:[OTL]])</f>
        <v>21</v>
      </c>
      <c r="C20">
        <f>COUNTIF(NHL2025_26Results[Winning Team],Standings!A20)</f>
        <v>10</v>
      </c>
      <c r="D20">
        <f>COUNTIFS('NHL2025-26Results'!$H:$H,A20,'NHL2025-26Results'!$F:$F,"")</f>
        <v>9</v>
      </c>
      <c r="E20">
        <f>COUNTIFS('NHL2025-26Results'!$F:$F,"OT",'NHL2025-26Results'!$H:$H,A20) + COUNTIFS('NHL2025-26Results'!$F:$F,"SO",'NHL2025-26Results'!$H:$H,A20)</f>
        <v>2</v>
      </c>
      <c r="F20" s="3">
        <f>(Table1[[#This Row],[W]]*2)+Table1[[#This Row],[OTL]]</f>
        <v>22</v>
      </c>
      <c r="G20">
        <f>COUNTIFS('NHL2025-26Results'!$D:$D,A20,'NHL2025-26Results'!$G:$G,A20)</f>
        <v>1</v>
      </c>
      <c r="H20">
        <f>COUNTIFS('NHL2025-26Results'!$D:$D,A20,'NHL2025-26Results'!$H:$H,A20,'NHL2025-26Results'!$F:$F,"")</f>
        <v>7</v>
      </c>
      <c r="I20">
        <f>COUNTIFS('NHL2025-26Results'!$D:$D,A20,'NHL2025-26Results'!$H:$H,A20,'NHL2025-26Results'!$F:$F,"OT") + COUNTIFS('NHL2025-26Results'!$D:$D,A20,'NHL2025-26Results'!$H:$H,A20,'NHL2025-26Results'!$F:$F,"SO")</f>
        <v>1</v>
      </c>
      <c r="J20">
        <f>COUNTIFS('NHL2025-26Results'!$B:$B,A20,'NHL2025-26Results'!$G:$G,A20)</f>
        <v>9</v>
      </c>
      <c r="K20">
        <f>COUNTIFS('NHL2025-26Results'!$B:$B,A20,'NHL2025-26Results'!$H:$H,A20,'NHL2025-26Results'!$F:$F,"")</f>
        <v>2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0.1111111111111111</v>
      </c>
      <c r="N20" s="11">
        <f>Table1[[#This Row],[AwayWins]]/SUM(Table1[[#This Row],[AwayWins]:[AwayOTL]])</f>
        <v>0.75</v>
      </c>
      <c r="O20" s="14">
        <f>SUMIFS('NHL2025-26Results'!$E:$E,'NHL2025-26Results'!$D:$D,A20,'NHL2025-26Results'!$E:$E,"&gt;0")/COUNTIFS('NHL2025-26Results'!$D:$D,A20,'NHL2025-26Results'!$E:$E,"&gt;0")</f>
        <v>3.25</v>
      </c>
      <c r="P20" s="14">
        <f>SUMIFS('NHL2025-26Results'!$C:$C,'NHL2025-26Results'!$B:$B,A20,'NHL2025-26Results'!$C:$C,"&gt;0")/COUNTIFS('NHL2025-26Results'!$B:$B,A20,'NHL2025-26Results'!$C:$C,"&gt;0")</f>
        <v>3.3333333333333335</v>
      </c>
      <c r="Q20" s="14">
        <f>SUMIFS('NHL2025-26Results'!$C:$C,'NHL2025-26Results'!$D:$D,A20,'NHL2025-26Results'!$C:$C,"&gt;0")/COUNTIFS('NHL2025-26Results'!$D:$D,A20,'NHL2025-26Results'!$C:$C,"&gt;0")</f>
        <v>3.1111111111111112</v>
      </c>
      <c r="R20" s="14">
        <f>SUMIFS('NHL2025-26Results'!$E:$E,'NHL2025-26Results'!$B:$B,A20,'NHL2025-26Results'!$E:$E,"&gt;0")/COUNTIFS('NHL2025-26Results'!$B:$B,A20,'NHL2025-26Results'!$E:$E,"&gt;0")</f>
        <v>2.4</v>
      </c>
    </row>
    <row r="21" spans="1:18" x14ac:dyDescent="0.2">
      <c r="A21" s="4" t="s">
        <v>36</v>
      </c>
      <c r="B21">
        <f>SUM(Table1[[#This Row],[W]:[OTL]])</f>
        <v>19</v>
      </c>
      <c r="C21">
        <f>COUNTIF(NHL2025_26Results[Winning Team],Standings!A21)</f>
        <v>9</v>
      </c>
      <c r="D21">
        <f>COUNTIFS('NHL2025-26Results'!$H:$H,A21,'NHL2025-26Results'!$F:$F,"")</f>
        <v>6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22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3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3</v>
      </c>
      <c r="K21">
        <f>COUNTIFS('NHL2025-26Results'!$B:$B,A21,'NHL2025-26Results'!$H:$H,A21,'NHL2025-26Results'!$F:$F,"")</f>
        <v>3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0.54545454545454541</v>
      </c>
      <c r="N21" s="11">
        <f>Table1[[#This Row],[AwayWins]]/SUM(Table1[[#This Row],[AwayWins]:[AwayOTL]])</f>
        <v>0.375</v>
      </c>
      <c r="O21" s="14">
        <f>SUMIFS('NHL2025-26Results'!$E:$E,'NHL2025-26Results'!$D:$D,A21,'NHL2025-26Results'!$E:$E,"&gt;0")/COUNTIFS('NHL2025-26Results'!$D:$D,A21,'NHL2025-26Results'!$E:$E,"&gt;0")</f>
        <v>3.5</v>
      </c>
      <c r="P21" s="14">
        <f>SUMIFS('NHL2025-26Results'!$C:$C,'NHL2025-26Results'!$B:$B,A21,'NHL2025-26Results'!$C:$C,"&gt;0")/COUNTIFS('NHL2025-26Results'!$B:$B,A21,'NHL2025-26Results'!$C:$C,"&gt;0")</f>
        <v>3.625</v>
      </c>
      <c r="Q21" s="14">
        <f>SUMIFS('NHL2025-26Results'!$C:$C,'NHL2025-26Results'!$D:$D,A21,'NHL2025-26Results'!$C:$C,"&gt;0")/COUNTIFS('NHL2025-26Results'!$D:$D,A21,'NHL2025-26Results'!$C:$C,"&gt;0")</f>
        <v>2.7272727272727271</v>
      </c>
      <c r="R21" s="14">
        <f>SUMIFS('NHL2025-26Results'!$E:$E,'NHL2025-26Results'!$B:$B,A21,'NHL2025-26Results'!$E:$E,"&gt;0")/COUNTIFS('NHL2025-26Results'!$B:$B,A21,'NHL2025-26Results'!$E:$E,"&gt;0")</f>
        <v>4.375</v>
      </c>
    </row>
    <row r="22" spans="1:18" x14ac:dyDescent="0.2">
      <c r="A22" s="4" t="s">
        <v>27</v>
      </c>
      <c r="B22">
        <f>SUM(Table1[[#This Row],[W]:[OTL]])</f>
        <v>18</v>
      </c>
      <c r="C22">
        <f>COUNTIF(NHL2025_26Results[Winning Team],Standings!A22)</f>
        <v>9</v>
      </c>
      <c r="D22">
        <f>COUNTIFS('NHL2025-26Results'!$H:$H,A22,'NHL2025-26Results'!$F:$F,"")</f>
        <v>6</v>
      </c>
      <c r="E22">
        <f>COUNTIFS('NHL2025-26Results'!$F:$F,"OT",'NHL2025-26Results'!$H:$H,A22) + COUNTIFS('NHL2025-26Results'!$F:$F,"SO",'NHL2025-26Results'!$H:$H,A22)</f>
        <v>3</v>
      </c>
      <c r="F22" s="3">
        <f>(Table1[[#This Row],[W]]*2)+Table1[[#This Row],[OTL]]</f>
        <v>21</v>
      </c>
      <c r="G22">
        <f>COUNTIFS('NHL2025-26Results'!$D:$D,A22,'NHL2025-26Results'!$G:$G,A22)</f>
        <v>6</v>
      </c>
      <c r="H22">
        <f>COUNTIFS('NHL2025-26Results'!$D:$D,A22,'NHL2025-26Results'!$H:$H,A22,'NHL2025-26Results'!$F:$F,"")</f>
        <v>3</v>
      </c>
      <c r="I22">
        <f>COUNTIFS('NHL2025-26Results'!$D:$D,A22,'NHL2025-26Results'!$H:$H,A22,'NHL2025-26Results'!$F:$F,"OT") + COUNTIFS('NHL2025-26Results'!$D:$D,A22,'NHL2025-26Results'!$H:$H,A22,'NHL2025-26Results'!$F:$F,"SO")</f>
        <v>2</v>
      </c>
      <c r="J22">
        <f>COUNTIFS('NHL2025-26Results'!$B:$B,A22,'NHL2025-26Results'!$G:$G,A22)</f>
        <v>3</v>
      </c>
      <c r="K22">
        <f>COUNTIFS('NHL2025-26Results'!$B:$B,A22,'NHL2025-26Results'!$H:$H,A22,'NHL2025-26Results'!$F:$F,"")</f>
        <v>3</v>
      </c>
      <c r="L22">
        <f>COUNTIFS('NHL2025-26Results'!$B:$B,A22,'NHL2025-26Results'!$H:$H,A22,'NHL2025-26Results'!$F:$F,"OT") + COUNTIFS('NHL2025-26Results'!$B:$B,A22,'NHL2025-26Results'!$H:$H,A22,'NHL2025-26Results'!$F:$F,"SO")</f>
        <v>1</v>
      </c>
      <c r="M22" s="11">
        <f>Table1[[#This Row],[HomeWins]]/SUM(Table1[[#This Row],[HomeWins]:[HomeOTL]])</f>
        <v>0.54545454545454541</v>
      </c>
      <c r="N22" s="11">
        <f>Table1[[#This Row],[AwayWins]]/SUM(Table1[[#This Row],[AwayWins]:[AwayOTL]])</f>
        <v>0.42857142857142855</v>
      </c>
      <c r="O22" s="14">
        <f>SUMIFS('NHL2025-26Results'!$E:$E,'NHL2025-26Results'!$D:$D,A22,'NHL2025-26Results'!$E:$E,"&gt;0")/COUNTIFS('NHL2025-26Results'!$D:$D,A22,'NHL2025-26Results'!$E:$E,"&gt;0")</f>
        <v>2.8181818181818183</v>
      </c>
      <c r="P22" s="14">
        <f>SUMIFS('NHL2025-26Results'!$C:$C,'NHL2025-26Results'!$B:$B,A22,'NHL2025-26Results'!$C:$C,"&gt;0")/COUNTIFS('NHL2025-26Results'!$B:$B,A22,'NHL2025-26Results'!$C:$C,"&gt;0")</f>
        <v>2.8571428571428572</v>
      </c>
      <c r="Q22" s="14">
        <f>SUMIFS('NHL2025-26Results'!$C:$C,'NHL2025-26Results'!$D:$D,A22,'NHL2025-26Results'!$C:$C,"&gt;0")/COUNTIFS('NHL2025-26Results'!$D:$D,A22,'NHL2025-26Results'!$C:$C,"&gt;0")</f>
        <v>2.5454545454545454</v>
      </c>
      <c r="R22" s="14">
        <f>SUMIFS('NHL2025-26Results'!$E:$E,'NHL2025-26Results'!$B:$B,A22,'NHL2025-26Results'!$E:$E,"&gt;0")/COUNTIFS('NHL2025-26Results'!$B:$B,A22,'NHL2025-26Results'!$E:$E,"&gt;0")</f>
        <v>3.2857142857142856</v>
      </c>
    </row>
    <row r="23" spans="1:18" x14ac:dyDescent="0.2">
      <c r="A23" s="4" t="s">
        <v>14</v>
      </c>
      <c r="B23">
        <f>SUM(Table1[[#This Row],[W]:[OTL]])</f>
        <v>19</v>
      </c>
      <c r="C23">
        <f>COUNTIF(NHL2025_26Results[Winning Team],Standings!A23)</f>
        <v>10</v>
      </c>
      <c r="D23">
        <f>COUNTIFS('NHL2025-26Results'!$H:$H,A23,'NHL2025-26Results'!$F:$F,"")</f>
        <v>5</v>
      </c>
      <c r="E23">
        <f>COUNTIFS('NHL2025-26Results'!$F:$F,"OT",'NHL2025-26Results'!$H:$H,A23) + COUNTIFS('NHL2025-26Results'!$F:$F,"SO",'NHL2025-26Results'!$H:$H,A23)</f>
        <v>4</v>
      </c>
      <c r="F23" s="3">
        <f>(Table1[[#This Row],[W]]*2)+Table1[[#This Row],[OTL]]</f>
        <v>24</v>
      </c>
      <c r="G23">
        <f>COUNTIFS('NHL2025-26Results'!$D:$D,A23,'NHL2025-26Results'!$G:$G,A23)</f>
        <v>5</v>
      </c>
      <c r="H23">
        <f>COUNTIFS('NHL2025-26Results'!$D:$D,A23,'NHL2025-26Results'!$H:$H,A23,'NHL2025-26Results'!$F:$F,"")</f>
        <v>2</v>
      </c>
      <c r="I23">
        <f>COUNTIFS('NHL2025-26Results'!$D:$D,A23,'NHL2025-26Results'!$H:$H,A23,'NHL2025-26Results'!$F:$F,"OT") + COUNTIFS('NHL2025-26Results'!$D:$D,A23,'NHL2025-26Results'!$H:$H,A23,'NHL2025-26Results'!$F:$F,"SO")</f>
        <v>1</v>
      </c>
      <c r="J23">
        <f>COUNTIFS('NHL2025-26Results'!$B:$B,A23,'NHL2025-26Results'!$G:$G,A23)</f>
        <v>5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3</v>
      </c>
      <c r="M23" s="11">
        <f>Table1[[#This Row],[HomeWins]]/SUM(Table1[[#This Row],[HomeWins]:[HomeOTL]])</f>
        <v>0.625</v>
      </c>
      <c r="N23" s="11">
        <f>Table1[[#This Row],[AwayWins]]/SUM(Table1[[#This Row],[AwayWins]:[AwayOTL]])</f>
        <v>0.45454545454545453</v>
      </c>
      <c r="O23" s="14">
        <f>SUMIFS('NHL2025-26Results'!$E:$E,'NHL2025-26Results'!$D:$D,A23,'NHL2025-26Results'!$E:$E,"&gt;0")/COUNTIFS('NHL2025-26Results'!$D:$D,A23,'NHL2025-26Results'!$E:$E,"&gt;0")</f>
        <v>3.875</v>
      </c>
      <c r="P23" s="14">
        <f>SUMIFS('NHL2025-26Results'!$C:$C,'NHL2025-26Results'!$B:$B,A23,'NHL2025-26Results'!$C:$C,"&gt;0")/COUNTIFS('NHL2025-26Results'!$B:$B,A23,'NHL2025-26Results'!$C:$C,"&gt;0")</f>
        <v>2.8181818181818183</v>
      </c>
      <c r="Q23" s="14">
        <f>SUMIFS('NHL2025-26Results'!$C:$C,'NHL2025-26Results'!$D:$D,A23,'NHL2025-26Results'!$C:$C,"&gt;0")/COUNTIFS('NHL2025-26Results'!$D:$D,A23,'NHL2025-26Results'!$C:$C,"&gt;0")</f>
        <v>3.4285714285714284</v>
      </c>
      <c r="R23" s="14">
        <f>SUMIFS('NHL2025-26Results'!$E:$E,'NHL2025-26Results'!$B:$B,A23,'NHL2025-26Results'!$E:$E,"&gt;0")/COUNTIFS('NHL2025-26Results'!$B:$B,A23,'NHL2025-26Results'!$E:$E,"&gt;0")</f>
        <v>2.8888888888888888</v>
      </c>
    </row>
    <row r="24" spans="1:18" x14ac:dyDescent="0.2">
      <c r="A24" s="4" t="s">
        <v>33</v>
      </c>
      <c r="B24">
        <f>SUM(Table1[[#This Row],[W]:[OTL]])</f>
        <v>20</v>
      </c>
      <c r="C24">
        <f>COUNTIF(NHL2025_26Results[Winning Team],Standings!A24)</f>
        <v>9</v>
      </c>
      <c r="D24">
        <f>COUNTIFS('NHL2025-26Results'!$H:$H,A24,'NHL2025-26Results'!$F:$F,"")</f>
        <v>8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21</v>
      </c>
      <c r="G24">
        <f>COUNTIFS('NHL2025-26Results'!$D:$D,A24,'NHL2025-26Results'!$G:$G,A24)</f>
        <v>5</v>
      </c>
      <c r="H24">
        <f>COUNTIFS('NHL2025-26Results'!$D:$D,A24,'NHL2025-26Results'!$H:$H,A24,'NHL2025-26Results'!$F:$F,"")</f>
        <v>3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4</v>
      </c>
      <c r="K24">
        <f>COUNTIFS('NHL2025-26Results'!$B:$B,A24,'NHL2025-26Results'!$H:$H,A24,'NHL2025-26Results'!$F:$F,"")</f>
        <v>5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0.45454545454545453</v>
      </c>
      <c r="N24" s="11">
        <f>Table1[[#This Row],[AwayWins]]/SUM(Table1[[#This Row],[AwayWins]:[AwayOTL]])</f>
        <v>0.44444444444444442</v>
      </c>
      <c r="O24" s="14">
        <f>SUMIFS('NHL2025-26Results'!$E:$E,'NHL2025-26Results'!$D:$D,A24,'NHL2025-26Results'!$E:$E,"&gt;0")/COUNTIFS('NHL2025-26Results'!$D:$D,A24,'NHL2025-26Results'!$E:$E,"&gt;0")</f>
        <v>3.1</v>
      </c>
      <c r="P24" s="14">
        <f>SUMIFS('NHL2025-26Results'!$C:$C,'NHL2025-26Results'!$B:$B,A24,'NHL2025-26Results'!$C:$C,"&gt;0")/COUNTIFS('NHL2025-26Results'!$B:$B,A24,'NHL2025-26Results'!$C:$C,"&gt;0")</f>
        <v>3.5</v>
      </c>
      <c r="Q24" s="14">
        <f>SUMIFS('NHL2025-26Results'!$C:$C,'NHL2025-26Results'!$D:$D,A24,'NHL2025-26Results'!$C:$C,"&gt;0")/COUNTIFS('NHL2025-26Results'!$D:$D,A24,'NHL2025-26Results'!$C:$C,"&gt;0")</f>
        <v>3.0909090909090908</v>
      </c>
      <c r="R24" s="14">
        <f>SUMIFS('NHL2025-26Results'!$E:$E,'NHL2025-26Results'!$B:$B,A24,'NHL2025-26Results'!$E:$E,"&gt;0")/COUNTIFS('NHL2025-26Results'!$B:$B,A24,'NHL2025-26Results'!$E:$E,"&gt;0")</f>
        <v>3.4444444444444446</v>
      </c>
    </row>
    <row r="25" spans="1:18" x14ac:dyDescent="0.2">
      <c r="A25" s="4" t="s">
        <v>32</v>
      </c>
      <c r="B25">
        <f>SUM(Table1[[#This Row],[W]:[OTL]])</f>
        <v>19</v>
      </c>
      <c r="C25">
        <f>COUNTIF(NHL2025_26Results[Winning Team],Standings!A25)</f>
        <v>9</v>
      </c>
      <c r="D25">
        <f>COUNTIFS('NHL2025-26Results'!$H:$H,A25,'NHL2025-26Results'!$F:$F,"")</f>
        <v>5</v>
      </c>
      <c r="E25">
        <f>COUNTIFS('NHL2025-26Results'!$F:$F,"OT",'NHL2025-26Results'!$H:$H,A25) + COUNTIFS('NHL2025-26Results'!$F:$F,"SO",'NHL2025-26Results'!$H:$H,A25)</f>
        <v>5</v>
      </c>
      <c r="F25" s="3">
        <f>(Table1[[#This Row],[W]]*2)+Table1[[#This Row],[OTL]]</f>
        <v>23</v>
      </c>
      <c r="G25">
        <f>COUNTIFS('NHL2025-26Results'!$D:$D,A25,'NHL2025-26Results'!$G:$G,A25)</f>
        <v>6</v>
      </c>
      <c r="H25">
        <f>COUNTIFS('NHL2025-26Results'!$D:$D,A25,'NHL2025-26Results'!$H:$H,A25,'NHL2025-26Results'!$F:$F,"")</f>
        <v>1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3</v>
      </c>
      <c r="K25">
        <f>COUNTIFS('NHL2025-26Results'!$B:$B,A25,'NHL2025-26Results'!$H:$H,A25,'NHL2025-26Results'!$F:$F,"")</f>
        <v>4</v>
      </c>
      <c r="L25">
        <f>COUNTIFS('NHL2025-26Results'!$B:$B,A25,'NHL2025-26Results'!$H:$H,A25,'NHL2025-26Results'!$F:$F,"OT") + COUNTIFS('NHL2025-26Results'!$B:$B,A25,'NHL2025-26Results'!$H:$H,A25,'NHL2025-26Results'!$F:$F,"SO")</f>
        <v>2</v>
      </c>
      <c r="M25" s="11">
        <f>Table1[[#This Row],[HomeWins]]/SUM(Table1[[#This Row],[HomeWins]:[HomeOTL]])</f>
        <v>0.6</v>
      </c>
      <c r="N25" s="11">
        <f>Table1[[#This Row],[AwayWins]]/SUM(Table1[[#This Row],[AwayWins]:[AwayOTL]])</f>
        <v>0.33333333333333331</v>
      </c>
      <c r="O25" s="14">
        <f>SUMIFS('NHL2025-26Results'!$E:$E,'NHL2025-26Results'!$D:$D,A25,'NHL2025-26Results'!$E:$E,"&gt;0")/COUNTIFS('NHL2025-26Results'!$D:$D,A25,'NHL2025-26Results'!$E:$E,"&gt;0")</f>
        <v>2.7</v>
      </c>
      <c r="P25" s="14">
        <f>SUMIFS('NHL2025-26Results'!$C:$C,'NHL2025-26Results'!$B:$B,A25,'NHL2025-26Results'!$C:$C,"&gt;0")/COUNTIFS('NHL2025-26Results'!$B:$B,A25,'NHL2025-26Results'!$C:$C,"&gt;0")</f>
        <v>2.6666666666666665</v>
      </c>
      <c r="Q25" s="14">
        <f>SUMIFS('NHL2025-26Results'!$C:$C,'NHL2025-26Results'!$D:$D,A25,'NHL2025-26Results'!$C:$C,"&gt;0")/COUNTIFS('NHL2025-26Results'!$D:$D,A25,'NHL2025-26Results'!$C:$C,"&gt;0")</f>
        <v>2.4</v>
      </c>
      <c r="R25" s="14">
        <f>SUMIFS('NHL2025-26Results'!$E:$E,'NHL2025-26Results'!$B:$B,A25,'NHL2025-26Results'!$E:$E,"&gt;0")/COUNTIFS('NHL2025-26Results'!$B:$B,A25,'NHL2025-26Results'!$E:$E,"&gt;0")</f>
        <v>3.75</v>
      </c>
    </row>
    <row r="26" spans="1:18" x14ac:dyDescent="0.2">
      <c r="A26" s="4" t="s">
        <v>35</v>
      </c>
      <c r="B26">
        <f>SUM(Table1[[#This Row],[W]:[OTL]])</f>
        <v>20</v>
      </c>
      <c r="C26">
        <f>COUNTIF(NHL2025_26Results[Winning Team],Standings!A26)</f>
        <v>6</v>
      </c>
      <c r="D26">
        <f>COUNTIFS('NHL2025-26Results'!$H:$H,A26,'NHL2025-26Results'!$F:$F,"")</f>
        <v>9</v>
      </c>
      <c r="E26">
        <f>COUNTIFS('NHL2025-26Results'!$F:$F,"OT",'NHL2025-26Results'!$H:$H,A26) + COUNTIFS('NHL2025-26Results'!$F:$F,"SO",'NHL2025-26Results'!$H:$H,A26)</f>
        <v>5</v>
      </c>
      <c r="F26" s="3">
        <f>(Table1[[#This Row],[W]]*2)+Table1[[#This Row],[OTL]]</f>
        <v>17</v>
      </c>
      <c r="G26">
        <f>COUNTIFS('NHL2025-26Results'!$D:$D,A26,'NHL2025-26Results'!$G:$G,A26)</f>
        <v>3</v>
      </c>
      <c r="H26">
        <f>COUNTIFS('NHL2025-26Results'!$D:$D,A26,'NHL2025-26Results'!$H:$H,A26,'NHL2025-26Results'!$F:$F,"")</f>
        <v>5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3</v>
      </c>
      <c r="K26">
        <f>COUNTIFS('NHL2025-26Results'!$B:$B,A26,'NHL2025-26Results'!$H:$H,A26,'NHL2025-26Results'!$F:$F,"")</f>
        <v>4</v>
      </c>
      <c r="L26">
        <f>COUNTIFS('NHL2025-26Results'!$B:$B,A26,'NHL2025-26Results'!$H:$H,A26,'NHL2025-26Results'!$F:$F,"OT") + COUNTIFS('NHL2025-26Results'!$B:$B,A26,'NHL2025-26Results'!$H:$H,A26,'NHL2025-26Results'!$F:$F,"SO")</f>
        <v>1</v>
      </c>
      <c r="M26" s="11">
        <f>Table1[[#This Row],[HomeWins]]/SUM(Table1[[#This Row],[HomeWins]:[HomeOTL]])</f>
        <v>0.25</v>
      </c>
      <c r="N26" s="11">
        <f>Table1[[#This Row],[AwayWins]]/SUM(Table1[[#This Row],[AwayWins]:[AwayOTL]])</f>
        <v>0.375</v>
      </c>
      <c r="O26" s="14">
        <f>SUMIFS('NHL2025-26Results'!$E:$E,'NHL2025-26Results'!$D:$D,A26,'NHL2025-26Results'!$E:$E,"&gt;0")/COUNTIFS('NHL2025-26Results'!$D:$D,A26,'NHL2025-26Results'!$E:$E,"&gt;0")</f>
        <v>2.8181818181818183</v>
      </c>
      <c r="P26" s="14">
        <f>SUMIFS('NHL2025-26Results'!$C:$C,'NHL2025-26Results'!$B:$B,A26,'NHL2025-26Results'!$C:$C,"&gt;0")/COUNTIFS('NHL2025-26Results'!$B:$B,A26,'NHL2025-26Results'!$C:$C,"&gt;0")</f>
        <v>3</v>
      </c>
      <c r="Q26" s="14">
        <f>SUMIFS('NHL2025-26Results'!$C:$C,'NHL2025-26Results'!$D:$D,A26,'NHL2025-26Results'!$C:$C,"&gt;0")/COUNTIFS('NHL2025-26Results'!$D:$D,A26,'NHL2025-26Results'!$C:$C,"&gt;0")</f>
        <v>4.166666666666667</v>
      </c>
      <c r="R26" s="14">
        <f>SUMIFS('NHL2025-26Results'!$E:$E,'NHL2025-26Results'!$B:$B,A26,'NHL2025-26Results'!$E:$E,"&gt;0")/COUNTIFS('NHL2025-26Results'!$B:$B,A26,'NHL2025-26Results'!$E:$E,"&gt;0")</f>
        <v>4</v>
      </c>
    </row>
    <row r="27" spans="1:18" x14ac:dyDescent="0.2">
      <c r="A27" s="4" t="s">
        <v>37</v>
      </c>
      <c r="B27">
        <f>SUM(Table1[[#This Row],[W]:[OTL]])</f>
        <v>19</v>
      </c>
      <c r="C27">
        <f>COUNTIF(NHL2025_26Results[Winning Team],Standings!A27)</f>
        <v>10</v>
      </c>
      <c r="D27">
        <f>COUNTIFS('NHL2025-26Results'!$H:$H,A27,'NHL2025-26Results'!$F:$F,"")</f>
        <v>7</v>
      </c>
      <c r="E27">
        <f>COUNTIFS('NHL2025-26Results'!$F:$F,"OT",'NHL2025-26Results'!$H:$H,A27) + COUNTIFS('NHL2025-26Results'!$F:$F,"SO",'NHL2025-26Results'!$H:$H,A27)</f>
        <v>2</v>
      </c>
      <c r="F27" s="3">
        <f>(Table1[[#This Row],[W]]*2)+Table1[[#This Row],[OTL]]</f>
        <v>22</v>
      </c>
      <c r="G27">
        <f>COUNTIFS('NHL2025-26Results'!$D:$D,A27,'NHL2025-26Results'!$G:$G,A27)</f>
        <v>5</v>
      </c>
      <c r="H27">
        <f>COUNTIFS('NHL2025-26Results'!$D:$D,A27,'NHL2025-26Results'!$H:$H,A27,'NHL2025-26Results'!$F:$F,"")</f>
        <v>5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5</v>
      </c>
      <c r="K27">
        <f>COUNTIFS('NHL2025-26Results'!$B:$B,A27,'NHL2025-26Results'!$H:$H,A27,'NHL2025-26Results'!$F:$F,"")</f>
        <v>2</v>
      </c>
      <c r="L27">
        <f>COUNTIFS('NHL2025-26Results'!$B:$B,A27,'NHL2025-26Results'!$H:$H,A27,'NHL2025-26Results'!$F:$F,"OT") + COUNTIFS('NHL2025-26Results'!$B:$B,A27,'NHL2025-26Results'!$H:$H,A27,'NHL2025-26Results'!$F:$F,"SO")</f>
        <v>2</v>
      </c>
      <c r="M27" s="11">
        <f>Table1[[#This Row],[HomeWins]]/SUM(Table1[[#This Row],[HomeWins]:[HomeOTL]])</f>
        <v>0.5</v>
      </c>
      <c r="N27" s="11">
        <f>Table1[[#This Row],[AwayWins]]/SUM(Table1[[#This Row],[AwayWins]:[AwayOTL]])</f>
        <v>0.55555555555555558</v>
      </c>
      <c r="O27" s="14">
        <f>SUMIFS('NHL2025-26Results'!$E:$E,'NHL2025-26Results'!$D:$D,A27,'NHL2025-26Results'!$E:$E,"&gt;0")/COUNTIFS('NHL2025-26Results'!$D:$D,A27,'NHL2025-26Results'!$E:$E,"&gt;0")</f>
        <v>3</v>
      </c>
      <c r="P27" s="14">
        <f>SUMIFS('NHL2025-26Results'!$C:$C,'NHL2025-26Results'!$B:$B,A27,'NHL2025-26Results'!$C:$C,"&gt;0")/COUNTIFS('NHL2025-26Results'!$B:$B,A27,'NHL2025-26Results'!$C:$C,"&gt;0")</f>
        <v>3.2222222222222223</v>
      </c>
      <c r="Q27" s="14">
        <f>SUMIFS('NHL2025-26Results'!$C:$C,'NHL2025-26Results'!$D:$D,A27,'NHL2025-26Results'!$C:$C,"&gt;0")/COUNTIFS('NHL2025-26Results'!$D:$D,A27,'NHL2025-26Results'!$C:$C,"&gt;0")</f>
        <v>3.4</v>
      </c>
      <c r="R27" s="14">
        <f>SUMIFS('NHL2025-26Results'!$E:$E,'NHL2025-26Results'!$B:$B,A27,'NHL2025-26Results'!$E:$E,"&gt;0")/COUNTIFS('NHL2025-26Results'!$B:$B,A27,'NHL2025-26Results'!$E:$E,"&gt;0")</f>
        <v>2.4444444444444446</v>
      </c>
    </row>
    <row r="28" spans="1:18" x14ac:dyDescent="0.2">
      <c r="A28" s="4" t="s">
        <v>19</v>
      </c>
      <c r="B28">
        <f>SUM(Table1[[#This Row],[W]:[OTL]])</f>
        <v>20</v>
      </c>
      <c r="C28">
        <f>COUNTIF(NHL2025_26Results[Winning Team],Standings!A28)</f>
        <v>9</v>
      </c>
      <c r="D28">
        <f>COUNTIFS('NHL2025-26Results'!$H:$H,A28,'NHL2025-26Results'!$F:$F,"")</f>
        <v>9</v>
      </c>
      <c r="E28">
        <f>COUNTIFS('NHL2025-26Results'!$F:$F,"OT",'NHL2025-26Results'!$H:$H,A28) + COUNTIFS('NHL2025-26Results'!$F:$F,"SO",'NHL2025-26Results'!$H:$H,A28)</f>
        <v>2</v>
      </c>
      <c r="F28" s="3">
        <f>(Table1[[#This Row],[W]]*2)+Table1[[#This Row],[OTL]]</f>
        <v>20</v>
      </c>
      <c r="G28">
        <f>COUNTIFS('NHL2025-26Results'!$D:$D,A28,'NHL2025-26Results'!$G:$G,A28)</f>
        <v>8</v>
      </c>
      <c r="H28">
        <f>COUNTIFS('NHL2025-26Results'!$D:$D,A28,'NHL2025-26Results'!$H:$H,A28,'NHL2025-26Results'!$F:$F,"")</f>
        <v>4</v>
      </c>
      <c r="I28">
        <f>COUNTIFS('NHL2025-26Results'!$D:$D,A28,'NHL2025-26Results'!$H:$H,A28,'NHL2025-26Results'!$F:$F,"OT") + COUNTIFS('NHL2025-26Results'!$D:$D,A28,'NHL2025-26Results'!$H:$H,A28,'NHL2025-26Results'!$F:$F,"SO")</f>
        <v>2</v>
      </c>
      <c r="J28">
        <f>COUNTIFS('NHL2025-26Results'!$B:$B,A28,'NHL2025-26Results'!$G:$G,A28)</f>
        <v>1</v>
      </c>
      <c r="K28">
        <f>COUNTIFS('NHL2025-26Results'!$B:$B,A28,'NHL2025-26Results'!$H:$H,A28,'NHL2025-26Results'!$F:$F,"")</f>
        <v>5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0.5714285714285714</v>
      </c>
      <c r="N28" s="11">
        <f>Table1[[#This Row],[AwayWins]]/SUM(Table1[[#This Row],[AwayWins]:[AwayOTL]])</f>
        <v>0.16666666666666666</v>
      </c>
      <c r="O28" s="14">
        <f>SUMIFS('NHL2025-26Results'!$E:$E,'NHL2025-26Results'!$D:$D,A28,'NHL2025-26Results'!$E:$E,"&gt;0")/COUNTIFS('NHL2025-26Results'!$D:$D,A28,'NHL2025-26Results'!$E:$E,"&gt;0")</f>
        <v>3.6428571428571428</v>
      </c>
      <c r="P28" s="14">
        <f>SUMIFS('NHL2025-26Results'!$C:$C,'NHL2025-26Results'!$B:$B,A28,'NHL2025-26Results'!$C:$C,"&gt;0")/COUNTIFS('NHL2025-26Results'!$B:$B,A28,'NHL2025-26Results'!$C:$C,"&gt;0")</f>
        <v>3.1666666666666665</v>
      </c>
      <c r="Q28" s="14">
        <f>SUMIFS('NHL2025-26Results'!$C:$C,'NHL2025-26Results'!$D:$D,A28,'NHL2025-26Results'!$C:$C,"&gt;0")/COUNTIFS('NHL2025-26Results'!$D:$D,A28,'NHL2025-26Results'!$C:$C,"&gt;0")</f>
        <v>3.3571428571428572</v>
      </c>
      <c r="R28" s="14">
        <f>SUMIFS('NHL2025-26Results'!$E:$E,'NHL2025-26Results'!$B:$B,A28,'NHL2025-26Results'!$E:$E,"&gt;0")/COUNTIFS('NHL2025-26Results'!$B:$B,A28,'NHL2025-26Results'!$E:$E,"&gt;0")</f>
        <v>4.5</v>
      </c>
    </row>
    <row r="29" spans="1:18" x14ac:dyDescent="0.2">
      <c r="A29" t="s">
        <v>55</v>
      </c>
      <c r="B29">
        <f>SUM(Table1[[#This Row],[W]:[OTL]])</f>
        <v>20</v>
      </c>
      <c r="C29">
        <f>COUNTIF(NHL2025_26Results[Winning Team],Standings!A29)</f>
        <v>10</v>
      </c>
      <c r="D29">
        <f>COUNTIFS('NHL2025-26Results'!$H:$H,A29,'NHL2025-26Results'!$F:$F,"")</f>
        <v>7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23</v>
      </c>
      <c r="G29">
        <f>COUNTIFS('NHL2025-26Results'!$D:$D,A29,'NHL2025-26Results'!$G:$G,A29)</f>
        <v>5</v>
      </c>
      <c r="H29">
        <f>COUNTIFS('NHL2025-26Results'!$D:$D,A29,'NHL2025-26Results'!$H:$H,A29,'NHL2025-26Results'!$F:$F,"")</f>
        <v>1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5</v>
      </c>
      <c r="K29">
        <f>COUNTIFS('NHL2025-26Results'!$B:$B,A29,'NHL2025-26Results'!$H:$H,A29,'NHL2025-26Results'!$F:$F,"")</f>
        <v>6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0.7142857142857143</v>
      </c>
      <c r="N29" s="11">
        <f>Table1[[#This Row],[AwayWins]]/SUM(Table1[[#This Row],[AwayWins]:[AwayOTL]])</f>
        <v>0.38461538461538464</v>
      </c>
      <c r="O29" s="14">
        <f>SUMIFS('NHL2025-26Results'!$E:$E,'NHL2025-26Results'!$D:$D,A29,'NHL2025-26Results'!$E:$E,"&gt;0")/COUNTIFS('NHL2025-26Results'!$D:$D,A29,'NHL2025-26Results'!$E:$E,"&gt;0")</f>
        <v>3.5714285714285716</v>
      </c>
      <c r="P29" s="14">
        <f>SUMIFS('NHL2025-26Results'!$C:$C,'NHL2025-26Results'!$B:$B,A29,'NHL2025-26Results'!$C:$C,"&gt;0")/COUNTIFS('NHL2025-26Results'!$B:$B,A29,'NHL2025-26Results'!$C:$C,"&gt;0")</f>
        <v>2.8461538461538463</v>
      </c>
      <c r="Q29" s="14">
        <f>SUMIFS('NHL2025-26Results'!$C:$C,'NHL2025-26Results'!$D:$D,A29,'NHL2025-26Results'!$C:$C,"&gt;0")/COUNTIFS('NHL2025-26Results'!$D:$D,A29,'NHL2025-26Results'!$C:$C,"&gt;0")</f>
        <v>2.5714285714285716</v>
      </c>
      <c r="R29" s="14">
        <f>SUMIFS('NHL2025-26Results'!$E:$E,'NHL2025-26Results'!$B:$B,A29,'NHL2025-26Results'!$E:$E,"&gt;0")/COUNTIFS('NHL2025-26Results'!$B:$B,A29,'NHL2025-26Results'!$E:$E,"&gt;0")</f>
        <v>3.3076923076923075</v>
      </c>
    </row>
    <row r="30" spans="1:18" x14ac:dyDescent="0.2">
      <c r="A30" s="4" t="s">
        <v>38</v>
      </c>
      <c r="B30">
        <f>SUM(Table1[[#This Row],[W]:[OTL]])</f>
        <v>21</v>
      </c>
      <c r="C30">
        <f>COUNTIF(NHL2025_26Results[Winning Team],Standings!A30)</f>
        <v>9</v>
      </c>
      <c r="D30">
        <f>COUNTIFS('NHL2025-26Results'!$H:$H,A30,'NHL2025-26Results'!$F:$F,"")</f>
        <v>10</v>
      </c>
      <c r="E30">
        <f>COUNTIFS('NHL2025-26Results'!$F:$F,"OT",'NHL2025-26Results'!$H:$H,A30) + COUNTIFS('NHL2025-26Results'!$F:$F,"SO",'NHL2025-26Results'!$H:$H,A30)</f>
        <v>2</v>
      </c>
      <c r="F30" s="3">
        <f>(Table1[[#This Row],[W]]*2)+Table1[[#This Row],[OTL]]</f>
        <v>20</v>
      </c>
      <c r="G30">
        <f>COUNTIFS('NHL2025-26Results'!$D:$D,A30,'NHL2025-26Results'!$G:$G,A30)</f>
        <v>3</v>
      </c>
      <c r="H30">
        <f>COUNTIFS('NHL2025-26Results'!$D:$D,A30,'NHL2025-26Results'!$H:$H,A30,'NHL2025-26Results'!$F:$F,"")</f>
        <v>5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6</v>
      </c>
      <c r="K30">
        <f>COUNTIFS('NHL2025-26Results'!$B:$B,A30,'NHL2025-26Results'!$H:$H,A30,'NHL2025-26Results'!$F:$F,"")</f>
        <v>5</v>
      </c>
      <c r="L30">
        <f>COUNTIFS('NHL2025-26Results'!$B:$B,A30,'NHL2025-26Results'!$H:$H,A30,'NHL2025-26Results'!$F:$F,"OT") + COUNTIFS('NHL2025-26Results'!$B:$B,A30,'NHL2025-26Results'!$H:$H,A30,'NHL2025-26Results'!$F:$F,"SO")</f>
        <v>1</v>
      </c>
      <c r="M30" s="11">
        <f>Table1[[#This Row],[HomeWins]]/SUM(Table1[[#This Row],[HomeWins]:[HomeOTL]])</f>
        <v>0.33333333333333331</v>
      </c>
      <c r="N30" s="11">
        <f>Table1[[#This Row],[AwayWins]]/SUM(Table1[[#This Row],[AwayWins]:[AwayOTL]])</f>
        <v>0.5</v>
      </c>
      <c r="O30" s="14">
        <f>SUMIFS('NHL2025-26Results'!$E:$E,'NHL2025-26Results'!$D:$D,A30,'NHL2025-26Results'!$E:$E,"&gt;0")/COUNTIFS('NHL2025-26Results'!$D:$D,A30,'NHL2025-26Results'!$E:$E,"&gt;0")</f>
        <v>3.375</v>
      </c>
      <c r="P30" s="14">
        <f>SUMIFS('NHL2025-26Results'!$C:$C,'NHL2025-26Results'!$B:$B,A30,'NHL2025-26Results'!$C:$C,"&gt;0")/COUNTIFS('NHL2025-26Results'!$B:$B,A30,'NHL2025-26Results'!$C:$C,"&gt;0")</f>
        <v>3.3333333333333335</v>
      </c>
      <c r="Q30" s="14">
        <f>SUMIFS('NHL2025-26Results'!$C:$C,'NHL2025-26Results'!$D:$D,A30,'NHL2025-26Results'!$C:$C,"&gt;0")/COUNTIFS('NHL2025-26Results'!$D:$D,A30,'NHL2025-26Results'!$C:$C,"&gt;0")</f>
        <v>3.6666666666666665</v>
      </c>
      <c r="R30" s="14">
        <f>SUMIFS('NHL2025-26Results'!$E:$E,'NHL2025-26Results'!$B:$B,A30,'NHL2025-26Results'!$E:$E,"&gt;0")/COUNTIFS('NHL2025-26Results'!$B:$B,A30,'NHL2025-26Results'!$E:$E,"&gt;0")</f>
        <v>3.6666666666666665</v>
      </c>
    </row>
    <row r="31" spans="1:18" x14ac:dyDescent="0.2">
      <c r="A31" s="4" t="s">
        <v>20</v>
      </c>
      <c r="B31">
        <f>SUM(Table1[[#This Row],[W]:[OTL]])</f>
        <v>19</v>
      </c>
      <c r="C31">
        <f>COUNTIF(NHL2025_26Results[Winning Team],Standings!A31)</f>
        <v>9</v>
      </c>
      <c r="D31">
        <f>COUNTIFS('NHL2025-26Results'!$H:$H,A31,'NHL2025-26Results'!$F:$F,"")</f>
        <v>4</v>
      </c>
      <c r="E31">
        <f>COUNTIFS('NHL2025-26Results'!$F:$F,"OT",'NHL2025-26Results'!$H:$H,A31) + COUNTIFS('NHL2025-26Results'!$F:$F,"SO",'NHL2025-26Results'!$H:$H,A31)</f>
        <v>6</v>
      </c>
      <c r="F31" s="3">
        <f>(Table1[[#This Row],[W]]*2)+Table1[[#This Row],[OTL]]</f>
        <v>24</v>
      </c>
      <c r="G31">
        <f>COUNTIFS('NHL2025-26Results'!$D:$D,A31,'NHL2025-26Results'!$G:$G,A31)</f>
        <v>5</v>
      </c>
      <c r="H31">
        <f>COUNTIFS('NHL2025-26Results'!$D:$D,A31,'NHL2025-26Results'!$H:$H,A31,'NHL2025-26Results'!$F:$F,"")</f>
        <v>3</v>
      </c>
      <c r="I31">
        <f>COUNTIFS('NHL2025-26Results'!$D:$D,A31,'NHL2025-26Results'!$H:$H,A31,'NHL2025-26Results'!$F:$F,"OT") + COUNTIFS('NHL2025-26Results'!$D:$D,A31,'NHL2025-26Results'!$H:$H,A31,'NHL2025-26Results'!$F:$F,"SO")</f>
        <v>3</v>
      </c>
      <c r="J31">
        <f>COUNTIFS('NHL2025-26Results'!$B:$B,A31,'NHL2025-26Results'!$G:$G,A31)</f>
        <v>4</v>
      </c>
      <c r="K31">
        <f>COUNTIFS('NHL2025-26Results'!$B:$B,A31,'NHL2025-26Results'!$H:$H,A31,'NHL2025-26Results'!$F:$F,"")</f>
        <v>1</v>
      </c>
      <c r="L31">
        <f>COUNTIFS('NHL2025-26Results'!$B:$B,A31,'NHL2025-26Results'!$H:$H,A31,'NHL2025-26Results'!$F:$F,"OT") + COUNTIFS('NHL2025-26Results'!$B:$B,A31,'NHL2025-26Results'!$H:$H,A31,'NHL2025-26Results'!$F:$F,"SO")</f>
        <v>3</v>
      </c>
      <c r="M31" s="11">
        <f>Table1[[#This Row],[HomeWins]]/SUM(Table1[[#This Row],[HomeWins]:[HomeOTL]])</f>
        <v>0.45454545454545453</v>
      </c>
      <c r="N31" s="11">
        <f>Table1[[#This Row],[AwayWins]]/SUM(Table1[[#This Row],[AwayWins]:[AwayOTL]])</f>
        <v>0.5</v>
      </c>
      <c r="O31" s="14">
        <f>SUMIFS('NHL2025-26Results'!$E:$E,'NHL2025-26Results'!$D:$D,A31,'NHL2025-26Results'!$E:$E,"&gt;0")/COUNTIFS('NHL2025-26Results'!$D:$D,A31,'NHL2025-26Results'!$E:$E,"&gt;0")</f>
        <v>3.4545454545454546</v>
      </c>
      <c r="P31" s="14">
        <f>SUMIFS('NHL2025-26Results'!$C:$C,'NHL2025-26Results'!$B:$B,A31,'NHL2025-26Results'!$C:$C,"&gt;0")/COUNTIFS('NHL2025-26Results'!$B:$B,A31,'NHL2025-26Results'!$C:$C,"&gt;0")</f>
        <v>3.1428571428571428</v>
      </c>
      <c r="Q31" s="14">
        <f>SUMIFS('NHL2025-26Results'!$C:$C,'NHL2025-26Results'!$D:$D,A31,'NHL2025-26Results'!$C:$C,"&gt;0")/COUNTIFS('NHL2025-26Results'!$D:$D,A31,'NHL2025-26Results'!$C:$C,"&gt;0")</f>
        <v>3.6</v>
      </c>
      <c r="R31" s="14">
        <f>SUMIFS('NHL2025-26Results'!$E:$E,'NHL2025-26Results'!$B:$B,A31,'NHL2025-26Results'!$E:$E,"&gt;0")/COUNTIFS('NHL2025-26Results'!$B:$B,A31,'NHL2025-26Results'!$E:$E,"&gt;0")</f>
        <v>2.375</v>
      </c>
    </row>
    <row r="32" spans="1:18" x14ac:dyDescent="0.2">
      <c r="A32" s="4" t="s">
        <v>22</v>
      </c>
      <c r="B32">
        <f>SUM(Table1[[#This Row],[W]:[OTL]])</f>
        <v>20</v>
      </c>
      <c r="C32">
        <f>COUNTIF(NHL2025_26Results[Winning Team],Standings!A32)</f>
        <v>10</v>
      </c>
      <c r="D32">
        <f>COUNTIFS('NHL2025-26Results'!$H:$H,A32,'NHL2025-26Results'!$F:$F,"")</f>
        <v>8</v>
      </c>
      <c r="E32">
        <f>COUNTIFS('NHL2025-26Results'!$F:$F,"OT",'NHL2025-26Results'!$H:$H,A32) + COUNTIFS('NHL2025-26Results'!$F:$F,"SO",'NHL2025-26Results'!$H:$H,A32)</f>
        <v>2</v>
      </c>
      <c r="F32" s="3">
        <f>(Table1[[#This Row],[W]]*2)+Table1[[#This Row],[OTL]]</f>
        <v>22</v>
      </c>
      <c r="G32">
        <f>COUNTIFS('NHL2025-26Results'!$D:$D,A32,'NHL2025-26Results'!$G:$G,A32)</f>
        <v>6</v>
      </c>
      <c r="H32">
        <f>COUNTIFS('NHL2025-26Results'!$D:$D,A32,'NHL2025-26Results'!$H:$H,A32,'NHL2025-26Results'!$F:$F,"")</f>
        <v>4</v>
      </c>
      <c r="I32">
        <f>COUNTIFS('NHL2025-26Results'!$D:$D,A32,'NHL2025-26Results'!$H:$H,A32,'NHL2025-26Results'!$F:$F,"OT") + COUNTIFS('NHL2025-26Results'!$D:$D,A32,'NHL2025-26Results'!$H:$H,A32,'NHL2025-26Results'!$F:$F,"SO")</f>
        <v>1</v>
      </c>
      <c r="J32">
        <f>COUNTIFS('NHL2025-26Results'!$B:$B,A32,'NHL2025-26Results'!$G:$G,A32)</f>
        <v>4</v>
      </c>
      <c r="K32">
        <f>COUNTIFS('NHL2025-26Results'!$B:$B,A32,'NHL2025-26Results'!$H:$H,A32,'NHL2025-26Results'!$F:$F,"")</f>
        <v>4</v>
      </c>
      <c r="L32">
        <f>COUNTIFS('NHL2025-26Results'!$B:$B,A32,'NHL2025-26Results'!$H:$H,A32,'NHL2025-26Results'!$F:$F,"OT") + COUNTIFS('NHL2025-26Results'!$B:$B,A32,'NHL2025-26Results'!$H:$H,A32,'NHL2025-26Results'!$F:$F,"SO")</f>
        <v>1</v>
      </c>
      <c r="M32" s="11">
        <f>Table1[[#This Row],[HomeWins]]/SUM(Table1[[#This Row],[HomeWins]:[HomeOTL]])</f>
        <v>0.54545454545454541</v>
      </c>
      <c r="N32" s="11">
        <f>Table1[[#This Row],[AwayWins]]/SUM(Table1[[#This Row],[AwayWins]:[AwayOTL]])</f>
        <v>0.44444444444444442</v>
      </c>
      <c r="O32" s="14">
        <f>SUMIFS('NHL2025-26Results'!$E:$E,'NHL2025-26Results'!$D:$D,A32,'NHL2025-26Results'!$E:$E,"&gt;0")/COUNTIFS('NHL2025-26Results'!$D:$D,A32,'NHL2025-26Results'!$E:$E,"&gt;0")</f>
        <v>3.1818181818181817</v>
      </c>
      <c r="P32" s="14">
        <f>SUMIFS('NHL2025-26Results'!$C:$C,'NHL2025-26Results'!$B:$B,A32,'NHL2025-26Results'!$C:$C,"&gt;0")/COUNTIFS('NHL2025-26Results'!$B:$B,A32,'NHL2025-26Results'!$C:$C,"&gt;0")</f>
        <v>3.125</v>
      </c>
      <c r="Q32" s="14">
        <f>SUMIFS('NHL2025-26Results'!$C:$C,'NHL2025-26Results'!$D:$D,A32,'NHL2025-26Results'!$C:$C,"&gt;0")/COUNTIFS('NHL2025-26Results'!$D:$D,A32,'NHL2025-26Results'!$C:$C,"&gt;0")</f>
        <v>2.7272727272727271</v>
      </c>
      <c r="R32" s="14">
        <f>SUMIFS('NHL2025-26Results'!$E:$E,'NHL2025-26Results'!$B:$B,A32,'NHL2025-26Results'!$E:$E,"&gt;0")/COUNTIFS('NHL2025-26Results'!$B:$B,A32,'NHL2025-26Results'!$E:$E,"&gt;0")</f>
        <v>2.875</v>
      </c>
    </row>
    <row r="33" spans="1:18" x14ac:dyDescent="0.2">
      <c r="A33" s="4" t="s">
        <v>40</v>
      </c>
      <c r="B33">
        <f>SUM(Table1[[#This Row],[W]:[OTL]])</f>
        <v>19</v>
      </c>
      <c r="C33">
        <f>COUNTIF(NHL2025_26Results[Winning Team],Standings!A33)</f>
        <v>12</v>
      </c>
      <c r="D33">
        <f>COUNTIFS('NHL2025-26Results'!$H:$H,A33,'NHL2025-26Results'!$F:$F,"")</f>
        <v>7</v>
      </c>
      <c r="E33">
        <f>COUNTIFS('NHL2025-26Results'!$F:$F,"OT",'NHL2025-26Results'!$H:$H,A33) + COUNTIFS('NHL2025-26Results'!$F:$F,"SO",'NHL2025-26Results'!$H:$H,A33)</f>
        <v>0</v>
      </c>
      <c r="F33" s="3">
        <f>(Table1[[#This Row],[W]]*2)+Table1[[#This Row],[OTL]]</f>
        <v>24</v>
      </c>
      <c r="G33">
        <f>COUNTIFS('NHL2025-26Results'!$D:$D,A33,'NHL2025-26Results'!$G:$G,A33)</f>
        <v>6</v>
      </c>
      <c r="H33">
        <f>COUNTIFS('NHL2025-26Results'!$D:$D,A33,'NHL2025-26Results'!$H:$H,A33,'NHL2025-26Results'!$F:$F,"")</f>
        <v>3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6</v>
      </c>
      <c r="K33">
        <f>COUNTIFS('NHL2025-26Results'!$B:$B,A33,'NHL2025-26Results'!$H:$H,A33,'NHL2025-26Results'!$F:$F,"")</f>
        <v>4</v>
      </c>
      <c r="L33">
        <f>COUNTIFS('NHL2025-26Results'!$B:$B,A33,'NHL2025-26Results'!$H:$H,A33,'NHL2025-26Results'!$F:$F,"OT") + COUNTIFS('NHL2025-26Results'!$B:$B,A33,'NHL2025-26Results'!$H:$H,A33,'NHL2025-26Results'!$F:$F,"SO")</f>
        <v>0</v>
      </c>
      <c r="M33" s="11">
        <f>Table1[[#This Row],[HomeWins]]/SUM(Table1[[#This Row],[HomeWins]:[HomeOTL]])</f>
        <v>0.66666666666666663</v>
      </c>
      <c r="N33" s="11">
        <f>Table1[[#This Row],[AwayWins]]/SUM(Table1[[#This Row],[AwayWins]:[AwayOTL]])</f>
        <v>0.6</v>
      </c>
      <c r="O33" s="14">
        <f>SUMIFS('NHL2025-26Results'!$E:$E,'NHL2025-26Results'!$D:$D,A33,'NHL2025-26Results'!$E:$E,"&gt;0")/COUNTIFS('NHL2025-26Results'!$D:$D,A33,'NHL2025-26Results'!$E:$E,"&gt;0")</f>
        <v>4.25</v>
      </c>
      <c r="P33" s="14">
        <f>SUMIFS('NHL2025-26Results'!$C:$C,'NHL2025-26Results'!$B:$B,A33,'NHL2025-26Results'!$C:$C,"&gt;0")/COUNTIFS('NHL2025-26Results'!$B:$B,A33,'NHL2025-26Results'!$C:$C,"&gt;0")</f>
        <v>3.3333333333333335</v>
      </c>
      <c r="Q33" s="14">
        <f>SUMIFS('NHL2025-26Results'!$C:$C,'NHL2025-26Results'!$D:$D,A33,'NHL2025-26Results'!$C:$C,"&gt;0")/COUNTIFS('NHL2025-26Results'!$D:$D,A33,'NHL2025-26Results'!$C:$C,"&gt;0")</f>
        <v>2.6666666666666665</v>
      </c>
      <c r="R33" s="14">
        <f>SUMIFS('NHL2025-26Results'!$E:$E,'NHL2025-26Results'!$B:$B,A33,'NHL2025-26Results'!$E:$E,"&gt;0")/COUNTIFS('NHL2025-26Results'!$B:$B,A33,'NHL2025-26Results'!$E:$E,"&gt;0")</f>
        <v>2.8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0ADA4-A09D-E242-AADF-B22B73F1B877}">
  <dimension ref="A1:V31"/>
  <sheetViews>
    <sheetView tabSelected="1" topLeftCell="F2" workbookViewId="0">
      <selection activeCell="O22" sqref="O22"/>
    </sheetView>
  </sheetViews>
  <sheetFormatPr baseColWidth="10" defaultRowHeight="16" x14ac:dyDescent="0.2"/>
  <cols>
    <col min="1" max="1" width="8.5" bestFit="1" customWidth="1"/>
    <col min="2" max="2" width="13" bestFit="1" customWidth="1"/>
    <col min="3" max="4" width="19.83203125" bestFit="1" customWidth="1"/>
    <col min="5" max="5" width="21" bestFit="1" customWidth="1"/>
    <col min="6" max="6" width="19.6640625" bestFit="1" customWidth="1"/>
    <col min="7" max="7" width="19.1640625" bestFit="1" customWidth="1"/>
    <col min="8" max="8" width="15.83203125" bestFit="1" customWidth="1"/>
    <col min="9" max="9" width="25.83203125" bestFit="1" customWidth="1"/>
    <col min="10" max="10" width="25.33203125" bestFit="1" customWidth="1"/>
    <col min="11" max="11" width="23.1640625" bestFit="1" customWidth="1"/>
    <col min="12" max="12" width="18" bestFit="1" customWidth="1"/>
    <col min="13" max="14" width="19.83203125" bestFit="1" customWidth="1"/>
    <col min="15" max="15" width="12.6640625" bestFit="1" customWidth="1"/>
    <col min="16" max="16" width="14.83203125" bestFit="1" customWidth="1"/>
    <col min="17" max="17" width="15.6640625" bestFit="1" customWidth="1"/>
    <col min="18" max="18" width="20.1640625" bestFit="1" customWidth="1"/>
  </cols>
  <sheetData>
    <row r="1" spans="1:22" x14ac:dyDescent="0.2">
      <c r="A1" t="s">
        <v>260</v>
      </c>
      <c r="B1" t="s">
        <v>261</v>
      </c>
      <c r="C1" t="s">
        <v>262</v>
      </c>
      <c r="D1" t="s">
        <v>263</v>
      </c>
      <c r="E1" t="s">
        <v>264</v>
      </c>
      <c r="F1" t="s">
        <v>265</v>
      </c>
      <c r="G1" t="s">
        <v>266</v>
      </c>
      <c r="H1" t="s">
        <v>267</v>
      </c>
      <c r="I1" t="s">
        <v>268</v>
      </c>
      <c r="J1" t="s">
        <v>269</v>
      </c>
      <c r="K1" t="s">
        <v>270</v>
      </c>
      <c r="L1" t="s">
        <v>271</v>
      </c>
      <c r="M1" t="s">
        <v>272</v>
      </c>
      <c r="N1" t="s">
        <v>273</v>
      </c>
      <c r="O1" t="s">
        <v>274</v>
      </c>
      <c r="P1" t="s">
        <v>275</v>
      </c>
      <c r="Q1" t="s">
        <v>276</v>
      </c>
      <c r="R1" t="s">
        <v>277</v>
      </c>
    </row>
    <row r="2" spans="1:22" x14ac:dyDescent="0.2">
      <c r="A2" s="1">
        <v>45978</v>
      </c>
      <c r="B2" s="2">
        <v>0.91666666666666663</v>
      </c>
      <c r="C2" s="20" t="s">
        <v>31</v>
      </c>
      <c r="D2" s="20" t="s">
        <v>55</v>
      </c>
      <c r="E2" s="20" t="s">
        <v>31</v>
      </c>
      <c r="F2" s="17">
        <v>0.96</v>
      </c>
      <c r="G2" s="17">
        <v>0.04</v>
      </c>
      <c r="H2" s="17">
        <v>0.96</v>
      </c>
      <c r="I2">
        <v>5</v>
      </c>
      <c r="J2">
        <v>4</v>
      </c>
      <c r="K2" s="20" t="s">
        <v>31</v>
      </c>
      <c r="L2" s="17">
        <v>0.7555164205687791</v>
      </c>
      <c r="M2">
        <v>0.80245089249636459</v>
      </c>
      <c r="N2" s="20" t="str">
        <f>'NHL2025-26Results'!G302</f>
        <v>Anaheim Ducks</v>
      </c>
      <c r="O2" t="str">
        <f>IF(ml_predictions_log_scores[[#This Row],[actual_winner]]=ml_predictions_log_scores[[#This Row],[ml_predicted_winner]],"YES","NO")</f>
        <v>YES</v>
      </c>
      <c r="P2" t="str">
        <f>IF(ml_predictions_log_scores[[#This Row],[actual_winner]]=ml_predictions_log_scores[[#This Row],[excel_predicted_winner]],"YES","NO")</f>
        <v>YES</v>
      </c>
      <c r="Q2" s="20" t="s">
        <v>278</v>
      </c>
      <c r="R2" s="20" t="s">
        <v>279</v>
      </c>
      <c r="T2" t="str">
        <f>'NHL2025-26Results'!G302</f>
        <v>Anaheim Ducks</v>
      </c>
      <c r="U2" t="s">
        <v>282</v>
      </c>
      <c r="V2" t="s">
        <v>283</v>
      </c>
    </row>
    <row r="3" spans="1:22" x14ac:dyDescent="0.2">
      <c r="A3" s="1">
        <v>45978</v>
      </c>
      <c r="B3" s="2">
        <v>0.79166666666666663</v>
      </c>
      <c r="C3" s="20" t="s">
        <v>21</v>
      </c>
      <c r="D3" s="20" t="s">
        <v>25</v>
      </c>
      <c r="E3" s="20" t="s">
        <v>21</v>
      </c>
      <c r="F3" s="17">
        <v>0.54633258733827395</v>
      </c>
      <c r="G3" s="17">
        <v>0.453667412661726</v>
      </c>
      <c r="H3" s="17">
        <v>0.54633258733827395</v>
      </c>
      <c r="I3">
        <v>4</v>
      </c>
      <c r="J3">
        <v>3</v>
      </c>
      <c r="K3" s="20" t="s">
        <v>25</v>
      </c>
      <c r="L3" s="17">
        <v>0.54325534193164859</v>
      </c>
      <c r="M3">
        <v>-0.46907548361279577</v>
      </c>
      <c r="N3" s="20" t="str">
        <f>'NHL2025-26Results'!G303</f>
        <v>Carolina Hurricanes</v>
      </c>
      <c r="O3" t="str">
        <f>IF(ml_predictions_log_scores[[#This Row],[actual_winner]]=ml_predictions_log_scores[[#This Row],[ml_predicted_winner]],"YES","NO")</f>
        <v>NO</v>
      </c>
      <c r="P3" t="str">
        <f>IF(ml_predictions_log_scores[[#This Row],[actual_winner]]=ml_predictions_log_scores[[#This Row],[excel_predicted_winner]],"YES","NO")</f>
        <v>YES</v>
      </c>
      <c r="Q3" s="20" t="s">
        <v>278</v>
      </c>
      <c r="R3" s="20" t="s">
        <v>279</v>
      </c>
    </row>
    <row r="4" spans="1:22" x14ac:dyDescent="0.2">
      <c r="A4" s="1">
        <v>45978</v>
      </c>
      <c r="B4" s="2">
        <v>0.79166666666666663</v>
      </c>
      <c r="C4" s="20" t="s">
        <v>23</v>
      </c>
      <c r="D4" s="20" t="s">
        <v>17</v>
      </c>
      <c r="E4" s="20" t="s">
        <v>23</v>
      </c>
      <c r="F4" s="17">
        <v>0.55495661976911981</v>
      </c>
      <c r="G4" s="17">
        <v>0.44504338023088019</v>
      </c>
      <c r="H4" s="17">
        <v>0.55495661976911981</v>
      </c>
      <c r="I4">
        <v>4</v>
      </c>
      <c r="J4">
        <v>3</v>
      </c>
      <c r="K4" s="20" t="s">
        <v>17</v>
      </c>
      <c r="L4" s="17">
        <v>0.4719106254189383</v>
      </c>
      <c r="M4">
        <v>-8.5960885212215593E-2</v>
      </c>
      <c r="N4" s="20" t="str">
        <f>'NHL2025-26Results'!G304</f>
        <v>Buffalo Sabres</v>
      </c>
      <c r="O4" t="str">
        <f>IF(ml_predictions_log_scores[[#This Row],[actual_winner]]=ml_predictions_log_scores[[#This Row],[ml_predicted_winner]],"YES","NO")</f>
        <v>YES</v>
      </c>
      <c r="P4" t="str">
        <f>IF(ml_predictions_log_scores[[#This Row],[actual_winner]]=ml_predictions_log_scores[[#This Row],[excel_predicted_winner]],"YES","NO")</f>
        <v>NO</v>
      </c>
      <c r="Q4" s="20" t="s">
        <v>278</v>
      </c>
      <c r="R4" s="20" t="s">
        <v>279</v>
      </c>
    </row>
    <row r="5" spans="1:22" x14ac:dyDescent="0.2">
      <c r="A5" s="1">
        <v>45978</v>
      </c>
      <c r="B5" s="2">
        <v>0.8125</v>
      </c>
      <c r="C5" s="20" t="s">
        <v>28</v>
      </c>
      <c r="D5" s="20" t="s">
        <v>18</v>
      </c>
      <c r="E5" s="20" t="s">
        <v>18</v>
      </c>
      <c r="F5" s="17">
        <v>0.2902847010086092</v>
      </c>
      <c r="G5" s="17">
        <v>0.70971529899139052</v>
      </c>
      <c r="H5" s="17">
        <v>0.70971529899139052</v>
      </c>
      <c r="I5">
        <v>3</v>
      </c>
      <c r="J5">
        <v>4</v>
      </c>
      <c r="K5" s="20" t="s">
        <v>28</v>
      </c>
      <c r="L5" s="17">
        <v>0.50213932370766312</v>
      </c>
      <c r="M5">
        <v>0.2787267808677179</v>
      </c>
      <c r="N5" s="20" t="str">
        <f>'NHL2025-26Results'!G305</f>
        <v>Columbus Blue Jackets</v>
      </c>
      <c r="O5" t="str">
        <f>IF(ml_predictions_log_scores[[#This Row],[actual_winner]]=ml_predictions_log_scores[[#This Row],[ml_predicted_winner]],"YES","NO")</f>
        <v>NO</v>
      </c>
      <c r="P5" t="str">
        <f>IF(ml_predictions_log_scores[[#This Row],[actual_winner]]=ml_predictions_log_scores[[#This Row],[excel_predicted_winner]],"YES","NO")</f>
        <v>YES</v>
      </c>
      <c r="Q5" s="20" t="s">
        <v>278</v>
      </c>
      <c r="R5" s="20" t="s">
        <v>279</v>
      </c>
    </row>
    <row r="6" spans="1:22" x14ac:dyDescent="0.2">
      <c r="A6" s="1">
        <v>45978</v>
      </c>
      <c r="B6" s="2">
        <v>0.79166666666666663</v>
      </c>
      <c r="C6" s="20" t="s">
        <v>11</v>
      </c>
      <c r="D6" s="20" t="s">
        <v>38</v>
      </c>
      <c r="E6" s="20" t="s">
        <v>38</v>
      </c>
      <c r="F6" s="17">
        <v>0.42337768959435612</v>
      </c>
      <c r="G6" s="17">
        <v>0.57662231040564371</v>
      </c>
      <c r="H6" s="17">
        <v>0.57662231040564371</v>
      </c>
      <c r="I6">
        <v>4</v>
      </c>
      <c r="J6">
        <v>5</v>
      </c>
      <c r="K6" s="20" t="s">
        <v>11</v>
      </c>
      <c r="L6" s="17">
        <v>0.6292170229473768</v>
      </c>
      <c r="M6">
        <v>0.57172190182435711</v>
      </c>
      <c r="N6" s="20" t="str">
        <f>'NHL2025-26Results'!G306</f>
        <v>Florida Panthers</v>
      </c>
      <c r="O6" t="str">
        <f>IF(ml_predictions_log_scores[[#This Row],[actual_winner]]=ml_predictions_log_scores[[#This Row],[ml_predicted_winner]],"YES","NO")</f>
        <v>NO</v>
      </c>
      <c r="P6" t="str">
        <f>IF(ml_predictions_log_scores[[#This Row],[actual_winner]]=ml_predictions_log_scores[[#This Row],[excel_predicted_winner]],"YES","NO")</f>
        <v>YES</v>
      </c>
      <c r="Q6" s="20" t="s">
        <v>278</v>
      </c>
      <c r="R6" s="20" t="s">
        <v>279</v>
      </c>
    </row>
    <row r="7" spans="1:22" x14ac:dyDescent="0.2">
      <c r="A7" s="1">
        <v>45978</v>
      </c>
      <c r="B7" s="2">
        <v>0.79166666666666663</v>
      </c>
      <c r="C7" s="20" t="s">
        <v>22</v>
      </c>
      <c r="D7" s="20" t="s">
        <v>13</v>
      </c>
      <c r="E7" s="20" t="s">
        <v>13</v>
      </c>
      <c r="F7" s="17">
        <v>0.15496954461946719</v>
      </c>
      <c r="G7" s="17">
        <v>0.8450304553805329</v>
      </c>
      <c r="H7" s="17">
        <v>0.8450304553805329</v>
      </c>
      <c r="I7">
        <v>1</v>
      </c>
      <c r="J7">
        <v>4</v>
      </c>
      <c r="K7" s="20" t="s">
        <v>22</v>
      </c>
      <c r="L7" s="17">
        <v>0.44309117868583608</v>
      </c>
      <c r="M7">
        <v>0.17672317847452751</v>
      </c>
      <c r="N7" s="20" t="str">
        <f>'NHL2025-26Results'!G307</f>
        <v>Washington Capitals</v>
      </c>
      <c r="O7" t="str">
        <f>IF(ml_predictions_log_scores[[#This Row],[actual_winner]]=ml_predictions_log_scores[[#This Row],[ml_predicted_winner]],"YES","NO")</f>
        <v>NO</v>
      </c>
      <c r="P7" t="str">
        <f>IF(ml_predictions_log_scores[[#This Row],[actual_winner]]=ml_predictions_log_scores[[#This Row],[excel_predicted_winner]],"YES","NO")</f>
        <v>YES</v>
      </c>
      <c r="Q7" s="20" t="s">
        <v>278</v>
      </c>
      <c r="R7" s="20" t="s">
        <v>279</v>
      </c>
    </row>
    <row r="8" spans="1:22" x14ac:dyDescent="0.2">
      <c r="A8" s="1">
        <v>45979</v>
      </c>
      <c r="B8" s="2">
        <v>0.85416666666666663</v>
      </c>
      <c r="C8" s="20" t="s">
        <v>10</v>
      </c>
      <c r="D8" s="20" t="s">
        <v>16</v>
      </c>
      <c r="E8" s="20" t="s">
        <v>10</v>
      </c>
      <c r="F8" s="17">
        <v>0.66520562770562774</v>
      </c>
      <c r="G8" s="17">
        <v>0.3347943722943722</v>
      </c>
      <c r="H8" s="17">
        <v>0.66520562770562774</v>
      </c>
      <c r="I8">
        <v>5</v>
      </c>
      <c r="J8">
        <v>4</v>
      </c>
      <c r="K8" s="20" t="s">
        <v>10</v>
      </c>
      <c r="L8" s="17">
        <v>0.80838142364741761</v>
      </c>
      <c r="M8">
        <v>1.8724689142200299</v>
      </c>
      <c r="N8" s="20" t="str">
        <f>'NHL2025-26Results'!G308</f>
        <v>Chicago Blackhawks</v>
      </c>
      <c r="O8" t="str">
        <f>IF(ml_predictions_log_scores[[#This Row],[actual_winner]]=ml_predictions_log_scores[[#This Row],[ml_predicted_winner]],"YES","NO")</f>
        <v>YES</v>
      </c>
      <c r="P8" t="str">
        <f>IF(ml_predictions_log_scores[[#This Row],[actual_winner]]=ml_predictions_log_scores[[#This Row],[excel_predicted_winner]],"YES","NO")</f>
        <v>YES</v>
      </c>
      <c r="Q8" s="20" t="s">
        <v>278</v>
      </c>
      <c r="R8" s="20" t="s">
        <v>279</v>
      </c>
    </row>
    <row r="9" spans="1:22" x14ac:dyDescent="0.2">
      <c r="A9" s="1">
        <v>45979</v>
      </c>
      <c r="B9" s="2">
        <v>0.83333333333333337</v>
      </c>
      <c r="C9" s="20" t="s">
        <v>39</v>
      </c>
      <c r="D9" s="20" t="s">
        <v>30</v>
      </c>
      <c r="E9" s="20" t="s">
        <v>39</v>
      </c>
      <c r="F9" s="17">
        <v>0.60157562977957713</v>
      </c>
      <c r="G9" s="17">
        <v>0.39842437022042282</v>
      </c>
      <c r="H9" s="17">
        <v>0.60157562977957713</v>
      </c>
      <c r="I9">
        <v>4</v>
      </c>
      <c r="J9">
        <v>3</v>
      </c>
      <c r="K9" s="20" t="s">
        <v>39</v>
      </c>
      <c r="L9" s="17">
        <v>0.58560362912245234</v>
      </c>
      <c r="M9">
        <v>0.43113096170361948</v>
      </c>
      <c r="N9" s="20" t="str">
        <f>'NHL2025-26Results'!G309</f>
        <v>New York Islanders</v>
      </c>
      <c r="O9" t="str">
        <f>IF(ml_predictions_log_scores[[#This Row],[actual_winner]]=ml_predictions_log_scores[[#This Row],[ml_predicted_winner]],"YES","NO")</f>
        <v>NO</v>
      </c>
      <c r="P9" t="str">
        <f>IF(ml_predictions_log_scores[[#This Row],[actual_winner]]=ml_predictions_log_scores[[#This Row],[excel_predicted_winner]],"YES","NO")</f>
        <v>NO</v>
      </c>
      <c r="Q9" s="20" t="s">
        <v>278</v>
      </c>
      <c r="R9" s="20" t="s">
        <v>279</v>
      </c>
    </row>
    <row r="10" spans="1:22" x14ac:dyDescent="0.2">
      <c r="A10" s="1">
        <v>45979</v>
      </c>
      <c r="B10" s="2">
        <v>0.79166666666666663</v>
      </c>
      <c r="C10" s="20" t="s">
        <v>26</v>
      </c>
      <c r="D10" s="20" t="s">
        <v>32</v>
      </c>
      <c r="E10" s="20" t="s">
        <v>26</v>
      </c>
      <c r="F10" s="17">
        <v>0.51584464840714839</v>
      </c>
      <c r="G10" s="17">
        <v>0.4841553515928515</v>
      </c>
      <c r="H10" s="17">
        <v>0.51584464840714839</v>
      </c>
      <c r="I10">
        <v>4</v>
      </c>
      <c r="J10">
        <v>3</v>
      </c>
      <c r="K10" s="20" t="s">
        <v>26</v>
      </c>
      <c r="L10" s="17">
        <v>0.57435213805833296</v>
      </c>
      <c r="M10">
        <v>5.8008708149805202E-2</v>
      </c>
      <c r="N10" s="20" t="str">
        <f>'NHL2025-26Results'!G310</f>
        <v>Detroit Red Wings</v>
      </c>
      <c r="O10" t="str">
        <f>IF(ml_predictions_log_scores[[#This Row],[actual_winner]]=ml_predictions_log_scores[[#This Row],[ml_predicted_winner]],"YES","NO")</f>
        <v>YES</v>
      </c>
      <c r="P10" t="str">
        <f>IF(ml_predictions_log_scores[[#This Row],[actual_winner]]=ml_predictions_log_scores[[#This Row],[excel_predicted_winner]],"YES","NO")</f>
        <v>YES</v>
      </c>
      <c r="Q10" s="20" t="s">
        <v>278</v>
      </c>
      <c r="R10" s="20" t="s">
        <v>279</v>
      </c>
    </row>
    <row r="11" spans="1:22" x14ac:dyDescent="0.2">
      <c r="A11" s="1">
        <v>45979</v>
      </c>
      <c r="B11" s="2">
        <v>0.91666666666666663</v>
      </c>
      <c r="C11" s="20" t="s">
        <v>33</v>
      </c>
      <c r="D11" s="20" t="s">
        <v>55</v>
      </c>
      <c r="E11" s="20" t="s">
        <v>33</v>
      </c>
      <c r="F11" s="17">
        <v>0.51422643535024792</v>
      </c>
      <c r="G11" s="17">
        <v>0.48577356464975191</v>
      </c>
      <c r="H11" s="17">
        <v>0.51422643535024792</v>
      </c>
      <c r="I11">
        <v>4</v>
      </c>
      <c r="J11">
        <v>3</v>
      </c>
      <c r="K11" s="20" t="s">
        <v>55</v>
      </c>
      <c r="L11" s="17">
        <v>0.47207673823452112</v>
      </c>
      <c r="M11">
        <v>-8.4258130171562098E-2</v>
      </c>
      <c r="N11" s="20" t="str">
        <f>'NHL2025-26Results'!G311</f>
        <v>San Jose Sharks</v>
      </c>
      <c r="O11" t="str">
        <f>IF(ml_predictions_log_scores[[#This Row],[actual_winner]]=ml_predictions_log_scores[[#This Row],[ml_predicted_winner]],"YES","NO")</f>
        <v>YES</v>
      </c>
      <c r="P11" t="str">
        <f>IF(ml_predictions_log_scores[[#This Row],[actual_winner]]=ml_predictions_log_scores[[#This Row],[excel_predicted_winner]],"YES","NO")</f>
        <v>NO</v>
      </c>
      <c r="Q11" s="20" t="s">
        <v>278</v>
      </c>
      <c r="R11" s="20" t="s">
        <v>279</v>
      </c>
    </row>
    <row r="12" spans="1:22" x14ac:dyDescent="0.2">
      <c r="A12" s="1">
        <v>45979</v>
      </c>
      <c r="B12" s="2">
        <v>0.79166666666666663</v>
      </c>
      <c r="C12" s="20" t="s">
        <v>37</v>
      </c>
      <c r="D12" s="20" t="s">
        <v>24</v>
      </c>
      <c r="E12" s="20" t="s">
        <v>24</v>
      </c>
      <c r="F12" s="17">
        <v>0.33995158638964801</v>
      </c>
      <c r="G12" s="17">
        <v>0.66004841361035194</v>
      </c>
      <c r="H12" s="17">
        <v>0.66004841361035194</v>
      </c>
      <c r="I12">
        <v>3</v>
      </c>
      <c r="J12">
        <v>4</v>
      </c>
      <c r="K12" s="20" t="s">
        <v>24</v>
      </c>
      <c r="L12" s="17">
        <v>0.59697883323181122</v>
      </c>
      <c r="M12">
        <v>-0.49300861074158658</v>
      </c>
      <c r="N12" s="20" t="str">
        <f>'NHL2025-26Results'!G312</f>
        <v>Tampa Bay Lightning</v>
      </c>
      <c r="O12" t="str">
        <f>IF(ml_predictions_log_scores[[#This Row],[actual_winner]]=ml_predictions_log_scores[[#This Row],[ml_predicted_winner]],"YES","NO")</f>
        <v>NO</v>
      </c>
      <c r="P12" t="str">
        <f>IF(ml_predictions_log_scores[[#This Row],[actual_winner]]=ml_predictions_log_scores[[#This Row],[excel_predicted_winner]],"YES","NO")</f>
        <v>NO</v>
      </c>
      <c r="Q12" s="20" t="s">
        <v>278</v>
      </c>
      <c r="R12" s="20" t="s">
        <v>279</v>
      </c>
    </row>
    <row r="13" spans="1:22" x14ac:dyDescent="0.2">
      <c r="A13" s="1">
        <v>45979</v>
      </c>
      <c r="B13" s="2">
        <v>0.79166666666666663</v>
      </c>
      <c r="C13" s="20" t="s">
        <v>19</v>
      </c>
      <c r="D13" s="20" t="s">
        <v>35</v>
      </c>
      <c r="E13" s="20" t="s">
        <v>19</v>
      </c>
      <c r="F13" s="17">
        <v>0.59172835131345569</v>
      </c>
      <c r="G13" s="17">
        <v>0.40827164868654431</v>
      </c>
      <c r="H13" s="17">
        <v>0.59172835131345569</v>
      </c>
      <c r="I13">
        <v>4</v>
      </c>
      <c r="J13">
        <v>3</v>
      </c>
      <c r="K13" s="20" t="s">
        <v>19</v>
      </c>
      <c r="L13" s="17">
        <v>0.71074017418949764</v>
      </c>
      <c r="M13">
        <v>1.1912362049258531</v>
      </c>
      <c r="N13" s="20" t="str">
        <f>'NHL2025-26Results'!G313</f>
        <v>Toronto Maple Leafs</v>
      </c>
      <c r="O13" t="str">
        <f>IF(ml_predictions_log_scores[[#This Row],[actual_winner]]=ml_predictions_log_scores[[#This Row],[ml_predicted_winner]],"YES","NO")</f>
        <v>YES</v>
      </c>
      <c r="P13" t="str">
        <f>IF(ml_predictions_log_scores[[#This Row],[actual_winner]]=ml_predictions_log_scores[[#This Row],[excel_predicted_winner]],"YES","NO")</f>
        <v>YES</v>
      </c>
      <c r="Q13" s="20" t="s">
        <v>278</v>
      </c>
      <c r="R13" s="20" t="s">
        <v>279</v>
      </c>
    </row>
    <row r="14" spans="1:22" x14ac:dyDescent="0.2">
      <c r="A14" s="1">
        <v>45979</v>
      </c>
      <c r="B14" s="2">
        <v>0.91666666666666663</v>
      </c>
      <c r="C14" s="20" t="s">
        <v>20</v>
      </c>
      <c r="D14" s="20" t="s">
        <v>15</v>
      </c>
      <c r="E14" s="20" t="s">
        <v>15</v>
      </c>
      <c r="F14" s="17">
        <v>0.44074950592885381</v>
      </c>
      <c r="G14" s="17">
        <v>0.55925049407114624</v>
      </c>
      <c r="H14" s="17">
        <v>0.55925049407114624</v>
      </c>
      <c r="I14">
        <v>4</v>
      </c>
      <c r="J14">
        <v>5</v>
      </c>
      <c r="K14" s="20" t="s">
        <v>20</v>
      </c>
      <c r="L14" s="17">
        <v>0.47093187454199859</v>
      </c>
      <c r="M14">
        <v>0.51169600909092638</v>
      </c>
      <c r="N14" s="20" t="str">
        <f>'NHL2025-26Results'!G314</f>
        <v>Vegas Golden Knights</v>
      </c>
      <c r="O14" t="str">
        <f>IF(ml_predictions_log_scores[[#This Row],[actual_winner]]=ml_predictions_log_scores[[#This Row],[ml_predicted_winner]],"YES","NO")</f>
        <v>NO</v>
      </c>
      <c r="P14" t="str">
        <f>IF(ml_predictions_log_scores[[#This Row],[actual_winner]]=ml_predictions_log_scores[[#This Row],[excel_predicted_winner]],"YES","NO")</f>
        <v>YES</v>
      </c>
      <c r="Q14" s="20" t="s">
        <v>278</v>
      </c>
      <c r="R14" s="20" t="s">
        <v>279</v>
      </c>
    </row>
    <row r="15" spans="1:22" x14ac:dyDescent="0.2">
      <c r="A15" s="1">
        <v>45979</v>
      </c>
      <c r="B15" s="2">
        <v>0.83333333333333337</v>
      </c>
      <c r="C15" s="20" t="s">
        <v>40</v>
      </c>
      <c r="D15" s="20" t="s">
        <v>28</v>
      </c>
      <c r="E15" s="20" t="s">
        <v>40</v>
      </c>
      <c r="F15" s="17">
        <v>0.6755580750420016</v>
      </c>
      <c r="G15" s="17">
        <v>0.3244419249579984</v>
      </c>
      <c r="H15" s="17">
        <v>0.6755580750420016</v>
      </c>
      <c r="I15">
        <v>4</v>
      </c>
      <c r="J15">
        <v>3</v>
      </c>
      <c r="K15" s="20" t="s">
        <v>40</v>
      </c>
      <c r="L15" s="17">
        <v>0.64974885182158759</v>
      </c>
      <c r="M15">
        <v>0.65717670317514765</v>
      </c>
      <c r="N15" s="20" t="str">
        <f>'NHL2025-26Results'!G315</f>
        <v>Winnipeg Jets</v>
      </c>
      <c r="O15" t="str">
        <f>IF(ml_predictions_log_scores[[#This Row],[actual_winner]]=ml_predictions_log_scores[[#This Row],[ml_predicted_winner]],"YES","NO")</f>
        <v>YES</v>
      </c>
      <c r="P15" t="str">
        <f>IF(ml_predictions_log_scores[[#This Row],[actual_winner]]=ml_predictions_log_scores[[#This Row],[excel_predicted_winner]],"YES","NO")</f>
        <v>YES</v>
      </c>
      <c r="Q15" s="20" t="s">
        <v>278</v>
      </c>
      <c r="R15" s="20" t="s">
        <v>279</v>
      </c>
    </row>
    <row r="16" spans="1:22" x14ac:dyDescent="0.2">
      <c r="A16" s="1">
        <v>45980</v>
      </c>
      <c r="B16" s="2">
        <v>0.91666666666666663</v>
      </c>
      <c r="C16" s="20" t="s">
        <v>31</v>
      </c>
      <c r="D16" s="20" t="s">
        <v>21</v>
      </c>
      <c r="E16" s="20" t="s">
        <v>31</v>
      </c>
      <c r="F16" s="17">
        <v>0.84833333333333338</v>
      </c>
      <c r="G16" s="17">
        <v>0.15166666666666659</v>
      </c>
      <c r="H16" s="17">
        <v>0.84833333333333338</v>
      </c>
      <c r="I16">
        <v>5</v>
      </c>
      <c r="J16">
        <v>4</v>
      </c>
      <c r="K16" s="20" t="s">
        <v>31</v>
      </c>
      <c r="L16" s="17">
        <v>0.76084973676613277</v>
      </c>
      <c r="M16">
        <v>0.76544688193927901</v>
      </c>
      <c r="N16" s="20" t="str">
        <f>'NHL2025-26Results'!G316</f>
        <v>Anaheim Ducks</v>
      </c>
      <c r="O16" t="str">
        <f>IF(ml_predictions_log_scores[[#This Row],[actual_winner]]=ml_predictions_log_scores[[#This Row],[ml_predicted_winner]],"YES","NO")</f>
        <v>YES</v>
      </c>
      <c r="P16" t="str">
        <f>IF(ml_predictions_log_scores[[#This Row],[actual_winner]]=ml_predictions_log_scores[[#This Row],[excel_predicted_winner]],"YES","NO")</f>
        <v>YES</v>
      </c>
      <c r="Q16" s="20" t="s">
        <v>278</v>
      </c>
      <c r="R16" s="20" t="s">
        <v>279</v>
      </c>
    </row>
    <row r="17" spans="1:18" x14ac:dyDescent="0.2">
      <c r="A17" s="1">
        <v>45980</v>
      </c>
      <c r="B17" s="2">
        <v>0.8125</v>
      </c>
      <c r="C17" s="20" t="s">
        <v>23</v>
      </c>
      <c r="D17" s="20" t="s">
        <v>16</v>
      </c>
      <c r="E17" s="20" t="s">
        <v>23</v>
      </c>
      <c r="F17" s="17">
        <v>0.82416832579185528</v>
      </c>
      <c r="G17" s="17">
        <v>0.1758316742081448</v>
      </c>
      <c r="H17" s="17">
        <v>0.82416832579185528</v>
      </c>
      <c r="I17">
        <v>4</v>
      </c>
      <c r="J17">
        <v>3</v>
      </c>
      <c r="K17" s="20" t="s">
        <v>23</v>
      </c>
      <c r="L17" s="17">
        <v>0.68476799828715018</v>
      </c>
      <c r="M17">
        <v>0.98920468733649858</v>
      </c>
      <c r="N17" s="20" t="str">
        <f>'NHL2025-26Results'!G317</f>
        <v>Calgary Flames</v>
      </c>
      <c r="O17" t="str">
        <f>IF(ml_predictions_log_scores[[#This Row],[actual_winner]]=ml_predictions_log_scores[[#This Row],[ml_predicted_winner]],"YES","NO")</f>
        <v>NO</v>
      </c>
      <c r="P17" t="str">
        <f>IF(ml_predictions_log_scores[[#This Row],[actual_winner]]=ml_predictions_log_scores[[#This Row],[excel_predicted_winner]],"YES","NO")</f>
        <v>NO</v>
      </c>
      <c r="Q17" s="20" t="s">
        <v>278</v>
      </c>
      <c r="R17" s="20" t="s">
        <v>279</v>
      </c>
    </row>
    <row r="18" spans="1:18" x14ac:dyDescent="0.2">
      <c r="A18" s="1">
        <v>45980</v>
      </c>
      <c r="B18" s="2">
        <v>0.89583333333333337</v>
      </c>
      <c r="C18" s="20" t="s">
        <v>34</v>
      </c>
      <c r="D18" s="20" t="s">
        <v>25</v>
      </c>
      <c r="E18" s="20" t="s">
        <v>25</v>
      </c>
      <c r="F18" s="17">
        <v>0.3766696664319662</v>
      </c>
      <c r="G18" s="17">
        <v>0.6233303335680338</v>
      </c>
      <c r="H18" s="17">
        <v>0.6233303335680338</v>
      </c>
      <c r="I18">
        <v>4</v>
      </c>
      <c r="J18">
        <v>5</v>
      </c>
      <c r="K18" s="20" t="s">
        <v>25</v>
      </c>
      <c r="L18" s="17">
        <v>0.72149073367909078</v>
      </c>
      <c r="M18">
        <v>-1.0914266206185563</v>
      </c>
      <c r="N18" s="20" t="str">
        <f>'NHL2025-26Results'!G318</f>
        <v>Minnesota Wild</v>
      </c>
      <c r="O18" t="str">
        <f>IF(ml_predictions_log_scores[[#This Row],[actual_winner]]=ml_predictions_log_scores[[#This Row],[ml_predicted_winner]],"YES","NO")</f>
        <v>NO</v>
      </c>
      <c r="P18" t="str">
        <f>IF(ml_predictions_log_scores[[#This Row],[actual_winner]]=ml_predictions_log_scores[[#This Row],[excel_predicted_winner]],"YES","NO")</f>
        <v>NO</v>
      </c>
      <c r="Q18" s="20" t="s">
        <v>278</v>
      </c>
      <c r="R18" s="20" t="s">
        <v>279</v>
      </c>
    </row>
    <row r="19" spans="1:18" x14ac:dyDescent="0.2">
      <c r="A19" s="1">
        <v>45980</v>
      </c>
      <c r="B19" s="2">
        <v>0.79166666666666663</v>
      </c>
      <c r="C19" s="20" t="s">
        <v>22</v>
      </c>
      <c r="D19" s="20" t="s">
        <v>17</v>
      </c>
      <c r="E19" s="20" t="s">
        <v>22</v>
      </c>
      <c r="F19" s="17">
        <v>0.54659213735476675</v>
      </c>
      <c r="G19" s="17">
        <v>0.45340786264523331</v>
      </c>
      <c r="H19" s="17">
        <v>0.54659213735476675</v>
      </c>
      <c r="I19">
        <v>4</v>
      </c>
      <c r="J19">
        <v>3</v>
      </c>
      <c r="K19" s="20" t="s">
        <v>22</v>
      </c>
      <c r="L19" s="17">
        <v>0.68867800548979374</v>
      </c>
      <c r="M19">
        <v>1.0337413077555846</v>
      </c>
      <c r="N19" s="20" t="str">
        <f>'NHL2025-26Results'!G319</f>
        <v>Washington Capitals</v>
      </c>
      <c r="O19" t="str">
        <f>IF(ml_predictions_log_scores[[#This Row],[actual_winner]]=ml_predictions_log_scores[[#This Row],[ml_predicted_winner]],"YES","NO")</f>
        <v>YES</v>
      </c>
      <c r="P19" t="str">
        <f>IF(ml_predictions_log_scores[[#This Row],[actual_winner]]=ml_predictions_log_scores[[#This Row],[excel_predicted_winner]],"YES","NO")</f>
        <v>YES</v>
      </c>
      <c r="Q19" s="20" t="s">
        <v>278</v>
      </c>
      <c r="R19" s="20" t="s">
        <v>279</v>
      </c>
    </row>
    <row r="20" spans="1:18" x14ac:dyDescent="0.2">
      <c r="A20" s="1">
        <v>45981</v>
      </c>
      <c r="B20" s="2">
        <v>0.91666666666666663</v>
      </c>
      <c r="C20" s="20" t="s">
        <v>31</v>
      </c>
      <c r="D20" s="20" t="s">
        <v>36</v>
      </c>
      <c r="E20" s="20" t="s">
        <v>31</v>
      </c>
      <c r="F20" s="17">
        <v>0.84833333333333338</v>
      </c>
      <c r="G20" s="17">
        <v>0.15166666666666667</v>
      </c>
      <c r="H20" s="17">
        <v>0.84833333333333338</v>
      </c>
      <c r="I20">
        <v>4</v>
      </c>
      <c r="J20">
        <v>3</v>
      </c>
      <c r="K20" s="20" t="s">
        <v>31</v>
      </c>
      <c r="L20" s="17">
        <v>0.82208750649674023</v>
      </c>
      <c r="M20">
        <v>1.1912261487300158</v>
      </c>
      <c r="N20" s="20" t="s">
        <v>60</v>
      </c>
      <c r="O20" s="20" t="s">
        <v>60</v>
      </c>
      <c r="P20" s="20" t="s">
        <v>60</v>
      </c>
      <c r="Q20" s="20" t="s">
        <v>278</v>
      </c>
      <c r="R20" s="20" t="s">
        <v>279</v>
      </c>
    </row>
    <row r="21" spans="1:18" x14ac:dyDescent="0.2">
      <c r="A21" s="1">
        <v>45981</v>
      </c>
      <c r="B21" s="2">
        <v>0.83333333333333337</v>
      </c>
      <c r="C21" s="20" t="s">
        <v>10</v>
      </c>
      <c r="D21" s="20" t="s">
        <v>32</v>
      </c>
      <c r="E21" s="20" t="s">
        <v>10</v>
      </c>
      <c r="F21" s="17">
        <v>0.75093124269387201</v>
      </c>
      <c r="G21" s="17">
        <v>0.24906875730612796</v>
      </c>
      <c r="H21" s="17">
        <v>0.75093124269387201</v>
      </c>
      <c r="I21">
        <v>4</v>
      </c>
      <c r="J21">
        <v>3</v>
      </c>
      <c r="K21" s="20" t="s">
        <v>10</v>
      </c>
      <c r="L21" s="17">
        <v>0.69425306038013446</v>
      </c>
      <c r="M21">
        <v>1.0235143279683925</v>
      </c>
      <c r="N21" s="20" t="s">
        <v>60</v>
      </c>
      <c r="O21" s="20" t="s">
        <v>60</v>
      </c>
      <c r="P21" s="20" t="s">
        <v>60</v>
      </c>
      <c r="Q21" s="20" t="s">
        <v>278</v>
      </c>
      <c r="R21" s="20" t="s">
        <v>279</v>
      </c>
    </row>
    <row r="22" spans="1:18" x14ac:dyDescent="0.2">
      <c r="A22" s="1">
        <v>45981</v>
      </c>
      <c r="B22" s="2">
        <v>0.875</v>
      </c>
      <c r="C22" s="20" t="s">
        <v>12</v>
      </c>
      <c r="D22" s="20" t="s">
        <v>15</v>
      </c>
      <c r="E22" s="20" t="s">
        <v>12</v>
      </c>
      <c r="F22" s="17">
        <v>0.7</v>
      </c>
      <c r="G22" s="17">
        <v>0.3</v>
      </c>
      <c r="H22" s="17">
        <v>0.7</v>
      </c>
      <c r="I22">
        <v>4</v>
      </c>
      <c r="J22">
        <v>3</v>
      </c>
      <c r="K22" s="20" t="s">
        <v>12</v>
      </c>
      <c r="L22" s="17">
        <v>0.80786927300255584</v>
      </c>
      <c r="M22">
        <v>2.0773720741115391</v>
      </c>
      <c r="N22" s="20" t="s">
        <v>60</v>
      </c>
      <c r="O22" s="20" t="s">
        <v>60</v>
      </c>
      <c r="P22" s="20" t="s">
        <v>60</v>
      </c>
      <c r="Q22" s="20" t="s">
        <v>278</v>
      </c>
      <c r="R22" s="20" t="s">
        <v>279</v>
      </c>
    </row>
    <row r="23" spans="1:18" x14ac:dyDescent="0.2">
      <c r="A23" s="1">
        <v>45981</v>
      </c>
      <c r="B23" s="2">
        <v>0.79166666666666663</v>
      </c>
      <c r="C23" s="20" t="s">
        <v>26</v>
      </c>
      <c r="D23" s="20" t="s">
        <v>30</v>
      </c>
      <c r="E23" s="20" t="s">
        <v>26</v>
      </c>
      <c r="F23" s="17">
        <v>0.52237614696899692</v>
      </c>
      <c r="G23" s="17">
        <v>0.47762385303100302</v>
      </c>
      <c r="H23" s="17">
        <v>0.52237614696899692</v>
      </c>
      <c r="I23">
        <v>4</v>
      </c>
      <c r="J23">
        <v>3</v>
      </c>
      <c r="K23" s="20" t="s">
        <v>30</v>
      </c>
      <c r="L23" s="17">
        <v>0.5050859406164846</v>
      </c>
      <c r="M23">
        <v>-0.18651167627532494</v>
      </c>
      <c r="N23" s="20" t="s">
        <v>60</v>
      </c>
      <c r="O23" s="20" t="s">
        <v>60</v>
      </c>
      <c r="P23" s="20" t="s">
        <v>60</v>
      </c>
      <c r="Q23" s="20" t="s">
        <v>278</v>
      </c>
      <c r="R23" s="20" t="s">
        <v>279</v>
      </c>
    </row>
    <row r="24" spans="1:18" x14ac:dyDescent="0.2">
      <c r="A24" s="1">
        <v>45981</v>
      </c>
      <c r="B24" s="2">
        <v>0.79166666666666663</v>
      </c>
      <c r="C24" s="20" t="s">
        <v>11</v>
      </c>
      <c r="D24" s="20" t="s">
        <v>24</v>
      </c>
      <c r="E24" s="20" t="s">
        <v>11</v>
      </c>
      <c r="F24" s="17">
        <v>0.72325790483101793</v>
      </c>
      <c r="G24" s="17">
        <v>0.27674209516898196</v>
      </c>
      <c r="H24" s="17">
        <v>0.72325790483101793</v>
      </c>
      <c r="I24">
        <v>4</v>
      </c>
      <c r="J24">
        <v>3</v>
      </c>
      <c r="K24" s="20" t="s">
        <v>24</v>
      </c>
      <c r="L24" s="17">
        <v>0.4783198255448029</v>
      </c>
      <c r="M24">
        <v>-0.28064367955199265</v>
      </c>
      <c r="N24" s="20" t="s">
        <v>60</v>
      </c>
      <c r="O24" s="20" t="s">
        <v>60</v>
      </c>
      <c r="P24" s="20" t="s">
        <v>60</v>
      </c>
      <c r="Q24" s="20" t="s">
        <v>278</v>
      </c>
      <c r="R24" s="20" t="s">
        <v>279</v>
      </c>
    </row>
    <row r="25" spans="1:18" x14ac:dyDescent="0.2">
      <c r="A25" s="1">
        <v>45981</v>
      </c>
      <c r="B25" s="2">
        <v>0.79166666666666663</v>
      </c>
      <c r="C25" s="20" t="s">
        <v>18</v>
      </c>
      <c r="D25" s="20" t="s">
        <v>22</v>
      </c>
      <c r="E25" s="20" t="s">
        <v>22</v>
      </c>
      <c r="F25" s="17">
        <v>0.49257605182676767</v>
      </c>
      <c r="G25" s="17">
        <v>0.50742394817323233</v>
      </c>
      <c r="H25" s="17">
        <v>0.50742394817323233</v>
      </c>
      <c r="I25">
        <v>3</v>
      </c>
      <c r="J25">
        <v>4</v>
      </c>
      <c r="K25" s="20" t="s">
        <v>22</v>
      </c>
      <c r="L25" s="17">
        <v>0.51656331364770491</v>
      </c>
      <c r="M25">
        <v>-0.39327830386574325</v>
      </c>
      <c r="N25" s="20" t="s">
        <v>60</v>
      </c>
      <c r="O25" s="20" t="s">
        <v>60</v>
      </c>
      <c r="P25" s="20" t="s">
        <v>60</v>
      </c>
      <c r="Q25" s="20" t="s">
        <v>278</v>
      </c>
      <c r="R25" s="20" t="s">
        <v>279</v>
      </c>
    </row>
    <row r="26" spans="1:18" x14ac:dyDescent="0.2">
      <c r="A26" s="1">
        <v>45981</v>
      </c>
      <c r="B26" s="2">
        <v>0.79166666666666663</v>
      </c>
      <c r="C26" s="20" t="s">
        <v>27</v>
      </c>
      <c r="D26" s="20" t="s">
        <v>35</v>
      </c>
      <c r="E26" s="20" t="s">
        <v>27</v>
      </c>
      <c r="F26" s="17">
        <v>0.94799999999999995</v>
      </c>
      <c r="G26" s="17">
        <v>5.2000000000000005E-2</v>
      </c>
      <c r="H26" s="17">
        <v>0.94799999999999995</v>
      </c>
      <c r="I26">
        <v>4</v>
      </c>
      <c r="J26">
        <v>3</v>
      </c>
      <c r="K26" s="20" t="s">
        <v>27</v>
      </c>
      <c r="L26" s="17">
        <v>0.73181105557391213</v>
      </c>
      <c r="M26">
        <v>1.3162897285988833</v>
      </c>
      <c r="N26" s="20" t="s">
        <v>60</v>
      </c>
      <c r="O26" s="20" t="s">
        <v>60</v>
      </c>
      <c r="P26" s="20" t="s">
        <v>60</v>
      </c>
      <c r="Q26" s="20" t="s">
        <v>278</v>
      </c>
      <c r="R26" s="20" t="s">
        <v>279</v>
      </c>
    </row>
    <row r="27" spans="1:18" x14ac:dyDescent="0.2">
      <c r="A27" s="1">
        <v>45981</v>
      </c>
      <c r="B27" s="2">
        <v>0.91666666666666663</v>
      </c>
      <c r="C27" s="20" t="s">
        <v>33</v>
      </c>
      <c r="D27" s="20" t="s">
        <v>13</v>
      </c>
      <c r="E27" s="20" t="s">
        <v>13</v>
      </c>
      <c r="F27" s="17">
        <v>0.18833793505947397</v>
      </c>
      <c r="G27" s="17">
        <v>0.81166206494052617</v>
      </c>
      <c r="H27" s="17">
        <v>0.81166206494052617</v>
      </c>
      <c r="I27">
        <v>3</v>
      </c>
      <c r="J27">
        <v>5</v>
      </c>
      <c r="K27" s="20" t="s">
        <v>13</v>
      </c>
      <c r="L27" s="17">
        <v>0.56970222036192164</v>
      </c>
      <c r="M27">
        <v>-5.4958866298764092E-2</v>
      </c>
      <c r="N27" s="20" t="s">
        <v>60</v>
      </c>
      <c r="O27" s="20" t="s">
        <v>60</v>
      </c>
      <c r="P27" s="20" t="s">
        <v>60</v>
      </c>
      <c r="Q27" s="20" t="s">
        <v>278</v>
      </c>
      <c r="R27" s="20" t="s">
        <v>279</v>
      </c>
    </row>
    <row r="28" spans="1:18" x14ac:dyDescent="0.2">
      <c r="A28" s="1">
        <v>45981</v>
      </c>
      <c r="B28" s="2">
        <v>0.8125</v>
      </c>
      <c r="C28" s="20" t="s">
        <v>37</v>
      </c>
      <c r="D28" s="20" t="s">
        <v>17</v>
      </c>
      <c r="E28" s="20" t="s">
        <v>37</v>
      </c>
      <c r="F28" s="17">
        <v>0.51234916353031257</v>
      </c>
      <c r="G28" s="17">
        <v>0.48765083646968754</v>
      </c>
      <c r="H28" s="17">
        <v>0.51234916353031257</v>
      </c>
      <c r="I28">
        <v>3</v>
      </c>
      <c r="J28">
        <v>2</v>
      </c>
      <c r="K28" s="20" t="s">
        <v>37</v>
      </c>
      <c r="L28" s="17">
        <v>0.70533537434272242</v>
      </c>
      <c r="M28">
        <v>1.1495581039593494</v>
      </c>
      <c r="N28" s="20" t="s">
        <v>60</v>
      </c>
      <c r="O28" s="20" t="s">
        <v>60</v>
      </c>
      <c r="P28" s="20" t="s">
        <v>60</v>
      </c>
      <c r="Q28" s="20" t="s">
        <v>278</v>
      </c>
      <c r="R28" s="20" t="s">
        <v>279</v>
      </c>
    </row>
    <row r="29" spans="1:18" x14ac:dyDescent="0.2">
      <c r="A29" s="1">
        <v>45981</v>
      </c>
      <c r="B29" s="2">
        <v>0.79166666666666663</v>
      </c>
      <c r="C29" s="20" t="s">
        <v>19</v>
      </c>
      <c r="D29" s="20" t="s">
        <v>28</v>
      </c>
      <c r="E29" s="20" t="s">
        <v>19</v>
      </c>
      <c r="F29" s="17">
        <v>0.60514734177094676</v>
      </c>
      <c r="G29" s="17">
        <v>0.3948526582290533</v>
      </c>
      <c r="H29" s="17">
        <v>0.60514734177094676</v>
      </c>
      <c r="I29">
        <v>4</v>
      </c>
      <c r="J29">
        <v>3</v>
      </c>
      <c r="K29" s="20" t="s">
        <v>19</v>
      </c>
      <c r="L29" s="17">
        <v>0.56250689990262193</v>
      </c>
      <c r="M29">
        <v>5.9031949651160542E-2</v>
      </c>
      <c r="N29" s="20" t="s">
        <v>60</v>
      </c>
      <c r="O29" s="20" t="s">
        <v>60</v>
      </c>
      <c r="P29" s="20" t="s">
        <v>60</v>
      </c>
      <c r="Q29" s="20" t="s">
        <v>278</v>
      </c>
      <c r="R29" s="20" t="s">
        <v>279</v>
      </c>
    </row>
    <row r="30" spans="1:18" x14ac:dyDescent="0.2">
      <c r="A30" s="1">
        <v>45981</v>
      </c>
      <c r="B30" s="2">
        <v>0.875</v>
      </c>
      <c r="C30" s="20" t="s">
        <v>55</v>
      </c>
      <c r="D30" s="20" t="s">
        <v>20</v>
      </c>
      <c r="E30" s="20" t="s">
        <v>55</v>
      </c>
      <c r="F30" s="17">
        <v>0.74722899728997294</v>
      </c>
      <c r="G30" s="17">
        <v>0.25277100271002712</v>
      </c>
      <c r="H30" s="17">
        <v>0.74722899728997294</v>
      </c>
      <c r="I30">
        <v>5</v>
      </c>
      <c r="J30">
        <v>4</v>
      </c>
      <c r="K30" s="20" t="s">
        <v>20</v>
      </c>
      <c r="L30" s="17">
        <v>0.41273900542658382</v>
      </c>
      <c r="M30">
        <v>-6.7741942171002448E-3</v>
      </c>
      <c r="N30" s="20" t="s">
        <v>60</v>
      </c>
      <c r="O30" s="20" t="s">
        <v>60</v>
      </c>
      <c r="P30" s="20" t="s">
        <v>60</v>
      </c>
      <c r="Q30" s="20" t="s">
        <v>278</v>
      </c>
      <c r="R30" s="20" t="s">
        <v>279</v>
      </c>
    </row>
    <row r="31" spans="1:18" x14ac:dyDescent="0.2">
      <c r="A31" s="1">
        <v>45981</v>
      </c>
      <c r="B31" s="2">
        <v>0.91666666666666663</v>
      </c>
      <c r="C31" s="20" t="s">
        <v>38</v>
      </c>
      <c r="D31" s="20" t="s">
        <v>39</v>
      </c>
      <c r="E31" s="20" t="s">
        <v>39</v>
      </c>
      <c r="F31" s="17">
        <v>0.40879811708759078</v>
      </c>
      <c r="G31" s="17">
        <v>0.59120188291240927</v>
      </c>
      <c r="H31" s="17">
        <v>0.59120188291240927</v>
      </c>
      <c r="I31">
        <v>4</v>
      </c>
      <c r="J31">
        <v>5</v>
      </c>
      <c r="K31" s="20" t="s">
        <v>39</v>
      </c>
      <c r="L31" s="17">
        <v>0.65623259006977086</v>
      </c>
      <c r="M31">
        <v>-0.7213369668038726</v>
      </c>
      <c r="N31" s="20" t="s">
        <v>60</v>
      </c>
      <c r="O31" s="20" t="s">
        <v>60</v>
      </c>
      <c r="P31" s="20" t="s">
        <v>60</v>
      </c>
      <c r="Q31" s="20" t="s">
        <v>278</v>
      </c>
      <c r="R31" s="20" t="s">
        <v>279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9" t="s">
        <v>280</v>
      </c>
      <c r="C3" s="19"/>
      <c r="D3" t="s">
        <v>281</v>
      </c>
    </row>
    <row r="4" spans="2:4" x14ac:dyDescent="0.2">
      <c r="B4" s="18">
        <v>0.5</v>
      </c>
      <c r="C4" s="18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8">
        <v>0.55000000000000004</v>
      </c>
      <c r="C5" s="18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8">
        <v>0.65</v>
      </c>
      <c r="C6" s="18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8">
        <v>0.75</v>
      </c>
      <c r="C7" s="18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8">
        <v>0.85</v>
      </c>
      <c r="C8" s="18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NHL2025-26Results</vt:lpstr>
      <vt:lpstr>NHL Model</vt:lpstr>
      <vt:lpstr>NHL HomeIce Model</vt:lpstr>
      <vt:lpstr>Standings</vt:lpstr>
      <vt:lpstr>ML Prediction Model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2025-11-20T14:27:15Z</dcterms:modified>
</cp:coreProperties>
</file>